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
    </mc:Choice>
  </mc:AlternateContent>
  <bookViews>
    <workbookView xWindow="0" yWindow="0" windowWidth="15530" windowHeight="6900" firstSheet="2" activeTab="4"/>
  </bookViews>
  <sheets>
    <sheet name="NN" sheetId="7" state="hidden" r:id="rId1"/>
    <sheet name="Sheet1" sheetId="8" state="hidden" r:id="rId2"/>
    <sheet name="pivot table" sheetId="6" r:id="rId3"/>
    <sheet name="Sales Data" sheetId="1" r:id="rId4"/>
    <sheet name="dashboard" sheetId="4" r:id="rId5"/>
    <sheet name="Instructions" sheetId="2" r:id="rId6"/>
  </sheets>
  <definedNames>
    <definedName name="_xlcn.WorksheetConnection_zEW5rlpLSJevfb6EV7Xh_ExcelSales_Analysis_Project2.xlsxTable_11" hidden="1">Table_1[]</definedName>
    <definedName name="ExternalData_1" localSheetId="0" hidden="1">NN!$A$3:$S$489</definedName>
    <definedName name="ExternalData_1" localSheetId="1" hidden="1">Sheet1!$A$3:$S$1003</definedName>
    <definedName name="Slicer_Category">#N/A</definedName>
    <definedName name="Slicer_Region">#N/A</definedName>
  </definedNames>
  <calcPr calcId="152511"/>
  <pivotCaches>
    <pivotCache cacheId="626" r:id="rId7"/>
    <pivotCache cacheId="629" r:id="rId8"/>
    <pivotCache cacheId="632" r:id="rId9"/>
    <pivotCache cacheId="635" r:id="rId10"/>
    <pivotCache cacheId="638"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c2e7e0a2-e9c2-420c-b660-b352e1012495" name="Table_1" connection="WorksheetConnection_zEW5rlpLSJevfb6EV7Xh_Excel Sales_Analysis_Project (2).xlsx!Table_1"/>
        </x15:modelTables>
      </x15:dataModel>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D2100" i="1"/>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R2099" i="1" l="1"/>
  <c r="M2099" i="1"/>
  <c r="L2099" i="1"/>
  <c r="N2099" i="1" s="1"/>
  <c r="K2099" i="1"/>
  <c r="R2098" i="1"/>
  <c r="M2098" i="1"/>
  <c r="L2098" i="1"/>
  <c r="N2098" i="1" s="1"/>
  <c r="K2098" i="1"/>
  <c r="R2097" i="1"/>
  <c r="M2097" i="1"/>
  <c r="L2097" i="1"/>
  <c r="K2097" i="1"/>
  <c r="R2096" i="1"/>
  <c r="M2096" i="1"/>
  <c r="L2096" i="1"/>
  <c r="N2096" i="1" s="1"/>
  <c r="K2096" i="1"/>
  <c r="R2095" i="1"/>
  <c r="M2095" i="1"/>
  <c r="L2095" i="1"/>
  <c r="N2095" i="1" s="1"/>
  <c r="K2095" i="1"/>
  <c r="R2094" i="1"/>
  <c r="M2094" i="1"/>
  <c r="N2094" i="1" s="1"/>
  <c r="L2094" i="1"/>
  <c r="K2094" i="1"/>
  <c r="R2093" i="1"/>
  <c r="M2093" i="1"/>
  <c r="L2093" i="1"/>
  <c r="K2093" i="1"/>
  <c r="R2092" i="1"/>
  <c r="M2092" i="1"/>
  <c r="L2092" i="1"/>
  <c r="K2092" i="1"/>
  <c r="R2091" i="1"/>
  <c r="M2091" i="1"/>
  <c r="L2091" i="1"/>
  <c r="N2091" i="1" s="1"/>
  <c r="K2091" i="1"/>
  <c r="R2090" i="1"/>
  <c r="N2090" i="1"/>
  <c r="M2090" i="1"/>
  <c r="L2090" i="1"/>
  <c r="K2090" i="1"/>
  <c r="R2089" i="1"/>
  <c r="M2089" i="1"/>
  <c r="L2089" i="1"/>
  <c r="K2089" i="1"/>
  <c r="R2088" i="1"/>
  <c r="M2088" i="1"/>
  <c r="L2088" i="1"/>
  <c r="K2088" i="1"/>
  <c r="R2087" i="1"/>
  <c r="M2087" i="1"/>
  <c r="L2087" i="1"/>
  <c r="K2087" i="1"/>
  <c r="R2086" i="1"/>
  <c r="N2086" i="1"/>
  <c r="M2086" i="1"/>
  <c r="L2086" i="1"/>
  <c r="K2086" i="1"/>
  <c r="R2085" i="1"/>
  <c r="M2085" i="1"/>
  <c r="L2085" i="1"/>
  <c r="K2085" i="1"/>
  <c r="R2084" i="1"/>
  <c r="M2084" i="1"/>
  <c r="L2084" i="1"/>
  <c r="N2084" i="1" s="1"/>
  <c r="K2084" i="1"/>
  <c r="R2083" i="1"/>
  <c r="M2083" i="1"/>
  <c r="L2083" i="1"/>
  <c r="K2083" i="1"/>
  <c r="R2082" i="1"/>
  <c r="M2082" i="1"/>
  <c r="L2082" i="1"/>
  <c r="N2082" i="1" s="1"/>
  <c r="K2082" i="1"/>
  <c r="R2081" i="1"/>
  <c r="M2081" i="1"/>
  <c r="L2081" i="1"/>
  <c r="K2081" i="1"/>
  <c r="R2080" i="1"/>
  <c r="M2080" i="1"/>
  <c r="L2080" i="1"/>
  <c r="N2080" i="1" s="1"/>
  <c r="K2080" i="1"/>
  <c r="R2079" i="1"/>
  <c r="M2079" i="1"/>
  <c r="L2079" i="1"/>
  <c r="N2079" i="1" s="1"/>
  <c r="K2079" i="1"/>
  <c r="R2078" i="1"/>
  <c r="M2078" i="1"/>
  <c r="L2078" i="1"/>
  <c r="N2078" i="1" s="1"/>
  <c r="K2078" i="1"/>
  <c r="R2077" i="1"/>
  <c r="M2077" i="1"/>
  <c r="L2077" i="1"/>
  <c r="K2077" i="1"/>
  <c r="R2076" i="1"/>
  <c r="M2076" i="1"/>
  <c r="L2076" i="1"/>
  <c r="N2076" i="1" s="1"/>
  <c r="K2076" i="1"/>
  <c r="R2075" i="1"/>
  <c r="M2075" i="1"/>
  <c r="L2075" i="1"/>
  <c r="K2075" i="1"/>
  <c r="R2074" i="1"/>
  <c r="M2074" i="1"/>
  <c r="L2074" i="1"/>
  <c r="N2074" i="1" s="1"/>
  <c r="K2074" i="1"/>
  <c r="R2073" i="1"/>
  <c r="M2073" i="1"/>
  <c r="L2073" i="1"/>
  <c r="K2073" i="1"/>
  <c r="R2072" i="1"/>
  <c r="M2072" i="1"/>
  <c r="L2072" i="1"/>
  <c r="K2072" i="1"/>
  <c r="R2071" i="1"/>
  <c r="M2071" i="1"/>
  <c r="L2071" i="1"/>
  <c r="K2071" i="1"/>
  <c r="R2070" i="1"/>
  <c r="M2070" i="1"/>
  <c r="N2070" i="1" s="1"/>
  <c r="L2070" i="1"/>
  <c r="K2070" i="1"/>
  <c r="R2069" i="1"/>
  <c r="M2069" i="1"/>
  <c r="L2069" i="1"/>
  <c r="N2069" i="1" s="1"/>
  <c r="K2069" i="1"/>
  <c r="R2068" i="1"/>
  <c r="M2068" i="1"/>
  <c r="L2068" i="1"/>
  <c r="K2068" i="1"/>
  <c r="R2067" i="1"/>
  <c r="M2067" i="1"/>
  <c r="L2067" i="1"/>
  <c r="N2067" i="1" s="1"/>
  <c r="K2067" i="1"/>
  <c r="R2066" i="1"/>
  <c r="N2066" i="1"/>
  <c r="M2066" i="1"/>
  <c r="L2066" i="1"/>
  <c r="K2066" i="1"/>
  <c r="R2065" i="1"/>
  <c r="M2065" i="1"/>
  <c r="L2065" i="1"/>
  <c r="K2065" i="1"/>
  <c r="R2064" i="1"/>
  <c r="M2064" i="1"/>
  <c r="L2064" i="1"/>
  <c r="K2064" i="1"/>
  <c r="R2063" i="1"/>
  <c r="M2063" i="1"/>
  <c r="L2063" i="1"/>
  <c r="N2063" i="1" s="1"/>
  <c r="K2063" i="1"/>
  <c r="R2062" i="1"/>
  <c r="M2062" i="1"/>
  <c r="L2062" i="1"/>
  <c r="N2062" i="1" s="1"/>
  <c r="K2062" i="1"/>
  <c r="R2061" i="1"/>
  <c r="M2061" i="1"/>
  <c r="L2061" i="1"/>
  <c r="N2061" i="1" s="1"/>
  <c r="K2061" i="1"/>
  <c r="R2060" i="1"/>
  <c r="M2060" i="1"/>
  <c r="L2060" i="1"/>
  <c r="N2060" i="1" s="1"/>
  <c r="K2060" i="1"/>
  <c r="R2059" i="1"/>
  <c r="M2059" i="1"/>
  <c r="L2059" i="1"/>
  <c r="N2059" i="1" s="1"/>
  <c r="K2059" i="1"/>
  <c r="R2058" i="1"/>
  <c r="M2058" i="1"/>
  <c r="N2058" i="1" s="1"/>
  <c r="L2058" i="1"/>
  <c r="K2058" i="1"/>
  <c r="R2057" i="1"/>
  <c r="M2057" i="1"/>
  <c r="N2057" i="1" s="1"/>
  <c r="L2057" i="1"/>
  <c r="K2057" i="1"/>
  <c r="R2056" i="1"/>
  <c r="M2056" i="1"/>
  <c r="L2056" i="1"/>
  <c r="K2056" i="1"/>
  <c r="R2055" i="1"/>
  <c r="M2055" i="1"/>
  <c r="L2055" i="1"/>
  <c r="K2055" i="1"/>
  <c r="R2054" i="1"/>
  <c r="M2054" i="1"/>
  <c r="L2054" i="1"/>
  <c r="K2054" i="1"/>
  <c r="R2053" i="1"/>
  <c r="M2053" i="1"/>
  <c r="L2053" i="1"/>
  <c r="K2053" i="1"/>
  <c r="R2052" i="1"/>
  <c r="M2052" i="1"/>
  <c r="L2052" i="1"/>
  <c r="K2052" i="1"/>
  <c r="R2051" i="1"/>
  <c r="M2051" i="1"/>
  <c r="L2051" i="1"/>
  <c r="K2051" i="1"/>
  <c r="R2050" i="1"/>
  <c r="N2050" i="1"/>
  <c r="M2050" i="1"/>
  <c r="L2050" i="1"/>
  <c r="K2050" i="1"/>
  <c r="R2049" i="1"/>
  <c r="N2049" i="1"/>
  <c r="M2049" i="1"/>
  <c r="L2049" i="1"/>
  <c r="K2049" i="1"/>
  <c r="R2048" i="1"/>
  <c r="M2048" i="1"/>
  <c r="L2048" i="1"/>
  <c r="K2048" i="1"/>
  <c r="R2047" i="1"/>
  <c r="M2047" i="1"/>
  <c r="L2047" i="1"/>
  <c r="K2047" i="1"/>
  <c r="R2046" i="1"/>
  <c r="M2046" i="1"/>
  <c r="L2046" i="1"/>
  <c r="N2046" i="1" s="1"/>
  <c r="K2046" i="1"/>
  <c r="R2045" i="1"/>
  <c r="M2045" i="1"/>
  <c r="L2045" i="1"/>
  <c r="K2045" i="1"/>
  <c r="R2044" i="1"/>
  <c r="M2044" i="1"/>
  <c r="L2044" i="1"/>
  <c r="N2044" i="1" s="1"/>
  <c r="K2044" i="1"/>
  <c r="R2043" i="1"/>
  <c r="M2043" i="1"/>
  <c r="L2043" i="1"/>
  <c r="K2043" i="1"/>
  <c r="R2042" i="1"/>
  <c r="M2042" i="1"/>
  <c r="L2042" i="1"/>
  <c r="N2042" i="1" s="1"/>
  <c r="K2042" i="1"/>
  <c r="R2041" i="1"/>
  <c r="M2041" i="1"/>
  <c r="L2041" i="1"/>
  <c r="K2041" i="1"/>
  <c r="R2040" i="1"/>
  <c r="M2040" i="1"/>
  <c r="L2040" i="1"/>
  <c r="N2040" i="1" s="1"/>
  <c r="K2040" i="1"/>
  <c r="R2039" i="1"/>
  <c r="M2039" i="1"/>
  <c r="L2039" i="1"/>
  <c r="N2039" i="1" s="1"/>
  <c r="K2039" i="1"/>
  <c r="R2038" i="1"/>
  <c r="M2038" i="1"/>
  <c r="L2038" i="1"/>
  <c r="N2038" i="1" s="1"/>
  <c r="K2038" i="1"/>
  <c r="R2037" i="1"/>
  <c r="M2037" i="1"/>
  <c r="L2037" i="1"/>
  <c r="K2037" i="1"/>
  <c r="R2036" i="1"/>
  <c r="M2036" i="1"/>
  <c r="L2036" i="1"/>
  <c r="K2036" i="1"/>
  <c r="R2035" i="1"/>
  <c r="M2035" i="1"/>
  <c r="L2035" i="1"/>
  <c r="K2035" i="1"/>
  <c r="R2034" i="1"/>
  <c r="N2034" i="1"/>
  <c r="M2034" i="1"/>
  <c r="L2034" i="1"/>
  <c r="K2034" i="1"/>
  <c r="R2033" i="1"/>
  <c r="M2033" i="1"/>
  <c r="L2033" i="1"/>
  <c r="N2033" i="1" s="1"/>
  <c r="K2033" i="1"/>
  <c r="R2032" i="1"/>
  <c r="M2032" i="1"/>
  <c r="L2032" i="1"/>
  <c r="K2032" i="1"/>
  <c r="R2031" i="1"/>
  <c r="M2031" i="1"/>
  <c r="L2031" i="1"/>
  <c r="N2031" i="1" s="1"/>
  <c r="K2031" i="1"/>
  <c r="R2030" i="1"/>
  <c r="M2030" i="1"/>
  <c r="L2030" i="1"/>
  <c r="N2030" i="1" s="1"/>
  <c r="K2030" i="1"/>
  <c r="R2029" i="1"/>
  <c r="M2029" i="1"/>
  <c r="L2029" i="1"/>
  <c r="N2029" i="1" s="1"/>
  <c r="K2029" i="1"/>
  <c r="R2028" i="1"/>
  <c r="M2028" i="1"/>
  <c r="L2028" i="1"/>
  <c r="N2028" i="1" s="1"/>
  <c r="K2028" i="1"/>
  <c r="R2027" i="1"/>
  <c r="M2027" i="1"/>
  <c r="L2027" i="1"/>
  <c r="N2027" i="1" s="1"/>
  <c r="K2027" i="1"/>
  <c r="R2026" i="1"/>
  <c r="M2026" i="1"/>
  <c r="N2026" i="1" s="1"/>
  <c r="L2026" i="1"/>
  <c r="K2026" i="1"/>
  <c r="R2025" i="1"/>
  <c r="M2025" i="1"/>
  <c r="N2025" i="1" s="1"/>
  <c r="L2025" i="1"/>
  <c r="K2025" i="1"/>
  <c r="R2024" i="1"/>
  <c r="M2024" i="1"/>
  <c r="L2024" i="1"/>
  <c r="K2024" i="1"/>
  <c r="R2023" i="1"/>
  <c r="M2023" i="1"/>
  <c r="L2023" i="1"/>
  <c r="K2023" i="1"/>
  <c r="R2022" i="1"/>
  <c r="N2022" i="1"/>
  <c r="M2022" i="1"/>
  <c r="L2022" i="1"/>
  <c r="K2022" i="1"/>
  <c r="R2021" i="1"/>
  <c r="M2021" i="1"/>
  <c r="L2021" i="1"/>
  <c r="K2021" i="1"/>
  <c r="R2020" i="1"/>
  <c r="M2020" i="1"/>
  <c r="L2020" i="1"/>
  <c r="K2020" i="1"/>
  <c r="R2019" i="1"/>
  <c r="M2019" i="1"/>
  <c r="L2019" i="1"/>
  <c r="K2019" i="1"/>
  <c r="R2018" i="1"/>
  <c r="M2018" i="1"/>
  <c r="L2018" i="1"/>
  <c r="N2018" i="1" s="1"/>
  <c r="K2018" i="1"/>
  <c r="R2017" i="1"/>
  <c r="M2017" i="1"/>
  <c r="N2017" i="1" s="1"/>
  <c r="L2017" i="1"/>
  <c r="K2017" i="1"/>
  <c r="R2016" i="1"/>
  <c r="M2016" i="1"/>
  <c r="L2016" i="1"/>
  <c r="K2016" i="1"/>
  <c r="R2015" i="1"/>
  <c r="M2015" i="1"/>
  <c r="L2015" i="1"/>
  <c r="K2015" i="1"/>
  <c r="R2014" i="1"/>
  <c r="M2014" i="1"/>
  <c r="L2014" i="1"/>
  <c r="N2014" i="1" s="1"/>
  <c r="K2014" i="1"/>
  <c r="R2013" i="1"/>
  <c r="M2013" i="1"/>
  <c r="L2013" i="1"/>
  <c r="K2013" i="1"/>
  <c r="R2012" i="1"/>
  <c r="M2012" i="1"/>
  <c r="L2012" i="1"/>
  <c r="N2012" i="1" s="1"/>
  <c r="K2012" i="1"/>
  <c r="R2011" i="1"/>
  <c r="M2011" i="1"/>
  <c r="L2011" i="1"/>
  <c r="N2011" i="1" s="1"/>
  <c r="K2011" i="1"/>
  <c r="R2010" i="1"/>
  <c r="M2010" i="1"/>
  <c r="L2010" i="1"/>
  <c r="N2010" i="1" s="1"/>
  <c r="K2010" i="1"/>
  <c r="R2009" i="1"/>
  <c r="M2009" i="1"/>
  <c r="L2009" i="1"/>
  <c r="N2009" i="1" s="1"/>
  <c r="K2009" i="1"/>
  <c r="R2008" i="1"/>
  <c r="M2008" i="1"/>
  <c r="L2008" i="1"/>
  <c r="N2008" i="1" s="1"/>
  <c r="K2008" i="1"/>
  <c r="R2007" i="1"/>
  <c r="M2007" i="1"/>
  <c r="L2007" i="1"/>
  <c r="N2007" i="1" s="1"/>
  <c r="K2007" i="1"/>
  <c r="R2006" i="1"/>
  <c r="M2006" i="1"/>
  <c r="L2006" i="1"/>
  <c r="N2006" i="1" s="1"/>
  <c r="K2006" i="1"/>
  <c r="R2005" i="1"/>
  <c r="M2005" i="1"/>
  <c r="L2005" i="1"/>
  <c r="N2005" i="1" s="1"/>
  <c r="K2005" i="1"/>
  <c r="R2004" i="1"/>
  <c r="M2004" i="1"/>
  <c r="L2004" i="1"/>
  <c r="N2004" i="1" s="1"/>
  <c r="K2004" i="1"/>
  <c r="R2003" i="1"/>
  <c r="M2003" i="1"/>
  <c r="L2003" i="1"/>
  <c r="N2003" i="1" s="1"/>
  <c r="K2003" i="1"/>
  <c r="R2002" i="1"/>
  <c r="M2002" i="1"/>
  <c r="L2002" i="1"/>
  <c r="K2002" i="1"/>
  <c r="R2001" i="1"/>
  <c r="M2001" i="1"/>
  <c r="L2001" i="1"/>
  <c r="N2001" i="1" s="1"/>
  <c r="K2001" i="1"/>
  <c r="R2000" i="1"/>
  <c r="M2000" i="1"/>
  <c r="L2000" i="1"/>
  <c r="K2000" i="1"/>
  <c r="R1999" i="1"/>
  <c r="M1999" i="1"/>
  <c r="L1999" i="1"/>
  <c r="N1999" i="1" s="1"/>
  <c r="K1999" i="1"/>
  <c r="R1998" i="1"/>
  <c r="M1998" i="1"/>
  <c r="L1998" i="1"/>
  <c r="N1998" i="1" s="1"/>
  <c r="K1998" i="1"/>
  <c r="R1997" i="1"/>
  <c r="M1997" i="1"/>
  <c r="L1997" i="1"/>
  <c r="K1997" i="1"/>
  <c r="R1996" i="1"/>
  <c r="M1996" i="1"/>
  <c r="L1996" i="1"/>
  <c r="K1996" i="1"/>
  <c r="R1995" i="1"/>
  <c r="M1995" i="1"/>
  <c r="L1995" i="1"/>
  <c r="K1995" i="1"/>
  <c r="R1994" i="1"/>
  <c r="M1994" i="1"/>
  <c r="N1994" i="1" s="1"/>
  <c r="L1994" i="1"/>
  <c r="K1994" i="1"/>
  <c r="R1993" i="1"/>
  <c r="M1993" i="1"/>
  <c r="L1993" i="1"/>
  <c r="K1993" i="1"/>
  <c r="R1992" i="1"/>
  <c r="M1992" i="1"/>
  <c r="L1992" i="1"/>
  <c r="K1992" i="1"/>
  <c r="R1991" i="1"/>
  <c r="M1991" i="1"/>
  <c r="L1991" i="1"/>
  <c r="K1991" i="1"/>
  <c r="R1990" i="1"/>
  <c r="N1990" i="1"/>
  <c r="M1990" i="1"/>
  <c r="L1990" i="1"/>
  <c r="K1990" i="1"/>
  <c r="R1989" i="1"/>
  <c r="M1989" i="1"/>
  <c r="L1989" i="1"/>
  <c r="N1989" i="1" s="1"/>
  <c r="K1989" i="1"/>
  <c r="R1988" i="1"/>
  <c r="M1988" i="1"/>
  <c r="L1988" i="1"/>
  <c r="N1988" i="1" s="1"/>
  <c r="K1988" i="1"/>
  <c r="R1987" i="1"/>
  <c r="M1987" i="1"/>
  <c r="L1987" i="1"/>
  <c r="N1987" i="1" s="1"/>
  <c r="K1987" i="1"/>
  <c r="R1986" i="1"/>
  <c r="M1986" i="1"/>
  <c r="L1986" i="1"/>
  <c r="N1986" i="1" s="1"/>
  <c r="K1986" i="1"/>
  <c r="R1985" i="1"/>
  <c r="M1985" i="1"/>
  <c r="L1985" i="1"/>
  <c r="K1985" i="1"/>
  <c r="R1984" i="1"/>
  <c r="M1984" i="1"/>
  <c r="L1984" i="1"/>
  <c r="N1984" i="1" s="1"/>
  <c r="K1984" i="1"/>
  <c r="R1983" i="1"/>
  <c r="M1983" i="1"/>
  <c r="L1983" i="1"/>
  <c r="N1983" i="1" s="1"/>
  <c r="K1983" i="1"/>
  <c r="R1982" i="1"/>
  <c r="M1982" i="1"/>
  <c r="N1982" i="1" s="1"/>
  <c r="L1982" i="1"/>
  <c r="K1982" i="1"/>
  <c r="R1981" i="1"/>
  <c r="M1981" i="1"/>
  <c r="L1981" i="1"/>
  <c r="K1981" i="1"/>
  <c r="R1980" i="1"/>
  <c r="M1980" i="1"/>
  <c r="L1980" i="1"/>
  <c r="K1980" i="1"/>
  <c r="R1979" i="1"/>
  <c r="M1979" i="1"/>
  <c r="L1979" i="1"/>
  <c r="K1979" i="1"/>
  <c r="R1978" i="1"/>
  <c r="N1978" i="1"/>
  <c r="M1978" i="1"/>
  <c r="L1978" i="1"/>
  <c r="K1978" i="1"/>
  <c r="R1977" i="1"/>
  <c r="M1977" i="1"/>
  <c r="L1977" i="1"/>
  <c r="K1977" i="1"/>
  <c r="R1976" i="1"/>
  <c r="M1976" i="1"/>
  <c r="L1976" i="1"/>
  <c r="K1976" i="1"/>
  <c r="R1975" i="1"/>
  <c r="M1975" i="1"/>
  <c r="L1975" i="1"/>
  <c r="K1975" i="1"/>
  <c r="R1974" i="1"/>
  <c r="N1974" i="1"/>
  <c r="M1974" i="1"/>
  <c r="L1974" i="1"/>
  <c r="K1974" i="1"/>
  <c r="R1973" i="1"/>
  <c r="M1973" i="1"/>
  <c r="L1973" i="1"/>
  <c r="N1973" i="1" s="1"/>
  <c r="K1973" i="1"/>
  <c r="R1972" i="1"/>
  <c r="M1972" i="1"/>
  <c r="L1972" i="1"/>
  <c r="K1972" i="1"/>
  <c r="R1971" i="1"/>
  <c r="M1971" i="1"/>
  <c r="L1971" i="1"/>
  <c r="K1971" i="1"/>
  <c r="R1970" i="1"/>
  <c r="M1970" i="1"/>
  <c r="L1970" i="1"/>
  <c r="N1970" i="1" s="1"/>
  <c r="K1970" i="1"/>
  <c r="R1969" i="1"/>
  <c r="M1969" i="1"/>
  <c r="L1969" i="1"/>
  <c r="N1969" i="1" s="1"/>
  <c r="K1969" i="1"/>
  <c r="R1968" i="1"/>
  <c r="M1968" i="1"/>
  <c r="L1968" i="1"/>
  <c r="N1968" i="1" s="1"/>
  <c r="K1968" i="1"/>
  <c r="R1967" i="1"/>
  <c r="M1967" i="1"/>
  <c r="L1967" i="1"/>
  <c r="N1967" i="1" s="1"/>
  <c r="K1967" i="1"/>
  <c r="R1966" i="1"/>
  <c r="M1966" i="1"/>
  <c r="L1966" i="1"/>
  <c r="N1966" i="1" s="1"/>
  <c r="K1966" i="1"/>
  <c r="R1965" i="1"/>
  <c r="N1965" i="1"/>
  <c r="M1965" i="1"/>
  <c r="L1965" i="1"/>
  <c r="K1965" i="1"/>
  <c r="R1964" i="1"/>
  <c r="M1964" i="1"/>
  <c r="L1964" i="1"/>
  <c r="N1964" i="1" s="1"/>
  <c r="K1964" i="1"/>
  <c r="R1963" i="1"/>
  <c r="M1963" i="1"/>
  <c r="L1963" i="1"/>
  <c r="N1963" i="1" s="1"/>
  <c r="K1963" i="1"/>
  <c r="R1962" i="1"/>
  <c r="M1962" i="1"/>
  <c r="L1962" i="1"/>
  <c r="N1962" i="1" s="1"/>
  <c r="K1962" i="1"/>
  <c r="R1961" i="1"/>
  <c r="M1961" i="1"/>
  <c r="L1961" i="1"/>
  <c r="N1961" i="1" s="1"/>
  <c r="K1961" i="1"/>
  <c r="R1960" i="1"/>
  <c r="M1960" i="1"/>
  <c r="L1960" i="1"/>
  <c r="N1960" i="1" s="1"/>
  <c r="K1960" i="1"/>
  <c r="R1959" i="1"/>
  <c r="M1959" i="1"/>
  <c r="L1959" i="1"/>
  <c r="N1959" i="1" s="1"/>
  <c r="K1959" i="1"/>
  <c r="R1958" i="1"/>
  <c r="M1958" i="1"/>
  <c r="L1958" i="1"/>
  <c r="N1958" i="1" s="1"/>
  <c r="K1958" i="1"/>
  <c r="R1957" i="1"/>
  <c r="M1957" i="1"/>
  <c r="L1957" i="1"/>
  <c r="N1957" i="1" s="1"/>
  <c r="K1957" i="1"/>
  <c r="R1956" i="1"/>
  <c r="N1956" i="1"/>
  <c r="M1956" i="1"/>
  <c r="L1956" i="1"/>
  <c r="K1956" i="1"/>
  <c r="R1955" i="1"/>
  <c r="M1955" i="1"/>
  <c r="L1955" i="1"/>
  <c r="N1955" i="1" s="1"/>
  <c r="K1955" i="1"/>
  <c r="R1954" i="1"/>
  <c r="M1954" i="1"/>
  <c r="L1954" i="1"/>
  <c r="N1954" i="1" s="1"/>
  <c r="K1954" i="1"/>
  <c r="R1953" i="1"/>
  <c r="M1953" i="1"/>
  <c r="N1953" i="1" s="1"/>
  <c r="L1953" i="1"/>
  <c r="K1953" i="1"/>
  <c r="R1952" i="1"/>
  <c r="N1952" i="1"/>
  <c r="M1952" i="1"/>
  <c r="L1952" i="1"/>
  <c r="K1952" i="1"/>
  <c r="R1951" i="1"/>
  <c r="N1951" i="1"/>
  <c r="M1951" i="1"/>
  <c r="L1951" i="1"/>
  <c r="K1951" i="1"/>
  <c r="R1950" i="1"/>
  <c r="M1950" i="1"/>
  <c r="L1950" i="1"/>
  <c r="N1950" i="1" s="1"/>
  <c r="K1950" i="1"/>
  <c r="R1949" i="1"/>
  <c r="M1949" i="1"/>
  <c r="L1949" i="1"/>
  <c r="N1949" i="1" s="1"/>
  <c r="K1949" i="1"/>
  <c r="R1948" i="1"/>
  <c r="N1948" i="1"/>
  <c r="M1948" i="1"/>
  <c r="L1948" i="1"/>
  <c r="K1948" i="1"/>
  <c r="R1947" i="1"/>
  <c r="M1947" i="1"/>
  <c r="L1947" i="1"/>
  <c r="N1947" i="1" s="1"/>
  <c r="K1947" i="1"/>
  <c r="R1946" i="1"/>
  <c r="M1946" i="1"/>
  <c r="L1946" i="1"/>
  <c r="N1946" i="1" s="1"/>
  <c r="K1946" i="1"/>
  <c r="R1945" i="1"/>
  <c r="M1945" i="1"/>
  <c r="N1945" i="1" s="1"/>
  <c r="L1945" i="1"/>
  <c r="K1945" i="1"/>
  <c r="R1944" i="1"/>
  <c r="N1944" i="1"/>
  <c r="M1944" i="1"/>
  <c r="L1944" i="1"/>
  <c r="K1944" i="1"/>
  <c r="R1943" i="1"/>
  <c r="N1943" i="1"/>
  <c r="M1943" i="1"/>
  <c r="L1943" i="1"/>
  <c r="K1943" i="1"/>
  <c r="R1942" i="1"/>
  <c r="M1942" i="1"/>
  <c r="L1942" i="1"/>
  <c r="N1942" i="1" s="1"/>
  <c r="K1942" i="1"/>
  <c r="R1941" i="1"/>
  <c r="M1941" i="1"/>
  <c r="L1941" i="1"/>
  <c r="N1941" i="1" s="1"/>
  <c r="K1941" i="1"/>
  <c r="R1940" i="1"/>
  <c r="N1940" i="1"/>
  <c r="M1940" i="1"/>
  <c r="L1940" i="1"/>
  <c r="K1940" i="1"/>
  <c r="R1939" i="1"/>
  <c r="M1939" i="1"/>
  <c r="L1939" i="1"/>
  <c r="N1939" i="1" s="1"/>
  <c r="K1939" i="1"/>
  <c r="R1938" i="1"/>
  <c r="M1938" i="1"/>
  <c r="L1938" i="1"/>
  <c r="N1938" i="1" s="1"/>
  <c r="K1938" i="1"/>
  <c r="R1937" i="1"/>
  <c r="M1937" i="1"/>
  <c r="N1937" i="1" s="1"/>
  <c r="L1937" i="1"/>
  <c r="K1937" i="1"/>
  <c r="R1936" i="1"/>
  <c r="N1936" i="1"/>
  <c r="M1936" i="1"/>
  <c r="L1936" i="1"/>
  <c r="K1936" i="1"/>
  <c r="R1935" i="1"/>
  <c r="N1935" i="1"/>
  <c r="M1935" i="1"/>
  <c r="L1935" i="1"/>
  <c r="K1935" i="1"/>
  <c r="R1934" i="1"/>
  <c r="M1934" i="1"/>
  <c r="L1934" i="1"/>
  <c r="N1934" i="1" s="1"/>
  <c r="K1934" i="1"/>
  <c r="R1933" i="1"/>
  <c r="M1933" i="1"/>
  <c r="L1933" i="1"/>
  <c r="N1933" i="1" s="1"/>
  <c r="K1933" i="1"/>
  <c r="R1932" i="1"/>
  <c r="N1932" i="1"/>
  <c r="M1932" i="1"/>
  <c r="L1932" i="1"/>
  <c r="K1932" i="1"/>
  <c r="R1931" i="1"/>
  <c r="M1931" i="1"/>
  <c r="L1931" i="1"/>
  <c r="N1931" i="1" s="1"/>
  <c r="K1931" i="1"/>
  <c r="R1930" i="1"/>
  <c r="M1930" i="1"/>
  <c r="L1930" i="1"/>
  <c r="K1930" i="1"/>
  <c r="R1929" i="1"/>
  <c r="M1929" i="1"/>
  <c r="L1929" i="1"/>
  <c r="N1929" i="1" s="1"/>
  <c r="K1929" i="1"/>
  <c r="R1928" i="1"/>
  <c r="M1928" i="1"/>
  <c r="L1928" i="1"/>
  <c r="K1928" i="1"/>
  <c r="R1927" i="1"/>
  <c r="M1927" i="1"/>
  <c r="N1927" i="1" s="1"/>
  <c r="L1927" i="1"/>
  <c r="K1927" i="1"/>
  <c r="R1926" i="1"/>
  <c r="M1926" i="1"/>
  <c r="N1926" i="1" s="1"/>
  <c r="L1926" i="1"/>
  <c r="K1926" i="1"/>
  <c r="R1925" i="1"/>
  <c r="M1925" i="1"/>
  <c r="N1925" i="1" s="1"/>
  <c r="L1925" i="1"/>
  <c r="K1925" i="1"/>
  <c r="R1924" i="1"/>
  <c r="M1924" i="1"/>
  <c r="N1924" i="1" s="1"/>
  <c r="L1924" i="1"/>
  <c r="K1924" i="1"/>
  <c r="R1923" i="1"/>
  <c r="N1923" i="1"/>
  <c r="M1923" i="1"/>
  <c r="L1923" i="1"/>
  <c r="K1923" i="1"/>
  <c r="R1922" i="1"/>
  <c r="M1922" i="1"/>
  <c r="N1922" i="1" s="1"/>
  <c r="L1922" i="1"/>
  <c r="K1922" i="1"/>
  <c r="R1921" i="1"/>
  <c r="N1921" i="1"/>
  <c r="M1921" i="1"/>
  <c r="L1921" i="1"/>
  <c r="K1921" i="1"/>
  <c r="R1920" i="1"/>
  <c r="M1920" i="1"/>
  <c r="L1920" i="1"/>
  <c r="K1920" i="1"/>
  <c r="R1919" i="1"/>
  <c r="M1919" i="1"/>
  <c r="L1919" i="1"/>
  <c r="N1919" i="1" s="1"/>
  <c r="K1919" i="1"/>
  <c r="R1918" i="1"/>
  <c r="M1918" i="1"/>
  <c r="L1918" i="1"/>
  <c r="K1918" i="1"/>
  <c r="R1917" i="1"/>
  <c r="M1917" i="1"/>
  <c r="L1917" i="1"/>
  <c r="N1917" i="1" s="1"/>
  <c r="K1917" i="1"/>
  <c r="R1916" i="1"/>
  <c r="M1916" i="1"/>
  <c r="L1916" i="1"/>
  <c r="N1916" i="1" s="1"/>
  <c r="K1916" i="1"/>
  <c r="R1915" i="1"/>
  <c r="M1915" i="1"/>
  <c r="L1915" i="1"/>
  <c r="N1915" i="1" s="1"/>
  <c r="K1915" i="1"/>
  <c r="R1914" i="1"/>
  <c r="M1914" i="1"/>
  <c r="N1914" i="1" s="1"/>
  <c r="L1914" i="1"/>
  <c r="K1914" i="1"/>
  <c r="R1913" i="1"/>
  <c r="N1913" i="1"/>
  <c r="M1913" i="1"/>
  <c r="L1913" i="1"/>
  <c r="K1913" i="1"/>
  <c r="R1912" i="1"/>
  <c r="M1912" i="1"/>
  <c r="L1912" i="1"/>
  <c r="K1912" i="1"/>
  <c r="R1911" i="1"/>
  <c r="M1911" i="1"/>
  <c r="L1911" i="1"/>
  <c r="K1911" i="1"/>
  <c r="R1910" i="1"/>
  <c r="M1910" i="1"/>
  <c r="N1910" i="1" s="1"/>
  <c r="L1910" i="1"/>
  <c r="K1910" i="1"/>
  <c r="R1909" i="1"/>
  <c r="M1909" i="1"/>
  <c r="L1909" i="1"/>
  <c r="K1909" i="1"/>
  <c r="R1908" i="1"/>
  <c r="M1908" i="1"/>
  <c r="L1908" i="1"/>
  <c r="K1908" i="1"/>
  <c r="R1907" i="1"/>
  <c r="M1907" i="1"/>
  <c r="L1907" i="1"/>
  <c r="N1907" i="1" s="1"/>
  <c r="K1907" i="1"/>
  <c r="R1906" i="1"/>
  <c r="M1906" i="1"/>
  <c r="L1906" i="1"/>
  <c r="K1906" i="1"/>
  <c r="R1905" i="1"/>
  <c r="M1905" i="1"/>
  <c r="L1905" i="1"/>
  <c r="N1905" i="1" s="1"/>
  <c r="K1905" i="1"/>
  <c r="R1904" i="1"/>
  <c r="M1904" i="1"/>
  <c r="L1904" i="1"/>
  <c r="N1904" i="1" s="1"/>
  <c r="K1904" i="1"/>
  <c r="R1903" i="1"/>
  <c r="M1903" i="1"/>
  <c r="L1903" i="1"/>
  <c r="N1903" i="1" s="1"/>
  <c r="K1903" i="1"/>
  <c r="R1902" i="1"/>
  <c r="M1902" i="1"/>
  <c r="L1902" i="1"/>
  <c r="N1902" i="1" s="1"/>
  <c r="K1902" i="1"/>
  <c r="R1901" i="1"/>
  <c r="M1901" i="1"/>
  <c r="L1901" i="1"/>
  <c r="K1901" i="1"/>
  <c r="R1900" i="1"/>
  <c r="M1900" i="1"/>
  <c r="L1900" i="1"/>
  <c r="K1900" i="1"/>
  <c r="R1899" i="1"/>
  <c r="N1899" i="1"/>
  <c r="M1899" i="1"/>
  <c r="L1899" i="1"/>
  <c r="K1899" i="1"/>
  <c r="R1898" i="1"/>
  <c r="M1898" i="1"/>
  <c r="N1898" i="1" s="1"/>
  <c r="L1898" i="1"/>
  <c r="K1898" i="1"/>
  <c r="R1897" i="1"/>
  <c r="M1897" i="1"/>
  <c r="L1897" i="1"/>
  <c r="K1897" i="1"/>
  <c r="R1896" i="1"/>
  <c r="M1896" i="1"/>
  <c r="L1896" i="1"/>
  <c r="K1896" i="1"/>
  <c r="R1895" i="1"/>
  <c r="N1895" i="1"/>
  <c r="M1895" i="1"/>
  <c r="L1895" i="1"/>
  <c r="K1895" i="1"/>
  <c r="R1894" i="1"/>
  <c r="M1894" i="1"/>
  <c r="L1894" i="1"/>
  <c r="K1894" i="1"/>
  <c r="R1893" i="1"/>
  <c r="M1893" i="1"/>
  <c r="L1893" i="1"/>
  <c r="K1893" i="1"/>
  <c r="R1892" i="1"/>
  <c r="M1892" i="1"/>
  <c r="L1892" i="1"/>
  <c r="N1892" i="1" s="1"/>
  <c r="K1892" i="1"/>
  <c r="R1891" i="1"/>
  <c r="M1891" i="1"/>
  <c r="L1891" i="1"/>
  <c r="N1891" i="1" s="1"/>
  <c r="K1891" i="1"/>
  <c r="R1890" i="1"/>
  <c r="M1890" i="1"/>
  <c r="L1890" i="1"/>
  <c r="N1890" i="1" s="1"/>
  <c r="K1890" i="1"/>
  <c r="R1889" i="1"/>
  <c r="M1889" i="1"/>
  <c r="L1889" i="1"/>
  <c r="N1889" i="1" s="1"/>
  <c r="K1889" i="1"/>
  <c r="R1888" i="1"/>
  <c r="M1888" i="1"/>
  <c r="L1888" i="1"/>
  <c r="N1888" i="1" s="1"/>
  <c r="K1888" i="1"/>
  <c r="R1887" i="1"/>
  <c r="M1887" i="1"/>
  <c r="L1887" i="1"/>
  <c r="K1887" i="1"/>
  <c r="R1886" i="1"/>
  <c r="M1886" i="1"/>
  <c r="L1886" i="1"/>
  <c r="N1886" i="1" s="1"/>
  <c r="K1886" i="1"/>
  <c r="R1885" i="1"/>
  <c r="M1885" i="1"/>
  <c r="L1885" i="1"/>
  <c r="K1885" i="1"/>
  <c r="R1884" i="1"/>
  <c r="M1884" i="1"/>
  <c r="L1884" i="1"/>
  <c r="N1884" i="1" s="1"/>
  <c r="K1884" i="1"/>
  <c r="R1883" i="1"/>
  <c r="M1883" i="1"/>
  <c r="L1883" i="1"/>
  <c r="K1883" i="1"/>
  <c r="R1882" i="1"/>
  <c r="M1882" i="1"/>
  <c r="L1882" i="1"/>
  <c r="N1882" i="1" s="1"/>
  <c r="K1882" i="1"/>
  <c r="R1881" i="1"/>
  <c r="M1881" i="1"/>
  <c r="L1881" i="1"/>
  <c r="N1881" i="1" s="1"/>
  <c r="K1881" i="1"/>
  <c r="R1880" i="1"/>
  <c r="M1880" i="1"/>
  <c r="L1880" i="1"/>
  <c r="K1880" i="1"/>
  <c r="R1879" i="1"/>
  <c r="M1879" i="1"/>
  <c r="L1879" i="1"/>
  <c r="K1879" i="1"/>
  <c r="R1878" i="1"/>
  <c r="M1878" i="1"/>
  <c r="L1878" i="1"/>
  <c r="N1878" i="1" s="1"/>
  <c r="K1878" i="1"/>
  <c r="R1877" i="1"/>
  <c r="M1877" i="1"/>
  <c r="L1877" i="1"/>
  <c r="K1877" i="1"/>
  <c r="R1876" i="1"/>
  <c r="M1876" i="1"/>
  <c r="L1876" i="1"/>
  <c r="N1876" i="1" s="1"/>
  <c r="K1876" i="1"/>
  <c r="R1875" i="1"/>
  <c r="M1875" i="1"/>
  <c r="L1875" i="1"/>
  <c r="K1875" i="1"/>
  <c r="R1874" i="1"/>
  <c r="M1874" i="1"/>
  <c r="L1874" i="1"/>
  <c r="N1874" i="1" s="1"/>
  <c r="K1874" i="1"/>
  <c r="R1873" i="1"/>
  <c r="M1873" i="1"/>
  <c r="L1873" i="1"/>
  <c r="N1873" i="1" s="1"/>
  <c r="K1873" i="1"/>
  <c r="R1872" i="1"/>
  <c r="M1872" i="1"/>
  <c r="L1872" i="1"/>
  <c r="K1872" i="1"/>
  <c r="R1871" i="1"/>
  <c r="M1871" i="1"/>
  <c r="L1871" i="1"/>
  <c r="N1871" i="1" s="1"/>
  <c r="K1871" i="1"/>
  <c r="R1870" i="1"/>
  <c r="M1870" i="1"/>
  <c r="L1870" i="1"/>
  <c r="N1870" i="1" s="1"/>
  <c r="K1870" i="1"/>
  <c r="R1869" i="1"/>
  <c r="M1869" i="1"/>
  <c r="L1869" i="1"/>
  <c r="K1869" i="1"/>
  <c r="R1868" i="1"/>
  <c r="M1868" i="1"/>
  <c r="L1868" i="1"/>
  <c r="N1868" i="1" s="1"/>
  <c r="K1868" i="1"/>
  <c r="R1867" i="1"/>
  <c r="M1867" i="1"/>
  <c r="L1867" i="1"/>
  <c r="K1867" i="1"/>
  <c r="R1866" i="1"/>
  <c r="M1866" i="1"/>
  <c r="L1866" i="1"/>
  <c r="N1866" i="1" s="1"/>
  <c r="K1866" i="1"/>
  <c r="R1865" i="1"/>
  <c r="M1865" i="1"/>
  <c r="L1865" i="1"/>
  <c r="N1865" i="1" s="1"/>
  <c r="K1865" i="1"/>
  <c r="R1864" i="1"/>
  <c r="M1864" i="1"/>
  <c r="L1864" i="1"/>
  <c r="K1864" i="1"/>
  <c r="R1863" i="1"/>
  <c r="M1863" i="1"/>
  <c r="L1863" i="1"/>
  <c r="K1863" i="1"/>
  <c r="R1862" i="1"/>
  <c r="M1862" i="1"/>
  <c r="L1862" i="1"/>
  <c r="N1862" i="1" s="1"/>
  <c r="K1862" i="1"/>
  <c r="R1861" i="1"/>
  <c r="M1861" i="1"/>
  <c r="L1861" i="1"/>
  <c r="K1861" i="1"/>
  <c r="R1860" i="1"/>
  <c r="M1860" i="1"/>
  <c r="L1860" i="1"/>
  <c r="N1860" i="1" s="1"/>
  <c r="K1860" i="1"/>
  <c r="R1859" i="1"/>
  <c r="M1859" i="1"/>
  <c r="L1859" i="1"/>
  <c r="K1859" i="1"/>
  <c r="R1858" i="1"/>
  <c r="M1858" i="1"/>
  <c r="L1858" i="1"/>
  <c r="N1858" i="1" s="1"/>
  <c r="K1858" i="1"/>
  <c r="R1857" i="1"/>
  <c r="M1857" i="1"/>
  <c r="L1857" i="1"/>
  <c r="N1857" i="1" s="1"/>
  <c r="K1857" i="1"/>
  <c r="R1856" i="1"/>
  <c r="M1856" i="1"/>
  <c r="L1856" i="1"/>
  <c r="K1856" i="1"/>
  <c r="R1855" i="1"/>
  <c r="M1855" i="1"/>
  <c r="L1855" i="1"/>
  <c r="N1855" i="1" s="1"/>
  <c r="K1855" i="1"/>
  <c r="R1854" i="1"/>
  <c r="M1854" i="1"/>
  <c r="L1854" i="1"/>
  <c r="N1854" i="1" s="1"/>
  <c r="K1854" i="1"/>
  <c r="R1853" i="1"/>
  <c r="M1853" i="1"/>
  <c r="L1853" i="1"/>
  <c r="K1853" i="1"/>
  <c r="R1852" i="1"/>
  <c r="M1852" i="1"/>
  <c r="L1852" i="1"/>
  <c r="N1852" i="1" s="1"/>
  <c r="K1852" i="1"/>
  <c r="R1851" i="1"/>
  <c r="M1851" i="1"/>
  <c r="L1851" i="1"/>
  <c r="K1851" i="1"/>
  <c r="R1850" i="1"/>
  <c r="M1850" i="1"/>
  <c r="L1850" i="1"/>
  <c r="N1850" i="1" s="1"/>
  <c r="K1850" i="1"/>
  <c r="R1849" i="1"/>
  <c r="M1849" i="1"/>
  <c r="L1849" i="1"/>
  <c r="N1849" i="1" s="1"/>
  <c r="K1849" i="1"/>
  <c r="R1848" i="1"/>
  <c r="M1848" i="1"/>
  <c r="L1848" i="1"/>
  <c r="K1848" i="1"/>
  <c r="R1847" i="1"/>
  <c r="M1847" i="1"/>
  <c r="L1847" i="1"/>
  <c r="N1847" i="1" s="1"/>
  <c r="K1847" i="1"/>
  <c r="R1846" i="1"/>
  <c r="M1846" i="1"/>
  <c r="L1846" i="1"/>
  <c r="N1846" i="1" s="1"/>
  <c r="K1846" i="1"/>
  <c r="R1845" i="1"/>
  <c r="M1845" i="1"/>
  <c r="L1845" i="1"/>
  <c r="K1845" i="1"/>
  <c r="R1844" i="1"/>
  <c r="M1844" i="1"/>
  <c r="L1844" i="1"/>
  <c r="N1844" i="1" s="1"/>
  <c r="K1844" i="1"/>
  <c r="R1843" i="1"/>
  <c r="M1843" i="1"/>
  <c r="L1843" i="1"/>
  <c r="K1843" i="1"/>
  <c r="R1842" i="1"/>
  <c r="M1842" i="1"/>
  <c r="L1842" i="1"/>
  <c r="N1842" i="1" s="1"/>
  <c r="K1842" i="1"/>
  <c r="R1841" i="1"/>
  <c r="M1841" i="1"/>
  <c r="L1841" i="1"/>
  <c r="N1841" i="1" s="1"/>
  <c r="K1841" i="1"/>
  <c r="R1840" i="1"/>
  <c r="M1840" i="1"/>
  <c r="L1840" i="1"/>
  <c r="K1840" i="1"/>
  <c r="R1839" i="1"/>
  <c r="M1839" i="1"/>
  <c r="L1839" i="1"/>
  <c r="N1839" i="1" s="1"/>
  <c r="K1839" i="1"/>
  <c r="R1838" i="1"/>
  <c r="M1838" i="1"/>
  <c r="L1838" i="1"/>
  <c r="N1838" i="1" s="1"/>
  <c r="K1838" i="1"/>
  <c r="R1837" i="1"/>
  <c r="M1837" i="1"/>
  <c r="L1837" i="1"/>
  <c r="K1837" i="1"/>
  <c r="R1836" i="1"/>
  <c r="M1836" i="1"/>
  <c r="L1836" i="1"/>
  <c r="N1836" i="1" s="1"/>
  <c r="K1836" i="1"/>
  <c r="R1835" i="1"/>
  <c r="M1835" i="1"/>
  <c r="L1835" i="1"/>
  <c r="K1835" i="1"/>
  <c r="R1834" i="1"/>
  <c r="M1834" i="1"/>
  <c r="L1834" i="1"/>
  <c r="N1834" i="1" s="1"/>
  <c r="K1834" i="1"/>
  <c r="R1833" i="1"/>
  <c r="M1833" i="1"/>
  <c r="L1833" i="1"/>
  <c r="N1833" i="1" s="1"/>
  <c r="K1833" i="1"/>
  <c r="R1832" i="1"/>
  <c r="M1832" i="1"/>
  <c r="N1832" i="1" s="1"/>
  <c r="L1832" i="1"/>
  <c r="K1832" i="1"/>
  <c r="R1831" i="1"/>
  <c r="N1831" i="1"/>
  <c r="M1831" i="1"/>
  <c r="L1831" i="1"/>
  <c r="K1831" i="1"/>
  <c r="R1830" i="1"/>
  <c r="M1830" i="1"/>
  <c r="L1830" i="1"/>
  <c r="N1830" i="1" s="1"/>
  <c r="K1830" i="1"/>
  <c r="R1829" i="1"/>
  <c r="M1829" i="1"/>
  <c r="L1829" i="1"/>
  <c r="N1829" i="1" s="1"/>
  <c r="K1829" i="1"/>
  <c r="R1828" i="1"/>
  <c r="M1828" i="1"/>
  <c r="N1828" i="1" s="1"/>
  <c r="L1828" i="1"/>
  <c r="K1828" i="1"/>
  <c r="R1827" i="1"/>
  <c r="N1827" i="1"/>
  <c r="M1827" i="1"/>
  <c r="L1827" i="1"/>
  <c r="K1827" i="1"/>
  <c r="R1826" i="1"/>
  <c r="M1826" i="1"/>
  <c r="L1826" i="1"/>
  <c r="N1826" i="1" s="1"/>
  <c r="K1826" i="1"/>
  <c r="R1825" i="1"/>
  <c r="M1825" i="1"/>
  <c r="L1825" i="1"/>
  <c r="N1825" i="1" s="1"/>
  <c r="K1825" i="1"/>
  <c r="R1824" i="1"/>
  <c r="M1824" i="1"/>
  <c r="N1824" i="1" s="1"/>
  <c r="L1824" i="1"/>
  <c r="K1824" i="1"/>
  <c r="R1823" i="1"/>
  <c r="N1823" i="1"/>
  <c r="M1823" i="1"/>
  <c r="L1823" i="1"/>
  <c r="K1823" i="1"/>
  <c r="R1822" i="1"/>
  <c r="M1822" i="1"/>
  <c r="L1822" i="1"/>
  <c r="N1822" i="1" s="1"/>
  <c r="K1822" i="1"/>
  <c r="R1821" i="1"/>
  <c r="M1821" i="1"/>
  <c r="L1821" i="1"/>
  <c r="N1821" i="1" s="1"/>
  <c r="K1821" i="1"/>
  <c r="R1820" i="1"/>
  <c r="M1820" i="1"/>
  <c r="N1820" i="1" s="1"/>
  <c r="L1820" i="1"/>
  <c r="K1820" i="1"/>
  <c r="R1819" i="1"/>
  <c r="N1819" i="1"/>
  <c r="M1819" i="1"/>
  <c r="L1819" i="1"/>
  <c r="K1819" i="1"/>
  <c r="R1818" i="1"/>
  <c r="M1818" i="1"/>
  <c r="L1818" i="1"/>
  <c r="N1818" i="1" s="1"/>
  <c r="K1818" i="1"/>
  <c r="R1817" i="1"/>
  <c r="M1817" i="1"/>
  <c r="L1817" i="1"/>
  <c r="N1817" i="1" s="1"/>
  <c r="K1817" i="1"/>
  <c r="R1816" i="1"/>
  <c r="M1816" i="1"/>
  <c r="N1816" i="1" s="1"/>
  <c r="L1816" i="1"/>
  <c r="K1816" i="1"/>
  <c r="R1815" i="1"/>
  <c r="M1815" i="1"/>
  <c r="L1815" i="1"/>
  <c r="K1815" i="1"/>
  <c r="R1814" i="1"/>
  <c r="N1814" i="1"/>
  <c r="M1814" i="1"/>
  <c r="L1814" i="1"/>
  <c r="K1814" i="1"/>
  <c r="R1813" i="1"/>
  <c r="M1813" i="1"/>
  <c r="L1813" i="1"/>
  <c r="K1813" i="1"/>
  <c r="R1812" i="1"/>
  <c r="M1812" i="1"/>
  <c r="L1812" i="1"/>
  <c r="N1812" i="1" s="1"/>
  <c r="K1812" i="1"/>
  <c r="R1811" i="1"/>
  <c r="M1811" i="1"/>
  <c r="L1811" i="1"/>
  <c r="N1811" i="1" s="1"/>
  <c r="K1811" i="1"/>
  <c r="R1810" i="1"/>
  <c r="M1810" i="1"/>
  <c r="L1810" i="1"/>
  <c r="N1810" i="1" s="1"/>
  <c r="K1810" i="1"/>
  <c r="R1809" i="1"/>
  <c r="M1809" i="1"/>
  <c r="L1809" i="1"/>
  <c r="N1809" i="1" s="1"/>
  <c r="K1809" i="1"/>
  <c r="R1808" i="1"/>
  <c r="M1808" i="1"/>
  <c r="L1808" i="1"/>
  <c r="K1808" i="1"/>
  <c r="R1807" i="1"/>
  <c r="M1807" i="1"/>
  <c r="L1807" i="1"/>
  <c r="N1807" i="1" s="1"/>
  <c r="K1807" i="1"/>
  <c r="R1806" i="1"/>
  <c r="M1806" i="1"/>
  <c r="N1806" i="1" s="1"/>
  <c r="L1806" i="1"/>
  <c r="K1806" i="1"/>
  <c r="R1805" i="1"/>
  <c r="M1805" i="1"/>
  <c r="L1805" i="1"/>
  <c r="K1805" i="1"/>
  <c r="R1804" i="1"/>
  <c r="M1804" i="1"/>
  <c r="N1804" i="1" s="1"/>
  <c r="L1804" i="1"/>
  <c r="K1804" i="1"/>
  <c r="R1803" i="1"/>
  <c r="M1803" i="1"/>
  <c r="L1803" i="1"/>
  <c r="K1803" i="1"/>
  <c r="R1802" i="1"/>
  <c r="N1802" i="1"/>
  <c r="M1802" i="1"/>
  <c r="L1802" i="1"/>
  <c r="K1802" i="1"/>
  <c r="R1801" i="1"/>
  <c r="M1801" i="1"/>
  <c r="L1801" i="1"/>
  <c r="K1801" i="1"/>
  <c r="R1800" i="1"/>
  <c r="M1800" i="1"/>
  <c r="N1800" i="1" s="1"/>
  <c r="L1800" i="1"/>
  <c r="K1800" i="1"/>
  <c r="R1799" i="1"/>
  <c r="M1799" i="1"/>
  <c r="L1799" i="1"/>
  <c r="K1799" i="1"/>
  <c r="R1798" i="1"/>
  <c r="M1798" i="1"/>
  <c r="L1798" i="1"/>
  <c r="N1798" i="1" s="1"/>
  <c r="K1798" i="1"/>
  <c r="R1797" i="1"/>
  <c r="M1797" i="1"/>
  <c r="L1797" i="1"/>
  <c r="N1797" i="1" s="1"/>
  <c r="K1797" i="1"/>
  <c r="R1796" i="1"/>
  <c r="M1796" i="1"/>
  <c r="L1796" i="1"/>
  <c r="N1796" i="1" s="1"/>
  <c r="K1796" i="1"/>
  <c r="R1795" i="1"/>
  <c r="M1795" i="1"/>
  <c r="L1795" i="1"/>
  <c r="N1795" i="1" s="1"/>
  <c r="K1795" i="1"/>
  <c r="R1794" i="1"/>
  <c r="M1794" i="1"/>
  <c r="N1794" i="1" s="1"/>
  <c r="L1794" i="1"/>
  <c r="K1794" i="1"/>
  <c r="R1793" i="1"/>
  <c r="M1793" i="1"/>
  <c r="L1793" i="1"/>
  <c r="K1793" i="1"/>
  <c r="R1792" i="1"/>
  <c r="M1792" i="1"/>
  <c r="N1792" i="1" s="1"/>
  <c r="L1792" i="1"/>
  <c r="K1792" i="1"/>
  <c r="R1791" i="1"/>
  <c r="M1791" i="1"/>
  <c r="L1791" i="1"/>
  <c r="K1791" i="1"/>
  <c r="R1790" i="1"/>
  <c r="N1790" i="1"/>
  <c r="M1790" i="1"/>
  <c r="L1790" i="1"/>
  <c r="K1790" i="1"/>
  <c r="R1789" i="1"/>
  <c r="M1789" i="1"/>
  <c r="L1789" i="1"/>
  <c r="K1789" i="1"/>
  <c r="R1788" i="1"/>
  <c r="M1788" i="1"/>
  <c r="N1788" i="1" s="1"/>
  <c r="L1788" i="1"/>
  <c r="K1788" i="1"/>
  <c r="R1787" i="1"/>
  <c r="M1787" i="1"/>
  <c r="L1787" i="1"/>
  <c r="K1787" i="1"/>
  <c r="R1786" i="1"/>
  <c r="M1786" i="1"/>
  <c r="L1786" i="1"/>
  <c r="N1786" i="1" s="1"/>
  <c r="K1786" i="1"/>
  <c r="R1785" i="1"/>
  <c r="M1785" i="1"/>
  <c r="L1785" i="1"/>
  <c r="N1785" i="1" s="1"/>
  <c r="K1785" i="1"/>
  <c r="R1784" i="1"/>
  <c r="M1784" i="1"/>
  <c r="L1784" i="1"/>
  <c r="K1784" i="1"/>
  <c r="R1783" i="1"/>
  <c r="M1783" i="1"/>
  <c r="L1783" i="1"/>
  <c r="N1783" i="1" s="1"/>
  <c r="K1783" i="1"/>
  <c r="R1782" i="1"/>
  <c r="M1782" i="1"/>
  <c r="L1782" i="1"/>
  <c r="N1782" i="1" s="1"/>
  <c r="K1782" i="1"/>
  <c r="R1781" i="1"/>
  <c r="M1781" i="1"/>
  <c r="L1781" i="1"/>
  <c r="N1781" i="1" s="1"/>
  <c r="K1781" i="1"/>
  <c r="R1780" i="1"/>
  <c r="M1780" i="1"/>
  <c r="L1780" i="1"/>
  <c r="K1780" i="1"/>
  <c r="R1779" i="1"/>
  <c r="M1779" i="1"/>
  <c r="L1779" i="1"/>
  <c r="K1779" i="1"/>
  <c r="R1778" i="1"/>
  <c r="M1778" i="1"/>
  <c r="L1778" i="1"/>
  <c r="N1778" i="1" s="1"/>
  <c r="K1778" i="1"/>
  <c r="R1777" i="1"/>
  <c r="M1777" i="1"/>
  <c r="L1777" i="1"/>
  <c r="N1777" i="1" s="1"/>
  <c r="K1777" i="1"/>
  <c r="R1776" i="1"/>
  <c r="M1776" i="1"/>
  <c r="N1776" i="1" s="1"/>
  <c r="L1776" i="1"/>
  <c r="K1776" i="1"/>
  <c r="R1775" i="1"/>
  <c r="N1775" i="1"/>
  <c r="M1775" i="1"/>
  <c r="L1775" i="1"/>
  <c r="K1775" i="1"/>
  <c r="R1774" i="1"/>
  <c r="M1774" i="1"/>
  <c r="L1774" i="1"/>
  <c r="K1774" i="1"/>
  <c r="R1773" i="1"/>
  <c r="M1773" i="1"/>
  <c r="L1773" i="1"/>
  <c r="K1773" i="1"/>
  <c r="R1772" i="1"/>
  <c r="M1772" i="1"/>
  <c r="L1772" i="1"/>
  <c r="N1772" i="1" s="1"/>
  <c r="K1772" i="1"/>
  <c r="R1771" i="1"/>
  <c r="M1771" i="1"/>
  <c r="L1771" i="1"/>
  <c r="K1771" i="1"/>
  <c r="R1770" i="1"/>
  <c r="M1770" i="1"/>
  <c r="L1770" i="1"/>
  <c r="N1770" i="1" s="1"/>
  <c r="K1770" i="1"/>
  <c r="R1769" i="1"/>
  <c r="M1769" i="1"/>
  <c r="L1769" i="1"/>
  <c r="N1769" i="1" s="1"/>
  <c r="K1769" i="1"/>
  <c r="R1768" i="1"/>
  <c r="M1768" i="1"/>
  <c r="L1768" i="1"/>
  <c r="N1768" i="1" s="1"/>
  <c r="K1768" i="1"/>
  <c r="R1767" i="1"/>
  <c r="M1767" i="1"/>
  <c r="N1767" i="1" s="1"/>
  <c r="L1767" i="1"/>
  <c r="K1767" i="1"/>
  <c r="R1766" i="1"/>
  <c r="M1766" i="1"/>
  <c r="L1766" i="1"/>
  <c r="K1766" i="1"/>
  <c r="R1765" i="1"/>
  <c r="N1765" i="1"/>
  <c r="M1765" i="1"/>
  <c r="L1765" i="1"/>
  <c r="K1765" i="1"/>
  <c r="R1764" i="1"/>
  <c r="M1764" i="1"/>
  <c r="N1764" i="1" s="1"/>
  <c r="L1764" i="1"/>
  <c r="K1764" i="1"/>
  <c r="R1763" i="1"/>
  <c r="M1763" i="1"/>
  <c r="L1763" i="1"/>
  <c r="K1763" i="1"/>
  <c r="R1762" i="1"/>
  <c r="M1762" i="1"/>
  <c r="L1762" i="1"/>
  <c r="K1762" i="1"/>
  <c r="R1761" i="1"/>
  <c r="M1761" i="1"/>
  <c r="L1761" i="1"/>
  <c r="N1761" i="1" s="1"/>
  <c r="K1761" i="1"/>
  <c r="R1760" i="1"/>
  <c r="M1760" i="1"/>
  <c r="L1760" i="1"/>
  <c r="N1760" i="1" s="1"/>
  <c r="K1760" i="1"/>
  <c r="R1759" i="1"/>
  <c r="M1759" i="1"/>
  <c r="L1759" i="1"/>
  <c r="N1759" i="1" s="1"/>
  <c r="K1759" i="1"/>
  <c r="R1758" i="1"/>
  <c r="M1758" i="1"/>
  <c r="L1758" i="1"/>
  <c r="N1758" i="1" s="1"/>
  <c r="K1758" i="1"/>
  <c r="R1757" i="1"/>
  <c r="M1757" i="1"/>
  <c r="N1757" i="1" s="1"/>
  <c r="L1757" i="1"/>
  <c r="K1757" i="1"/>
  <c r="R1756" i="1"/>
  <c r="M1756" i="1"/>
  <c r="N1756" i="1" s="1"/>
  <c r="L1756" i="1"/>
  <c r="K1756" i="1"/>
  <c r="R1755" i="1"/>
  <c r="M1755" i="1"/>
  <c r="L1755" i="1"/>
  <c r="K1755" i="1"/>
  <c r="R1754" i="1"/>
  <c r="M1754" i="1"/>
  <c r="L1754" i="1"/>
  <c r="K1754" i="1"/>
  <c r="R1753" i="1"/>
  <c r="M1753" i="1"/>
  <c r="L1753" i="1"/>
  <c r="K1753" i="1"/>
  <c r="R1752" i="1"/>
  <c r="N1752" i="1"/>
  <c r="M1752" i="1"/>
  <c r="L1752" i="1"/>
  <c r="K1752" i="1"/>
  <c r="R1751" i="1"/>
  <c r="M1751" i="1"/>
  <c r="L1751" i="1"/>
  <c r="N1751" i="1" s="1"/>
  <c r="K1751" i="1"/>
  <c r="R1750" i="1"/>
  <c r="M1750" i="1"/>
  <c r="L1750" i="1"/>
  <c r="N1750" i="1" s="1"/>
  <c r="K1750" i="1"/>
  <c r="R1749" i="1"/>
  <c r="M1749" i="1"/>
  <c r="L1749" i="1"/>
  <c r="N1749" i="1" s="1"/>
  <c r="K1749" i="1"/>
  <c r="R1748" i="1"/>
  <c r="M1748" i="1"/>
  <c r="L1748" i="1"/>
  <c r="K1748" i="1"/>
  <c r="R1747" i="1"/>
  <c r="M1747" i="1"/>
  <c r="L1747" i="1"/>
  <c r="K1747" i="1"/>
  <c r="R1746" i="1"/>
  <c r="M1746" i="1"/>
  <c r="L1746" i="1"/>
  <c r="N1746" i="1" s="1"/>
  <c r="K1746" i="1"/>
  <c r="R1745" i="1"/>
  <c r="M1745" i="1"/>
  <c r="L1745" i="1"/>
  <c r="N1745" i="1" s="1"/>
  <c r="K1745" i="1"/>
  <c r="R1744" i="1"/>
  <c r="M1744" i="1"/>
  <c r="L1744" i="1"/>
  <c r="N1744" i="1" s="1"/>
  <c r="K1744" i="1"/>
  <c r="R1743" i="1"/>
  <c r="M1743" i="1"/>
  <c r="N1743" i="1" s="1"/>
  <c r="L1743" i="1"/>
  <c r="K1743" i="1"/>
  <c r="R1742" i="1"/>
  <c r="M1742" i="1"/>
  <c r="L1742" i="1"/>
  <c r="K1742" i="1"/>
  <c r="R1741" i="1"/>
  <c r="N1741" i="1"/>
  <c r="M1741" i="1"/>
  <c r="L1741" i="1"/>
  <c r="K1741" i="1"/>
  <c r="R1740" i="1"/>
  <c r="M1740" i="1"/>
  <c r="L1740" i="1"/>
  <c r="K1740" i="1"/>
  <c r="R1739" i="1"/>
  <c r="M1739" i="1"/>
  <c r="L1739" i="1"/>
  <c r="K1739" i="1"/>
  <c r="R1738" i="1"/>
  <c r="M1738" i="1"/>
  <c r="L1738" i="1"/>
  <c r="K1738" i="1"/>
  <c r="R1737" i="1"/>
  <c r="M1737" i="1"/>
  <c r="L1737" i="1"/>
  <c r="N1737" i="1" s="1"/>
  <c r="K1737" i="1"/>
  <c r="R1736" i="1"/>
  <c r="M1736" i="1"/>
  <c r="L1736" i="1"/>
  <c r="N1736" i="1" s="1"/>
  <c r="K1736" i="1"/>
  <c r="R1735" i="1"/>
  <c r="M1735" i="1"/>
  <c r="L1735" i="1"/>
  <c r="N1735" i="1" s="1"/>
  <c r="K1735" i="1"/>
  <c r="R1734" i="1"/>
  <c r="M1734" i="1"/>
  <c r="L1734" i="1"/>
  <c r="K1734" i="1"/>
  <c r="R1733" i="1"/>
  <c r="M1733" i="1"/>
  <c r="L1733" i="1"/>
  <c r="N1733" i="1" s="1"/>
  <c r="K1733" i="1"/>
  <c r="R1732" i="1"/>
  <c r="M1732" i="1"/>
  <c r="L1732" i="1"/>
  <c r="K1732" i="1"/>
  <c r="R1731" i="1"/>
  <c r="M1731" i="1"/>
  <c r="L1731" i="1"/>
  <c r="N1731" i="1" s="1"/>
  <c r="K1731" i="1"/>
  <c r="R1730" i="1"/>
  <c r="M1730" i="1"/>
  <c r="L1730" i="1"/>
  <c r="N1730" i="1" s="1"/>
  <c r="K1730" i="1"/>
  <c r="R1729" i="1"/>
  <c r="M1729" i="1"/>
  <c r="L1729" i="1"/>
  <c r="N1729" i="1" s="1"/>
  <c r="K1729" i="1"/>
  <c r="R1728" i="1"/>
  <c r="M1728" i="1"/>
  <c r="N1728" i="1" s="1"/>
  <c r="L1728" i="1"/>
  <c r="K1728" i="1"/>
  <c r="R1727" i="1"/>
  <c r="N1727" i="1"/>
  <c r="M1727" i="1"/>
  <c r="L1727" i="1"/>
  <c r="K1727" i="1"/>
  <c r="R1726" i="1"/>
  <c r="M1726" i="1"/>
  <c r="L1726" i="1"/>
  <c r="N1726" i="1" s="1"/>
  <c r="K1726" i="1"/>
  <c r="R1725" i="1"/>
  <c r="M1725" i="1"/>
  <c r="L1725" i="1"/>
  <c r="N1725" i="1" s="1"/>
  <c r="K1725" i="1"/>
  <c r="R1724" i="1"/>
  <c r="M1724" i="1"/>
  <c r="L1724" i="1"/>
  <c r="N1724" i="1" s="1"/>
  <c r="K1724" i="1"/>
  <c r="R1723" i="1"/>
  <c r="M1723" i="1"/>
  <c r="L1723" i="1"/>
  <c r="K1723" i="1"/>
  <c r="R1722" i="1"/>
  <c r="M1722" i="1"/>
  <c r="L1722" i="1"/>
  <c r="N1722" i="1" s="1"/>
  <c r="K1722" i="1"/>
  <c r="R1721" i="1"/>
  <c r="M1721" i="1"/>
  <c r="L1721" i="1"/>
  <c r="N1721" i="1" s="1"/>
  <c r="K1721" i="1"/>
  <c r="R1720" i="1"/>
  <c r="M1720" i="1"/>
  <c r="N1720" i="1" s="1"/>
  <c r="L1720" i="1"/>
  <c r="K1720" i="1"/>
  <c r="R1719" i="1"/>
  <c r="N1719" i="1"/>
  <c r="M1719" i="1"/>
  <c r="L1719" i="1"/>
  <c r="K1719" i="1"/>
  <c r="R1718" i="1"/>
  <c r="M1718" i="1"/>
  <c r="N1718" i="1" s="1"/>
  <c r="L1718" i="1"/>
  <c r="K1718" i="1"/>
  <c r="R1717" i="1"/>
  <c r="M1717" i="1"/>
  <c r="L1717" i="1"/>
  <c r="N1717" i="1" s="1"/>
  <c r="K1717" i="1"/>
  <c r="R1716" i="1"/>
  <c r="M1716" i="1"/>
  <c r="L1716" i="1"/>
  <c r="N1716" i="1" s="1"/>
  <c r="K1716" i="1"/>
  <c r="R1715" i="1"/>
  <c r="M1715" i="1"/>
  <c r="L1715" i="1"/>
  <c r="N1715" i="1" s="1"/>
  <c r="K1715" i="1"/>
  <c r="R1714" i="1"/>
  <c r="M1714" i="1"/>
  <c r="L1714" i="1"/>
  <c r="N1714" i="1" s="1"/>
  <c r="K1714" i="1"/>
  <c r="R1713" i="1"/>
  <c r="M1713" i="1"/>
  <c r="L1713" i="1"/>
  <c r="N1713" i="1" s="1"/>
  <c r="K1713" i="1"/>
  <c r="R1712" i="1"/>
  <c r="M1712" i="1"/>
  <c r="N1712" i="1" s="1"/>
  <c r="L1712" i="1"/>
  <c r="K1712" i="1"/>
  <c r="R1711" i="1"/>
  <c r="M1711" i="1"/>
  <c r="N1711" i="1" s="1"/>
  <c r="L1711" i="1"/>
  <c r="K1711" i="1"/>
  <c r="R1710" i="1"/>
  <c r="M1710" i="1"/>
  <c r="L1710" i="1"/>
  <c r="K1710" i="1"/>
  <c r="R1709" i="1"/>
  <c r="M1709" i="1"/>
  <c r="L1709" i="1"/>
  <c r="K1709" i="1"/>
  <c r="R1708" i="1"/>
  <c r="N1708" i="1"/>
  <c r="M1708" i="1"/>
  <c r="L1708" i="1"/>
  <c r="K1708" i="1"/>
  <c r="R1707" i="1"/>
  <c r="M1707" i="1"/>
  <c r="L1707" i="1"/>
  <c r="K1707" i="1"/>
  <c r="R1706" i="1"/>
  <c r="M1706" i="1"/>
  <c r="L1706" i="1"/>
  <c r="K1706" i="1"/>
  <c r="R1705" i="1"/>
  <c r="M1705" i="1"/>
  <c r="L1705" i="1"/>
  <c r="K1705" i="1"/>
  <c r="R1704" i="1"/>
  <c r="M1704" i="1"/>
  <c r="L1704" i="1"/>
  <c r="N1704" i="1" s="1"/>
  <c r="K1704" i="1"/>
  <c r="R1703" i="1"/>
  <c r="M1703" i="1"/>
  <c r="L1703" i="1"/>
  <c r="K1703" i="1"/>
  <c r="R1702" i="1"/>
  <c r="M1702" i="1"/>
  <c r="L1702" i="1"/>
  <c r="N1702" i="1" s="1"/>
  <c r="K1702" i="1"/>
  <c r="R1701" i="1"/>
  <c r="M1701" i="1"/>
  <c r="L1701" i="1"/>
  <c r="N1701" i="1" s="1"/>
  <c r="K1701" i="1"/>
  <c r="R1700" i="1"/>
  <c r="M1700" i="1"/>
  <c r="L1700" i="1"/>
  <c r="N1700" i="1" s="1"/>
  <c r="K1700" i="1"/>
  <c r="R1699" i="1"/>
  <c r="M1699" i="1"/>
  <c r="L1699" i="1"/>
  <c r="N1699" i="1" s="1"/>
  <c r="K1699" i="1"/>
  <c r="R1698" i="1"/>
  <c r="M1698" i="1"/>
  <c r="L1698" i="1"/>
  <c r="N1698" i="1" s="1"/>
  <c r="K1698" i="1"/>
  <c r="R1697" i="1"/>
  <c r="M1697" i="1"/>
  <c r="N1697" i="1" s="1"/>
  <c r="L1697" i="1"/>
  <c r="K1697" i="1"/>
  <c r="R1696" i="1"/>
  <c r="M1696" i="1"/>
  <c r="L1696" i="1"/>
  <c r="K1696" i="1"/>
  <c r="R1695" i="1"/>
  <c r="N1695" i="1"/>
  <c r="M1695" i="1"/>
  <c r="L1695" i="1"/>
  <c r="K1695" i="1"/>
  <c r="R1694" i="1"/>
  <c r="M1694" i="1"/>
  <c r="N1694" i="1" s="1"/>
  <c r="L1694" i="1"/>
  <c r="K1694" i="1"/>
  <c r="R1693" i="1"/>
  <c r="M1693" i="1"/>
  <c r="L1693" i="1"/>
  <c r="N1693" i="1" s="1"/>
  <c r="K1693" i="1"/>
  <c r="R1692" i="1"/>
  <c r="M1692" i="1"/>
  <c r="L1692" i="1"/>
  <c r="N1692" i="1" s="1"/>
  <c r="K1692" i="1"/>
  <c r="R1691" i="1"/>
  <c r="M1691" i="1"/>
  <c r="L1691" i="1"/>
  <c r="N1691" i="1" s="1"/>
  <c r="K1691" i="1"/>
  <c r="R1690" i="1"/>
  <c r="M1690" i="1"/>
  <c r="L1690" i="1"/>
  <c r="N1690" i="1" s="1"/>
  <c r="K1690" i="1"/>
  <c r="R1689" i="1"/>
  <c r="M1689" i="1"/>
  <c r="N1689" i="1" s="1"/>
  <c r="L1689" i="1"/>
  <c r="K1689" i="1"/>
  <c r="R1688" i="1"/>
  <c r="M1688" i="1"/>
  <c r="L1688" i="1"/>
  <c r="K1688" i="1"/>
  <c r="R1687" i="1"/>
  <c r="N1687" i="1"/>
  <c r="M1687" i="1"/>
  <c r="L1687" i="1"/>
  <c r="K1687" i="1"/>
  <c r="R1686" i="1"/>
  <c r="M1686" i="1"/>
  <c r="L1686" i="1"/>
  <c r="N1686" i="1" s="1"/>
  <c r="K1686" i="1"/>
  <c r="R1685" i="1"/>
  <c r="M1685" i="1"/>
  <c r="L1685" i="1"/>
  <c r="N1685" i="1" s="1"/>
  <c r="K1685" i="1"/>
  <c r="R1684" i="1"/>
  <c r="M1684" i="1"/>
  <c r="L1684" i="1"/>
  <c r="N1684" i="1" s="1"/>
  <c r="K1684" i="1"/>
  <c r="R1683" i="1"/>
  <c r="M1683" i="1"/>
  <c r="L1683" i="1"/>
  <c r="N1683" i="1" s="1"/>
  <c r="K1683" i="1"/>
  <c r="R1682" i="1"/>
  <c r="M1682" i="1"/>
  <c r="L1682" i="1"/>
  <c r="N1682" i="1" s="1"/>
  <c r="K1682" i="1"/>
  <c r="R1681" i="1"/>
  <c r="M1681" i="1"/>
  <c r="L1681" i="1"/>
  <c r="K1681" i="1"/>
  <c r="R1680" i="1"/>
  <c r="M1680" i="1"/>
  <c r="L1680" i="1"/>
  <c r="N1680" i="1" s="1"/>
  <c r="K1680" i="1"/>
  <c r="R1679" i="1"/>
  <c r="M1679" i="1"/>
  <c r="N1679" i="1" s="1"/>
  <c r="L1679" i="1"/>
  <c r="K1679" i="1"/>
  <c r="R1678" i="1"/>
  <c r="M1678" i="1"/>
  <c r="N1678" i="1" s="1"/>
  <c r="L1678" i="1"/>
  <c r="K1678" i="1"/>
  <c r="R1677" i="1"/>
  <c r="M1677" i="1"/>
  <c r="L1677" i="1"/>
  <c r="K1677" i="1"/>
  <c r="R1676" i="1"/>
  <c r="M1676" i="1"/>
  <c r="L1676" i="1"/>
  <c r="K1676" i="1"/>
  <c r="R1675" i="1"/>
  <c r="M1675" i="1"/>
  <c r="L1675" i="1"/>
  <c r="K1675" i="1"/>
  <c r="R1674" i="1"/>
  <c r="M1674" i="1"/>
  <c r="L1674" i="1"/>
  <c r="K1674" i="1"/>
  <c r="R1673" i="1"/>
  <c r="M1673" i="1"/>
  <c r="L1673" i="1"/>
  <c r="K1673" i="1"/>
  <c r="R1672" i="1"/>
  <c r="N1672" i="1"/>
  <c r="M1672" i="1"/>
  <c r="L1672" i="1"/>
  <c r="K1672" i="1"/>
  <c r="R1671" i="1"/>
  <c r="M1671" i="1"/>
  <c r="N1671" i="1" s="1"/>
  <c r="L1671" i="1"/>
  <c r="K1671" i="1"/>
  <c r="R1670" i="1"/>
  <c r="M1670" i="1"/>
  <c r="L1670" i="1"/>
  <c r="K1670" i="1"/>
  <c r="R1669" i="1"/>
  <c r="M1669" i="1"/>
  <c r="L1669" i="1"/>
  <c r="N1669" i="1" s="1"/>
  <c r="K1669" i="1"/>
  <c r="R1668" i="1"/>
  <c r="M1668" i="1"/>
  <c r="L1668" i="1"/>
  <c r="N1668" i="1" s="1"/>
  <c r="K1668" i="1"/>
  <c r="R1667" i="1"/>
  <c r="M1667" i="1"/>
  <c r="L1667" i="1"/>
  <c r="N1667" i="1" s="1"/>
  <c r="K1667" i="1"/>
  <c r="R1666" i="1"/>
  <c r="M1666" i="1"/>
  <c r="L1666" i="1"/>
  <c r="N1666" i="1" s="1"/>
  <c r="K1666" i="1"/>
  <c r="R1665" i="1"/>
  <c r="M1665" i="1"/>
  <c r="L1665" i="1"/>
  <c r="N1665" i="1" s="1"/>
  <c r="K1665" i="1"/>
  <c r="R1664" i="1"/>
  <c r="M1664" i="1"/>
  <c r="L1664" i="1"/>
  <c r="N1664" i="1" s="1"/>
  <c r="K1664" i="1"/>
  <c r="R1663" i="1"/>
  <c r="M1663" i="1"/>
  <c r="L1663" i="1"/>
  <c r="K1663" i="1"/>
  <c r="R1662" i="1"/>
  <c r="M1662" i="1"/>
  <c r="N1662" i="1" s="1"/>
  <c r="L1662" i="1"/>
  <c r="K1662" i="1"/>
  <c r="R1661" i="1"/>
  <c r="M1661" i="1"/>
  <c r="L1661" i="1"/>
  <c r="K1661" i="1"/>
  <c r="R1660" i="1"/>
  <c r="N1660" i="1"/>
  <c r="M1660" i="1"/>
  <c r="L1660" i="1"/>
  <c r="K1660" i="1"/>
  <c r="R1659" i="1"/>
  <c r="M1659" i="1"/>
  <c r="L1659" i="1"/>
  <c r="N1659" i="1" s="1"/>
  <c r="K1659" i="1"/>
  <c r="R1658" i="1"/>
  <c r="M1658" i="1"/>
  <c r="L1658" i="1"/>
  <c r="K1658" i="1"/>
  <c r="R1657" i="1"/>
  <c r="M1657" i="1"/>
  <c r="L1657" i="1"/>
  <c r="N1657" i="1" s="1"/>
  <c r="K1657" i="1"/>
  <c r="R1656" i="1"/>
  <c r="M1656" i="1"/>
  <c r="L1656" i="1"/>
  <c r="N1656" i="1" s="1"/>
  <c r="K1656" i="1"/>
  <c r="R1655" i="1"/>
  <c r="M1655" i="1"/>
  <c r="L1655" i="1"/>
  <c r="K1655" i="1"/>
  <c r="R1654" i="1"/>
  <c r="M1654" i="1"/>
  <c r="L1654" i="1"/>
  <c r="N1654" i="1" s="1"/>
  <c r="K1654" i="1"/>
  <c r="R1653" i="1"/>
  <c r="M1653" i="1"/>
  <c r="L1653" i="1"/>
  <c r="K1653" i="1"/>
  <c r="R1652" i="1"/>
  <c r="M1652" i="1"/>
  <c r="L1652" i="1"/>
  <c r="K1652" i="1"/>
  <c r="R1651" i="1"/>
  <c r="M1651" i="1"/>
  <c r="N1651" i="1" s="1"/>
  <c r="L1651" i="1"/>
  <c r="K1651" i="1"/>
  <c r="R1650" i="1"/>
  <c r="M1650" i="1"/>
  <c r="L1650" i="1"/>
  <c r="K1650" i="1"/>
  <c r="R1649" i="1"/>
  <c r="M1649" i="1"/>
  <c r="L1649" i="1"/>
  <c r="K1649" i="1"/>
  <c r="R1648" i="1"/>
  <c r="N1648" i="1"/>
  <c r="M1648" i="1"/>
  <c r="L1648" i="1"/>
  <c r="K1648" i="1"/>
  <c r="R1647" i="1"/>
  <c r="M1647" i="1"/>
  <c r="L1647" i="1"/>
  <c r="N1647" i="1" s="1"/>
  <c r="K1647" i="1"/>
  <c r="R1646" i="1"/>
  <c r="M1646" i="1"/>
  <c r="L1646" i="1"/>
  <c r="K1646" i="1"/>
  <c r="R1645" i="1"/>
  <c r="M1645" i="1"/>
  <c r="L1645" i="1"/>
  <c r="K1645" i="1"/>
  <c r="R1644" i="1"/>
  <c r="M1644" i="1"/>
  <c r="L1644" i="1"/>
  <c r="N1644" i="1" s="1"/>
  <c r="K1644" i="1"/>
  <c r="R1643" i="1"/>
  <c r="M1643" i="1"/>
  <c r="L1643" i="1"/>
  <c r="N1643" i="1" s="1"/>
  <c r="K1643" i="1"/>
  <c r="R1642" i="1"/>
  <c r="M1642" i="1"/>
  <c r="L1642" i="1"/>
  <c r="K1642" i="1"/>
  <c r="R1641" i="1"/>
  <c r="M1641" i="1"/>
  <c r="L1641" i="1"/>
  <c r="N1641" i="1" s="1"/>
  <c r="K1641" i="1"/>
  <c r="R1640" i="1"/>
  <c r="M1640" i="1"/>
  <c r="L1640" i="1"/>
  <c r="N1640" i="1" s="1"/>
  <c r="K1640" i="1"/>
  <c r="R1639" i="1"/>
  <c r="M1639" i="1"/>
  <c r="L1639" i="1"/>
  <c r="K1639" i="1"/>
  <c r="R1638" i="1"/>
  <c r="M1638" i="1"/>
  <c r="L1638" i="1"/>
  <c r="N1638" i="1" s="1"/>
  <c r="K1638" i="1"/>
  <c r="R1637" i="1"/>
  <c r="M1637" i="1"/>
  <c r="N1637" i="1" s="1"/>
  <c r="L1637" i="1"/>
  <c r="K1637" i="1"/>
  <c r="R1636" i="1"/>
  <c r="M1636" i="1"/>
  <c r="N1636" i="1" s="1"/>
  <c r="L1636" i="1"/>
  <c r="K1636" i="1"/>
  <c r="R1635" i="1"/>
  <c r="M1635" i="1"/>
  <c r="L1635" i="1"/>
  <c r="K1635" i="1"/>
  <c r="R1634" i="1"/>
  <c r="M1634" i="1"/>
  <c r="L1634" i="1"/>
  <c r="K1634" i="1"/>
  <c r="R1633" i="1"/>
  <c r="M1633" i="1"/>
  <c r="L1633" i="1"/>
  <c r="K1633" i="1"/>
  <c r="R1632" i="1"/>
  <c r="N1632" i="1"/>
  <c r="M1632" i="1"/>
  <c r="L1632" i="1"/>
  <c r="K1632" i="1"/>
  <c r="R1631" i="1"/>
  <c r="M1631" i="1"/>
  <c r="N1631" i="1" s="1"/>
  <c r="L1631" i="1"/>
  <c r="K1631" i="1"/>
  <c r="R1630" i="1"/>
  <c r="M1630" i="1"/>
  <c r="L1630" i="1"/>
  <c r="N1630" i="1" s="1"/>
  <c r="K1630" i="1"/>
  <c r="R1629" i="1"/>
  <c r="M1629" i="1"/>
  <c r="L1629" i="1"/>
  <c r="K1629" i="1"/>
  <c r="R1628" i="1"/>
  <c r="M1628" i="1"/>
  <c r="L1628" i="1"/>
  <c r="N1628" i="1" s="1"/>
  <c r="K1628" i="1"/>
  <c r="R1627" i="1"/>
  <c r="M1627" i="1"/>
  <c r="L1627" i="1"/>
  <c r="K1627" i="1"/>
  <c r="R1626" i="1"/>
  <c r="M1626" i="1"/>
  <c r="L1626" i="1"/>
  <c r="K1626" i="1"/>
  <c r="R1625" i="1"/>
  <c r="M1625" i="1"/>
  <c r="L1625" i="1"/>
  <c r="N1625" i="1" s="1"/>
  <c r="K1625" i="1"/>
  <c r="R1624" i="1"/>
  <c r="M1624" i="1"/>
  <c r="N1624" i="1" s="1"/>
  <c r="L1624" i="1"/>
  <c r="K1624" i="1"/>
  <c r="R1623" i="1"/>
  <c r="N1623" i="1"/>
  <c r="M1623" i="1"/>
  <c r="L1623" i="1"/>
  <c r="K1623" i="1"/>
  <c r="R1622" i="1"/>
  <c r="M1622" i="1"/>
  <c r="L1622" i="1"/>
  <c r="K1622" i="1"/>
  <c r="R1621" i="1"/>
  <c r="M1621" i="1"/>
  <c r="L1621" i="1"/>
  <c r="K1621" i="1"/>
  <c r="R1620" i="1"/>
  <c r="M1620" i="1"/>
  <c r="L1620" i="1"/>
  <c r="K1620" i="1"/>
  <c r="R1619" i="1"/>
  <c r="M1619" i="1"/>
  <c r="L1619" i="1"/>
  <c r="N1619" i="1" s="1"/>
  <c r="K1619" i="1"/>
  <c r="R1618" i="1"/>
  <c r="M1618" i="1"/>
  <c r="L1618" i="1"/>
  <c r="N1618" i="1" s="1"/>
  <c r="K1618" i="1"/>
  <c r="R1617" i="1"/>
  <c r="M1617" i="1"/>
  <c r="L1617" i="1"/>
  <c r="N1617" i="1" s="1"/>
  <c r="K1617" i="1"/>
  <c r="R1616" i="1"/>
  <c r="M1616" i="1"/>
  <c r="L1616" i="1"/>
  <c r="N1616" i="1" s="1"/>
  <c r="K1616" i="1"/>
  <c r="R1615" i="1"/>
  <c r="M1615" i="1"/>
  <c r="N1615" i="1" s="1"/>
  <c r="L1615" i="1"/>
  <c r="K1615" i="1"/>
  <c r="R1614" i="1"/>
  <c r="M1614" i="1"/>
  <c r="N1614" i="1" s="1"/>
  <c r="L1614" i="1"/>
  <c r="K1614" i="1"/>
  <c r="R1613" i="1"/>
  <c r="M1613" i="1"/>
  <c r="N1613" i="1" s="1"/>
  <c r="L1613" i="1"/>
  <c r="K1613" i="1"/>
  <c r="R1612" i="1"/>
  <c r="M1612" i="1"/>
  <c r="L1612" i="1"/>
  <c r="K1612" i="1"/>
  <c r="R1611" i="1"/>
  <c r="M1611" i="1"/>
  <c r="L1611" i="1"/>
  <c r="K1611" i="1"/>
  <c r="R1610" i="1"/>
  <c r="M1610" i="1"/>
  <c r="L1610" i="1"/>
  <c r="K1610" i="1"/>
  <c r="R1609" i="1"/>
  <c r="M1609" i="1"/>
  <c r="L1609" i="1"/>
  <c r="K1609" i="1"/>
  <c r="R1608" i="1"/>
  <c r="N1608" i="1"/>
  <c r="M1608" i="1"/>
  <c r="L1608" i="1"/>
  <c r="K1608" i="1"/>
  <c r="R1607" i="1"/>
  <c r="M1607" i="1"/>
  <c r="N1607" i="1" s="1"/>
  <c r="L1607" i="1"/>
  <c r="K1607" i="1"/>
  <c r="R1606" i="1"/>
  <c r="M1606" i="1"/>
  <c r="L1606" i="1"/>
  <c r="K1606" i="1"/>
  <c r="R1605" i="1"/>
  <c r="M1605" i="1"/>
  <c r="L1605" i="1"/>
  <c r="N1605" i="1" s="1"/>
  <c r="K1605" i="1"/>
  <c r="R1604" i="1"/>
  <c r="M1604" i="1"/>
  <c r="L1604" i="1"/>
  <c r="K1604" i="1"/>
  <c r="R1603" i="1"/>
  <c r="M1603" i="1"/>
  <c r="L1603" i="1"/>
  <c r="N1603" i="1" s="1"/>
  <c r="K1603" i="1"/>
  <c r="R1602" i="1"/>
  <c r="M1602" i="1"/>
  <c r="L1602" i="1"/>
  <c r="N1602" i="1" s="1"/>
  <c r="K1602" i="1"/>
  <c r="R1601" i="1"/>
  <c r="M1601" i="1"/>
  <c r="L1601" i="1"/>
  <c r="N1601" i="1" s="1"/>
  <c r="K1601" i="1"/>
  <c r="R1600" i="1"/>
  <c r="M1600" i="1"/>
  <c r="L1600" i="1"/>
  <c r="N1600" i="1" s="1"/>
  <c r="K1600" i="1"/>
  <c r="R1599" i="1"/>
  <c r="M1599" i="1"/>
  <c r="L1599" i="1"/>
  <c r="K1599" i="1"/>
  <c r="R1598" i="1"/>
  <c r="M1598" i="1"/>
  <c r="N1598" i="1" s="1"/>
  <c r="L1598" i="1"/>
  <c r="K1598" i="1"/>
  <c r="R1597" i="1"/>
  <c r="M1597" i="1"/>
  <c r="L1597" i="1"/>
  <c r="K1597" i="1"/>
  <c r="R1596" i="1"/>
  <c r="N1596" i="1"/>
  <c r="M1596" i="1"/>
  <c r="L1596" i="1"/>
  <c r="K1596" i="1"/>
  <c r="R1595" i="1"/>
  <c r="M1595" i="1"/>
  <c r="N1595" i="1" s="1"/>
  <c r="L1595" i="1"/>
  <c r="K1595" i="1"/>
  <c r="R1594" i="1"/>
  <c r="M1594" i="1"/>
  <c r="L1594" i="1"/>
  <c r="K1594" i="1"/>
  <c r="R1593" i="1"/>
  <c r="M1593" i="1"/>
  <c r="L1593" i="1"/>
  <c r="K1593" i="1"/>
  <c r="R1592" i="1"/>
  <c r="M1592" i="1"/>
  <c r="L1592" i="1"/>
  <c r="N1592" i="1" s="1"/>
  <c r="K1592" i="1"/>
  <c r="R1591" i="1"/>
  <c r="M1591" i="1"/>
  <c r="L1591" i="1"/>
  <c r="N1591" i="1" s="1"/>
  <c r="K1591" i="1"/>
  <c r="R1590" i="1"/>
  <c r="M1590" i="1"/>
  <c r="L1590" i="1"/>
  <c r="N1590" i="1" s="1"/>
  <c r="K1590" i="1"/>
  <c r="R1589" i="1"/>
  <c r="M1589" i="1"/>
  <c r="L1589" i="1"/>
  <c r="K1589" i="1"/>
  <c r="R1588" i="1"/>
  <c r="M1588" i="1"/>
  <c r="L1588" i="1"/>
  <c r="K1588" i="1"/>
  <c r="R1587" i="1"/>
  <c r="M1587" i="1"/>
  <c r="N1587" i="1" s="1"/>
  <c r="L1587" i="1"/>
  <c r="K1587" i="1"/>
  <c r="R1586" i="1"/>
  <c r="M1586" i="1"/>
  <c r="L1586" i="1"/>
  <c r="K1586" i="1"/>
  <c r="R1585" i="1"/>
  <c r="M1585" i="1"/>
  <c r="L1585" i="1"/>
  <c r="K1585" i="1"/>
  <c r="R1584" i="1"/>
  <c r="N1584" i="1"/>
  <c r="M1584" i="1"/>
  <c r="L1584" i="1"/>
  <c r="K1584" i="1"/>
  <c r="R1583" i="1"/>
  <c r="M1583" i="1"/>
  <c r="L1583" i="1"/>
  <c r="N1583" i="1" s="1"/>
  <c r="K1583" i="1"/>
  <c r="R1582" i="1"/>
  <c r="M1582" i="1"/>
  <c r="L1582" i="1"/>
  <c r="N1582" i="1" s="1"/>
  <c r="K1582" i="1"/>
  <c r="R1581" i="1"/>
  <c r="M1581" i="1"/>
  <c r="L1581" i="1"/>
  <c r="K1581" i="1"/>
  <c r="R1580" i="1"/>
  <c r="M1580" i="1"/>
  <c r="L1580" i="1"/>
  <c r="N1580" i="1" s="1"/>
  <c r="K1580" i="1"/>
  <c r="R1579" i="1"/>
  <c r="M1579" i="1"/>
  <c r="L1579" i="1"/>
  <c r="N1579" i="1" s="1"/>
  <c r="K1579" i="1"/>
  <c r="R1578" i="1"/>
  <c r="M1578" i="1"/>
  <c r="L1578" i="1"/>
  <c r="K1578" i="1"/>
  <c r="R1577" i="1"/>
  <c r="M1577" i="1"/>
  <c r="L1577" i="1"/>
  <c r="N1577" i="1" s="1"/>
  <c r="K1577" i="1"/>
  <c r="R1576" i="1"/>
  <c r="M1576" i="1"/>
  <c r="L1576" i="1"/>
  <c r="K1576" i="1"/>
  <c r="R1575" i="1"/>
  <c r="M1575" i="1"/>
  <c r="L1575" i="1"/>
  <c r="N1575" i="1" s="1"/>
  <c r="K1575" i="1"/>
  <c r="R1574" i="1"/>
  <c r="M1574" i="1"/>
  <c r="L1574" i="1"/>
  <c r="N1574" i="1" s="1"/>
  <c r="K1574" i="1"/>
  <c r="R1573" i="1"/>
  <c r="M1573" i="1"/>
  <c r="L1573" i="1"/>
  <c r="K1573" i="1"/>
  <c r="R1572" i="1"/>
  <c r="M1572" i="1"/>
  <c r="L1572" i="1"/>
  <c r="K1572" i="1"/>
  <c r="R1571" i="1"/>
  <c r="M1571" i="1"/>
  <c r="L1571" i="1"/>
  <c r="N1571" i="1" s="1"/>
  <c r="K1571" i="1"/>
  <c r="R1570" i="1"/>
  <c r="M1570" i="1"/>
  <c r="L1570" i="1"/>
  <c r="K1570" i="1"/>
  <c r="R1569" i="1"/>
  <c r="M1569" i="1"/>
  <c r="L1569" i="1"/>
  <c r="N1569" i="1" s="1"/>
  <c r="K1569" i="1"/>
  <c r="R1568" i="1"/>
  <c r="M1568" i="1"/>
  <c r="L1568" i="1"/>
  <c r="N1568" i="1" s="1"/>
  <c r="K1568" i="1"/>
  <c r="R1567" i="1"/>
  <c r="M1567" i="1"/>
  <c r="L1567" i="1"/>
  <c r="K1567" i="1"/>
  <c r="R1566" i="1"/>
  <c r="M1566" i="1"/>
  <c r="L1566" i="1"/>
  <c r="N1566" i="1" s="1"/>
  <c r="K1566" i="1"/>
  <c r="R1565" i="1"/>
  <c r="M1565" i="1"/>
  <c r="L1565" i="1"/>
  <c r="K1565" i="1"/>
  <c r="R1564" i="1"/>
  <c r="M1564" i="1"/>
  <c r="L1564" i="1"/>
  <c r="N1564" i="1" s="1"/>
  <c r="K1564" i="1"/>
  <c r="R1563" i="1"/>
  <c r="M1563" i="1"/>
  <c r="N1563" i="1" s="1"/>
  <c r="L1563" i="1"/>
  <c r="K1563" i="1"/>
  <c r="R1562" i="1"/>
  <c r="M1562" i="1"/>
  <c r="N1562" i="1" s="1"/>
  <c r="L1562" i="1"/>
  <c r="K1562" i="1"/>
  <c r="R1561" i="1"/>
  <c r="M1561" i="1"/>
  <c r="L1561" i="1"/>
  <c r="K1561" i="1"/>
  <c r="R1560" i="1"/>
  <c r="M1560" i="1"/>
  <c r="N1560" i="1" s="1"/>
  <c r="L1560" i="1"/>
  <c r="K1560" i="1"/>
  <c r="R1559" i="1"/>
  <c r="M1559" i="1"/>
  <c r="L1559" i="1"/>
  <c r="K1559" i="1"/>
  <c r="R1558" i="1"/>
  <c r="M1558" i="1"/>
  <c r="L1558" i="1"/>
  <c r="K1558" i="1"/>
  <c r="R1557" i="1"/>
  <c r="M1557" i="1"/>
  <c r="L1557" i="1"/>
  <c r="K1557" i="1"/>
  <c r="R1556" i="1"/>
  <c r="M1556" i="1"/>
  <c r="L1556" i="1"/>
  <c r="K1556" i="1"/>
  <c r="R1555" i="1"/>
  <c r="N1555" i="1"/>
  <c r="M1555" i="1"/>
  <c r="L1555" i="1"/>
  <c r="K1555" i="1"/>
  <c r="R1554" i="1"/>
  <c r="M1554" i="1"/>
  <c r="L1554" i="1"/>
  <c r="N1554" i="1" s="1"/>
  <c r="K1554" i="1"/>
  <c r="R1553" i="1"/>
  <c r="M1553" i="1"/>
  <c r="L1553" i="1"/>
  <c r="K1553" i="1"/>
  <c r="R1552" i="1"/>
  <c r="M1552" i="1"/>
  <c r="L1552" i="1"/>
  <c r="N1552" i="1" s="1"/>
  <c r="K1552" i="1"/>
  <c r="R1551" i="1"/>
  <c r="M1551" i="1"/>
  <c r="L1551" i="1"/>
  <c r="K1551" i="1"/>
  <c r="R1550" i="1"/>
  <c r="M1550" i="1"/>
  <c r="N1550" i="1" s="1"/>
  <c r="L1550" i="1"/>
  <c r="K1550" i="1"/>
  <c r="R1549" i="1"/>
  <c r="N1549" i="1"/>
  <c r="M1549" i="1"/>
  <c r="L1549" i="1"/>
  <c r="K1549" i="1"/>
  <c r="R1548" i="1"/>
  <c r="M1548" i="1"/>
  <c r="N1548" i="1" s="1"/>
  <c r="L1548" i="1"/>
  <c r="K1548" i="1"/>
  <c r="R1547" i="1"/>
  <c r="M1547" i="1"/>
  <c r="N1547" i="1" s="1"/>
  <c r="L1547" i="1"/>
  <c r="K1547" i="1"/>
  <c r="R1546" i="1"/>
  <c r="M1546" i="1"/>
  <c r="L1546" i="1"/>
  <c r="N1546" i="1" s="1"/>
  <c r="K1546" i="1"/>
  <c r="R1545" i="1"/>
  <c r="M1545" i="1"/>
  <c r="L1545" i="1"/>
  <c r="K1545" i="1"/>
  <c r="R1544" i="1"/>
  <c r="M1544" i="1"/>
  <c r="L1544" i="1"/>
  <c r="N1544" i="1" s="1"/>
  <c r="K1544" i="1"/>
  <c r="R1543" i="1"/>
  <c r="M1543" i="1"/>
  <c r="L1543" i="1"/>
  <c r="K1543" i="1"/>
  <c r="R1542" i="1"/>
  <c r="M1542" i="1"/>
  <c r="N1542" i="1" s="1"/>
  <c r="L1542" i="1"/>
  <c r="K1542" i="1"/>
  <c r="R1541" i="1"/>
  <c r="N1541" i="1"/>
  <c r="M1541" i="1"/>
  <c r="L1541" i="1"/>
  <c r="K1541" i="1"/>
  <c r="R1540" i="1"/>
  <c r="M1540" i="1"/>
  <c r="L1540" i="1"/>
  <c r="N1540" i="1" s="1"/>
  <c r="K1540" i="1"/>
  <c r="R1539" i="1"/>
  <c r="M1539" i="1"/>
  <c r="L1539" i="1"/>
  <c r="K1539" i="1"/>
  <c r="R1538" i="1"/>
  <c r="M1538" i="1"/>
  <c r="L1538" i="1"/>
  <c r="N1538" i="1" s="1"/>
  <c r="K1538" i="1"/>
  <c r="R1537" i="1"/>
  <c r="M1537" i="1"/>
  <c r="L1537" i="1"/>
  <c r="K1537" i="1"/>
  <c r="R1536" i="1"/>
  <c r="M1536" i="1"/>
  <c r="N1536" i="1" s="1"/>
  <c r="L1536" i="1"/>
  <c r="K1536" i="1"/>
  <c r="R1535" i="1"/>
  <c r="M1535" i="1"/>
  <c r="N1535" i="1" s="1"/>
  <c r="L1535" i="1"/>
  <c r="K1535" i="1"/>
  <c r="R1534" i="1"/>
  <c r="N1534" i="1"/>
  <c r="M1534" i="1"/>
  <c r="L1534" i="1"/>
  <c r="K1534" i="1"/>
  <c r="R1533" i="1"/>
  <c r="M1533" i="1"/>
  <c r="L1533" i="1"/>
  <c r="N1533" i="1" s="1"/>
  <c r="K1533" i="1"/>
  <c r="R1532" i="1"/>
  <c r="M1532" i="1"/>
  <c r="L1532" i="1"/>
  <c r="N1532" i="1" s="1"/>
  <c r="K1532" i="1"/>
  <c r="R1531" i="1"/>
  <c r="M1531" i="1"/>
  <c r="L1531" i="1"/>
  <c r="K1531" i="1"/>
  <c r="R1530" i="1"/>
  <c r="M1530" i="1"/>
  <c r="N1530" i="1" s="1"/>
  <c r="L1530" i="1"/>
  <c r="K1530" i="1"/>
  <c r="R1529" i="1"/>
  <c r="M1529" i="1"/>
  <c r="N1529" i="1" s="1"/>
  <c r="L1529" i="1"/>
  <c r="K1529" i="1"/>
  <c r="R1528" i="1"/>
  <c r="N1528" i="1"/>
  <c r="M1528" i="1"/>
  <c r="L1528" i="1"/>
  <c r="K1528" i="1"/>
  <c r="R1527" i="1"/>
  <c r="M1527" i="1"/>
  <c r="N1527" i="1" s="1"/>
  <c r="L1527" i="1"/>
  <c r="K1527" i="1"/>
  <c r="R1526" i="1"/>
  <c r="M1526" i="1"/>
  <c r="L1526" i="1"/>
  <c r="N1526" i="1" s="1"/>
  <c r="K1526" i="1"/>
  <c r="R1525" i="1"/>
  <c r="M1525" i="1"/>
  <c r="L1525" i="1"/>
  <c r="K1525" i="1"/>
  <c r="R1524" i="1"/>
  <c r="M1524" i="1"/>
  <c r="L1524" i="1"/>
  <c r="N1524" i="1" s="1"/>
  <c r="K1524" i="1"/>
  <c r="R1523" i="1"/>
  <c r="M1523" i="1"/>
  <c r="L1523" i="1"/>
  <c r="K1523" i="1"/>
  <c r="R1522" i="1"/>
  <c r="M1522" i="1"/>
  <c r="N1522" i="1" s="1"/>
  <c r="L1522" i="1"/>
  <c r="K1522" i="1"/>
  <c r="R1521" i="1"/>
  <c r="M1521" i="1"/>
  <c r="N1521" i="1" s="1"/>
  <c r="L1521" i="1"/>
  <c r="K1521" i="1"/>
  <c r="R1520" i="1"/>
  <c r="N1520" i="1"/>
  <c r="M1520" i="1"/>
  <c r="L1520" i="1"/>
  <c r="K1520" i="1"/>
  <c r="R1519" i="1"/>
  <c r="M1519" i="1"/>
  <c r="N1519" i="1" s="1"/>
  <c r="L1519" i="1"/>
  <c r="K1519" i="1"/>
  <c r="R1518" i="1"/>
  <c r="M1518" i="1"/>
  <c r="L1518" i="1"/>
  <c r="N1518" i="1" s="1"/>
  <c r="K1518" i="1"/>
  <c r="R1517" i="1"/>
  <c r="M1517" i="1"/>
  <c r="L1517" i="1"/>
  <c r="N1517" i="1" s="1"/>
  <c r="K1517" i="1"/>
  <c r="R1516" i="1"/>
  <c r="M1516" i="1"/>
  <c r="L1516" i="1"/>
  <c r="K1516" i="1"/>
  <c r="R1515" i="1"/>
  <c r="M1515" i="1"/>
  <c r="L1515" i="1"/>
  <c r="K1515" i="1"/>
  <c r="R1514" i="1"/>
  <c r="M1514" i="1"/>
  <c r="N1514" i="1" s="1"/>
  <c r="L1514" i="1"/>
  <c r="K1514" i="1"/>
  <c r="R1513" i="1"/>
  <c r="M1513" i="1"/>
  <c r="N1513" i="1" s="1"/>
  <c r="L1513" i="1"/>
  <c r="K1513" i="1"/>
  <c r="R1512" i="1"/>
  <c r="N1512" i="1"/>
  <c r="M1512" i="1"/>
  <c r="L1512" i="1"/>
  <c r="K1512" i="1"/>
  <c r="R1511" i="1"/>
  <c r="M1511" i="1"/>
  <c r="N1511" i="1" s="1"/>
  <c r="L1511" i="1"/>
  <c r="K1511" i="1"/>
  <c r="R1510" i="1"/>
  <c r="M1510" i="1"/>
  <c r="L1510" i="1"/>
  <c r="N1510" i="1" s="1"/>
  <c r="K1510" i="1"/>
  <c r="R1509" i="1"/>
  <c r="M1509" i="1"/>
  <c r="L1509" i="1"/>
  <c r="K1509" i="1"/>
  <c r="R1508" i="1"/>
  <c r="M1508" i="1"/>
  <c r="L1508" i="1"/>
  <c r="N1508" i="1" s="1"/>
  <c r="K1508" i="1"/>
  <c r="R1507" i="1"/>
  <c r="M1507" i="1"/>
  <c r="L1507" i="1"/>
  <c r="N1507" i="1" s="1"/>
  <c r="K1507" i="1"/>
  <c r="R1506" i="1"/>
  <c r="M1506" i="1"/>
  <c r="L1506" i="1"/>
  <c r="N1506" i="1" s="1"/>
  <c r="K1506" i="1"/>
  <c r="R1505" i="1"/>
  <c r="M1505" i="1"/>
  <c r="L1505" i="1"/>
  <c r="N1505" i="1" s="1"/>
  <c r="K1505" i="1"/>
  <c r="R1504" i="1"/>
  <c r="M1504" i="1"/>
  <c r="L1504" i="1"/>
  <c r="N1504" i="1" s="1"/>
  <c r="K1504" i="1"/>
  <c r="R1503" i="1"/>
  <c r="M1503" i="1"/>
  <c r="L1503" i="1"/>
  <c r="K1503" i="1"/>
  <c r="R1502" i="1"/>
  <c r="M1502" i="1"/>
  <c r="L1502" i="1"/>
  <c r="N1502" i="1" s="1"/>
  <c r="K1502" i="1"/>
  <c r="R1501" i="1"/>
  <c r="M1501" i="1"/>
  <c r="N1501" i="1" s="1"/>
  <c r="L1501" i="1"/>
  <c r="K1501" i="1"/>
  <c r="R1500" i="1"/>
  <c r="M1500" i="1"/>
  <c r="L1500" i="1"/>
  <c r="K1500" i="1"/>
  <c r="R1499" i="1"/>
  <c r="M1499" i="1"/>
  <c r="L1499" i="1"/>
  <c r="K1499" i="1"/>
  <c r="R1498" i="1"/>
  <c r="M1498" i="1"/>
  <c r="L1498" i="1"/>
  <c r="K1498" i="1"/>
  <c r="R1497" i="1"/>
  <c r="M1497" i="1"/>
  <c r="L1497" i="1"/>
  <c r="K1497" i="1"/>
  <c r="R1496" i="1"/>
  <c r="M1496" i="1"/>
  <c r="L1496" i="1"/>
  <c r="K1496" i="1"/>
  <c r="R1495" i="1"/>
  <c r="M1495" i="1"/>
  <c r="N1495" i="1" s="1"/>
  <c r="L1495" i="1"/>
  <c r="K1495" i="1"/>
  <c r="R1494" i="1"/>
  <c r="N1494" i="1"/>
  <c r="M1494" i="1"/>
  <c r="L1494" i="1"/>
  <c r="K1494" i="1"/>
  <c r="R1493" i="1"/>
  <c r="M1493" i="1"/>
  <c r="N1493" i="1" s="1"/>
  <c r="L1493" i="1"/>
  <c r="K1493" i="1"/>
  <c r="R1492" i="1"/>
  <c r="M1492" i="1"/>
  <c r="L1492" i="1"/>
  <c r="N1492" i="1" s="1"/>
  <c r="K1492" i="1"/>
  <c r="R1491" i="1"/>
  <c r="M1491" i="1"/>
  <c r="L1491" i="1"/>
  <c r="K1491" i="1"/>
  <c r="R1490" i="1"/>
  <c r="M1490" i="1"/>
  <c r="L1490" i="1"/>
  <c r="N1490" i="1" s="1"/>
  <c r="K1490" i="1"/>
  <c r="R1489" i="1"/>
  <c r="M1489" i="1"/>
  <c r="L1489" i="1"/>
  <c r="N1489" i="1" s="1"/>
  <c r="K1489" i="1"/>
  <c r="R1488" i="1"/>
  <c r="M1488" i="1"/>
  <c r="L1488" i="1"/>
  <c r="N1488" i="1" s="1"/>
  <c r="K1488" i="1"/>
  <c r="R1487" i="1"/>
  <c r="M1487" i="1"/>
  <c r="L1487" i="1"/>
  <c r="K1487" i="1"/>
  <c r="R1486" i="1"/>
  <c r="M1486" i="1"/>
  <c r="L1486" i="1"/>
  <c r="N1486" i="1" s="1"/>
  <c r="K1486" i="1"/>
  <c r="R1485" i="1"/>
  <c r="M1485" i="1"/>
  <c r="L1485" i="1"/>
  <c r="K1485" i="1"/>
  <c r="R1484" i="1"/>
  <c r="M1484" i="1"/>
  <c r="L1484" i="1"/>
  <c r="K1484" i="1"/>
  <c r="R1483" i="1"/>
  <c r="M1483" i="1"/>
  <c r="L1483" i="1"/>
  <c r="K1483" i="1"/>
  <c r="R1482" i="1"/>
  <c r="M1482" i="1"/>
  <c r="L1482" i="1"/>
  <c r="N1482" i="1" s="1"/>
  <c r="K1482" i="1"/>
  <c r="R1481" i="1"/>
  <c r="M1481" i="1"/>
  <c r="L1481" i="1"/>
  <c r="N1481" i="1" s="1"/>
  <c r="K1481" i="1"/>
  <c r="R1480" i="1"/>
  <c r="M1480" i="1"/>
  <c r="L1480" i="1"/>
  <c r="N1480" i="1" s="1"/>
  <c r="K1480" i="1"/>
  <c r="R1479" i="1"/>
  <c r="M1479" i="1"/>
  <c r="L1479" i="1"/>
  <c r="K1479" i="1"/>
  <c r="R1478" i="1"/>
  <c r="M1478" i="1"/>
  <c r="N1478" i="1" s="1"/>
  <c r="L1478" i="1"/>
  <c r="K1478" i="1"/>
  <c r="R1477" i="1"/>
  <c r="N1477" i="1"/>
  <c r="M1477" i="1"/>
  <c r="L1477" i="1"/>
  <c r="K1477" i="1"/>
  <c r="R1476" i="1"/>
  <c r="M1476" i="1"/>
  <c r="L1476" i="1"/>
  <c r="K1476" i="1"/>
  <c r="R1475" i="1"/>
  <c r="M1475" i="1"/>
  <c r="L1475" i="1"/>
  <c r="N1475" i="1" s="1"/>
  <c r="K1475" i="1"/>
  <c r="R1474" i="1"/>
  <c r="M1474" i="1"/>
  <c r="L1474" i="1"/>
  <c r="N1474" i="1" s="1"/>
  <c r="K1474" i="1"/>
  <c r="R1473" i="1"/>
  <c r="M1473" i="1"/>
  <c r="L1473" i="1"/>
  <c r="K1473" i="1"/>
  <c r="R1472" i="1"/>
  <c r="M1472" i="1"/>
  <c r="L1472" i="1"/>
  <c r="N1472" i="1" s="1"/>
  <c r="K1472" i="1"/>
  <c r="R1471" i="1"/>
  <c r="M1471" i="1"/>
  <c r="L1471" i="1"/>
  <c r="K1471" i="1"/>
  <c r="R1470" i="1"/>
  <c r="M1470" i="1"/>
  <c r="L1470" i="1"/>
  <c r="N1470" i="1" s="1"/>
  <c r="K1470" i="1"/>
  <c r="R1469" i="1"/>
  <c r="M1469" i="1"/>
  <c r="L1469" i="1"/>
  <c r="K1469" i="1"/>
  <c r="R1468" i="1"/>
  <c r="M1468" i="1"/>
  <c r="L1468" i="1"/>
  <c r="N1468" i="1" s="1"/>
  <c r="K1468" i="1"/>
  <c r="R1467" i="1"/>
  <c r="M1467" i="1"/>
  <c r="L1467" i="1"/>
  <c r="K1467" i="1"/>
  <c r="R1466" i="1"/>
  <c r="M1466" i="1"/>
  <c r="N1466" i="1" s="1"/>
  <c r="L1466" i="1"/>
  <c r="K1466" i="1"/>
  <c r="R1465" i="1"/>
  <c r="M1465" i="1"/>
  <c r="L1465" i="1"/>
  <c r="K1465" i="1"/>
  <c r="R1464" i="1"/>
  <c r="M1464" i="1"/>
  <c r="L1464" i="1"/>
  <c r="K1464" i="1"/>
  <c r="R1463" i="1"/>
  <c r="M1463" i="1"/>
  <c r="N1463" i="1" s="1"/>
  <c r="L1463" i="1"/>
  <c r="K1463" i="1"/>
  <c r="R1462" i="1"/>
  <c r="N1462" i="1"/>
  <c r="M1462" i="1"/>
  <c r="L1462" i="1"/>
  <c r="K1462" i="1"/>
  <c r="R1461" i="1"/>
  <c r="M1461" i="1"/>
  <c r="L1461" i="1"/>
  <c r="N1461" i="1" s="1"/>
  <c r="K1461" i="1"/>
  <c r="R1460" i="1"/>
  <c r="M1460" i="1"/>
  <c r="L1460" i="1"/>
  <c r="N1460" i="1" s="1"/>
  <c r="K1460" i="1"/>
  <c r="R1459" i="1"/>
  <c r="M1459" i="1"/>
  <c r="L1459" i="1"/>
  <c r="N1459" i="1" s="1"/>
  <c r="K1459" i="1"/>
  <c r="R1458" i="1"/>
  <c r="M1458" i="1"/>
  <c r="L1458" i="1"/>
  <c r="N1458" i="1" s="1"/>
  <c r="K1458" i="1"/>
  <c r="R1457" i="1"/>
  <c r="M1457" i="1"/>
  <c r="L1457" i="1"/>
  <c r="K1457" i="1"/>
  <c r="R1456" i="1"/>
  <c r="M1456" i="1"/>
  <c r="L1456" i="1"/>
  <c r="N1456" i="1" s="1"/>
  <c r="K1456" i="1"/>
  <c r="R1455" i="1"/>
  <c r="M1455" i="1"/>
  <c r="L1455" i="1"/>
  <c r="K1455" i="1"/>
  <c r="R1454" i="1"/>
  <c r="M1454" i="1"/>
  <c r="N1454" i="1" s="1"/>
  <c r="L1454" i="1"/>
  <c r="K1454" i="1"/>
  <c r="R1453" i="1"/>
  <c r="M1453" i="1"/>
  <c r="N1453" i="1" s="1"/>
  <c r="L1453" i="1"/>
  <c r="K1453" i="1"/>
  <c r="R1452" i="1"/>
  <c r="M1452" i="1"/>
  <c r="L1452" i="1"/>
  <c r="K1452" i="1"/>
  <c r="R1451" i="1"/>
  <c r="M1451" i="1"/>
  <c r="L1451" i="1"/>
  <c r="K1451" i="1"/>
  <c r="R1450" i="1"/>
  <c r="N1450" i="1"/>
  <c r="M1450" i="1"/>
  <c r="L1450" i="1"/>
  <c r="K1450" i="1"/>
  <c r="R1449" i="1"/>
  <c r="M1449" i="1"/>
  <c r="L1449" i="1"/>
  <c r="K1449" i="1"/>
  <c r="R1448" i="1"/>
  <c r="M1448" i="1"/>
  <c r="L1448" i="1"/>
  <c r="K1448" i="1"/>
  <c r="R1447" i="1"/>
  <c r="M1447" i="1"/>
  <c r="N1447" i="1" s="1"/>
  <c r="L1447" i="1"/>
  <c r="K1447" i="1"/>
  <c r="R1446" i="1"/>
  <c r="M1446" i="1"/>
  <c r="L1446" i="1"/>
  <c r="N1446" i="1" s="1"/>
  <c r="K1446" i="1"/>
  <c r="R1445" i="1"/>
  <c r="M1445" i="1"/>
  <c r="L1445" i="1"/>
  <c r="N1445" i="1" s="1"/>
  <c r="K1445" i="1"/>
  <c r="R1444" i="1"/>
  <c r="M1444" i="1"/>
  <c r="L1444" i="1"/>
  <c r="N1444" i="1" s="1"/>
  <c r="K1444" i="1"/>
  <c r="R1443" i="1"/>
  <c r="M1443" i="1"/>
  <c r="L1443" i="1"/>
  <c r="K1443" i="1"/>
  <c r="R1442" i="1"/>
  <c r="M1442" i="1"/>
  <c r="L1442" i="1"/>
  <c r="N1442" i="1" s="1"/>
  <c r="K1442" i="1"/>
  <c r="R1441" i="1"/>
  <c r="M1441" i="1"/>
  <c r="N1441" i="1" s="1"/>
  <c r="L1441" i="1"/>
  <c r="K1441" i="1"/>
  <c r="R1440" i="1"/>
  <c r="M1440" i="1"/>
  <c r="L1440" i="1"/>
  <c r="K1440" i="1"/>
  <c r="R1439" i="1"/>
  <c r="M1439" i="1"/>
  <c r="N1439" i="1" s="1"/>
  <c r="L1439" i="1"/>
  <c r="K1439" i="1"/>
  <c r="R1438" i="1"/>
  <c r="M1438" i="1"/>
  <c r="L1438" i="1"/>
  <c r="K1438" i="1"/>
  <c r="R1437" i="1"/>
  <c r="N1437" i="1"/>
  <c r="M1437" i="1"/>
  <c r="L1437" i="1"/>
  <c r="K1437" i="1"/>
  <c r="R1436" i="1"/>
  <c r="M1436" i="1"/>
  <c r="L1436" i="1"/>
  <c r="K1436" i="1"/>
  <c r="R1435" i="1"/>
  <c r="M1435" i="1"/>
  <c r="N1435" i="1" s="1"/>
  <c r="L1435" i="1"/>
  <c r="K1435" i="1"/>
  <c r="R1434" i="1"/>
  <c r="M1434" i="1"/>
  <c r="L1434" i="1"/>
  <c r="K1434" i="1"/>
  <c r="R1433" i="1"/>
  <c r="M1433" i="1"/>
  <c r="L1433" i="1"/>
  <c r="N1433" i="1" s="1"/>
  <c r="K1433" i="1"/>
  <c r="R1432" i="1"/>
  <c r="M1432" i="1"/>
  <c r="L1432" i="1"/>
  <c r="N1432" i="1" s="1"/>
  <c r="K1432" i="1"/>
  <c r="R1431" i="1"/>
  <c r="M1431" i="1"/>
  <c r="L1431" i="1"/>
  <c r="K1431" i="1"/>
  <c r="R1430" i="1"/>
  <c r="M1430" i="1"/>
  <c r="L1430" i="1"/>
  <c r="K1430" i="1"/>
  <c r="R1429" i="1"/>
  <c r="M1429" i="1"/>
  <c r="L1429" i="1"/>
  <c r="N1429" i="1" s="1"/>
  <c r="K1429" i="1"/>
  <c r="R1428" i="1"/>
  <c r="M1428" i="1"/>
  <c r="L1428" i="1"/>
  <c r="N1428" i="1" s="1"/>
  <c r="K1428" i="1"/>
  <c r="R1427" i="1"/>
  <c r="M1427" i="1"/>
  <c r="L1427" i="1"/>
  <c r="K1427" i="1"/>
  <c r="R1426" i="1"/>
  <c r="M1426" i="1"/>
  <c r="L1426" i="1"/>
  <c r="N1426" i="1" s="1"/>
  <c r="K1426" i="1"/>
  <c r="R1425" i="1"/>
  <c r="M1425" i="1"/>
  <c r="L1425" i="1"/>
  <c r="N1425" i="1" s="1"/>
  <c r="K1425" i="1"/>
  <c r="R1424" i="1"/>
  <c r="M1424" i="1"/>
  <c r="L1424" i="1"/>
  <c r="K1424" i="1"/>
  <c r="R1423" i="1"/>
  <c r="M1423" i="1"/>
  <c r="N1423" i="1" s="1"/>
  <c r="L1423" i="1"/>
  <c r="K1423" i="1"/>
  <c r="R1422" i="1"/>
  <c r="M1422" i="1"/>
  <c r="L1422" i="1"/>
  <c r="K1422" i="1"/>
  <c r="R1421" i="1"/>
  <c r="M1421" i="1"/>
  <c r="L1421" i="1"/>
  <c r="K1421" i="1"/>
  <c r="R1420" i="1"/>
  <c r="M1420" i="1"/>
  <c r="L1420" i="1"/>
  <c r="K1420" i="1"/>
  <c r="R1419" i="1"/>
  <c r="M1419" i="1"/>
  <c r="N1419" i="1" s="1"/>
  <c r="L1419" i="1"/>
  <c r="K1419" i="1"/>
  <c r="R1418" i="1"/>
  <c r="M1418" i="1"/>
  <c r="L1418" i="1"/>
  <c r="K1418" i="1"/>
  <c r="R1417" i="1"/>
  <c r="M1417" i="1"/>
  <c r="L1417" i="1"/>
  <c r="K1417" i="1"/>
  <c r="R1416" i="1"/>
  <c r="M1416" i="1"/>
  <c r="L1416" i="1"/>
  <c r="N1416" i="1" s="1"/>
  <c r="K1416" i="1"/>
  <c r="R1415" i="1"/>
  <c r="M1415" i="1"/>
  <c r="L1415" i="1"/>
  <c r="K1415" i="1"/>
  <c r="R1414" i="1"/>
  <c r="M1414" i="1"/>
  <c r="L1414" i="1"/>
  <c r="N1414" i="1" s="1"/>
  <c r="K1414" i="1"/>
  <c r="R1413" i="1"/>
  <c r="M1413" i="1"/>
  <c r="L1413" i="1"/>
  <c r="K1413" i="1"/>
  <c r="R1412" i="1"/>
  <c r="M1412" i="1"/>
  <c r="L1412" i="1"/>
  <c r="N1412" i="1" s="1"/>
  <c r="K1412" i="1"/>
  <c r="R1411" i="1"/>
  <c r="M1411" i="1"/>
  <c r="L1411" i="1"/>
  <c r="N1411" i="1" s="1"/>
  <c r="K1411" i="1"/>
  <c r="R1410" i="1"/>
  <c r="M1410" i="1"/>
  <c r="L1410" i="1"/>
  <c r="N1410" i="1" s="1"/>
  <c r="K1410" i="1"/>
  <c r="R1409" i="1"/>
  <c r="M1409" i="1"/>
  <c r="L1409" i="1"/>
  <c r="N1409" i="1" s="1"/>
  <c r="K1409" i="1"/>
  <c r="R1408" i="1"/>
  <c r="M1408" i="1"/>
  <c r="L1408" i="1"/>
  <c r="N1408" i="1" s="1"/>
  <c r="K1408" i="1"/>
  <c r="R1407" i="1"/>
  <c r="M1407" i="1"/>
  <c r="N1407" i="1" s="1"/>
  <c r="L1407" i="1"/>
  <c r="K1407" i="1"/>
  <c r="R1406" i="1"/>
  <c r="M1406" i="1"/>
  <c r="L1406" i="1"/>
  <c r="N1406" i="1" s="1"/>
  <c r="K1406" i="1"/>
  <c r="R1405" i="1"/>
  <c r="M1405" i="1"/>
  <c r="L1405" i="1"/>
  <c r="K1405" i="1"/>
  <c r="R1404" i="1"/>
  <c r="M1404" i="1"/>
  <c r="L1404" i="1"/>
  <c r="N1404" i="1" s="1"/>
  <c r="K1404" i="1"/>
  <c r="R1403" i="1"/>
  <c r="N1403" i="1"/>
  <c r="M1403" i="1"/>
  <c r="L1403" i="1"/>
  <c r="K1403" i="1"/>
  <c r="R1402" i="1"/>
  <c r="M1402" i="1"/>
  <c r="L1402" i="1"/>
  <c r="K1402" i="1"/>
  <c r="R1401" i="1"/>
  <c r="M1401" i="1"/>
  <c r="L1401" i="1"/>
  <c r="K1401" i="1"/>
  <c r="R1400" i="1"/>
  <c r="N1400" i="1"/>
  <c r="M1400" i="1"/>
  <c r="L1400" i="1"/>
  <c r="K1400" i="1"/>
  <c r="R1399" i="1"/>
  <c r="M1399" i="1"/>
  <c r="L1399" i="1"/>
  <c r="K1399" i="1"/>
  <c r="R1398" i="1"/>
  <c r="M1398" i="1"/>
  <c r="L1398" i="1"/>
  <c r="N1398" i="1" s="1"/>
  <c r="K1398" i="1"/>
  <c r="R1397" i="1"/>
  <c r="M1397" i="1"/>
  <c r="L1397" i="1"/>
  <c r="K1397" i="1"/>
  <c r="R1396" i="1"/>
  <c r="M1396" i="1"/>
  <c r="L1396" i="1"/>
  <c r="N1396" i="1" s="1"/>
  <c r="K1396" i="1"/>
  <c r="R1395" i="1"/>
  <c r="M1395" i="1"/>
  <c r="L1395" i="1"/>
  <c r="N1395" i="1" s="1"/>
  <c r="K1395" i="1"/>
  <c r="R1394" i="1"/>
  <c r="M1394" i="1"/>
  <c r="L1394" i="1"/>
  <c r="N1394" i="1" s="1"/>
  <c r="K1394" i="1"/>
  <c r="R1393" i="1"/>
  <c r="M1393" i="1"/>
  <c r="L1393" i="1"/>
  <c r="N1393" i="1" s="1"/>
  <c r="K1393" i="1"/>
  <c r="R1392" i="1"/>
  <c r="M1392" i="1"/>
  <c r="N1392" i="1" s="1"/>
  <c r="L1392" i="1"/>
  <c r="K1392" i="1"/>
  <c r="R1391" i="1"/>
  <c r="M1391" i="1"/>
  <c r="L1391" i="1"/>
  <c r="K1391" i="1"/>
  <c r="R1390" i="1"/>
  <c r="N1390" i="1"/>
  <c r="M1390" i="1"/>
  <c r="L1390" i="1"/>
  <c r="K1390" i="1"/>
  <c r="R1389" i="1"/>
  <c r="M1389" i="1"/>
  <c r="L1389" i="1"/>
  <c r="K1389" i="1"/>
  <c r="R1388" i="1"/>
  <c r="M1388" i="1"/>
  <c r="L1388" i="1"/>
  <c r="K1388" i="1"/>
  <c r="R1387" i="1"/>
  <c r="N1387" i="1"/>
  <c r="M1387" i="1"/>
  <c r="L1387" i="1"/>
  <c r="K1387" i="1"/>
  <c r="R1386" i="1"/>
  <c r="M1386" i="1"/>
  <c r="L1386" i="1"/>
  <c r="N1386" i="1" s="1"/>
  <c r="K1386" i="1"/>
  <c r="R1385" i="1"/>
  <c r="M1385" i="1"/>
  <c r="L1385" i="1"/>
  <c r="N1385" i="1" s="1"/>
  <c r="K1385" i="1"/>
  <c r="R1384" i="1"/>
  <c r="M1384" i="1"/>
  <c r="L1384" i="1"/>
  <c r="N1384" i="1" s="1"/>
  <c r="K1384" i="1"/>
  <c r="R1383" i="1"/>
  <c r="M1383" i="1"/>
  <c r="L1383" i="1"/>
  <c r="K1383" i="1"/>
  <c r="R1382" i="1"/>
  <c r="M1382" i="1"/>
  <c r="L1382" i="1"/>
  <c r="K1382" i="1"/>
  <c r="R1381" i="1"/>
  <c r="M1381" i="1"/>
  <c r="L1381" i="1"/>
  <c r="K1381" i="1"/>
  <c r="R1380" i="1"/>
  <c r="M1380" i="1"/>
  <c r="L1380" i="1"/>
  <c r="K1380" i="1"/>
  <c r="R1379" i="1"/>
  <c r="N1379" i="1"/>
  <c r="M1379" i="1"/>
  <c r="L1379" i="1"/>
  <c r="K1379" i="1"/>
  <c r="R1378" i="1"/>
  <c r="M1378" i="1"/>
  <c r="L1378" i="1"/>
  <c r="K1378" i="1"/>
  <c r="R1377" i="1"/>
  <c r="M1377" i="1"/>
  <c r="L1377" i="1"/>
  <c r="K1377" i="1"/>
  <c r="R1376" i="1"/>
  <c r="N1376" i="1"/>
  <c r="M1376" i="1"/>
  <c r="L1376" i="1"/>
  <c r="K1376" i="1"/>
  <c r="R1375" i="1"/>
  <c r="M1375" i="1"/>
  <c r="L1375" i="1"/>
  <c r="K1375" i="1"/>
  <c r="R1374" i="1"/>
  <c r="M1374" i="1"/>
  <c r="L1374" i="1"/>
  <c r="N1374" i="1" s="1"/>
  <c r="K1374" i="1"/>
  <c r="R1373" i="1"/>
  <c r="M1373" i="1"/>
  <c r="L1373" i="1"/>
  <c r="N1373" i="1" s="1"/>
  <c r="K1373" i="1"/>
  <c r="R1372" i="1"/>
  <c r="M1372" i="1"/>
  <c r="L1372" i="1"/>
  <c r="N1372" i="1" s="1"/>
  <c r="K1372" i="1"/>
  <c r="R1371" i="1"/>
  <c r="M1371" i="1"/>
  <c r="L1371" i="1"/>
  <c r="N1371" i="1" s="1"/>
  <c r="K1371" i="1"/>
  <c r="R1370" i="1"/>
  <c r="M1370" i="1"/>
  <c r="L1370" i="1"/>
  <c r="N1370" i="1" s="1"/>
  <c r="K1370" i="1"/>
  <c r="R1369" i="1"/>
  <c r="M1369" i="1"/>
  <c r="L1369" i="1"/>
  <c r="N1369" i="1" s="1"/>
  <c r="K1369" i="1"/>
  <c r="R1368" i="1"/>
  <c r="M1368" i="1"/>
  <c r="N1368" i="1" s="1"/>
  <c r="L1368" i="1"/>
  <c r="K1368" i="1"/>
  <c r="R1367" i="1"/>
  <c r="M1367" i="1"/>
  <c r="L1367" i="1"/>
  <c r="K1367" i="1"/>
  <c r="R1366" i="1"/>
  <c r="N1366" i="1"/>
  <c r="M1366" i="1"/>
  <c r="L1366" i="1"/>
  <c r="K1366" i="1"/>
  <c r="R1365" i="1"/>
  <c r="M1365" i="1"/>
  <c r="L1365" i="1"/>
  <c r="K1365" i="1"/>
  <c r="R1364" i="1"/>
  <c r="M1364" i="1"/>
  <c r="L1364" i="1"/>
  <c r="K1364" i="1"/>
  <c r="R1363" i="1"/>
  <c r="N1363" i="1"/>
  <c r="M1363" i="1"/>
  <c r="L1363" i="1"/>
  <c r="K1363" i="1"/>
  <c r="R1362" i="1"/>
  <c r="M1362" i="1"/>
  <c r="L1362" i="1"/>
  <c r="N1362" i="1" s="1"/>
  <c r="K1362" i="1"/>
  <c r="R1361" i="1"/>
  <c r="M1361" i="1"/>
  <c r="L1361" i="1"/>
  <c r="N1361" i="1" s="1"/>
  <c r="K1361" i="1"/>
  <c r="R1360" i="1"/>
  <c r="M1360" i="1"/>
  <c r="L1360" i="1"/>
  <c r="N1360" i="1" s="1"/>
  <c r="K1360" i="1"/>
  <c r="R1359" i="1"/>
  <c r="M1359" i="1"/>
  <c r="L1359" i="1"/>
  <c r="K1359" i="1"/>
  <c r="R1358" i="1"/>
  <c r="M1358" i="1"/>
  <c r="L1358" i="1"/>
  <c r="N1358" i="1" s="1"/>
  <c r="K1358" i="1"/>
  <c r="R1357" i="1"/>
  <c r="M1357" i="1"/>
  <c r="L1357" i="1"/>
  <c r="N1357" i="1" s="1"/>
  <c r="K1357" i="1"/>
  <c r="R1356" i="1"/>
  <c r="M1356" i="1"/>
  <c r="L1356" i="1"/>
  <c r="N1356" i="1" s="1"/>
  <c r="K1356" i="1"/>
  <c r="R1355" i="1"/>
  <c r="M1355" i="1"/>
  <c r="N1355" i="1" s="1"/>
  <c r="L1355" i="1"/>
  <c r="K1355" i="1"/>
  <c r="R1354" i="1"/>
  <c r="M1354" i="1"/>
  <c r="L1354" i="1"/>
  <c r="N1354" i="1" s="1"/>
  <c r="K1354" i="1"/>
  <c r="R1353" i="1"/>
  <c r="M1353" i="1"/>
  <c r="L1353" i="1"/>
  <c r="K1353" i="1"/>
  <c r="R1352" i="1"/>
  <c r="M1352" i="1"/>
  <c r="N1352" i="1" s="1"/>
  <c r="L1352" i="1"/>
  <c r="K1352" i="1"/>
  <c r="R1351" i="1"/>
  <c r="M1351" i="1"/>
  <c r="N1351" i="1" s="1"/>
  <c r="L1351" i="1"/>
  <c r="K1351" i="1"/>
  <c r="R1350" i="1"/>
  <c r="M1350" i="1"/>
  <c r="L1350" i="1"/>
  <c r="K1350" i="1"/>
  <c r="R1349" i="1"/>
  <c r="M1349" i="1"/>
  <c r="L1349" i="1"/>
  <c r="K1349" i="1"/>
  <c r="R1348" i="1"/>
  <c r="M1348" i="1"/>
  <c r="L1348" i="1"/>
  <c r="K1348" i="1"/>
  <c r="R1347" i="1"/>
  <c r="M1347" i="1"/>
  <c r="L1347" i="1"/>
  <c r="N1347" i="1" s="1"/>
  <c r="K1347" i="1"/>
  <c r="R1346" i="1"/>
  <c r="M1346" i="1"/>
  <c r="L1346" i="1"/>
  <c r="N1346" i="1" s="1"/>
  <c r="K1346" i="1"/>
  <c r="R1345" i="1"/>
  <c r="M1345" i="1"/>
  <c r="L1345" i="1"/>
  <c r="N1345" i="1" s="1"/>
  <c r="K1345" i="1"/>
  <c r="R1344" i="1"/>
  <c r="M1344" i="1"/>
  <c r="L1344" i="1"/>
  <c r="N1344" i="1" s="1"/>
  <c r="K1344" i="1"/>
  <c r="R1343" i="1"/>
  <c r="M1343" i="1"/>
  <c r="L1343" i="1"/>
  <c r="N1343" i="1" s="1"/>
  <c r="K1343" i="1"/>
  <c r="R1342" i="1"/>
  <c r="M1342" i="1"/>
  <c r="L1342" i="1"/>
  <c r="N1342" i="1" s="1"/>
  <c r="K1342" i="1"/>
  <c r="R1341" i="1"/>
  <c r="M1341" i="1"/>
  <c r="L1341" i="1"/>
  <c r="N1341" i="1" s="1"/>
  <c r="K1341" i="1"/>
  <c r="R1340" i="1"/>
  <c r="M1340" i="1"/>
  <c r="L1340" i="1"/>
  <c r="N1340" i="1" s="1"/>
  <c r="K1340" i="1"/>
  <c r="R1339" i="1"/>
  <c r="M1339" i="1"/>
  <c r="L1339" i="1"/>
  <c r="N1339" i="1" s="1"/>
  <c r="K1339" i="1"/>
  <c r="R1338" i="1"/>
  <c r="M1338" i="1"/>
  <c r="L1338" i="1"/>
  <c r="K1338" i="1"/>
  <c r="R1337" i="1"/>
  <c r="M1337" i="1"/>
  <c r="L1337" i="1"/>
  <c r="N1337" i="1" s="1"/>
  <c r="K1337" i="1"/>
  <c r="R1336" i="1"/>
  <c r="N1336" i="1"/>
  <c r="M1336" i="1"/>
  <c r="L1336" i="1"/>
  <c r="K1336" i="1"/>
  <c r="R1335" i="1"/>
  <c r="N1335" i="1"/>
  <c r="M1335" i="1"/>
  <c r="L1335" i="1"/>
  <c r="K1335" i="1"/>
  <c r="R1334" i="1"/>
  <c r="M1334" i="1"/>
  <c r="L1334" i="1"/>
  <c r="K1334" i="1"/>
  <c r="R1333" i="1"/>
  <c r="M1333" i="1"/>
  <c r="L1333" i="1"/>
  <c r="N1333" i="1" s="1"/>
  <c r="K1333" i="1"/>
  <c r="R1332" i="1"/>
  <c r="M1332" i="1"/>
  <c r="L1332" i="1"/>
  <c r="N1332" i="1" s="1"/>
  <c r="K1332" i="1"/>
  <c r="R1331" i="1"/>
  <c r="M1331" i="1"/>
  <c r="L1331" i="1"/>
  <c r="N1331" i="1" s="1"/>
  <c r="K1331" i="1"/>
  <c r="R1330" i="1"/>
  <c r="M1330" i="1"/>
  <c r="L1330" i="1"/>
  <c r="N1330" i="1" s="1"/>
  <c r="K1330" i="1"/>
  <c r="R1329" i="1"/>
  <c r="M1329" i="1"/>
  <c r="N1329" i="1" s="1"/>
  <c r="L1329" i="1"/>
  <c r="K1329" i="1"/>
  <c r="R1328" i="1"/>
  <c r="M1328" i="1"/>
  <c r="L1328" i="1"/>
  <c r="K1328" i="1"/>
  <c r="R1327" i="1"/>
  <c r="M1327" i="1"/>
  <c r="N1327" i="1" s="1"/>
  <c r="L1327" i="1"/>
  <c r="K1327" i="1"/>
  <c r="R1326" i="1"/>
  <c r="M1326" i="1"/>
  <c r="L1326" i="1"/>
  <c r="N1326" i="1" s="1"/>
  <c r="K1326" i="1"/>
  <c r="R1325" i="1"/>
  <c r="M1325" i="1"/>
  <c r="L1325" i="1"/>
  <c r="K1325" i="1"/>
  <c r="R1324" i="1"/>
  <c r="M1324" i="1"/>
  <c r="L1324" i="1"/>
  <c r="N1324" i="1" s="1"/>
  <c r="K1324" i="1"/>
  <c r="R1323" i="1"/>
  <c r="N1323" i="1"/>
  <c r="M1323" i="1"/>
  <c r="L1323" i="1"/>
  <c r="K1323" i="1"/>
  <c r="R1322" i="1"/>
  <c r="M1322" i="1"/>
  <c r="L1322" i="1"/>
  <c r="K1322" i="1"/>
  <c r="R1321" i="1"/>
  <c r="M1321" i="1"/>
  <c r="L1321" i="1"/>
  <c r="K1321" i="1"/>
  <c r="R1320" i="1"/>
  <c r="N1320" i="1"/>
  <c r="M1320" i="1"/>
  <c r="L1320" i="1"/>
  <c r="K1320" i="1"/>
  <c r="R1319" i="1"/>
  <c r="M1319" i="1"/>
  <c r="L1319" i="1"/>
  <c r="N1319" i="1" s="1"/>
  <c r="K1319" i="1"/>
  <c r="R1318" i="1"/>
  <c r="M1318" i="1"/>
  <c r="L1318" i="1"/>
  <c r="N1318" i="1" s="1"/>
  <c r="K1318" i="1"/>
  <c r="R1317" i="1"/>
  <c r="M1317" i="1"/>
  <c r="L1317" i="1"/>
  <c r="N1317" i="1" s="1"/>
  <c r="K1317" i="1"/>
  <c r="R1316" i="1"/>
  <c r="M1316" i="1"/>
  <c r="L1316" i="1"/>
  <c r="N1316" i="1" s="1"/>
  <c r="K1316" i="1"/>
  <c r="R1315" i="1"/>
  <c r="M1315" i="1"/>
  <c r="L1315" i="1"/>
  <c r="K1315" i="1"/>
  <c r="R1314" i="1"/>
  <c r="M1314" i="1"/>
  <c r="L1314" i="1"/>
  <c r="K1314" i="1"/>
  <c r="R1313" i="1"/>
  <c r="N1313" i="1"/>
  <c r="M1313" i="1"/>
  <c r="L1313" i="1"/>
  <c r="K1313" i="1"/>
  <c r="R1312" i="1"/>
  <c r="M1312" i="1"/>
  <c r="N1312" i="1" s="1"/>
  <c r="L1312" i="1"/>
  <c r="K1312" i="1"/>
  <c r="R1311" i="1"/>
  <c r="M1311" i="1"/>
  <c r="N1311" i="1" s="1"/>
  <c r="L1311" i="1"/>
  <c r="K1311" i="1"/>
  <c r="R1310" i="1"/>
  <c r="M1310" i="1"/>
  <c r="L1310" i="1"/>
  <c r="N1310" i="1" s="1"/>
  <c r="K1310" i="1"/>
  <c r="R1309" i="1"/>
  <c r="M1309" i="1"/>
  <c r="L1309" i="1"/>
  <c r="N1309" i="1" s="1"/>
  <c r="K1309" i="1"/>
  <c r="R1308" i="1"/>
  <c r="M1308" i="1"/>
  <c r="L1308" i="1"/>
  <c r="K1308" i="1"/>
  <c r="R1307" i="1"/>
  <c r="M1307" i="1"/>
  <c r="L1307" i="1"/>
  <c r="K1307" i="1"/>
  <c r="R1306" i="1"/>
  <c r="N1306" i="1"/>
  <c r="M1306" i="1"/>
  <c r="L1306" i="1"/>
  <c r="K1306" i="1"/>
  <c r="R1305" i="1"/>
  <c r="M1305" i="1"/>
  <c r="L1305" i="1"/>
  <c r="N1305" i="1" s="1"/>
  <c r="K1305" i="1"/>
  <c r="R1304" i="1"/>
  <c r="M1304" i="1"/>
  <c r="L1304" i="1"/>
  <c r="N1304" i="1" s="1"/>
  <c r="K1304" i="1"/>
  <c r="R1303" i="1"/>
  <c r="M1303" i="1"/>
  <c r="L1303" i="1"/>
  <c r="N1303" i="1" s="1"/>
  <c r="K1303" i="1"/>
  <c r="R1302" i="1"/>
  <c r="M1302" i="1"/>
  <c r="L1302" i="1"/>
  <c r="N1302" i="1" s="1"/>
  <c r="K1302" i="1"/>
  <c r="R1301" i="1"/>
  <c r="M1301" i="1"/>
  <c r="L1301" i="1"/>
  <c r="N1301" i="1" s="1"/>
  <c r="K1301" i="1"/>
  <c r="R1300" i="1"/>
  <c r="M1300" i="1"/>
  <c r="L1300" i="1"/>
  <c r="K1300" i="1"/>
  <c r="R1299" i="1"/>
  <c r="M1299" i="1"/>
  <c r="L1299" i="1"/>
  <c r="N1299" i="1" s="1"/>
  <c r="K1299" i="1"/>
  <c r="R1298" i="1"/>
  <c r="M1298" i="1"/>
  <c r="L1298" i="1"/>
  <c r="K1298" i="1"/>
  <c r="R1297" i="1"/>
  <c r="M1297" i="1"/>
  <c r="N1297" i="1" s="1"/>
  <c r="L1297" i="1"/>
  <c r="K1297" i="1"/>
  <c r="R1296" i="1"/>
  <c r="M1296" i="1"/>
  <c r="L1296" i="1"/>
  <c r="K1296" i="1"/>
  <c r="R1295" i="1"/>
  <c r="N1295" i="1"/>
  <c r="M1295" i="1"/>
  <c r="L1295" i="1"/>
  <c r="K1295" i="1"/>
  <c r="R1294" i="1"/>
  <c r="M1294" i="1"/>
  <c r="L1294" i="1"/>
  <c r="K1294" i="1"/>
  <c r="R1293" i="1"/>
  <c r="M1293" i="1"/>
  <c r="L1293" i="1"/>
  <c r="N1293" i="1" s="1"/>
  <c r="K1293" i="1"/>
  <c r="R1292" i="1"/>
  <c r="M1292" i="1"/>
  <c r="L1292" i="1"/>
  <c r="K1292" i="1"/>
  <c r="R1291" i="1"/>
  <c r="M1291" i="1"/>
  <c r="L1291" i="1"/>
  <c r="N1291" i="1" s="1"/>
  <c r="K1291" i="1"/>
  <c r="R1290" i="1"/>
  <c r="M1290" i="1"/>
  <c r="L1290" i="1"/>
  <c r="N1290" i="1" s="1"/>
  <c r="K1290" i="1"/>
  <c r="R1289" i="1"/>
  <c r="M1289" i="1"/>
  <c r="L1289" i="1"/>
  <c r="N1289" i="1" s="1"/>
  <c r="K1289" i="1"/>
  <c r="R1288" i="1"/>
  <c r="M1288" i="1"/>
  <c r="L1288" i="1"/>
  <c r="N1288" i="1" s="1"/>
  <c r="K1288" i="1"/>
  <c r="R1287" i="1"/>
  <c r="M1287" i="1"/>
  <c r="N1287" i="1" s="1"/>
  <c r="L1287" i="1"/>
  <c r="K1287" i="1"/>
  <c r="R1286" i="1"/>
  <c r="M1286" i="1"/>
  <c r="N1286" i="1" s="1"/>
  <c r="L1286" i="1"/>
  <c r="K1286" i="1"/>
  <c r="R1285" i="1"/>
  <c r="N1285" i="1"/>
  <c r="M1285" i="1"/>
  <c r="L1285" i="1"/>
  <c r="K1285" i="1"/>
  <c r="R1284" i="1"/>
  <c r="M1284" i="1"/>
  <c r="N1284" i="1" s="1"/>
  <c r="L1284" i="1"/>
  <c r="K1284" i="1"/>
  <c r="R1283" i="1"/>
  <c r="M1283" i="1"/>
  <c r="L1283" i="1"/>
  <c r="K1283" i="1"/>
  <c r="R1282" i="1"/>
  <c r="M1282" i="1"/>
  <c r="L1282" i="1"/>
  <c r="K1282" i="1"/>
  <c r="R1281" i="1"/>
  <c r="M1281" i="1"/>
  <c r="L1281" i="1"/>
  <c r="N1281" i="1" s="1"/>
  <c r="K1281" i="1"/>
  <c r="R1280" i="1"/>
  <c r="M1280" i="1"/>
  <c r="L1280" i="1"/>
  <c r="N1280" i="1" s="1"/>
  <c r="K1280" i="1"/>
  <c r="R1279" i="1"/>
  <c r="M1279" i="1"/>
  <c r="L1279" i="1"/>
  <c r="N1279" i="1" s="1"/>
  <c r="K1279" i="1"/>
  <c r="R1278" i="1"/>
  <c r="M1278" i="1"/>
  <c r="L1278" i="1"/>
  <c r="K1278" i="1"/>
  <c r="R1277" i="1"/>
  <c r="M1277" i="1"/>
  <c r="L1277" i="1"/>
  <c r="N1277" i="1" s="1"/>
  <c r="K1277" i="1"/>
  <c r="R1276" i="1"/>
  <c r="M1276" i="1"/>
  <c r="L1276" i="1"/>
  <c r="K1276" i="1"/>
  <c r="R1275" i="1"/>
  <c r="M1275" i="1"/>
  <c r="L1275" i="1"/>
  <c r="N1275" i="1" s="1"/>
  <c r="K1275" i="1"/>
  <c r="R1274" i="1"/>
  <c r="M1274" i="1"/>
  <c r="L1274" i="1"/>
  <c r="N1274" i="1" s="1"/>
  <c r="K1274" i="1"/>
  <c r="R1273" i="1"/>
  <c r="M1273" i="1"/>
  <c r="L1273" i="1"/>
  <c r="K1273" i="1"/>
  <c r="R1272" i="1"/>
  <c r="M1272" i="1"/>
  <c r="L1272" i="1"/>
  <c r="K1272" i="1"/>
  <c r="R1271" i="1"/>
  <c r="N1271" i="1"/>
  <c r="M1271" i="1"/>
  <c r="L1271" i="1"/>
  <c r="K1271" i="1"/>
  <c r="R1270" i="1"/>
  <c r="M1270" i="1"/>
  <c r="N1270" i="1" s="1"/>
  <c r="L1270" i="1"/>
  <c r="K1270" i="1"/>
  <c r="R1269" i="1"/>
  <c r="M1269" i="1"/>
  <c r="L1269" i="1"/>
  <c r="K1269" i="1"/>
  <c r="R1268" i="1"/>
  <c r="M1268" i="1"/>
  <c r="N1268" i="1" s="1"/>
  <c r="L1268" i="1"/>
  <c r="K1268" i="1"/>
  <c r="R1267" i="1"/>
  <c r="M1267" i="1"/>
  <c r="L1267" i="1"/>
  <c r="K1267" i="1"/>
  <c r="R1266" i="1"/>
  <c r="M1266" i="1"/>
  <c r="L1266" i="1"/>
  <c r="K1266" i="1"/>
  <c r="R1265" i="1"/>
  <c r="N1265" i="1"/>
  <c r="M1265" i="1"/>
  <c r="L1265" i="1"/>
  <c r="K1265" i="1"/>
  <c r="R1264" i="1"/>
  <c r="M1264" i="1"/>
  <c r="L1264" i="1"/>
  <c r="N1264" i="1" s="1"/>
  <c r="K1264" i="1"/>
  <c r="R1263" i="1"/>
  <c r="M1263" i="1"/>
  <c r="L1263" i="1"/>
  <c r="N1263" i="1" s="1"/>
  <c r="K1263" i="1"/>
  <c r="R1262" i="1"/>
  <c r="M1262" i="1"/>
  <c r="L1262" i="1"/>
  <c r="K1262" i="1"/>
  <c r="R1261" i="1"/>
  <c r="M1261" i="1"/>
  <c r="N1261" i="1" s="1"/>
  <c r="L1261" i="1"/>
  <c r="K1261" i="1"/>
  <c r="R1260" i="1"/>
  <c r="M1260" i="1"/>
  <c r="N1260" i="1" s="1"/>
  <c r="L1260" i="1"/>
  <c r="K1260" i="1"/>
  <c r="R1259" i="1"/>
  <c r="M1259" i="1"/>
  <c r="L1259" i="1"/>
  <c r="K1259" i="1"/>
  <c r="R1258" i="1"/>
  <c r="M1258" i="1"/>
  <c r="L1258" i="1"/>
  <c r="K1258" i="1"/>
  <c r="R1257" i="1"/>
  <c r="N1257" i="1"/>
  <c r="M1257" i="1"/>
  <c r="L1257" i="1"/>
  <c r="K1257" i="1"/>
  <c r="R1256" i="1"/>
  <c r="M1256" i="1"/>
  <c r="L1256" i="1"/>
  <c r="K1256" i="1"/>
  <c r="R1255" i="1"/>
  <c r="M1255" i="1"/>
  <c r="L1255" i="1"/>
  <c r="N1255" i="1" s="1"/>
  <c r="K1255" i="1"/>
  <c r="R1254" i="1"/>
  <c r="M1254" i="1"/>
  <c r="L1254" i="1"/>
  <c r="K1254" i="1"/>
  <c r="R1253" i="1"/>
  <c r="M1253" i="1"/>
  <c r="L1253" i="1"/>
  <c r="N1253" i="1" s="1"/>
  <c r="K1253" i="1"/>
  <c r="R1252" i="1"/>
  <c r="M1252" i="1"/>
  <c r="L1252" i="1"/>
  <c r="K1252" i="1"/>
  <c r="R1251" i="1"/>
  <c r="M1251" i="1"/>
  <c r="L1251" i="1"/>
  <c r="N1251" i="1" s="1"/>
  <c r="K1251" i="1"/>
  <c r="R1250" i="1"/>
  <c r="M1250" i="1"/>
  <c r="L1250" i="1"/>
  <c r="N1250" i="1" s="1"/>
  <c r="K1250" i="1"/>
  <c r="R1249" i="1"/>
  <c r="M1249" i="1"/>
  <c r="L1249" i="1"/>
  <c r="K1249" i="1"/>
  <c r="R1248" i="1"/>
  <c r="M1248" i="1"/>
  <c r="L1248" i="1"/>
  <c r="K1248" i="1"/>
  <c r="R1247" i="1"/>
  <c r="N1247" i="1"/>
  <c r="M1247" i="1"/>
  <c r="L1247" i="1"/>
  <c r="K1247" i="1"/>
  <c r="R1246" i="1"/>
  <c r="M1246" i="1"/>
  <c r="N1246" i="1" s="1"/>
  <c r="L1246" i="1"/>
  <c r="K1246" i="1"/>
  <c r="R1245" i="1"/>
  <c r="N1245" i="1"/>
  <c r="M1245" i="1"/>
  <c r="L1245" i="1"/>
  <c r="K1245" i="1"/>
  <c r="R1244" i="1"/>
  <c r="M1244" i="1"/>
  <c r="L1244" i="1"/>
  <c r="K1244" i="1"/>
  <c r="R1243" i="1"/>
  <c r="M1243" i="1"/>
  <c r="L1243" i="1"/>
  <c r="N1243" i="1" s="1"/>
  <c r="K1243" i="1"/>
  <c r="R1242" i="1"/>
  <c r="M1242" i="1"/>
  <c r="L1242" i="1"/>
  <c r="N1242" i="1" s="1"/>
  <c r="K1242" i="1"/>
  <c r="R1241" i="1"/>
  <c r="M1241" i="1"/>
  <c r="L1241" i="1"/>
  <c r="N1241" i="1" s="1"/>
  <c r="K1241" i="1"/>
  <c r="R1240" i="1"/>
  <c r="M1240" i="1"/>
  <c r="L1240" i="1"/>
  <c r="N1240" i="1" s="1"/>
  <c r="K1240" i="1"/>
  <c r="R1239" i="1"/>
  <c r="M1239" i="1"/>
  <c r="N1239" i="1" s="1"/>
  <c r="L1239" i="1"/>
  <c r="K1239" i="1"/>
  <c r="R1238" i="1"/>
  <c r="M1238" i="1"/>
  <c r="N1238" i="1" s="1"/>
  <c r="L1238" i="1"/>
  <c r="K1238" i="1"/>
  <c r="R1237" i="1"/>
  <c r="M1237" i="1"/>
  <c r="L1237" i="1"/>
  <c r="K1237" i="1"/>
  <c r="R1236" i="1"/>
  <c r="M1236" i="1"/>
  <c r="N1236" i="1" s="1"/>
  <c r="L1236" i="1"/>
  <c r="K1236" i="1"/>
  <c r="R1235" i="1"/>
  <c r="M1235" i="1"/>
  <c r="L1235" i="1"/>
  <c r="K1235" i="1"/>
  <c r="R1234" i="1"/>
  <c r="M1234" i="1"/>
  <c r="L1234" i="1"/>
  <c r="K1234" i="1"/>
  <c r="R1233" i="1"/>
  <c r="N1233" i="1"/>
  <c r="M1233" i="1"/>
  <c r="L1233" i="1"/>
  <c r="K1233" i="1"/>
  <c r="R1232" i="1"/>
  <c r="M1232" i="1"/>
  <c r="L1232" i="1"/>
  <c r="K1232" i="1"/>
  <c r="R1231" i="1"/>
  <c r="M1231" i="1"/>
  <c r="L1231" i="1"/>
  <c r="N1231" i="1" s="1"/>
  <c r="K1231" i="1"/>
  <c r="R1230" i="1"/>
  <c r="M1230" i="1"/>
  <c r="L1230" i="1"/>
  <c r="K1230" i="1"/>
  <c r="R1229" i="1"/>
  <c r="M1229" i="1"/>
  <c r="L1229" i="1"/>
  <c r="N1229" i="1" s="1"/>
  <c r="K1229" i="1"/>
  <c r="R1228" i="1"/>
  <c r="M1228" i="1"/>
  <c r="L1228" i="1"/>
  <c r="K1228" i="1"/>
  <c r="R1227" i="1"/>
  <c r="M1227" i="1"/>
  <c r="L1227" i="1"/>
  <c r="N1227" i="1" s="1"/>
  <c r="K1227" i="1"/>
  <c r="R1226" i="1"/>
  <c r="M1226" i="1"/>
  <c r="L1226" i="1"/>
  <c r="N1226" i="1" s="1"/>
  <c r="K1226" i="1"/>
  <c r="R1225" i="1"/>
  <c r="M1225" i="1"/>
  <c r="L1225" i="1"/>
  <c r="N1225" i="1" s="1"/>
  <c r="K1225" i="1"/>
  <c r="R1224" i="1"/>
  <c r="M1224" i="1"/>
  <c r="L1224" i="1"/>
  <c r="N1224" i="1" s="1"/>
  <c r="K1224" i="1"/>
  <c r="R1223" i="1"/>
  <c r="M1223" i="1"/>
  <c r="L1223" i="1"/>
  <c r="K1223" i="1"/>
  <c r="R1222" i="1"/>
  <c r="M1222" i="1"/>
  <c r="N1222" i="1" s="1"/>
  <c r="L1222" i="1"/>
  <c r="K1222" i="1"/>
  <c r="R1221" i="1"/>
  <c r="N1221" i="1"/>
  <c r="M1221" i="1"/>
  <c r="L1221" i="1"/>
  <c r="K1221" i="1"/>
  <c r="R1220" i="1"/>
  <c r="M1220" i="1"/>
  <c r="N1220" i="1" s="1"/>
  <c r="L1220" i="1"/>
  <c r="K1220" i="1"/>
  <c r="R1219" i="1"/>
  <c r="M1219" i="1"/>
  <c r="L1219" i="1"/>
  <c r="K1219" i="1"/>
  <c r="R1218" i="1"/>
  <c r="M1218" i="1"/>
  <c r="L1218" i="1"/>
  <c r="K1218" i="1"/>
  <c r="R1217" i="1"/>
  <c r="N1217" i="1"/>
  <c r="M1217" i="1"/>
  <c r="L1217" i="1"/>
  <c r="K1217" i="1"/>
  <c r="R1216" i="1"/>
  <c r="M1216" i="1"/>
  <c r="L1216" i="1"/>
  <c r="N1216" i="1" s="1"/>
  <c r="K1216" i="1"/>
  <c r="R1215" i="1"/>
  <c r="M1215" i="1"/>
  <c r="L1215" i="1"/>
  <c r="N1215" i="1" s="1"/>
  <c r="K1215" i="1"/>
  <c r="R1214" i="1"/>
  <c r="M1214" i="1"/>
  <c r="L1214" i="1"/>
  <c r="K1214" i="1"/>
  <c r="R1213" i="1"/>
  <c r="M1213" i="1"/>
  <c r="L1213" i="1"/>
  <c r="K1213" i="1"/>
  <c r="R1212" i="1"/>
  <c r="M1212" i="1"/>
  <c r="L1212" i="1"/>
  <c r="K1212" i="1"/>
  <c r="R1211" i="1"/>
  <c r="M1211" i="1"/>
  <c r="L1211" i="1"/>
  <c r="K1211" i="1"/>
  <c r="R1210" i="1"/>
  <c r="M1210" i="1"/>
  <c r="L1210" i="1"/>
  <c r="K1210" i="1"/>
  <c r="R1209" i="1"/>
  <c r="M1209" i="1"/>
  <c r="L1209" i="1"/>
  <c r="K1209" i="1"/>
  <c r="R1208" i="1"/>
  <c r="M1208" i="1"/>
  <c r="L1208" i="1"/>
  <c r="K1208" i="1"/>
  <c r="R1207" i="1"/>
  <c r="M1207" i="1"/>
  <c r="L1207" i="1"/>
  <c r="K1207" i="1"/>
  <c r="R1206" i="1"/>
  <c r="M1206" i="1"/>
  <c r="L1206" i="1"/>
  <c r="K1206" i="1"/>
  <c r="R1205" i="1"/>
  <c r="M1205" i="1"/>
  <c r="L1205" i="1"/>
  <c r="K1205" i="1"/>
  <c r="R1204" i="1"/>
  <c r="M1204" i="1"/>
  <c r="L1204" i="1"/>
  <c r="K1204" i="1"/>
  <c r="R1203" i="1"/>
  <c r="M1203" i="1"/>
  <c r="L1203" i="1"/>
  <c r="K1203" i="1"/>
  <c r="R1202" i="1"/>
  <c r="M1202" i="1"/>
  <c r="L1202" i="1"/>
  <c r="K1202" i="1"/>
  <c r="R1201" i="1"/>
  <c r="M1201" i="1"/>
  <c r="N1201" i="1" s="1"/>
  <c r="L1201" i="1"/>
  <c r="K1201" i="1"/>
  <c r="R1200" i="1"/>
  <c r="M1200" i="1"/>
  <c r="L1200" i="1"/>
  <c r="K1200" i="1"/>
  <c r="R1199" i="1"/>
  <c r="M1199" i="1"/>
  <c r="N1199" i="1" s="1"/>
  <c r="L1199" i="1"/>
  <c r="K1199" i="1"/>
  <c r="R1198" i="1"/>
  <c r="M1198" i="1"/>
  <c r="N1198" i="1" s="1"/>
  <c r="L1198" i="1"/>
  <c r="K1198" i="1"/>
  <c r="R1197" i="1"/>
  <c r="M1197" i="1"/>
  <c r="N1197" i="1" s="1"/>
  <c r="L1197" i="1"/>
  <c r="K1197" i="1"/>
  <c r="R1196" i="1"/>
  <c r="M1196" i="1"/>
  <c r="N1196" i="1" s="1"/>
  <c r="L1196" i="1"/>
  <c r="K1196" i="1"/>
  <c r="R1195" i="1"/>
  <c r="M1195" i="1"/>
  <c r="N1195" i="1" s="1"/>
  <c r="L1195" i="1"/>
  <c r="K1195" i="1"/>
  <c r="R1194" i="1"/>
  <c r="M1194" i="1"/>
  <c r="N1194" i="1" s="1"/>
  <c r="L1194" i="1"/>
  <c r="K1194" i="1"/>
  <c r="R1193" i="1"/>
  <c r="M1193" i="1"/>
  <c r="N1193" i="1" s="1"/>
  <c r="L1193" i="1"/>
  <c r="K1193" i="1"/>
  <c r="R1192" i="1"/>
  <c r="M1192" i="1"/>
  <c r="N1192" i="1" s="1"/>
  <c r="L1192" i="1"/>
  <c r="K1192" i="1"/>
  <c r="R1191" i="1"/>
  <c r="M1191" i="1"/>
  <c r="N1191" i="1" s="1"/>
  <c r="L1191" i="1"/>
  <c r="K1191" i="1"/>
  <c r="R1190" i="1"/>
  <c r="M1190" i="1"/>
  <c r="N1190" i="1" s="1"/>
  <c r="L1190" i="1"/>
  <c r="K1190" i="1"/>
  <c r="R1189" i="1"/>
  <c r="M1189" i="1"/>
  <c r="N1189" i="1" s="1"/>
  <c r="L1189" i="1"/>
  <c r="K1189" i="1"/>
  <c r="R1188" i="1"/>
  <c r="M1188" i="1"/>
  <c r="N1188" i="1" s="1"/>
  <c r="L1188" i="1"/>
  <c r="K1188" i="1"/>
  <c r="R1187" i="1"/>
  <c r="M1187" i="1"/>
  <c r="N1187" i="1" s="1"/>
  <c r="L1187" i="1"/>
  <c r="K1187" i="1"/>
  <c r="R1186" i="1"/>
  <c r="M1186" i="1"/>
  <c r="N1186" i="1" s="1"/>
  <c r="L1186" i="1"/>
  <c r="K1186" i="1"/>
  <c r="R1185" i="1"/>
  <c r="N1185" i="1"/>
  <c r="M1185" i="1"/>
  <c r="L1185" i="1"/>
  <c r="K1185" i="1"/>
  <c r="R1184" i="1"/>
  <c r="M1184" i="1"/>
  <c r="L1184" i="1"/>
  <c r="K1184" i="1"/>
  <c r="R1183" i="1"/>
  <c r="N1183" i="1"/>
  <c r="M1183" i="1"/>
  <c r="L1183" i="1"/>
  <c r="K1183" i="1"/>
  <c r="R1182" i="1"/>
  <c r="M1182" i="1"/>
  <c r="N1182" i="1" s="1"/>
  <c r="L1182" i="1"/>
  <c r="K1182" i="1"/>
  <c r="R1181" i="1"/>
  <c r="M1181" i="1"/>
  <c r="L1181" i="1"/>
  <c r="N1181" i="1" s="1"/>
  <c r="K1181" i="1"/>
  <c r="R1180" i="1"/>
  <c r="M1180" i="1"/>
  <c r="L1180" i="1"/>
  <c r="K1180" i="1"/>
  <c r="R1179" i="1"/>
  <c r="M1179" i="1"/>
  <c r="L1179" i="1"/>
  <c r="N1179" i="1" s="1"/>
  <c r="K1179" i="1"/>
  <c r="R1178" i="1"/>
  <c r="M1178" i="1"/>
  <c r="N1178" i="1" s="1"/>
  <c r="L1178" i="1"/>
  <c r="K1178" i="1"/>
  <c r="R1177" i="1"/>
  <c r="M1177" i="1"/>
  <c r="N1177" i="1" s="1"/>
  <c r="L1177" i="1"/>
  <c r="K1177" i="1"/>
  <c r="R1176" i="1"/>
  <c r="M1176" i="1"/>
  <c r="N1176" i="1" s="1"/>
  <c r="L1176" i="1"/>
  <c r="K1176" i="1"/>
  <c r="R1175" i="1"/>
  <c r="M1175" i="1"/>
  <c r="L1175" i="1"/>
  <c r="N1175" i="1" s="1"/>
  <c r="K1175" i="1"/>
  <c r="R1174" i="1"/>
  <c r="M1174" i="1"/>
  <c r="L1174" i="1"/>
  <c r="K1174" i="1"/>
  <c r="R1173" i="1"/>
  <c r="M1173" i="1"/>
  <c r="L1173" i="1"/>
  <c r="N1173" i="1" s="1"/>
  <c r="K1173" i="1"/>
  <c r="R1172" i="1"/>
  <c r="M1172" i="1"/>
  <c r="L1172" i="1"/>
  <c r="N1172" i="1" s="1"/>
  <c r="K1172" i="1"/>
  <c r="R1171" i="1"/>
  <c r="N1171" i="1"/>
  <c r="M1171" i="1"/>
  <c r="L1171" i="1"/>
  <c r="K1171" i="1"/>
  <c r="R1170" i="1"/>
  <c r="N1170" i="1"/>
  <c r="M1170" i="1"/>
  <c r="L1170" i="1"/>
  <c r="K1170" i="1"/>
  <c r="R1169" i="1"/>
  <c r="M1169" i="1"/>
  <c r="L1169" i="1"/>
  <c r="K1169" i="1"/>
  <c r="R1168" i="1"/>
  <c r="M1168" i="1"/>
  <c r="L1168" i="1"/>
  <c r="N1168" i="1" s="1"/>
  <c r="K1168" i="1"/>
  <c r="R1167" i="1"/>
  <c r="M1167" i="1"/>
  <c r="L1167" i="1"/>
  <c r="K1167" i="1"/>
  <c r="R1166" i="1"/>
  <c r="M1166" i="1"/>
  <c r="N1166" i="1" s="1"/>
  <c r="L1166" i="1"/>
  <c r="K1166" i="1"/>
  <c r="R1165" i="1"/>
  <c r="M1165" i="1"/>
  <c r="N1165" i="1" s="1"/>
  <c r="L1165" i="1"/>
  <c r="K1165" i="1"/>
  <c r="R1164" i="1"/>
  <c r="M1164" i="1"/>
  <c r="L1164" i="1"/>
  <c r="K1164" i="1"/>
  <c r="R1163" i="1"/>
  <c r="M1163" i="1"/>
  <c r="L1163" i="1"/>
  <c r="K1163" i="1"/>
  <c r="R1162" i="1"/>
  <c r="N1162" i="1"/>
  <c r="M1162" i="1"/>
  <c r="L1162" i="1"/>
  <c r="K1162" i="1"/>
  <c r="R1161" i="1"/>
  <c r="M1161" i="1"/>
  <c r="N1161" i="1" s="1"/>
  <c r="L1161" i="1"/>
  <c r="K1161" i="1"/>
  <c r="R1160" i="1"/>
  <c r="M1160" i="1"/>
  <c r="L1160" i="1"/>
  <c r="K1160" i="1"/>
  <c r="R1159" i="1"/>
  <c r="N1159" i="1"/>
  <c r="M1159" i="1"/>
  <c r="L1159" i="1"/>
  <c r="K1159" i="1"/>
  <c r="R1158" i="1"/>
  <c r="M1158" i="1"/>
  <c r="N1158" i="1" s="1"/>
  <c r="L1158" i="1"/>
  <c r="K1158" i="1"/>
  <c r="R1157" i="1"/>
  <c r="M1157" i="1"/>
  <c r="L1157" i="1"/>
  <c r="K1157" i="1"/>
  <c r="R1156" i="1"/>
  <c r="M1156" i="1"/>
  <c r="L1156" i="1"/>
  <c r="K1156" i="1"/>
  <c r="R1155" i="1"/>
  <c r="M1155" i="1"/>
  <c r="L1155" i="1"/>
  <c r="K1155" i="1"/>
  <c r="R1154" i="1"/>
  <c r="M1154" i="1"/>
  <c r="L1154" i="1"/>
  <c r="N1154" i="1" s="1"/>
  <c r="K1154" i="1"/>
  <c r="R1153" i="1"/>
  <c r="M1153" i="1"/>
  <c r="L1153" i="1"/>
  <c r="K1153" i="1"/>
  <c r="R1152" i="1"/>
  <c r="M1152" i="1"/>
  <c r="L1152" i="1"/>
  <c r="N1152" i="1" s="1"/>
  <c r="K1152" i="1"/>
  <c r="R1151" i="1"/>
  <c r="M1151" i="1"/>
  <c r="L1151" i="1"/>
  <c r="N1151" i="1" s="1"/>
  <c r="K1151" i="1"/>
  <c r="R1150" i="1"/>
  <c r="N1150" i="1"/>
  <c r="M1150" i="1"/>
  <c r="L1150" i="1"/>
  <c r="K1150" i="1"/>
  <c r="R1149" i="1"/>
  <c r="N1149" i="1"/>
  <c r="M1149" i="1"/>
  <c r="L1149" i="1"/>
  <c r="K1149" i="1"/>
  <c r="R1148" i="1"/>
  <c r="M1148" i="1"/>
  <c r="L1148" i="1"/>
  <c r="K1148" i="1"/>
  <c r="R1147" i="1"/>
  <c r="M1147" i="1"/>
  <c r="L1147" i="1"/>
  <c r="K1147" i="1"/>
  <c r="R1146" i="1"/>
  <c r="N1146" i="1"/>
  <c r="M1146" i="1"/>
  <c r="L1146" i="1"/>
  <c r="K1146" i="1"/>
  <c r="R1145" i="1"/>
  <c r="M1145" i="1"/>
  <c r="L1145" i="1"/>
  <c r="K1145" i="1"/>
  <c r="R1144" i="1"/>
  <c r="M1144" i="1"/>
  <c r="L1144" i="1"/>
  <c r="N1144" i="1" s="1"/>
  <c r="K1144" i="1"/>
  <c r="R1143" i="1"/>
  <c r="M1143" i="1"/>
  <c r="L1143" i="1"/>
  <c r="N1143" i="1" s="1"/>
  <c r="K1143" i="1"/>
  <c r="R1142" i="1"/>
  <c r="N1142" i="1"/>
  <c r="M1142" i="1"/>
  <c r="L1142" i="1"/>
  <c r="K1142" i="1"/>
  <c r="R1141" i="1"/>
  <c r="M1141" i="1"/>
  <c r="N1141" i="1" s="1"/>
  <c r="L1141" i="1"/>
  <c r="K1141" i="1"/>
  <c r="R1140" i="1"/>
  <c r="M1140" i="1"/>
  <c r="L1140" i="1"/>
  <c r="K1140" i="1"/>
  <c r="R1139" i="1"/>
  <c r="M1139" i="1"/>
  <c r="L1139" i="1"/>
  <c r="K1139" i="1"/>
  <c r="R1138" i="1"/>
  <c r="N1138" i="1"/>
  <c r="M1138" i="1"/>
  <c r="L1138" i="1"/>
  <c r="K1138" i="1"/>
  <c r="R1137" i="1"/>
  <c r="M1137" i="1"/>
  <c r="L1137" i="1"/>
  <c r="N1137" i="1" s="1"/>
  <c r="K1137" i="1"/>
  <c r="R1136" i="1"/>
  <c r="M1136" i="1"/>
  <c r="L1136" i="1"/>
  <c r="K1136" i="1"/>
  <c r="R1135" i="1"/>
  <c r="N1135" i="1"/>
  <c r="M1135" i="1"/>
  <c r="L1135" i="1"/>
  <c r="K1135" i="1"/>
  <c r="R1134" i="1"/>
  <c r="M1134" i="1"/>
  <c r="N1134" i="1" s="1"/>
  <c r="L1134" i="1"/>
  <c r="K1134" i="1"/>
  <c r="R1133" i="1"/>
  <c r="M1133" i="1"/>
  <c r="L1133" i="1"/>
  <c r="N1133" i="1" s="1"/>
  <c r="K1133" i="1"/>
  <c r="R1132" i="1"/>
  <c r="M1132" i="1"/>
  <c r="L1132" i="1"/>
  <c r="K1132" i="1"/>
  <c r="R1131" i="1"/>
  <c r="M1131" i="1"/>
  <c r="N1131" i="1" s="1"/>
  <c r="L1131" i="1"/>
  <c r="K1131" i="1"/>
  <c r="R1130" i="1"/>
  <c r="N1130" i="1"/>
  <c r="M1130" i="1"/>
  <c r="L1130" i="1"/>
  <c r="K1130" i="1"/>
  <c r="R1129" i="1"/>
  <c r="M1129" i="1"/>
  <c r="L1129" i="1"/>
  <c r="N1129" i="1" s="1"/>
  <c r="K1129" i="1"/>
  <c r="R1128" i="1"/>
  <c r="M1128" i="1"/>
  <c r="L1128" i="1"/>
  <c r="K1128" i="1"/>
  <c r="R1127" i="1"/>
  <c r="M1127" i="1"/>
  <c r="N1127" i="1" s="1"/>
  <c r="L1127" i="1"/>
  <c r="K1127" i="1"/>
  <c r="R1126" i="1"/>
  <c r="M1126" i="1"/>
  <c r="N1126" i="1" s="1"/>
  <c r="L1126" i="1"/>
  <c r="K1126" i="1"/>
  <c r="R1125" i="1"/>
  <c r="M1125" i="1"/>
  <c r="L1125" i="1"/>
  <c r="N1125" i="1" s="1"/>
  <c r="K1125" i="1"/>
  <c r="R1124" i="1"/>
  <c r="M1124" i="1"/>
  <c r="L1124" i="1"/>
  <c r="K1124" i="1"/>
  <c r="R1123" i="1"/>
  <c r="M1123" i="1"/>
  <c r="L1123" i="1"/>
  <c r="N1123" i="1" s="1"/>
  <c r="K1123" i="1"/>
  <c r="R1122" i="1"/>
  <c r="N1122" i="1"/>
  <c r="M1122" i="1"/>
  <c r="L1122" i="1"/>
  <c r="K1122" i="1"/>
  <c r="R1121" i="1"/>
  <c r="N1121" i="1"/>
  <c r="M1121" i="1"/>
  <c r="L1121" i="1"/>
  <c r="K1121" i="1"/>
  <c r="R1120" i="1"/>
  <c r="M1120" i="1"/>
  <c r="L1120" i="1"/>
  <c r="K1120" i="1"/>
  <c r="R1119" i="1"/>
  <c r="M1119" i="1"/>
  <c r="N1119" i="1" s="1"/>
  <c r="L1119" i="1"/>
  <c r="K1119" i="1"/>
  <c r="R1118" i="1"/>
  <c r="M1118" i="1"/>
  <c r="N1118" i="1" s="1"/>
  <c r="L1118" i="1"/>
  <c r="K1118" i="1"/>
  <c r="R1117" i="1"/>
  <c r="M1117" i="1"/>
  <c r="L1117" i="1"/>
  <c r="N1117" i="1" s="1"/>
  <c r="K1117" i="1"/>
  <c r="R1116" i="1"/>
  <c r="M1116" i="1"/>
  <c r="L1116" i="1"/>
  <c r="K1116" i="1"/>
  <c r="R1115" i="1"/>
  <c r="M1115" i="1"/>
  <c r="L1115" i="1"/>
  <c r="N1115" i="1" s="1"/>
  <c r="K1115" i="1"/>
  <c r="R1114" i="1"/>
  <c r="N1114" i="1"/>
  <c r="M1114" i="1"/>
  <c r="L1114" i="1"/>
  <c r="K1114" i="1"/>
  <c r="R1113" i="1"/>
  <c r="N1113" i="1"/>
  <c r="M1113" i="1"/>
  <c r="L1113" i="1"/>
  <c r="K1113" i="1"/>
  <c r="R1112" i="1"/>
  <c r="M1112" i="1"/>
  <c r="L1112" i="1"/>
  <c r="K1112" i="1"/>
  <c r="R1111" i="1"/>
  <c r="M1111" i="1"/>
  <c r="N1111" i="1" s="1"/>
  <c r="L1111" i="1"/>
  <c r="K1111" i="1"/>
  <c r="R1110" i="1"/>
  <c r="N1110" i="1"/>
  <c r="M1110" i="1"/>
  <c r="L1110" i="1"/>
  <c r="K1110" i="1"/>
  <c r="R1109" i="1"/>
  <c r="M1109" i="1"/>
  <c r="L1109" i="1"/>
  <c r="N1109" i="1" s="1"/>
  <c r="K1109" i="1"/>
  <c r="R1108" i="1"/>
  <c r="M1108" i="1"/>
  <c r="L1108" i="1"/>
  <c r="N1108" i="1" s="1"/>
  <c r="K1108" i="1"/>
  <c r="R1107" i="1"/>
  <c r="N1107" i="1"/>
  <c r="M1107" i="1"/>
  <c r="L1107" i="1"/>
  <c r="K1107" i="1"/>
  <c r="R1106" i="1"/>
  <c r="N1106" i="1"/>
  <c r="M1106" i="1"/>
  <c r="L1106" i="1"/>
  <c r="K1106" i="1"/>
  <c r="R1105" i="1"/>
  <c r="N1105" i="1"/>
  <c r="M1105" i="1"/>
  <c r="L1105" i="1"/>
  <c r="K1105" i="1"/>
  <c r="R1104" i="1"/>
  <c r="M1104" i="1"/>
  <c r="L1104" i="1"/>
  <c r="K1104" i="1"/>
  <c r="R1103" i="1"/>
  <c r="M1103" i="1"/>
  <c r="N1103" i="1" s="1"/>
  <c r="L1103" i="1"/>
  <c r="K1103" i="1"/>
  <c r="R1102" i="1"/>
  <c r="M1102" i="1"/>
  <c r="N1102" i="1" s="1"/>
  <c r="L1102" i="1"/>
  <c r="K1102" i="1"/>
  <c r="R1101" i="1"/>
  <c r="M1101" i="1"/>
  <c r="L1101" i="1"/>
  <c r="N1101" i="1" s="1"/>
  <c r="K1101" i="1"/>
  <c r="R1100" i="1"/>
  <c r="N1100" i="1"/>
  <c r="M1100" i="1"/>
  <c r="L1100" i="1"/>
  <c r="K1100" i="1"/>
  <c r="R1099" i="1"/>
  <c r="M1099" i="1"/>
  <c r="N1099" i="1" s="1"/>
  <c r="L1099" i="1"/>
  <c r="K1099" i="1"/>
  <c r="R1098" i="1"/>
  <c r="M1098" i="1"/>
  <c r="N1098" i="1" s="1"/>
  <c r="L1098" i="1"/>
  <c r="K1098" i="1"/>
  <c r="R1097" i="1"/>
  <c r="N1097" i="1"/>
  <c r="M1097" i="1"/>
  <c r="L1097" i="1"/>
  <c r="K1097" i="1"/>
  <c r="R1096" i="1"/>
  <c r="M1096" i="1"/>
  <c r="L1096" i="1"/>
  <c r="K1096" i="1"/>
  <c r="R1095" i="1"/>
  <c r="M1095" i="1"/>
  <c r="L1095" i="1"/>
  <c r="K1095" i="1"/>
  <c r="R1094" i="1"/>
  <c r="M1094" i="1"/>
  <c r="N1094" i="1" s="1"/>
  <c r="L1094" i="1"/>
  <c r="K1094" i="1"/>
  <c r="R1093" i="1"/>
  <c r="M1093" i="1"/>
  <c r="L1093" i="1"/>
  <c r="N1093" i="1" s="1"/>
  <c r="K1093" i="1"/>
  <c r="R1092" i="1"/>
  <c r="M1092" i="1"/>
  <c r="L1092" i="1"/>
  <c r="K1092" i="1"/>
  <c r="R1091" i="1"/>
  <c r="M1091" i="1"/>
  <c r="L1091" i="1"/>
  <c r="K1091" i="1"/>
  <c r="R1090" i="1"/>
  <c r="M1090" i="1"/>
  <c r="N1090" i="1" s="1"/>
  <c r="L1090" i="1"/>
  <c r="K1090" i="1"/>
  <c r="R1089" i="1"/>
  <c r="M1089" i="1"/>
  <c r="L1089" i="1"/>
  <c r="K1089" i="1"/>
  <c r="R1088" i="1"/>
  <c r="N1088" i="1"/>
  <c r="M1088" i="1"/>
  <c r="L1088" i="1"/>
  <c r="K1088" i="1"/>
  <c r="R1087" i="1"/>
  <c r="M1087" i="1"/>
  <c r="N1087" i="1" s="1"/>
  <c r="L1087" i="1"/>
  <c r="K1087" i="1"/>
  <c r="R1086" i="1"/>
  <c r="M1086" i="1"/>
  <c r="L1086" i="1"/>
  <c r="N1086" i="1" s="1"/>
  <c r="K1086" i="1"/>
  <c r="R1085" i="1"/>
  <c r="M1085" i="1"/>
  <c r="L1085" i="1"/>
  <c r="K1085" i="1"/>
  <c r="R1084" i="1"/>
  <c r="M1084" i="1"/>
  <c r="L1084" i="1"/>
  <c r="N1084" i="1" s="1"/>
  <c r="K1084" i="1"/>
  <c r="R1083" i="1"/>
  <c r="M1083" i="1"/>
  <c r="N1083" i="1" s="1"/>
  <c r="L1083" i="1"/>
  <c r="K1083" i="1"/>
  <c r="R1082" i="1"/>
  <c r="M1082" i="1"/>
  <c r="L1082" i="1"/>
  <c r="K1082" i="1"/>
  <c r="R1081" i="1"/>
  <c r="M1081" i="1"/>
  <c r="L1081" i="1"/>
  <c r="K1081" i="1"/>
  <c r="R1080" i="1"/>
  <c r="M1080" i="1"/>
  <c r="L1080" i="1"/>
  <c r="N1080" i="1" s="1"/>
  <c r="K1080" i="1"/>
  <c r="R1079" i="1"/>
  <c r="M1079" i="1"/>
  <c r="N1079" i="1" s="1"/>
  <c r="L1079" i="1"/>
  <c r="K1079" i="1"/>
  <c r="R1078" i="1"/>
  <c r="M1078" i="1"/>
  <c r="L1078" i="1"/>
  <c r="K1078" i="1"/>
  <c r="R1077" i="1"/>
  <c r="M1077" i="1"/>
  <c r="N1077" i="1" s="1"/>
  <c r="L1077" i="1"/>
  <c r="K1077" i="1"/>
  <c r="R1076" i="1"/>
  <c r="M1076" i="1"/>
  <c r="L1076" i="1"/>
  <c r="N1076" i="1" s="1"/>
  <c r="K1076" i="1"/>
  <c r="R1075" i="1"/>
  <c r="N1075" i="1"/>
  <c r="M1075" i="1"/>
  <c r="L1075" i="1"/>
  <c r="K1075" i="1"/>
  <c r="R1074" i="1"/>
  <c r="M1074" i="1"/>
  <c r="N1074" i="1" s="1"/>
  <c r="L1074" i="1"/>
  <c r="K1074" i="1"/>
  <c r="R1073" i="1"/>
  <c r="M1073" i="1"/>
  <c r="L1073" i="1"/>
  <c r="K1073" i="1"/>
  <c r="R1072" i="1"/>
  <c r="N1072" i="1"/>
  <c r="M1072" i="1"/>
  <c r="L1072" i="1"/>
  <c r="K1072" i="1"/>
  <c r="R1071" i="1"/>
  <c r="M1071" i="1"/>
  <c r="L1071" i="1"/>
  <c r="K1071" i="1"/>
  <c r="R1070" i="1"/>
  <c r="M1070" i="1"/>
  <c r="L1070" i="1"/>
  <c r="N1070" i="1" s="1"/>
  <c r="K1070" i="1"/>
  <c r="R1069" i="1"/>
  <c r="M1069" i="1"/>
  <c r="N1069" i="1" s="1"/>
  <c r="L1069" i="1"/>
  <c r="K1069" i="1"/>
  <c r="R1068" i="1"/>
  <c r="M1068" i="1"/>
  <c r="L1068" i="1"/>
  <c r="N1068" i="1" s="1"/>
  <c r="K1068" i="1"/>
  <c r="R1067" i="1"/>
  <c r="N1067" i="1"/>
  <c r="M1067" i="1"/>
  <c r="L1067" i="1"/>
  <c r="K1067" i="1"/>
  <c r="R1066" i="1"/>
  <c r="M1066" i="1"/>
  <c r="N1066" i="1" s="1"/>
  <c r="L1066" i="1"/>
  <c r="K1066" i="1"/>
  <c r="R1065" i="1"/>
  <c r="M1065" i="1"/>
  <c r="L1065" i="1"/>
  <c r="N1065" i="1" s="1"/>
  <c r="K1065" i="1"/>
  <c r="R1064" i="1"/>
  <c r="M1064" i="1"/>
  <c r="L1064" i="1"/>
  <c r="K1064" i="1"/>
  <c r="R1063" i="1"/>
  <c r="M1063" i="1"/>
  <c r="L1063" i="1"/>
  <c r="K1063" i="1"/>
  <c r="R1062" i="1"/>
  <c r="N1062" i="1"/>
  <c r="M1062" i="1"/>
  <c r="L1062" i="1"/>
  <c r="K1062" i="1"/>
  <c r="R1061" i="1"/>
  <c r="M1061" i="1"/>
  <c r="N1061" i="1" s="1"/>
  <c r="L1061" i="1"/>
  <c r="K1061" i="1"/>
  <c r="R1060" i="1"/>
  <c r="M1060" i="1"/>
  <c r="L1060" i="1"/>
  <c r="K1060" i="1"/>
  <c r="R1059" i="1"/>
  <c r="N1059" i="1"/>
  <c r="M1059" i="1"/>
  <c r="L1059" i="1"/>
  <c r="K1059" i="1"/>
  <c r="R1058" i="1"/>
  <c r="M1058" i="1"/>
  <c r="L1058" i="1"/>
  <c r="K1058" i="1"/>
  <c r="R1057" i="1"/>
  <c r="M1057" i="1"/>
  <c r="L1057" i="1"/>
  <c r="K1057" i="1"/>
  <c r="R1056" i="1"/>
  <c r="M1056" i="1"/>
  <c r="L1056" i="1"/>
  <c r="N1056" i="1" s="1"/>
  <c r="K1056" i="1"/>
  <c r="R1055" i="1"/>
  <c r="M1055" i="1"/>
  <c r="N1055" i="1" s="1"/>
  <c r="L1055" i="1"/>
  <c r="K1055" i="1"/>
  <c r="R1054" i="1"/>
  <c r="M1054" i="1"/>
  <c r="L1054" i="1"/>
  <c r="N1054" i="1" s="1"/>
  <c r="K1054" i="1"/>
  <c r="R1053" i="1"/>
  <c r="M1053" i="1"/>
  <c r="L1053" i="1"/>
  <c r="K1053" i="1"/>
  <c r="R1052" i="1"/>
  <c r="M1052" i="1"/>
  <c r="L1052" i="1"/>
  <c r="K1052" i="1"/>
  <c r="R1051" i="1"/>
  <c r="M1051" i="1"/>
  <c r="N1051" i="1" s="1"/>
  <c r="L1051" i="1"/>
  <c r="K1051" i="1"/>
  <c r="R1050" i="1"/>
  <c r="M1050" i="1"/>
  <c r="L1050" i="1"/>
  <c r="N1050" i="1" s="1"/>
  <c r="K1050" i="1"/>
  <c r="R1049" i="1"/>
  <c r="M1049" i="1"/>
  <c r="L1049" i="1"/>
  <c r="K1049" i="1"/>
  <c r="R1048" i="1"/>
  <c r="M1048" i="1"/>
  <c r="L1048" i="1"/>
  <c r="N1048" i="1" s="1"/>
  <c r="K1048" i="1"/>
  <c r="R1047" i="1"/>
  <c r="M1047" i="1"/>
  <c r="N1047" i="1" s="1"/>
  <c r="L1047" i="1"/>
  <c r="K1047" i="1"/>
  <c r="R1046" i="1"/>
  <c r="M1046" i="1"/>
  <c r="N1046" i="1" s="1"/>
  <c r="L1046" i="1"/>
  <c r="K1046" i="1"/>
  <c r="R1045" i="1"/>
  <c r="M1045" i="1"/>
  <c r="L1045" i="1"/>
  <c r="K1045" i="1"/>
  <c r="R1044" i="1"/>
  <c r="M1044" i="1"/>
  <c r="L1044" i="1"/>
  <c r="K1044" i="1"/>
  <c r="R1043" i="1"/>
  <c r="M1043" i="1"/>
  <c r="L1043" i="1"/>
  <c r="N1043" i="1" s="1"/>
  <c r="K1043" i="1"/>
  <c r="R1042" i="1"/>
  <c r="M1042" i="1"/>
  <c r="L1042" i="1"/>
  <c r="K1042" i="1"/>
  <c r="R1041" i="1"/>
  <c r="M1041" i="1"/>
  <c r="L1041" i="1"/>
  <c r="K1041" i="1"/>
  <c r="R1040" i="1"/>
  <c r="M1040" i="1"/>
  <c r="L1040" i="1"/>
  <c r="N1040" i="1" s="1"/>
  <c r="K1040" i="1"/>
  <c r="R1039" i="1"/>
  <c r="M1039" i="1"/>
  <c r="N1039" i="1" s="1"/>
  <c r="L1039" i="1"/>
  <c r="K1039" i="1"/>
  <c r="R1038" i="1"/>
  <c r="M1038" i="1"/>
  <c r="N1038" i="1" s="1"/>
  <c r="L1038" i="1"/>
  <c r="K1038" i="1"/>
  <c r="R1037" i="1"/>
  <c r="M1037" i="1"/>
  <c r="L1037" i="1"/>
  <c r="K1037" i="1"/>
  <c r="R1036" i="1"/>
  <c r="M1036" i="1"/>
  <c r="L1036" i="1"/>
  <c r="K1036" i="1"/>
  <c r="R1035" i="1"/>
  <c r="M1035" i="1"/>
  <c r="L1035" i="1"/>
  <c r="N1035" i="1" s="1"/>
  <c r="K1035" i="1"/>
  <c r="R1034" i="1"/>
  <c r="M1034" i="1"/>
  <c r="L1034" i="1"/>
  <c r="N1034" i="1" s="1"/>
  <c r="K1034" i="1"/>
  <c r="R1033" i="1"/>
  <c r="M1033" i="1"/>
  <c r="L1033" i="1"/>
  <c r="K1033" i="1"/>
  <c r="R1032" i="1"/>
  <c r="M1032" i="1"/>
  <c r="L1032" i="1"/>
  <c r="N1032" i="1" s="1"/>
  <c r="K1032" i="1"/>
  <c r="R1031" i="1"/>
  <c r="M1031" i="1"/>
  <c r="N1031" i="1" s="1"/>
  <c r="L1031" i="1"/>
  <c r="K1031" i="1"/>
  <c r="R1030" i="1"/>
  <c r="M1030" i="1"/>
  <c r="L1030" i="1"/>
  <c r="N1030" i="1" s="1"/>
  <c r="K1030" i="1"/>
  <c r="R1029" i="1"/>
  <c r="M1029" i="1"/>
  <c r="L1029" i="1"/>
  <c r="K1029" i="1"/>
  <c r="R1028" i="1"/>
  <c r="M1028" i="1"/>
  <c r="L1028" i="1"/>
  <c r="K1028" i="1"/>
  <c r="R1027" i="1"/>
  <c r="M1027" i="1"/>
  <c r="N1027" i="1" s="1"/>
  <c r="L1027" i="1"/>
  <c r="K1027" i="1"/>
  <c r="R1026" i="1"/>
  <c r="M1026" i="1"/>
  <c r="L1026" i="1"/>
  <c r="K1026" i="1"/>
  <c r="R1025" i="1"/>
  <c r="M1025" i="1"/>
  <c r="L1025" i="1"/>
  <c r="K1025" i="1"/>
  <c r="R1024" i="1"/>
  <c r="M1024" i="1"/>
  <c r="L1024" i="1"/>
  <c r="N1024" i="1" s="1"/>
  <c r="K1024" i="1"/>
  <c r="R1023" i="1"/>
  <c r="M1023" i="1"/>
  <c r="N1023" i="1" s="1"/>
  <c r="L1023" i="1"/>
  <c r="K1023" i="1"/>
  <c r="R1022" i="1"/>
  <c r="M1022" i="1"/>
  <c r="L1022" i="1"/>
  <c r="N1022" i="1" s="1"/>
  <c r="K1022" i="1"/>
  <c r="R1021" i="1"/>
  <c r="M1021" i="1"/>
  <c r="N1021" i="1" s="1"/>
  <c r="L1021" i="1"/>
  <c r="K1021" i="1"/>
  <c r="R1020" i="1"/>
  <c r="M1020" i="1"/>
  <c r="L1020" i="1"/>
  <c r="N1020" i="1" s="1"/>
  <c r="K1020" i="1"/>
  <c r="R1019" i="1"/>
  <c r="M1019" i="1"/>
  <c r="L1019" i="1"/>
  <c r="N1019" i="1" s="1"/>
  <c r="K1019" i="1"/>
  <c r="R1018" i="1"/>
  <c r="N1018" i="1"/>
  <c r="M1018" i="1"/>
  <c r="L1018" i="1"/>
  <c r="K1018" i="1"/>
  <c r="R1017" i="1"/>
  <c r="M1017" i="1"/>
  <c r="L1017" i="1"/>
  <c r="K1017" i="1"/>
  <c r="R1016" i="1"/>
  <c r="M1016" i="1"/>
  <c r="L1016" i="1"/>
  <c r="N1016" i="1" s="1"/>
  <c r="K1016" i="1"/>
  <c r="R1015" i="1"/>
  <c r="M1015" i="1"/>
  <c r="N1015" i="1" s="1"/>
  <c r="L1015" i="1"/>
  <c r="K1015" i="1"/>
  <c r="R1014" i="1"/>
  <c r="M1014" i="1"/>
  <c r="N1014" i="1" s="1"/>
  <c r="L1014" i="1"/>
  <c r="K1014" i="1"/>
  <c r="R1013" i="1"/>
  <c r="M1013" i="1"/>
  <c r="L1013" i="1"/>
  <c r="K1013" i="1"/>
  <c r="R1012" i="1"/>
  <c r="M1012" i="1"/>
  <c r="L1012" i="1"/>
  <c r="K1012" i="1"/>
  <c r="R1011" i="1"/>
  <c r="M1011" i="1"/>
  <c r="L1011" i="1"/>
  <c r="N1011" i="1" s="1"/>
  <c r="K1011" i="1"/>
  <c r="R1010" i="1"/>
  <c r="M1010" i="1"/>
  <c r="N1010" i="1" s="1"/>
  <c r="L1010" i="1"/>
  <c r="K1010" i="1"/>
  <c r="R1009" i="1"/>
  <c r="M1009" i="1"/>
  <c r="L1009" i="1"/>
  <c r="K1009" i="1"/>
  <c r="R1008" i="1"/>
  <c r="M1008" i="1"/>
  <c r="L1008" i="1"/>
  <c r="K1008" i="1"/>
  <c r="R1007" i="1"/>
  <c r="M1007" i="1"/>
  <c r="N1007" i="1" s="1"/>
  <c r="L1007" i="1"/>
  <c r="K1007" i="1"/>
  <c r="R1006" i="1"/>
  <c r="M1006" i="1"/>
  <c r="L1006" i="1"/>
  <c r="N1006" i="1" s="1"/>
  <c r="K1006" i="1"/>
  <c r="R1005" i="1"/>
  <c r="M1005" i="1"/>
  <c r="N1005" i="1" s="1"/>
  <c r="L1005" i="1"/>
  <c r="K1005" i="1"/>
  <c r="R1004" i="1"/>
  <c r="M1004" i="1"/>
  <c r="L1004" i="1"/>
  <c r="N1004" i="1" s="1"/>
  <c r="K1004" i="1"/>
  <c r="R1003" i="1"/>
  <c r="N1003" i="1"/>
  <c r="M1003" i="1"/>
  <c r="L1003" i="1"/>
  <c r="K1003" i="1"/>
  <c r="R1002" i="1"/>
  <c r="N1002" i="1"/>
  <c r="M1002" i="1"/>
  <c r="L1002" i="1"/>
  <c r="K1002" i="1"/>
  <c r="R1001" i="1"/>
  <c r="M1001" i="1"/>
  <c r="L1001" i="1"/>
  <c r="K1001" i="1"/>
  <c r="R1000" i="1"/>
  <c r="M1000" i="1"/>
  <c r="L1000" i="1"/>
  <c r="N1000" i="1" s="1"/>
  <c r="K1000" i="1"/>
  <c r="R999" i="1"/>
  <c r="M999" i="1"/>
  <c r="L999" i="1"/>
  <c r="K999" i="1"/>
  <c r="R998" i="1"/>
  <c r="M998" i="1"/>
  <c r="L998" i="1"/>
  <c r="K998" i="1"/>
  <c r="R997" i="1"/>
  <c r="M997" i="1"/>
  <c r="L997" i="1"/>
  <c r="K997" i="1"/>
  <c r="R996" i="1"/>
  <c r="M996" i="1"/>
  <c r="L996" i="1"/>
  <c r="N996" i="1" s="1"/>
  <c r="K996" i="1"/>
  <c r="R995" i="1"/>
  <c r="M995" i="1"/>
  <c r="L995" i="1"/>
  <c r="K995" i="1"/>
  <c r="R994" i="1"/>
  <c r="M994" i="1"/>
  <c r="L994" i="1"/>
  <c r="K994" i="1"/>
  <c r="R993" i="1"/>
  <c r="M993" i="1"/>
  <c r="L993" i="1"/>
  <c r="K993" i="1"/>
  <c r="R992" i="1"/>
  <c r="M992" i="1"/>
  <c r="L992" i="1"/>
  <c r="N992" i="1" s="1"/>
  <c r="K992" i="1"/>
  <c r="R991" i="1"/>
  <c r="M991" i="1"/>
  <c r="L991" i="1"/>
  <c r="K991" i="1"/>
  <c r="R990" i="1"/>
  <c r="M990" i="1"/>
  <c r="L990" i="1"/>
  <c r="K990" i="1"/>
  <c r="R989" i="1"/>
  <c r="M989" i="1"/>
  <c r="L989" i="1"/>
  <c r="K989" i="1"/>
  <c r="R988" i="1"/>
  <c r="M988" i="1"/>
  <c r="L988" i="1"/>
  <c r="N988" i="1" s="1"/>
  <c r="K988" i="1"/>
  <c r="R987" i="1"/>
  <c r="M987" i="1"/>
  <c r="L987" i="1"/>
  <c r="K987" i="1"/>
  <c r="R986" i="1"/>
  <c r="M986" i="1"/>
  <c r="L986" i="1"/>
  <c r="K986" i="1"/>
  <c r="R985" i="1"/>
  <c r="M985" i="1"/>
  <c r="L985" i="1"/>
  <c r="K985" i="1"/>
  <c r="R984" i="1"/>
  <c r="M984" i="1"/>
  <c r="L984" i="1"/>
  <c r="N984" i="1" s="1"/>
  <c r="K984" i="1"/>
  <c r="R983" i="1"/>
  <c r="M983" i="1"/>
  <c r="L983" i="1"/>
  <c r="K983" i="1"/>
  <c r="R982" i="1"/>
  <c r="M982" i="1"/>
  <c r="L982" i="1"/>
  <c r="K982" i="1"/>
  <c r="R981" i="1"/>
  <c r="M981" i="1"/>
  <c r="L981" i="1"/>
  <c r="K981" i="1"/>
  <c r="R980" i="1"/>
  <c r="M980" i="1"/>
  <c r="L980" i="1"/>
  <c r="N980" i="1" s="1"/>
  <c r="K980" i="1"/>
  <c r="R979" i="1"/>
  <c r="M979" i="1"/>
  <c r="L979" i="1"/>
  <c r="K979" i="1"/>
  <c r="R978" i="1"/>
  <c r="M978" i="1"/>
  <c r="L978" i="1"/>
  <c r="K978" i="1"/>
  <c r="R977" i="1"/>
  <c r="M977" i="1"/>
  <c r="L977" i="1"/>
  <c r="K977" i="1"/>
  <c r="R976" i="1"/>
  <c r="M976" i="1"/>
  <c r="L976" i="1"/>
  <c r="N976" i="1" s="1"/>
  <c r="K976" i="1"/>
  <c r="R975" i="1"/>
  <c r="M975" i="1"/>
  <c r="L975" i="1"/>
  <c r="K975" i="1"/>
  <c r="R974" i="1"/>
  <c r="M974" i="1"/>
  <c r="L974" i="1"/>
  <c r="K974" i="1"/>
  <c r="R973" i="1"/>
  <c r="M973" i="1"/>
  <c r="L973" i="1"/>
  <c r="K973" i="1"/>
  <c r="R972" i="1"/>
  <c r="M972" i="1"/>
  <c r="L972" i="1"/>
  <c r="N972" i="1" s="1"/>
  <c r="K972" i="1"/>
  <c r="R971" i="1"/>
  <c r="M971" i="1"/>
  <c r="L971" i="1"/>
  <c r="K971" i="1"/>
  <c r="R970" i="1"/>
  <c r="M970" i="1"/>
  <c r="L970" i="1"/>
  <c r="K970" i="1"/>
  <c r="R969" i="1"/>
  <c r="M969" i="1"/>
  <c r="L969" i="1"/>
  <c r="K969" i="1"/>
  <c r="R968" i="1"/>
  <c r="M968" i="1"/>
  <c r="L968" i="1"/>
  <c r="N968" i="1" s="1"/>
  <c r="K968" i="1"/>
  <c r="R967" i="1"/>
  <c r="M967" i="1"/>
  <c r="L967" i="1"/>
  <c r="K967" i="1"/>
  <c r="R966" i="1"/>
  <c r="M966" i="1"/>
  <c r="L966" i="1"/>
  <c r="K966" i="1"/>
  <c r="R965" i="1"/>
  <c r="M965" i="1"/>
  <c r="L965" i="1"/>
  <c r="K965" i="1"/>
  <c r="R964" i="1"/>
  <c r="M964" i="1"/>
  <c r="L964" i="1"/>
  <c r="N964" i="1" s="1"/>
  <c r="K964" i="1"/>
  <c r="R963" i="1"/>
  <c r="M963" i="1"/>
  <c r="L963" i="1"/>
  <c r="K963" i="1"/>
  <c r="R962" i="1"/>
  <c r="M962" i="1"/>
  <c r="L962" i="1"/>
  <c r="K962" i="1"/>
  <c r="R961" i="1"/>
  <c r="M961" i="1"/>
  <c r="L961" i="1"/>
  <c r="K961" i="1"/>
  <c r="R960" i="1"/>
  <c r="M960" i="1"/>
  <c r="L960" i="1"/>
  <c r="N960" i="1" s="1"/>
  <c r="K960" i="1"/>
  <c r="R959" i="1"/>
  <c r="M959" i="1"/>
  <c r="L959" i="1"/>
  <c r="N959" i="1" s="1"/>
  <c r="K959" i="1"/>
  <c r="R958" i="1"/>
  <c r="M958" i="1"/>
  <c r="L958" i="1"/>
  <c r="K958" i="1"/>
  <c r="R957" i="1"/>
  <c r="M957" i="1"/>
  <c r="L957" i="1"/>
  <c r="K957" i="1"/>
  <c r="R956" i="1"/>
  <c r="M956" i="1"/>
  <c r="L956" i="1"/>
  <c r="N956" i="1" s="1"/>
  <c r="K956" i="1"/>
  <c r="R955" i="1"/>
  <c r="M955" i="1"/>
  <c r="L955" i="1"/>
  <c r="N955" i="1" s="1"/>
  <c r="K955" i="1"/>
  <c r="R954" i="1"/>
  <c r="M954" i="1"/>
  <c r="L954" i="1"/>
  <c r="K954" i="1"/>
  <c r="R953" i="1"/>
  <c r="M953" i="1"/>
  <c r="L953" i="1"/>
  <c r="K953" i="1"/>
  <c r="R952" i="1"/>
  <c r="M952" i="1"/>
  <c r="L952" i="1"/>
  <c r="N952" i="1" s="1"/>
  <c r="K952" i="1"/>
  <c r="R951" i="1"/>
  <c r="M951" i="1"/>
  <c r="L951" i="1"/>
  <c r="N951" i="1" s="1"/>
  <c r="K951" i="1"/>
  <c r="R950" i="1"/>
  <c r="M950" i="1"/>
  <c r="L950" i="1"/>
  <c r="K950" i="1"/>
  <c r="R949" i="1"/>
  <c r="M949" i="1"/>
  <c r="L949" i="1"/>
  <c r="K949" i="1"/>
  <c r="R948" i="1"/>
  <c r="M948" i="1"/>
  <c r="L948" i="1"/>
  <c r="N948" i="1" s="1"/>
  <c r="K948" i="1"/>
  <c r="R947" i="1"/>
  <c r="M947" i="1"/>
  <c r="L947" i="1"/>
  <c r="N947" i="1" s="1"/>
  <c r="K947" i="1"/>
  <c r="R946" i="1"/>
  <c r="M946" i="1"/>
  <c r="L946" i="1"/>
  <c r="K946" i="1"/>
  <c r="R945" i="1"/>
  <c r="M945" i="1"/>
  <c r="L945" i="1"/>
  <c r="K945" i="1"/>
  <c r="R944" i="1"/>
  <c r="M944" i="1"/>
  <c r="L944" i="1"/>
  <c r="N944" i="1" s="1"/>
  <c r="K944" i="1"/>
  <c r="R943" i="1"/>
  <c r="M943" i="1"/>
  <c r="L943" i="1"/>
  <c r="N943" i="1" s="1"/>
  <c r="K943" i="1"/>
  <c r="R942" i="1"/>
  <c r="M942" i="1"/>
  <c r="L942" i="1"/>
  <c r="K942" i="1"/>
  <c r="R941" i="1"/>
  <c r="M941" i="1"/>
  <c r="L941" i="1"/>
  <c r="K941" i="1"/>
  <c r="R940" i="1"/>
  <c r="M940" i="1"/>
  <c r="L940" i="1"/>
  <c r="N940" i="1" s="1"/>
  <c r="K940" i="1"/>
  <c r="R939" i="1"/>
  <c r="M939" i="1"/>
  <c r="L939" i="1"/>
  <c r="N939" i="1" s="1"/>
  <c r="K939" i="1"/>
  <c r="R938" i="1"/>
  <c r="M938" i="1"/>
  <c r="L938" i="1"/>
  <c r="K938" i="1"/>
  <c r="R937" i="1"/>
  <c r="M937" i="1"/>
  <c r="N937" i="1" s="1"/>
  <c r="L937" i="1"/>
  <c r="K937" i="1"/>
  <c r="R936" i="1"/>
  <c r="M936" i="1"/>
  <c r="N936" i="1" s="1"/>
  <c r="L936" i="1"/>
  <c r="K936" i="1"/>
  <c r="R935" i="1"/>
  <c r="M935" i="1"/>
  <c r="L935" i="1"/>
  <c r="K935" i="1"/>
  <c r="R934" i="1"/>
  <c r="N934" i="1"/>
  <c r="M934" i="1"/>
  <c r="L934" i="1"/>
  <c r="K934" i="1"/>
  <c r="R933" i="1"/>
  <c r="M933" i="1"/>
  <c r="L933" i="1"/>
  <c r="K933" i="1"/>
  <c r="R932" i="1"/>
  <c r="M932" i="1"/>
  <c r="L932" i="1"/>
  <c r="K932" i="1"/>
  <c r="R931" i="1"/>
  <c r="M931" i="1"/>
  <c r="L931" i="1"/>
  <c r="N931" i="1" s="1"/>
  <c r="K931" i="1"/>
  <c r="R930" i="1"/>
  <c r="M930" i="1"/>
  <c r="L930" i="1"/>
  <c r="N930" i="1" s="1"/>
  <c r="K930" i="1"/>
  <c r="R929" i="1"/>
  <c r="M929" i="1"/>
  <c r="L929" i="1"/>
  <c r="N929" i="1" s="1"/>
  <c r="K929" i="1"/>
  <c r="R928" i="1"/>
  <c r="M928" i="1"/>
  <c r="L928" i="1"/>
  <c r="K928" i="1"/>
  <c r="R927" i="1"/>
  <c r="M927" i="1"/>
  <c r="L927" i="1"/>
  <c r="N927" i="1" s="1"/>
  <c r="K927" i="1"/>
  <c r="R926" i="1"/>
  <c r="M926" i="1"/>
  <c r="L926" i="1"/>
  <c r="N926" i="1" s="1"/>
  <c r="K926" i="1"/>
  <c r="R925" i="1"/>
  <c r="M925" i="1"/>
  <c r="L925" i="1"/>
  <c r="K925" i="1"/>
  <c r="R924" i="1"/>
  <c r="M924" i="1"/>
  <c r="L924" i="1"/>
  <c r="N924" i="1" s="1"/>
  <c r="K924" i="1"/>
  <c r="R923" i="1"/>
  <c r="M923" i="1"/>
  <c r="N923" i="1" s="1"/>
  <c r="L923" i="1"/>
  <c r="K923" i="1"/>
  <c r="R922" i="1"/>
  <c r="M922" i="1"/>
  <c r="L922" i="1"/>
  <c r="K922" i="1"/>
  <c r="R921" i="1"/>
  <c r="M921" i="1"/>
  <c r="L921" i="1"/>
  <c r="K921" i="1"/>
  <c r="R920" i="1"/>
  <c r="M920" i="1"/>
  <c r="N920" i="1" s="1"/>
  <c r="L920" i="1"/>
  <c r="K920" i="1"/>
  <c r="R919" i="1"/>
  <c r="M919" i="1"/>
  <c r="L919" i="1"/>
  <c r="K919" i="1"/>
  <c r="R918" i="1"/>
  <c r="N918" i="1"/>
  <c r="M918" i="1"/>
  <c r="L918" i="1"/>
  <c r="K918" i="1"/>
  <c r="R917" i="1"/>
  <c r="M917" i="1"/>
  <c r="N917" i="1" s="1"/>
  <c r="L917" i="1"/>
  <c r="K917" i="1"/>
  <c r="R916" i="1"/>
  <c r="M916" i="1"/>
  <c r="L916" i="1"/>
  <c r="N916" i="1" s="1"/>
  <c r="K916" i="1"/>
  <c r="R915" i="1"/>
  <c r="M915" i="1"/>
  <c r="L915" i="1"/>
  <c r="N915" i="1" s="1"/>
  <c r="K915" i="1"/>
  <c r="R914" i="1"/>
  <c r="M914" i="1"/>
  <c r="L914" i="1"/>
  <c r="K914" i="1"/>
  <c r="R913" i="1"/>
  <c r="M913" i="1"/>
  <c r="L913" i="1"/>
  <c r="N913" i="1" s="1"/>
  <c r="K913" i="1"/>
  <c r="R912" i="1"/>
  <c r="M912" i="1"/>
  <c r="L912" i="1"/>
  <c r="K912" i="1"/>
  <c r="R911" i="1"/>
  <c r="M911" i="1"/>
  <c r="L911" i="1"/>
  <c r="N911" i="1" s="1"/>
  <c r="K911" i="1"/>
  <c r="R910" i="1"/>
  <c r="M910" i="1"/>
  <c r="L910" i="1"/>
  <c r="N910" i="1" s="1"/>
  <c r="K910" i="1"/>
  <c r="R909" i="1"/>
  <c r="M909" i="1"/>
  <c r="L909" i="1"/>
  <c r="K909" i="1"/>
  <c r="R908" i="1"/>
  <c r="M908" i="1"/>
  <c r="L908" i="1"/>
  <c r="N908" i="1" s="1"/>
  <c r="K908" i="1"/>
  <c r="R907" i="1"/>
  <c r="M907" i="1"/>
  <c r="N907" i="1" s="1"/>
  <c r="L907" i="1"/>
  <c r="K907" i="1"/>
  <c r="R906" i="1"/>
  <c r="M906" i="1"/>
  <c r="L906" i="1"/>
  <c r="K906" i="1"/>
  <c r="R905" i="1"/>
  <c r="M905" i="1"/>
  <c r="L905" i="1"/>
  <c r="K905" i="1"/>
  <c r="R904" i="1"/>
  <c r="M904" i="1"/>
  <c r="N904" i="1" s="1"/>
  <c r="L904" i="1"/>
  <c r="K904" i="1"/>
  <c r="R903" i="1"/>
  <c r="M903" i="1"/>
  <c r="L903" i="1"/>
  <c r="K903" i="1"/>
  <c r="R902" i="1"/>
  <c r="N902" i="1"/>
  <c r="M902" i="1"/>
  <c r="L902" i="1"/>
  <c r="K902" i="1"/>
  <c r="R901" i="1"/>
  <c r="M901" i="1"/>
  <c r="L901" i="1"/>
  <c r="K901" i="1"/>
  <c r="R900" i="1"/>
  <c r="M900" i="1"/>
  <c r="L900" i="1"/>
  <c r="K900" i="1"/>
  <c r="R899" i="1"/>
  <c r="M899" i="1"/>
  <c r="L899" i="1"/>
  <c r="N899" i="1" s="1"/>
  <c r="K899" i="1"/>
  <c r="R898" i="1"/>
  <c r="M898" i="1"/>
  <c r="L898" i="1"/>
  <c r="N898" i="1" s="1"/>
  <c r="K898" i="1"/>
  <c r="R897" i="1"/>
  <c r="M897" i="1"/>
  <c r="L897" i="1"/>
  <c r="N897" i="1" s="1"/>
  <c r="K897" i="1"/>
  <c r="R896" i="1"/>
  <c r="M896" i="1"/>
  <c r="L896" i="1"/>
  <c r="K896" i="1"/>
  <c r="R895" i="1"/>
  <c r="M895" i="1"/>
  <c r="L895" i="1"/>
  <c r="N895" i="1" s="1"/>
  <c r="K895" i="1"/>
  <c r="R894" i="1"/>
  <c r="M894" i="1"/>
  <c r="L894" i="1"/>
  <c r="N894" i="1" s="1"/>
  <c r="K894" i="1"/>
  <c r="R893" i="1"/>
  <c r="M893" i="1"/>
  <c r="L893" i="1"/>
  <c r="K893" i="1"/>
  <c r="R892" i="1"/>
  <c r="M892" i="1"/>
  <c r="L892" i="1"/>
  <c r="N892" i="1" s="1"/>
  <c r="K892" i="1"/>
  <c r="R891" i="1"/>
  <c r="M891" i="1"/>
  <c r="N891" i="1" s="1"/>
  <c r="L891" i="1"/>
  <c r="K891" i="1"/>
  <c r="R890" i="1"/>
  <c r="M890" i="1"/>
  <c r="L890" i="1"/>
  <c r="K890" i="1"/>
  <c r="R889" i="1"/>
  <c r="M889" i="1"/>
  <c r="L889" i="1"/>
  <c r="K889" i="1"/>
  <c r="R888" i="1"/>
  <c r="M888" i="1"/>
  <c r="N888" i="1" s="1"/>
  <c r="L888" i="1"/>
  <c r="K888" i="1"/>
  <c r="R887" i="1"/>
  <c r="M887" i="1"/>
  <c r="N887" i="1" s="1"/>
  <c r="L887" i="1"/>
  <c r="K887" i="1"/>
  <c r="R886" i="1"/>
  <c r="M886" i="1"/>
  <c r="N886" i="1" s="1"/>
  <c r="L886" i="1"/>
  <c r="K886" i="1"/>
  <c r="R885" i="1"/>
  <c r="M885" i="1"/>
  <c r="N885" i="1" s="1"/>
  <c r="L885" i="1"/>
  <c r="K885" i="1"/>
  <c r="R884" i="1"/>
  <c r="M884" i="1"/>
  <c r="N884" i="1" s="1"/>
  <c r="L884" i="1"/>
  <c r="K884" i="1"/>
  <c r="R883" i="1"/>
  <c r="M883" i="1"/>
  <c r="N883" i="1" s="1"/>
  <c r="L883" i="1"/>
  <c r="K883" i="1"/>
  <c r="R882" i="1"/>
  <c r="M882" i="1"/>
  <c r="N882" i="1" s="1"/>
  <c r="L882" i="1"/>
  <c r="K882" i="1"/>
  <c r="R881" i="1"/>
  <c r="M881" i="1"/>
  <c r="N881" i="1" s="1"/>
  <c r="L881" i="1"/>
  <c r="K881" i="1"/>
  <c r="R880" i="1"/>
  <c r="M880" i="1"/>
  <c r="N880" i="1" s="1"/>
  <c r="L880" i="1"/>
  <c r="K880" i="1"/>
  <c r="R879" i="1"/>
  <c r="M879" i="1"/>
  <c r="N879" i="1" s="1"/>
  <c r="L879" i="1"/>
  <c r="K879" i="1"/>
  <c r="R878" i="1"/>
  <c r="M878" i="1"/>
  <c r="N878" i="1" s="1"/>
  <c r="L878" i="1"/>
  <c r="K878" i="1"/>
  <c r="R877" i="1"/>
  <c r="M877" i="1"/>
  <c r="N877" i="1" s="1"/>
  <c r="L877" i="1"/>
  <c r="K877" i="1"/>
  <c r="R876" i="1"/>
  <c r="M876" i="1"/>
  <c r="N876" i="1" s="1"/>
  <c r="L876" i="1"/>
  <c r="K876" i="1"/>
  <c r="R875" i="1"/>
  <c r="M875" i="1"/>
  <c r="N875" i="1" s="1"/>
  <c r="L875" i="1"/>
  <c r="K875" i="1"/>
  <c r="R874" i="1"/>
  <c r="M874" i="1"/>
  <c r="N874" i="1" s="1"/>
  <c r="L874" i="1"/>
  <c r="K874" i="1"/>
  <c r="R873" i="1"/>
  <c r="M873" i="1"/>
  <c r="N873" i="1" s="1"/>
  <c r="L873" i="1"/>
  <c r="K873" i="1"/>
  <c r="R872" i="1"/>
  <c r="M872" i="1"/>
  <c r="N872" i="1" s="1"/>
  <c r="L872" i="1"/>
  <c r="K872" i="1"/>
  <c r="R871" i="1"/>
  <c r="M871" i="1"/>
  <c r="N871" i="1" s="1"/>
  <c r="L871" i="1"/>
  <c r="K871" i="1"/>
  <c r="R870" i="1"/>
  <c r="M870" i="1"/>
  <c r="N870" i="1" s="1"/>
  <c r="L870" i="1"/>
  <c r="K870" i="1"/>
  <c r="R869" i="1"/>
  <c r="M869" i="1"/>
  <c r="N869" i="1" s="1"/>
  <c r="L869" i="1"/>
  <c r="K869" i="1"/>
  <c r="R868" i="1"/>
  <c r="M868" i="1"/>
  <c r="N868" i="1" s="1"/>
  <c r="L868" i="1"/>
  <c r="K868" i="1"/>
  <c r="R867" i="1"/>
  <c r="M867" i="1"/>
  <c r="N867" i="1" s="1"/>
  <c r="L867" i="1"/>
  <c r="K867" i="1"/>
  <c r="R866" i="1"/>
  <c r="M866" i="1"/>
  <c r="N866" i="1" s="1"/>
  <c r="L866" i="1"/>
  <c r="K866" i="1"/>
  <c r="R865" i="1"/>
  <c r="M865" i="1"/>
  <c r="N865" i="1" s="1"/>
  <c r="L865" i="1"/>
  <c r="K865" i="1"/>
  <c r="R864" i="1"/>
  <c r="M864" i="1"/>
  <c r="N864" i="1" s="1"/>
  <c r="L864" i="1"/>
  <c r="K864" i="1"/>
  <c r="R863" i="1"/>
  <c r="M863" i="1"/>
  <c r="N863" i="1" s="1"/>
  <c r="L863" i="1"/>
  <c r="K863" i="1"/>
  <c r="R862" i="1"/>
  <c r="M862" i="1"/>
  <c r="N862" i="1" s="1"/>
  <c r="L862" i="1"/>
  <c r="K862" i="1"/>
  <c r="R861" i="1"/>
  <c r="M861" i="1"/>
  <c r="N861" i="1" s="1"/>
  <c r="L861" i="1"/>
  <c r="K861" i="1"/>
  <c r="R860" i="1"/>
  <c r="M860" i="1"/>
  <c r="N860" i="1" s="1"/>
  <c r="L860" i="1"/>
  <c r="K860" i="1"/>
  <c r="R859" i="1"/>
  <c r="M859" i="1"/>
  <c r="N859" i="1" s="1"/>
  <c r="L859" i="1"/>
  <c r="K859" i="1"/>
  <c r="R858" i="1"/>
  <c r="M858" i="1"/>
  <c r="N858" i="1" s="1"/>
  <c r="L858" i="1"/>
  <c r="K858" i="1"/>
  <c r="R857" i="1"/>
  <c r="M857" i="1"/>
  <c r="N857" i="1" s="1"/>
  <c r="L857" i="1"/>
  <c r="K857" i="1"/>
  <c r="R856" i="1"/>
  <c r="M856" i="1"/>
  <c r="N856" i="1" s="1"/>
  <c r="L856" i="1"/>
  <c r="K856" i="1"/>
  <c r="R855" i="1"/>
  <c r="M855" i="1"/>
  <c r="N855" i="1" s="1"/>
  <c r="L855" i="1"/>
  <c r="K855" i="1"/>
  <c r="R854" i="1"/>
  <c r="M854" i="1"/>
  <c r="N854" i="1" s="1"/>
  <c r="L854" i="1"/>
  <c r="K854" i="1"/>
  <c r="R853" i="1"/>
  <c r="N853" i="1"/>
  <c r="M853" i="1"/>
  <c r="L853" i="1"/>
  <c r="K853" i="1"/>
  <c r="R852" i="1"/>
  <c r="M852" i="1"/>
  <c r="L852" i="1"/>
  <c r="N852" i="1" s="1"/>
  <c r="K852" i="1"/>
  <c r="R851" i="1"/>
  <c r="M851" i="1"/>
  <c r="L851" i="1"/>
  <c r="K851" i="1"/>
  <c r="R850" i="1"/>
  <c r="M850" i="1"/>
  <c r="L850" i="1"/>
  <c r="N850" i="1" s="1"/>
  <c r="K850" i="1"/>
  <c r="R849" i="1"/>
  <c r="M849" i="1"/>
  <c r="L849" i="1"/>
  <c r="K849" i="1"/>
  <c r="R848" i="1"/>
  <c r="M848" i="1"/>
  <c r="L848" i="1"/>
  <c r="K848" i="1"/>
  <c r="R847" i="1"/>
  <c r="M847" i="1"/>
  <c r="L847" i="1"/>
  <c r="K847" i="1"/>
  <c r="R846" i="1"/>
  <c r="M846" i="1"/>
  <c r="L846" i="1"/>
  <c r="N846" i="1" s="1"/>
  <c r="K846" i="1"/>
  <c r="R845" i="1"/>
  <c r="M845" i="1"/>
  <c r="N845" i="1" s="1"/>
  <c r="L845" i="1"/>
  <c r="K845" i="1"/>
  <c r="R844" i="1"/>
  <c r="M844" i="1"/>
  <c r="N844" i="1" s="1"/>
  <c r="L844" i="1"/>
  <c r="K844" i="1"/>
  <c r="R843" i="1"/>
  <c r="M843" i="1"/>
  <c r="N843" i="1" s="1"/>
  <c r="L843" i="1"/>
  <c r="K843" i="1"/>
  <c r="R842" i="1"/>
  <c r="N842" i="1"/>
  <c r="M842" i="1"/>
  <c r="L842" i="1"/>
  <c r="K842" i="1"/>
  <c r="R841" i="1"/>
  <c r="M841" i="1"/>
  <c r="L841" i="1"/>
  <c r="K841" i="1"/>
  <c r="R840" i="1"/>
  <c r="M840" i="1"/>
  <c r="L840" i="1"/>
  <c r="N840" i="1" s="1"/>
  <c r="K840" i="1"/>
  <c r="R839" i="1"/>
  <c r="M839" i="1"/>
  <c r="L839" i="1"/>
  <c r="K839" i="1"/>
  <c r="R838" i="1"/>
  <c r="M838" i="1"/>
  <c r="L838" i="1"/>
  <c r="N838" i="1" s="1"/>
  <c r="K838" i="1"/>
  <c r="R837" i="1"/>
  <c r="M837" i="1"/>
  <c r="L837" i="1"/>
  <c r="K837" i="1"/>
  <c r="R836" i="1"/>
  <c r="M836" i="1"/>
  <c r="N836" i="1" s="1"/>
  <c r="L836" i="1"/>
  <c r="K836" i="1"/>
  <c r="R835" i="1"/>
  <c r="M835" i="1"/>
  <c r="N835" i="1" s="1"/>
  <c r="L835" i="1"/>
  <c r="K835" i="1"/>
  <c r="R834" i="1"/>
  <c r="N834" i="1"/>
  <c r="M834" i="1"/>
  <c r="L834" i="1"/>
  <c r="K834" i="1"/>
  <c r="R833" i="1"/>
  <c r="M833" i="1"/>
  <c r="N833" i="1" s="1"/>
  <c r="L833" i="1"/>
  <c r="K833" i="1"/>
  <c r="R832" i="1"/>
  <c r="M832" i="1"/>
  <c r="L832" i="1"/>
  <c r="K832" i="1"/>
  <c r="R831" i="1"/>
  <c r="M831" i="1"/>
  <c r="N831" i="1" s="1"/>
  <c r="L831" i="1"/>
  <c r="K831" i="1"/>
  <c r="R830" i="1"/>
  <c r="M830" i="1"/>
  <c r="L830" i="1"/>
  <c r="N830" i="1" s="1"/>
  <c r="K830" i="1"/>
  <c r="R829" i="1"/>
  <c r="M829" i="1"/>
  <c r="L829" i="1"/>
  <c r="K829" i="1"/>
  <c r="R828" i="1"/>
  <c r="M828" i="1"/>
  <c r="L828" i="1"/>
  <c r="N828" i="1" s="1"/>
  <c r="K828" i="1"/>
  <c r="R827" i="1"/>
  <c r="M827" i="1"/>
  <c r="L827" i="1"/>
  <c r="K827" i="1"/>
  <c r="R826" i="1"/>
  <c r="M826" i="1"/>
  <c r="L826" i="1"/>
  <c r="N826" i="1" s="1"/>
  <c r="K826" i="1"/>
  <c r="R825" i="1"/>
  <c r="M825" i="1"/>
  <c r="N825" i="1" s="1"/>
  <c r="L825" i="1"/>
  <c r="K825" i="1"/>
  <c r="R824" i="1"/>
  <c r="M824" i="1"/>
  <c r="N824" i="1" s="1"/>
  <c r="L824" i="1"/>
  <c r="K824" i="1"/>
  <c r="R823" i="1"/>
  <c r="M823" i="1"/>
  <c r="N823" i="1" s="1"/>
  <c r="L823" i="1"/>
  <c r="K823" i="1"/>
  <c r="R822" i="1"/>
  <c r="N822" i="1"/>
  <c r="M822" i="1"/>
  <c r="L822" i="1"/>
  <c r="K822" i="1"/>
  <c r="R821" i="1"/>
  <c r="M821" i="1"/>
  <c r="L821" i="1"/>
  <c r="K821" i="1"/>
  <c r="R820" i="1"/>
  <c r="M820" i="1"/>
  <c r="L820" i="1"/>
  <c r="N820" i="1" s="1"/>
  <c r="K820" i="1"/>
  <c r="R819" i="1"/>
  <c r="M819" i="1"/>
  <c r="L819" i="1"/>
  <c r="K819" i="1"/>
  <c r="R818" i="1"/>
  <c r="M818" i="1"/>
  <c r="L818" i="1"/>
  <c r="N818" i="1" s="1"/>
  <c r="K818" i="1"/>
  <c r="R817" i="1"/>
  <c r="M817" i="1"/>
  <c r="L817" i="1"/>
  <c r="N817" i="1" s="1"/>
  <c r="K817" i="1"/>
  <c r="R816" i="1"/>
  <c r="M816" i="1"/>
  <c r="L816" i="1"/>
  <c r="N816" i="1" s="1"/>
  <c r="K816" i="1"/>
  <c r="R815" i="1"/>
  <c r="M815" i="1"/>
  <c r="L815" i="1"/>
  <c r="N815" i="1" s="1"/>
  <c r="K815" i="1"/>
  <c r="R814" i="1"/>
  <c r="M814" i="1"/>
  <c r="L814" i="1"/>
  <c r="N814" i="1" s="1"/>
  <c r="K814" i="1"/>
  <c r="R813" i="1"/>
  <c r="M813" i="1"/>
  <c r="L813" i="1"/>
  <c r="N813" i="1" s="1"/>
  <c r="K813" i="1"/>
  <c r="R812" i="1"/>
  <c r="M812" i="1"/>
  <c r="N812" i="1" s="1"/>
  <c r="L812" i="1"/>
  <c r="K812" i="1"/>
  <c r="R811" i="1"/>
  <c r="M811" i="1"/>
  <c r="L811" i="1"/>
  <c r="K811" i="1"/>
  <c r="R810" i="1"/>
  <c r="M810" i="1"/>
  <c r="L810" i="1"/>
  <c r="K810" i="1"/>
  <c r="R809" i="1"/>
  <c r="M809" i="1"/>
  <c r="L809" i="1"/>
  <c r="K809" i="1"/>
  <c r="R808" i="1"/>
  <c r="M808" i="1"/>
  <c r="N808" i="1" s="1"/>
  <c r="L808" i="1"/>
  <c r="K808" i="1"/>
  <c r="R807" i="1"/>
  <c r="M807" i="1"/>
  <c r="L807" i="1"/>
  <c r="K807" i="1"/>
  <c r="R806" i="1"/>
  <c r="M806" i="1"/>
  <c r="L806" i="1"/>
  <c r="K806" i="1"/>
  <c r="R805" i="1"/>
  <c r="M805" i="1"/>
  <c r="L805" i="1"/>
  <c r="K805" i="1"/>
  <c r="R804" i="1"/>
  <c r="N804" i="1"/>
  <c r="M804" i="1"/>
  <c r="L804" i="1"/>
  <c r="K804" i="1"/>
  <c r="R803" i="1"/>
  <c r="M803" i="1"/>
  <c r="L803" i="1"/>
  <c r="K803" i="1"/>
  <c r="R802" i="1"/>
  <c r="M802" i="1"/>
  <c r="L802" i="1"/>
  <c r="N802" i="1" s="1"/>
  <c r="K802" i="1"/>
  <c r="R801" i="1"/>
  <c r="M801" i="1"/>
  <c r="L801" i="1"/>
  <c r="K801" i="1"/>
  <c r="R800" i="1"/>
  <c r="M800" i="1"/>
  <c r="L800" i="1"/>
  <c r="N800" i="1" s="1"/>
  <c r="K800" i="1"/>
  <c r="R799" i="1"/>
  <c r="M799" i="1"/>
  <c r="L799" i="1"/>
  <c r="N799" i="1" s="1"/>
  <c r="K799" i="1"/>
  <c r="R798" i="1"/>
  <c r="M798" i="1"/>
  <c r="L798" i="1"/>
  <c r="N798" i="1" s="1"/>
  <c r="K798" i="1"/>
  <c r="R797" i="1"/>
  <c r="M797" i="1"/>
  <c r="L797" i="1"/>
  <c r="N797" i="1" s="1"/>
  <c r="K797" i="1"/>
  <c r="R796" i="1"/>
  <c r="M796" i="1"/>
  <c r="L796" i="1"/>
  <c r="N796" i="1" s="1"/>
  <c r="K796" i="1"/>
  <c r="R795" i="1"/>
  <c r="M795" i="1"/>
  <c r="L795" i="1"/>
  <c r="N795" i="1" s="1"/>
  <c r="K795" i="1"/>
  <c r="R794" i="1"/>
  <c r="M794" i="1"/>
  <c r="L794" i="1"/>
  <c r="N794" i="1" s="1"/>
  <c r="K794" i="1"/>
  <c r="R793" i="1"/>
  <c r="M793" i="1"/>
  <c r="L793" i="1"/>
  <c r="N793" i="1" s="1"/>
  <c r="K793" i="1"/>
  <c r="R792" i="1"/>
  <c r="M792" i="1"/>
  <c r="L792" i="1"/>
  <c r="K792" i="1"/>
  <c r="R791" i="1"/>
  <c r="M791" i="1"/>
  <c r="L791" i="1"/>
  <c r="N791" i="1" s="1"/>
  <c r="K791" i="1"/>
  <c r="R790" i="1"/>
  <c r="M790" i="1"/>
  <c r="L790" i="1"/>
  <c r="N790" i="1" s="1"/>
  <c r="K790" i="1"/>
  <c r="R789" i="1"/>
  <c r="M789" i="1"/>
  <c r="L789" i="1"/>
  <c r="N789" i="1" s="1"/>
  <c r="K789" i="1"/>
  <c r="R788" i="1"/>
  <c r="M788" i="1"/>
  <c r="L788" i="1"/>
  <c r="N788" i="1" s="1"/>
  <c r="K788" i="1"/>
  <c r="R787" i="1"/>
  <c r="M787" i="1"/>
  <c r="L787" i="1"/>
  <c r="K787" i="1"/>
  <c r="R786" i="1"/>
  <c r="M786" i="1"/>
  <c r="L786" i="1"/>
  <c r="K786" i="1"/>
  <c r="R785" i="1"/>
  <c r="M785" i="1"/>
  <c r="L785" i="1"/>
  <c r="K785" i="1"/>
  <c r="R784" i="1"/>
  <c r="N784" i="1"/>
  <c r="M784" i="1"/>
  <c r="L784" i="1"/>
  <c r="K784" i="1"/>
  <c r="R783" i="1"/>
  <c r="M783" i="1"/>
  <c r="L783" i="1"/>
  <c r="N783" i="1" s="1"/>
  <c r="K783" i="1"/>
  <c r="R782" i="1"/>
  <c r="M782" i="1"/>
  <c r="L782" i="1"/>
  <c r="K782" i="1"/>
  <c r="R781" i="1"/>
  <c r="M781" i="1"/>
  <c r="L781" i="1"/>
  <c r="N781" i="1" s="1"/>
  <c r="K781" i="1"/>
  <c r="R780" i="1"/>
  <c r="N780" i="1"/>
  <c r="M780" i="1"/>
  <c r="L780" i="1"/>
  <c r="K780" i="1"/>
  <c r="R779" i="1"/>
  <c r="M779" i="1"/>
  <c r="L779" i="1"/>
  <c r="N779" i="1" s="1"/>
  <c r="K779" i="1"/>
  <c r="R778" i="1"/>
  <c r="M778" i="1"/>
  <c r="L778" i="1"/>
  <c r="N778" i="1" s="1"/>
  <c r="K778" i="1"/>
  <c r="R777" i="1"/>
  <c r="M777" i="1"/>
  <c r="L777" i="1"/>
  <c r="N777" i="1" s="1"/>
  <c r="K777" i="1"/>
  <c r="R776" i="1"/>
  <c r="M776" i="1"/>
  <c r="L776" i="1"/>
  <c r="K776" i="1"/>
  <c r="R775" i="1"/>
  <c r="M775" i="1"/>
  <c r="L775" i="1"/>
  <c r="N775" i="1" s="1"/>
  <c r="K775" i="1"/>
  <c r="R774" i="1"/>
  <c r="M774" i="1"/>
  <c r="L774" i="1"/>
  <c r="N774" i="1" s="1"/>
  <c r="K774" i="1"/>
  <c r="R773" i="1"/>
  <c r="M773" i="1"/>
  <c r="L773" i="1"/>
  <c r="N773" i="1" s="1"/>
  <c r="K773" i="1"/>
  <c r="R772" i="1"/>
  <c r="M772" i="1"/>
  <c r="L772" i="1"/>
  <c r="N772" i="1" s="1"/>
  <c r="K772" i="1"/>
  <c r="R771" i="1"/>
  <c r="M771" i="1"/>
  <c r="L771" i="1"/>
  <c r="N771" i="1" s="1"/>
  <c r="K771" i="1"/>
  <c r="R770" i="1"/>
  <c r="M770" i="1"/>
  <c r="L770" i="1"/>
  <c r="N770" i="1" s="1"/>
  <c r="K770" i="1"/>
  <c r="R769" i="1"/>
  <c r="M769" i="1"/>
  <c r="L769" i="1"/>
  <c r="N769" i="1" s="1"/>
  <c r="K769" i="1"/>
  <c r="R768" i="1"/>
  <c r="M768" i="1"/>
  <c r="N768" i="1" s="1"/>
  <c r="L768" i="1"/>
  <c r="K768" i="1"/>
  <c r="R767" i="1"/>
  <c r="M767" i="1"/>
  <c r="L767" i="1"/>
  <c r="K767" i="1"/>
  <c r="R766" i="1"/>
  <c r="M766" i="1"/>
  <c r="L766" i="1"/>
  <c r="K766" i="1"/>
  <c r="R765" i="1"/>
  <c r="M765" i="1"/>
  <c r="L765" i="1"/>
  <c r="K765" i="1"/>
  <c r="R764" i="1"/>
  <c r="M764" i="1"/>
  <c r="L764" i="1"/>
  <c r="K764" i="1"/>
  <c r="R763" i="1"/>
  <c r="M763" i="1"/>
  <c r="N763" i="1" s="1"/>
  <c r="L763" i="1"/>
  <c r="K763" i="1"/>
  <c r="R762" i="1"/>
  <c r="M762" i="1"/>
  <c r="L762" i="1"/>
  <c r="K762" i="1"/>
  <c r="R761" i="1"/>
  <c r="N761" i="1"/>
  <c r="M761" i="1"/>
  <c r="L761" i="1"/>
  <c r="K761" i="1"/>
  <c r="R760" i="1"/>
  <c r="M760" i="1"/>
  <c r="L760" i="1"/>
  <c r="K760" i="1"/>
  <c r="R759" i="1"/>
  <c r="M759" i="1"/>
  <c r="L759" i="1"/>
  <c r="K759" i="1"/>
  <c r="R758" i="1"/>
  <c r="M758" i="1"/>
  <c r="L758" i="1"/>
  <c r="N758" i="1" s="1"/>
  <c r="K758" i="1"/>
  <c r="R757" i="1"/>
  <c r="M757" i="1"/>
  <c r="L757" i="1"/>
  <c r="K757" i="1"/>
  <c r="R756" i="1"/>
  <c r="M756" i="1"/>
  <c r="L756" i="1"/>
  <c r="N756" i="1" s="1"/>
  <c r="K756" i="1"/>
  <c r="R755" i="1"/>
  <c r="M755" i="1"/>
  <c r="N755" i="1" s="1"/>
  <c r="L755" i="1"/>
  <c r="K755" i="1"/>
  <c r="R754" i="1"/>
  <c r="M754" i="1"/>
  <c r="L754" i="1"/>
  <c r="N754" i="1" s="1"/>
  <c r="K754" i="1"/>
  <c r="R753" i="1"/>
  <c r="N753" i="1"/>
  <c r="M753" i="1"/>
  <c r="L753" i="1"/>
  <c r="K753" i="1"/>
  <c r="R752" i="1"/>
  <c r="M752" i="1"/>
  <c r="L752" i="1"/>
  <c r="K752" i="1"/>
  <c r="R751" i="1"/>
  <c r="M751" i="1"/>
  <c r="L751" i="1"/>
  <c r="N751" i="1" s="1"/>
  <c r="K751" i="1"/>
  <c r="R750" i="1"/>
  <c r="M750" i="1"/>
  <c r="L750" i="1"/>
  <c r="N750" i="1" s="1"/>
  <c r="K750" i="1"/>
  <c r="R749" i="1"/>
  <c r="M749" i="1"/>
  <c r="L749" i="1"/>
  <c r="N749" i="1" s="1"/>
  <c r="K749" i="1"/>
  <c r="R748" i="1"/>
  <c r="M748" i="1"/>
  <c r="L748" i="1"/>
  <c r="N748" i="1" s="1"/>
  <c r="K748" i="1"/>
  <c r="R747" i="1"/>
  <c r="M747" i="1"/>
  <c r="L747" i="1"/>
  <c r="K747" i="1"/>
  <c r="R746" i="1"/>
  <c r="M746" i="1"/>
  <c r="L746" i="1"/>
  <c r="N746" i="1" s="1"/>
  <c r="K746" i="1"/>
  <c r="R745" i="1"/>
  <c r="M745" i="1"/>
  <c r="L745" i="1"/>
  <c r="N745" i="1" s="1"/>
  <c r="K745" i="1"/>
  <c r="R744" i="1"/>
  <c r="M744" i="1"/>
  <c r="L744" i="1"/>
  <c r="N744" i="1" s="1"/>
  <c r="K744" i="1"/>
  <c r="R743" i="1"/>
  <c r="M743" i="1"/>
  <c r="L743" i="1"/>
  <c r="K743" i="1"/>
  <c r="R742" i="1"/>
  <c r="M742" i="1"/>
  <c r="L742" i="1"/>
  <c r="K742" i="1"/>
  <c r="R741" i="1"/>
  <c r="M741" i="1"/>
  <c r="L741" i="1"/>
  <c r="K741" i="1"/>
  <c r="R740" i="1"/>
  <c r="M740" i="1"/>
  <c r="L740" i="1"/>
  <c r="K740" i="1"/>
  <c r="R739" i="1"/>
  <c r="M739" i="1"/>
  <c r="N739" i="1" s="1"/>
  <c r="L739" i="1"/>
  <c r="K739" i="1"/>
  <c r="R738" i="1"/>
  <c r="M738" i="1"/>
  <c r="L738" i="1"/>
  <c r="K738" i="1"/>
  <c r="R737" i="1"/>
  <c r="N737" i="1"/>
  <c r="M737" i="1"/>
  <c r="L737" i="1"/>
  <c r="K737" i="1"/>
  <c r="R736" i="1"/>
  <c r="N736" i="1"/>
  <c r="M736" i="1"/>
  <c r="L736" i="1"/>
  <c r="K736" i="1"/>
  <c r="R735" i="1"/>
  <c r="M735" i="1"/>
  <c r="L735" i="1"/>
  <c r="N735" i="1" s="1"/>
  <c r="K735" i="1"/>
  <c r="R734" i="1"/>
  <c r="M734" i="1"/>
  <c r="L734" i="1"/>
  <c r="N734" i="1" s="1"/>
  <c r="K734" i="1"/>
  <c r="R733" i="1"/>
  <c r="M733" i="1"/>
  <c r="L733" i="1"/>
  <c r="N733" i="1" s="1"/>
  <c r="K733" i="1"/>
  <c r="R732" i="1"/>
  <c r="M732" i="1"/>
  <c r="L732" i="1"/>
  <c r="N732" i="1" s="1"/>
  <c r="K732" i="1"/>
  <c r="R731" i="1"/>
  <c r="M731" i="1"/>
  <c r="L731" i="1"/>
  <c r="K731" i="1"/>
  <c r="R730" i="1"/>
  <c r="M730" i="1"/>
  <c r="L730" i="1"/>
  <c r="N730" i="1" s="1"/>
  <c r="K730" i="1"/>
  <c r="R729" i="1"/>
  <c r="M729" i="1"/>
  <c r="L729" i="1"/>
  <c r="N729" i="1" s="1"/>
  <c r="K729" i="1"/>
  <c r="R728" i="1"/>
  <c r="M728" i="1"/>
  <c r="L728" i="1"/>
  <c r="K728" i="1"/>
  <c r="R727" i="1"/>
  <c r="M727" i="1"/>
  <c r="L727" i="1"/>
  <c r="N727" i="1" s="1"/>
  <c r="K727" i="1"/>
  <c r="R726" i="1"/>
  <c r="M726" i="1"/>
  <c r="L726" i="1"/>
  <c r="N726" i="1" s="1"/>
  <c r="K726" i="1"/>
  <c r="R725" i="1"/>
  <c r="M725" i="1"/>
  <c r="L725" i="1"/>
  <c r="N725" i="1" s="1"/>
  <c r="K725" i="1"/>
  <c r="R724" i="1"/>
  <c r="M724" i="1"/>
  <c r="L724" i="1"/>
  <c r="N724" i="1" s="1"/>
  <c r="K724" i="1"/>
  <c r="R723" i="1"/>
  <c r="M723" i="1"/>
  <c r="L723" i="1"/>
  <c r="K723" i="1"/>
  <c r="R722" i="1"/>
  <c r="M722" i="1"/>
  <c r="L722" i="1"/>
  <c r="N722" i="1" s="1"/>
  <c r="K722" i="1"/>
  <c r="R721" i="1"/>
  <c r="M721" i="1"/>
  <c r="L721" i="1"/>
  <c r="N721" i="1" s="1"/>
  <c r="K721" i="1"/>
  <c r="R720" i="1"/>
  <c r="M720" i="1"/>
  <c r="N720" i="1" s="1"/>
  <c r="L720" i="1"/>
  <c r="K720" i="1"/>
  <c r="R719" i="1"/>
  <c r="M719" i="1"/>
  <c r="L719" i="1"/>
  <c r="K719" i="1"/>
  <c r="R718" i="1"/>
  <c r="M718" i="1"/>
  <c r="L718" i="1"/>
  <c r="K718" i="1"/>
  <c r="R717" i="1"/>
  <c r="M717" i="1"/>
  <c r="L717" i="1"/>
  <c r="K717" i="1"/>
  <c r="R716" i="1"/>
  <c r="M716" i="1"/>
  <c r="L716" i="1"/>
  <c r="K716" i="1"/>
  <c r="R715" i="1"/>
  <c r="M715" i="1"/>
  <c r="N715" i="1" s="1"/>
  <c r="L715" i="1"/>
  <c r="K715" i="1"/>
  <c r="R714" i="1"/>
  <c r="M714" i="1"/>
  <c r="L714" i="1"/>
  <c r="K714" i="1"/>
  <c r="R713" i="1"/>
  <c r="N713" i="1"/>
  <c r="M713" i="1"/>
  <c r="L713" i="1"/>
  <c r="K713" i="1"/>
  <c r="R712" i="1"/>
  <c r="M712" i="1"/>
  <c r="L712" i="1"/>
  <c r="N712" i="1" s="1"/>
  <c r="K712" i="1"/>
  <c r="R711" i="1"/>
  <c r="M711" i="1"/>
  <c r="L711" i="1"/>
  <c r="K711" i="1"/>
  <c r="R710" i="1"/>
  <c r="M710" i="1"/>
  <c r="L710" i="1"/>
  <c r="N710" i="1" s="1"/>
  <c r="K710" i="1"/>
  <c r="R709" i="1"/>
  <c r="M709" i="1"/>
  <c r="L709" i="1"/>
  <c r="N709" i="1" s="1"/>
  <c r="K709" i="1"/>
  <c r="R708" i="1"/>
  <c r="M708" i="1"/>
  <c r="L708" i="1"/>
  <c r="N708" i="1" s="1"/>
  <c r="K708" i="1"/>
  <c r="R707" i="1"/>
  <c r="M707" i="1"/>
  <c r="L707" i="1"/>
  <c r="K707" i="1"/>
  <c r="R706" i="1"/>
  <c r="M706" i="1"/>
  <c r="L706" i="1"/>
  <c r="N706" i="1" s="1"/>
  <c r="K706" i="1"/>
  <c r="R705" i="1"/>
  <c r="M705" i="1"/>
  <c r="L705" i="1"/>
  <c r="N705" i="1" s="1"/>
  <c r="K705" i="1"/>
  <c r="R704" i="1"/>
  <c r="M704" i="1"/>
  <c r="L704" i="1"/>
  <c r="N704" i="1" s="1"/>
  <c r="K704" i="1"/>
  <c r="R703" i="1"/>
  <c r="M703" i="1"/>
  <c r="L703" i="1"/>
  <c r="K703" i="1"/>
  <c r="R702" i="1"/>
  <c r="M702" i="1"/>
  <c r="L702" i="1"/>
  <c r="K702" i="1"/>
  <c r="R701" i="1"/>
  <c r="M701" i="1"/>
  <c r="L701" i="1"/>
  <c r="K701" i="1"/>
  <c r="R700" i="1"/>
  <c r="M700" i="1"/>
  <c r="L700" i="1"/>
  <c r="K700" i="1"/>
  <c r="R699" i="1"/>
  <c r="M699" i="1"/>
  <c r="N699" i="1" s="1"/>
  <c r="L699" i="1"/>
  <c r="K699" i="1"/>
  <c r="R698" i="1"/>
  <c r="M698" i="1"/>
  <c r="L698" i="1"/>
  <c r="K698" i="1"/>
  <c r="R697" i="1"/>
  <c r="N697" i="1"/>
  <c r="M697" i="1"/>
  <c r="L697" i="1"/>
  <c r="K697" i="1"/>
  <c r="R696" i="1"/>
  <c r="M696" i="1"/>
  <c r="N696" i="1" s="1"/>
  <c r="L696" i="1"/>
  <c r="K696" i="1"/>
  <c r="R695" i="1"/>
  <c r="M695" i="1"/>
  <c r="L695" i="1"/>
  <c r="N695" i="1" s="1"/>
  <c r="K695" i="1"/>
  <c r="R694" i="1"/>
  <c r="M694" i="1"/>
  <c r="L694" i="1"/>
  <c r="K694" i="1"/>
  <c r="R693" i="1"/>
  <c r="M693" i="1"/>
  <c r="L693" i="1"/>
  <c r="N693" i="1" s="1"/>
  <c r="K693" i="1"/>
  <c r="R692" i="1"/>
  <c r="M692" i="1"/>
  <c r="L692" i="1"/>
  <c r="K692" i="1"/>
  <c r="R691" i="1"/>
  <c r="M691" i="1"/>
  <c r="L691" i="1"/>
  <c r="K691" i="1"/>
  <c r="R690" i="1"/>
  <c r="M690" i="1"/>
  <c r="L690" i="1"/>
  <c r="K690" i="1"/>
  <c r="R689" i="1"/>
  <c r="M689" i="1"/>
  <c r="L689" i="1"/>
  <c r="N689" i="1" s="1"/>
  <c r="K689" i="1"/>
  <c r="R688" i="1"/>
  <c r="M688" i="1"/>
  <c r="L688" i="1"/>
  <c r="K688" i="1"/>
  <c r="R687" i="1"/>
  <c r="M687" i="1"/>
  <c r="L687" i="1"/>
  <c r="N687" i="1" s="1"/>
  <c r="K687" i="1"/>
  <c r="R686" i="1"/>
  <c r="M686" i="1"/>
  <c r="L686" i="1"/>
  <c r="N686" i="1" s="1"/>
  <c r="K686" i="1"/>
  <c r="R685" i="1"/>
  <c r="M685" i="1"/>
  <c r="L685" i="1"/>
  <c r="N685" i="1" s="1"/>
  <c r="K685" i="1"/>
  <c r="R684" i="1"/>
  <c r="M684" i="1"/>
  <c r="L684" i="1"/>
  <c r="N684" i="1" s="1"/>
  <c r="K684" i="1"/>
  <c r="R683" i="1"/>
  <c r="M683" i="1"/>
  <c r="L683" i="1"/>
  <c r="N683" i="1" s="1"/>
  <c r="K683" i="1"/>
  <c r="R682" i="1"/>
  <c r="M682" i="1"/>
  <c r="L682" i="1"/>
  <c r="N682" i="1" s="1"/>
  <c r="K682" i="1"/>
  <c r="R681" i="1"/>
  <c r="M681" i="1"/>
  <c r="L681" i="1"/>
  <c r="N681" i="1" s="1"/>
  <c r="K681" i="1"/>
  <c r="R680" i="1"/>
  <c r="M680" i="1"/>
  <c r="L680" i="1"/>
  <c r="N680" i="1" s="1"/>
  <c r="K680" i="1"/>
  <c r="R679" i="1"/>
  <c r="M679" i="1"/>
  <c r="L679" i="1"/>
  <c r="N679" i="1" s="1"/>
  <c r="K679" i="1"/>
  <c r="R678" i="1"/>
  <c r="M678" i="1"/>
  <c r="L678" i="1"/>
  <c r="N678" i="1" s="1"/>
  <c r="K678" i="1"/>
  <c r="R677" i="1"/>
  <c r="M677" i="1"/>
  <c r="L677" i="1"/>
  <c r="N677" i="1" s="1"/>
  <c r="K677" i="1"/>
  <c r="R676" i="1"/>
  <c r="M676" i="1"/>
  <c r="L676" i="1"/>
  <c r="N676" i="1" s="1"/>
  <c r="K676" i="1"/>
  <c r="R675" i="1"/>
  <c r="M675" i="1"/>
  <c r="L675" i="1"/>
  <c r="N675" i="1" s="1"/>
  <c r="K675" i="1"/>
  <c r="R674" i="1"/>
  <c r="M674" i="1"/>
  <c r="L674" i="1"/>
  <c r="N674" i="1" s="1"/>
  <c r="K674" i="1"/>
  <c r="R673" i="1"/>
  <c r="M673" i="1"/>
  <c r="L673" i="1"/>
  <c r="N673" i="1" s="1"/>
  <c r="K673" i="1"/>
  <c r="R672" i="1"/>
  <c r="M672" i="1"/>
  <c r="L672" i="1"/>
  <c r="N672" i="1" s="1"/>
  <c r="K672" i="1"/>
  <c r="R671" i="1"/>
  <c r="M671" i="1"/>
  <c r="L671" i="1"/>
  <c r="N671" i="1" s="1"/>
  <c r="K671" i="1"/>
  <c r="R670" i="1"/>
  <c r="M670" i="1"/>
  <c r="L670" i="1"/>
  <c r="N670" i="1" s="1"/>
  <c r="K670" i="1"/>
  <c r="R669" i="1"/>
  <c r="M669" i="1"/>
  <c r="L669" i="1"/>
  <c r="N669" i="1" s="1"/>
  <c r="K669" i="1"/>
  <c r="R668" i="1"/>
  <c r="M668" i="1"/>
  <c r="L668" i="1"/>
  <c r="N668" i="1" s="1"/>
  <c r="K668" i="1"/>
  <c r="R667" i="1"/>
  <c r="M667" i="1"/>
  <c r="L667" i="1"/>
  <c r="N667" i="1" s="1"/>
  <c r="K667" i="1"/>
  <c r="R666" i="1"/>
  <c r="M666" i="1"/>
  <c r="L666" i="1"/>
  <c r="N666" i="1" s="1"/>
  <c r="K666" i="1"/>
  <c r="R665" i="1"/>
  <c r="M665" i="1"/>
  <c r="L665" i="1"/>
  <c r="N665" i="1" s="1"/>
  <c r="K665" i="1"/>
  <c r="R664" i="1"/>
  <c r="M664" i="1"/>
  <c r="L664" i="1"/>
  <c r="N664" i="1" s="1"/>
  <c r="K664" i="1"/>
  <c r="R663" i="1"/>
  <c r="M663" i="1"/>
  <c r="L663" i="1"/>
  <c r="N663" i="1" s="1"/>
  <c r="K663" i="1"/>
  <c r="R662" i="1"/>
  <c r="M662" i="1"/>
  <c r="L662" i="1"/>
  <c r="N662" i="1" s="1"/>
  <c r="K662" i="1"/>
  <c r="R661" i="1"/>
  <c r="M661" i="1"/>
  <c r="L661" i="1"/>
  <c r="N661" i="1" s="1"/>
  <c r="K661" i="1"/>
  <c r="R660" i="1"/>
  <c r="M660" i="1"/>
  <c r="L660" i="1"/>
  <c r="N660" i="1" s="1"/>
  <c r="K660" i="1"/>
  <c r="R659" i="1"/>
  <c r="M659" i="1"/>
  <c r="L659" i="1"/>
  <c r="N659" i="1" s="1"/>
  <c r="K659" i="1"/>
  <c r="R658" i="1"/>
  <c r="M658" i="1"/>
  <c r="L658" i="1"/>
  <c r="N658" i="1" s="1"/>
  <c r="K658" i="1"/>
  <c r="R657" i="1"/>
  <c r="M657" i="1"/>
  <c r="L657" i="1"/>
  <c r="N657" i="1" s="1"/>
  <c r="K657" i="1"/>
  <c r="R656" i="1"/>
  <c r="M656" i="1"/>
  <c r="L656" i="1"/>
  <c r="N656" i="1" s="1"/>
  <c r="K656" i="1"/>
  <c r="R655" i="1"/>
  <c r="M655" i="1"/>
  <c r="L655" i="1"/>
  <c r="N655" i="1" s="1"/>
  <c r="K655" i="1"/>
  <c r="R654" i="1"/>
  <c r="M654" i="1"/>
  <c r="L654" i="1"/>
  <c r="N654" i="1" s="1"/>
  <c r="K654" i="1"/>
  <c r="R653" i="1"/>
  <c r="M653" i="1"/>
  <c r="L653" i="1"/>
  <c r="N653" i="1" s="1"/>
  <c r="K653" i="1"/>
  <c r="R652" i="1"/>
  <c r="M652" i="1"/>
  <c r="L652" i="1"/>
  <c r="N652" i="1" s="1"/>
  <c r="K652" i="1"/>
  <c r="R651" i="1"/>
  <c r="M651" i="1"/>
  <c r="L651" i="1"/>
  <c r="N651" i="1" s="1"/>
  <c r="K651" i="1"/>
  <c r="R650" i="1"/>
  <c r="M650" i="1"/>
  <c r="L650" i="1"/>
  <c r="N650" i="1" s="1"/>
  <c r="K650" i="1"/>
  <c r="R649" i="1"/>
  <c r="M649" i="1"/>
  <c r="L649" i="1"/>
  <c r="N649" i="1" s="1"/>
  <c r="K649" i="1"/>
  <c r="R648" i="1"/>
  <c r="M648" i="1"/>
  <c r="L648" i="1"/>
  <c r="N648" i="1" s="1"/>
  <c r="K648" i="1"/>
  <c r="R647" i="1"/>
  <c r="M647" i="1"/>
  <c r="L647" i="1"/>
  <c r="N647" i="1" s="1"/>
  <c r="K647" i="1"/>
  <c r="R646" i="1"/>
  <c r="M646" i="1"/>
  <c r="L646" i="1"/>
  <c r="N646" i="1" s="1"/>
  <c r="K646" i="1"/>
  <c r="R645" i="1"/>
  <c r="M645" i="1"/>
  <c r="L645" i="1"/>
  <c r="N645" i="1" s="1"/>
  <c r="K645" i="1"/>
  <c r="R644" i="1"/>
  <c r="M644" i="1"/>
  <c r="L644" i="1"/>
  <c r="N644" i="1" s="1"/>
  <c r="K644" i="1"/>
  <c r="R643" i="1"/>
  <c r="M643" i="1"/>
  <c r="L643" i="1"/>
  <c r="N643" i="1" s="1"/>
  <c r="K643" i="1"/>
  <c r="R642" i="1"/>
  <c r="M642" i="1"/>
  <c r="L642" i="1"/>
  <c r="N642" i="1" s="1"/>
  <c r="K642" i="1"/>
  <c r="R641" i="1"/>
  <c r="M641" i="1"/>
  <c r="L641" i="1"/>
  <c r="N641" i="1" s="1"/>
  <c r="K641" i="1"/>
  <c r="R640" i="1"/>
  <c r="M640" i="1"/>
  <c r="L640" i="1"/>
  <c r="N640" i="1" s="1"/>
  <c r="K640" i="1"/>
  <c r="R639" i="1"/>
  <c r="M639" i="1"/>
  <c r="L639" i="1"/>
  <c r="N639" i="1" s="1"/>
  <c r="K639" i="1"/>
  <c r="R638" i="1"/>
  <c r="M638" i="1"/>
  <c r="L638" i="1"/>
  <c r="N638" i="1" s="1"/>
  <c r="K638" i="1"/>
  <c r="R637" i="1"/>
  <c r="M637" i="1"/>
  <c r="L637" i="1"/>
  <c r="N637" i="1" s="1"/>
  <c r="K637" i="1"/>
  <c r="R636" i="1"/>
  <c r="M636" i="1"/>
  <c r="L636" i="1"/>
  <c r="N636" i="1" s="1"/>
  <c r="K636" i="1"/>
  <c r="R635" i="1"/>
  <c r="M635" i="1"/>
  <c r="L635" i="1"/>
  <c r="N635" i="1" s="1"/>
  <c r="K635" i="1"/>
  <c r="R634" i="1"/>
  <c r="M634" i="1"/>
  <c r="L634" i="1"/>
  <c r="N634" i="1" s="1"/>
  <c r="K634" i="1"/>
  <c r="R633" i="1"/>
  <c r="M633" i="1"/>
  <c r="L633" i="1"/>
  <c r="N633" i="1" s="1"/>
  <c r="K633" i="1"/>
  <c r="R632" i="1"/>
  <c r="M632" i="1"/>
  <c r="L632" i="1"/>
  <c r="N632" i="1" s="1"/>
  <c r="K632" i="1"/>
  <c r="R631" i="1"/>
  <c r="M631" i="1"/>
  <c r="L631" i="1"/>
  <c r="N631" i="1" s="1"/>
  <c r="K631" i="1"/>
  <c r="R630" i="1"/>
  <c r="M630" i="1"/>
  <c r="L630" i="1"/>
  <c r="N630" i="1" s="1"/>
  <c r="K630" i="1"/>
  <c r="R629" i="1"/>
  <c r="M629" i="1"/>
  <c r="L629" i="1"/>
  <c r="N629" i="1" s="1"/>
  <c r="K629" i="1"/>
  <c r="R628" i="1"/>
  <c r="M628" i="1"/>
  <c r="L628" i="1"/>
  <c r="N628" i="1" s="1"/>
  <c r="K628" i="1"/>
  <c r="R627" i="1"/>
  <c r="M627" i="1"/>
  <c r="L627" i="1"/>
  <c r="N627" i="1" s="1"/>
  <c r="K627" i="1"/>
  <c r="R626" i="1"/>
  <c r="M626" i="1"/>
  <c r="L626" i="1"/>
  <c r="N626" i="1" s="1"/>
  <c r="K626" i="1"/>
  <c r="R625" i="1"/>
  <c r="M625" i="1"/>
  <c r="L625" i="1"/>
  <c r="N625" i="1" s="1"/>
  <c r="K625" i="1"/>
  <c r="R624" i="1"/>
  <c r="M624" i="1"/>
  <c r="L624" i="1"/>
  <c r="N624" i="1" s="1"/>
  <c r="K624" i="1"/>
  <c r="R623" i="1"/>
  <c r="M623" i="1"/>
  <c r="L623" i="1"/>
  <c r="N623" i="1" s="1"/>
  <c r="K623" i="1"/>
  <c r="R622" i="1"/>
  <c r="M622" i="1"/>
  <c r="L622" i="1"/>
  <c r="N622" i="1" s="1"/>
  <c r="K622" i="1"/>
  <c r="R621" i="1"/>
  <c r="M621" i="1"/>
  <c r="L621" i="1"/>
  <c r="N621" i="1" s="1"/>
  <c r="K621" i="1"/>
  <c r="R620" i="1"/>
  <c r="M620" i="1"/>
  <c r="L620" i="1"/>
  <c r="N620" i="1" s="1"/>
  <c r="K620" i="1"/>
  <c r="R619" i="1"/>
  <c r="M619" i="1"/>
  <c r="L619" i="1"/>
  <c r="N619" i="1" s="1"/>
  <c r="K619" i="1"/>
  <c r="R618" i="1"/>
  <c r="M618" i="1"/>
  <c r="L618" i="1"/>
  <c r="N618" i="1" s="1"/>
  <c r="K618" i="1"/>
  <c r="R617" i="1"/>
  <c r="M617" i="1"/>
  <c r="L617" i="1"/>
  <c r="N617" i="1" s="1"/>
  <c r="K617" i="1"/>
  <c r="R616" i="1"/>
  <c r="M616" i="1"/>
  <c r="L616" i="1"/>
  <c r="N616" i="1" s="1"/>
  <c r="K616" i="1"/>
  <c r="R615" i="1"/>
  <c r="M615" i="1"/>
  <c r="L615" i="1"/>
  <c r="N615" i="1" s="1"/>
  <c r="K615" i="1"/>
  <c r="R614" i="1"/>
  <c r="M614" i="1"/>
  <c r="L614" i="1"/>
  <c r="N614" i="1" s="1"/>
  <c r="K614" i="1"/>
  <c r="R613" i="1"/>
  <c r="M613" i="1"/>
  <c r="L613" i="1"/>
  <c r="N613" i="1" s="1"/>
  <c r="K613" i="1"/>
  <c r="R612" i="1"/>
  <c r="M612" i="1"/>
  <c r="L612" i="1"/>
  <c r="N612" i="1" s="1"/>
  <c r="K612" i="1"/>
  <c r="R611" i="1"/>
  <c r="M611" i="1"/>
  <c r="L611" i="1"/>
  <c r="N611" i="1" s="1"/>
  <c r="K611" i="1"/>
  <c r="R610" i="1"/>
  <c r="M610" i="1"/>
  <c r="L610" i="1"/>
  <c r="N610" i="1" s="1"/>
  <c r="K610" i="1"/>
  <c r="R609" i="1"/>
  <c r="M609" i="1"/>
  <c r="L609" i="1"/>
  <c r="N609" i="1" s="1"/>
  <c r="K609" i="1"/>
  <c r="R608" i="1"/>
  <c r="M608" i="1"/>
  <c r="L608" i="1"/>
  <c r="N608" i="1" s="1"/>
  <c r="K608" i="1"/>
  <c r="R607" i="1"/>
  <c r="M607" i="1"/>
  <c r="L607" i="1"/>
  <c r="N607" i="1" s="1"/>
  <c r="K607" i="1"/>
  <c r="R606" i="1"/>
  <c r="M606" i="1"/>
  <c r="L606" i="1"/>
  <c r="N606" i="1" s="1"/>
  <c r="K606" i="1"/>
  <c r="R605" i="1"/>
  <c r="M605" i="1"/>
  <c r="L605" i="1"/>
  <c r="N605" i="1" s="1"/>
  <c r="K605" i="1"/>
  <c r="R604" i="1"/>
  <c r="M604" i="1"/>
  <c r="L604" i="1"/>
  <c r="N604" i="1" s="1"/>
  <c r="K604" i="1"/>
  <c r="R603" i="1"/>
  <c r="M603" i="1"/>
  <c r="L603" i="1"/>
  <c r="N603" i="1" s="1"/>
  <c r="K603" i="1"/>
  <c r="R602" i="1"/>
  <c r="M602" i="1"/>
  <c r="L602" i="1"/>
  <c r="N602" i="1" s="1"/>
  <c r="K602" i="1"/>
  <c r="R601" i="1"/>
  <c r="M601" i="1"/>
  <c r="L601" i="1"/>
  <c r="N601" i="1" s="1"/>
  <c r="K601" i="1"/>
  <c r="R600" i="1"/>
  <c r="M600" i="1"/>
  <c r="L600" i="1"/>
  <c r="N600" i="1" s="1"/>
  <c r="K600" i="1"/>
  <c r="R599" i="1"/>
  <c r="M599" i="1"/>
  <c r="L599" i="1"/>
  <c r="N599" i="1" s="1"/>
  <c r="K599" i="1"/>
  <c r="R598" i="1"/>
  <c r="M598" i="1"/>
  <c r="L598" i="1"/>
  <c r="N598" i="1" s="1"/>
  <c r="K598" i="1"/>
  <c r="R597" i="1"/>
  <c r="M597" i="1"/>
  <c r="L597" i="1"/>
  <c r="N597" i="1" s="1"/>
  <c r="K597" i="1"/>
  <c r="R596" i="1"/>
  <c r="M596" i="1"/>
  <c r="L596" i="1"/>
  <c r="N596" i="1" s="1"/>
  <c r="K596" i="1"/>
  <c r="R595" i="1"/>
  <c r="M595" i="1"/>
  <c r="L595" i="1"/>
  <c r="N595" i="1" s="1"/>
  <c r="K595" i="1"/>
  <c r="R594" i="1"/>
  <c r="M594" i="1"/>
  <c r="L594" i="1"/>
  <c r="N594" i="1" s="1"/>
  <c r="K594" i="1"/>
  <c r="R593" i="1"/>
  <c r="M593" i="1"/>
  <c r="L593" i="1"/>
  <c r="N593" i="1" s="1"/>
  <c r="K593" i="1"/>
  <c r="R592" i="1"/>
  <c r="M592" i="1"/>
  <c r="L592" i="1"/>
  <c r="N592" i="1" s="1"/>
  <c r="K592" i="1"/>
  <c r="R591" i="1"/>
  <c r="M591" i="1"/>
  <c r="L591" i="1"/>
  <c r="N591" i="1" s="1"/>
  <c r="K591" i="1"/>
  <c r="R590" i="1"/>
  <c r="M590" i="1"/>
  <c r="L590" i="1"/>
  <c r="N590" i="1" s="1"/>
  <c r="K590" i="1"/>
  <c r="R589" i="1"/>
  <c r="M589" i="1"/>
  <c r="L589" i="1"/>
  <c r="N589" i="1" s="1"/>
  <c r="K589" i="1"/>
  <c r="R588" i="1"/>
  <c r="M588" i="1"/>
  <c r="L588" i="1"/>
  <c r="N588" i="1" s="1"/>
  <c r="K588" i="1"/>
  <c r="R587" i="1"/>
  <c r="M587" i="1"/>
  <c r="L587" i="1"/>
  <c r="N587" i="1" s="1"/>
  <c r="K587" i="1"/>
  <c r="R586" i="1"/>
  <c r="M586" i="1"/>
  <c r="L586" i="1"/>
  <c r="N586" i="1" s="1"/>
  <c r="K586" i="1"/>
  <c r="R585" i="1"/>
  <c r="M585" i="1"/>
  <c r="L585" i="1"/>
  <c r="N585" i="1" s="1"/>
  <c r="K585" i="1"/>
  <c r="R584" i="1"/>
  <c r="M584" i="1"/>
  <c r="L584" i="1"/>
  <c r="N584" i="1" s="1"/>
  <c r="K584" i="1"/>
  <c r="R583" i="1"/>
  <c r="M583" i="1"/>
  <c r="L583" i="1"/>
  <c r="N583" i="1" s="1"/>
  <c r="K583" i="1"/>
  <c r="R582" i="1"/>
  <c r="M582" i="1"/>
  <c r="L582" i="1"/>
  <c r="N582" i="1" s="1"/>
  <c r="K582" i="1"/>
  <c r="R581" i="1"/>
  <c r="M581" i="1"/>
  <c r="L581" i="1"/>
  <c r="N581" i="1" s="1"/>
  <c r="K581" i="1"/>
  <c r="R580" i="1"/>
  <c r="M580" i="1"/>
  <c r="L580" i="1"/>
  <c r="N580" i="1" s="1"/>
  <c r="K580" i="1"/>
  <c r="R579" i="1"/>
  <c r="M579" i="1"/>
  <c r="L579" i="1"/>
  <c r="N579" i="1" s="1"/>
  <c r="K579" i="1"/>
  <c r="R578" i="1"/>
  <c r="M578" i="1"/>
  <c r="L578" i="1"/>
  <c r="N578" i="1" s="1"/>
  <c r="K578" i="1"/>
  <c r="R577" i="1"/>
  <c r="M577" i="1"/>
  <c r="L577" i="1"/>
  <c r="N577" i="1" s="1"/>
  <c r="K577" i="1"/>
  <c r="R576" i="1"/>
  <c r="M576" i="1"/>
  <c r="L576" i="1"/>
  <c r="N576" i="1" s="1"/>
  <c r="K576" i="1"/>
  <c r="R575" i="1"/>
  <c r="M575" i="1"/>
  <c r="L575" i="1"/>
  <c r="N575" i="1" s="1"/>
  <c r="K575" i="1"/>
  <c r="R574" i="1"/>
  <c r="M574" i="1"/>
  <c r="L574" i="1"/>
  <c r="N574" i="1" s="1"/>
  <c r="K574" i="1"/>
  <c r="R573" i="1"/>
  <c r="M573" i="1"/>
  <c r="L573" i="1"/>
  <c r="N573" i="1" s="1"/>
  <c r="K573" i="1"/>
  <c r="R572" i="1"/>
  <c r="M572" i="1"/>
  <c r="L572" i="1"/>
  <c r="N572" i="1" s="1"/>
  <c r="K572" i="1"/>
  <c r="R571" i="1"/>
  <c r="M571" i="1"/>
  <c r="L571" i="1"/>
  <c r="N571" i="1" s="1"/>
  <c r="K571" i="1"/>
  <c r="R570" i="1"/>
  <c r="M570" i="1"/>
  <c r="L570" i="1"/>
  <c r="N570" i="1" s="1"/>
  <c r="K570" i="1"/>
  <c r="R569" i="1"/>
  <c r="M569" i="1"/>
  <c r="L569" i="1"/>
  <c r="N569" i="1" s="1"/>
  <c r="K569" i="1"/>
  <c r="R568" i="1"/>
  <c r="M568" i="1"/>
  <c r="L568" i="1"/>
  <c r="N568" i="1" s="1"/>
  <c r="K568" i="1"/>
  <c r="R567" i="1"/>
  <c r="M567" i="1"/>
  <c r="L567" i="1"/>
  <c r="N567" i="1" s="1"/>
  <c r="K567" i="1"/>
  <c r="R566" i="1"/>
  <c r="M566" i="1"/>
  <c r="L566" i="1"/>
  <c r="N566" i="1" s="1"/>
  <c r="K566" i="1"/>
  <c r="R565" i="1"/>
  <c r="M565" i="1"/>
  <c r="L565" i="1"/>
  <c r="N565" i="1" s="1"/>
  <c r="K565" i="1"/>
  <c r="R564" i="1"/>
  <c r="M564" i="1"/>
  <c r="L564" i="1"/>
  <c r="N564" i="1" s="1"/>
  <c r="K564" i="1"/>
  <c r="R563" i="1"/>
  <c r="M563" i="1"/>
  <c r="L563" i="1"/>
  <c r="N563" i="1" s="1"/>
  <c r="K563" i="1"/>
  <c r="R562" i="1"/>
  <c r="M562" i="1"/>
  <c r="L562" i="1"/>
  <c r="N562" i="1" s="1"/>
  <c r="K562" i="1"/>
  <c r="R561" i="1"/>
  <c r="M561" i="1"/>
  <c r="L561" i="1"/>
  <c r="N561" i="1" s="1"/>
  <c r="K561" i="1"/>
  <c r="R560" i="1"/>
  <c r="M560" i="1"/>
  <c r="L560" i="1"/>
  <c r="K560" i="1"/>
  <c r="R559" i="1"/>
  <c r="M559" i="1"/>
  <c r="L559" i="1"/>
  <c r="N559" i="1" s="1"/>
  <c r="K559" i="1"/>
  <c r="R558" i="1"/>
  <c r="N558" i="1"/>
  <c r="M558" i="1"/>
  <c r="L558" i="1"/>
  <c r="K558" i="1"/>
  <c r="R557" i="1"/>
  <c r="M557" i="1"/>
  <c r="L557" i="1"/>
  <c r="K557" i="1"/>
  <c r="R556" i="1"/>
  <c r="M556" i="1"/>
  <c r="N556" i="1" s="1"/>
  <c r="L556" i="1"/>
  <c r="K556" i="1"/>
  <c r="R555" i="1"/>
  <c r="M555" i="1"/>
  <c r="N555" i="1" s="1"/>
  <c r="L555" i="1"/>
  <c r="K555" i="1"/>
  <c r="R554" i="1"/>
  <c r="M554" i="1"/>
  <c r="L554" i="1"/>
  <c r="K554" i="1"/>
  <c r="R553" i="1"/>
  <c r="M553" i="1"/>
  <c r="L553" i="1"/>
  <c r="K553" i="1"/>
  <c r="R552" i="1"/>
  <c r="M552" i="1"/>
  <c r="L552" i="1"/>
  <c r="K552" i="1"/>
  <c r="R551" i="1"/>
  <c r="N551" i="1"/>
  <c r="M551" i="1"/>
  <c r="L551" i="1"/>
  <c r="K551" i="1"/>
  <c r="R550" i="1"/>
  <c r="M550" i="1"/>
  <c r="L550" i="1"/>
  <c r="N550" i="1" s="1"/>
  <c r="K550" i="1"/>
  <c r="R549" i="1"/>
  <c r="M549" i="1"/>
  <c r="L549" i="1"/>
  <c r="N549" i="1" s="1"/>
  <c r="K549" i="1"/>
  <c r="R548" i="1"/>
  <c r="M548" i="1"/>
  <c r="L548" i="1"/>
  <c r="K548" i="1"/>
  <c r="R547" i="1"/>
  <c r="M547" i="1"/>
  <c r="L547" i="1"/>
  <c r="N547" i="1" s="1"/>
  <c r="K547" i="1"/>
  <c r="R546" i="1"/>
  <c r="M546" i="1"/>
  <c r="L546" i="1"/>
  <c r="K546" i="1"/>
  <c r="R545" i="1"/>
  <c r="M545" i="1"/>
  <c r="L545" i="1"/>
  <c r="K545" i="1"/>
  <c r="R544" i="1"/>
  <c r="M544" i="1"/>
  <c r="L544" i="1"/>
  <c r="K544" i="1"/>
  <c r="R543" i="1"/>
  <c r="N543" i="1"/>
  <c r="M543" i="1"/>
  <c r="L543" i="1"/>
  <c r="K543" i="1"/>
  <c r="R542" i="1"/>
  <c r="N542" i="1"/>
  <c r="M542" i="1"/>
  <c r="L542" i="1"/>
  <c r="K542" i="1"/>
  <c r="R541" i="1"/>
  <c r="M541" i="1"/>
  <c r="L541" i="1"/>
  <c r="N541" i="1" s="1"/>
  <c r="K541" i="1"/>
  <c r="R540" i="1"/>
  <c r="M540" i="1"/>
  <c r="L540" i="1"/>
  <c r="N540" i="1" s="1"/>
  <c r="K540" i="1"/>
  <c r="R539" i="1"/>
  <c r="M539" i="1"/>
  <c r="L539" i="1"/>
  <c r="N539" i="1" s="1"/>
  <c r="K539" i="1"/>
  <c r="R538" i="1"/>
  <c r="M538" i="1"/>
  <c r="L538" i="1"/>
  <c r="N538" i="1" s="1"/>
  <c r="K538" i="1"/>
  <c r="R537" i="1"/>
  <c r="M537" i="1"/>
  <c r="L537" i="1"/>
  <c r="K537" i="1"/>
  <c r="R536" i="1"/>
  <c r="N536" i="1"/>
  <c r="M536" i="1"/>
  <c r="L536" i="1"/>
  <c r="K536" i="1"/>
  <c r="R535" i="1"/>
  <c r="M535" i="1"/>
  <c r="L535" i="1"/>
  <c r="K535" i="1"/>
  <c r="R534" i="1"/>
  <c r="M534" i="1"/>
  <c r="N534" i="1" s="1"/>
  <c r="L534" i="1"/>
  <c r="K534" i="1"/>
  <c r="R533" i="1"/>
  <c r="M533" i="1"/>
  <c r="L533" i="1"/>
  <c r="K533" i="1"/>
  <c r="R532" i="1"/>
  <c r="N532" i="1"/>
  <c r="M532" i="1"/>
  <c r="L532" i="1"/>
  <c r="K532" i="1"/>
  <c r="R531" i="1"/>
  <c r="M531" i="1"/>
  <c r="L531" i="1"/>
  <c r="N531" i="1" s="1"/>
  <c r="K531" i="1"/>
  <c r="R530" i="1"/>
  <c r="M530" i="1"/>
  <c r="L530" i="1"/>
  <c r="N530" i="1" s="1"/>
  <c r="K530" i="1"/>
  <c r="R529" i="1"/>
  <c r="M529" i="1"/>
  <c r="L529" i="1"/>
  <c r="N529" i="1" s="1"/>
  <c r="K529" i="1"/>
  <c r="R528" i="1"/>
  <c r="M528" i="1"/>
  <c r="L528" i="1"/>
  <c r="N528" i="1" s="1"/>
  <c r="K528" i="1"/>
  <c r="R527" i="1"/>
  <c r="M527" i="1"/>
  <c r="L527" i="1"/>
  <c r="K527" i="1"/>
  <c r="R526" i="1"/>
  <c r="N526" i="1"/>
  <c r="M526" i="1"/>
  <c r="L526" i="1"/>
  <c r="K526" i="1"/>
  <c r="R525" i="1"/>
  <c r="M525" i="1"/>
  <c r="L525" i="1"/>
  <c r="K525" i="1"/>
  <c r="R524" i="1"/>
  <c r="N524" i="1"/>
  <c r="M524" i="1"/>
  <c r="L524" i="1"/>
  <c r="K524" i="1"/>
  <c r="R523" i="1"/>
  <c r="M523" i="1"/>
  <c r="L523" i="1"/>
  <c r="N523" i="1" s="1"/>
  <c r="K523" i="1"/>
  <c r="R522" i="1"/>
  <c r="M522" i="1"/>
  <c r="L522" i="1"/>
  <c r="K522" i="1"/>
  <c r="R521" i="1"/>
  <c r="M521" i="1"/>
  <c r="L521" i="1"/>
  <c r="N521" i="1" s="1"/>
  <c r="K521" i="1"/>
  <c r="R520" i="1"/>
  <c r="M520" i="1"/>
  <c r="L520" i="1"/>
  <c r="N520" i="1" s="1"/>
  <c r="K520" i="1"/>
  <c r="R519" i="1"/>
  <c r="M519" i="1"/>
  <c r="L519" i="1"/>
  <c r="N519" i="1" s="1"/>
  <c r="K519" i="1"/>
  <c r="R518" i="1"/>
  <c r="M518" i="1"/>
  <c r="L518" i="1"/>
  <c r="N518" i="1" s="1"/>
  <c r="K518" i="1"/>
  <c r="R517" i="1"/>
  <c r="M517" i="1"/>
  <c r="L517" i="1"/>
  <c r="N517" i="1" s="1"/>
  <c r="K517" i="1"/>
  <c r="R516" i="1"/>
  <c r="N516" i="1"/>
  <c r="M516" i="1"/>
  <c r="L516" i="1"/>
  <c r="K516" i="1"/>
  <c r="R515" i="1"/>
  <c r="M515" i="1"/>
  <c r="L515" i="1"/>
  <c r="K515" i="1"/>
  <c r="R514" i="1"/>
  <c r="M514" i="1"/>
  <c r="N514" i="1" s="1"/>
  <c r="L514" i="1"/>
  <c r="K514" i="1"/>
  <c r="R513" i="1"/>
  <c r="M513" i="1"/>
  <c r="L513" i="1"/>
  <c r="K513" i="1"/>
  <c r="R512" i="1"/>
  <c r="N512" i="1"/>
  <c r="M512" i="1"/>
  <c r="L512" i="1"/>
  <c r="K512" i="1"/>
  <c r="R511" i="1"/>
  <c r="M511" i="1"/>
  <c r="L511" i="1"/>
  <c r="N511" i="1" s="1"/>
  <c r="K511" i="1"/>
  <c r="R510" i="1"/>
  <c r="M510" i="1"/>
  <c r="L510" i="1"/>
  <c r="K510" i="1"/>
  <c r="R509" i="1"/>
  <c r="M509" i="1"/>
  <c r="L509" i="1"/>
  <c r="N509" i="1" s="1"/>
  <c r="K509" i="1"/>
  <c r="R508" i="1"/>
  <c r="M508" i="1"/>
  <c r="L508" i="1"/>
  <c r="N508" i="1" s="1"/>
  <c r="K508" i="1"/>
  <c r="R507" i="1"/>
  <c r="M507" i="1"/>
  <c r="L507" i="1"/>
  <c r="N507" i="1" s="1"/>
  <c r="K507" i="1"/>
  <c r="R506" i="1"/>
  <c r="M506" i="1"/>
  <c r="L506" i="1"/>
  <c r="N506" i="1" s="1"/>
  <c r="K506" i="1"/>
  <c r="R505" i="1"/>
  <c r="M505" i="1"/>
  <c r="L505" i="1"/>
  <c r="K505" i="1"/>
  <c r="R504" i="1"/>
  <c r="M504" i="1"/>
  <c r="N504" i="1" s="1"/>
  <c r="L504" i="1"/>
  <c r="K504" i="1"/>
  <c r="R503" i="1"/>
  <c r="M503" i="1"/>
  <c r="L503" i="1"/>
  <c r="K503" i="1"/>
  <c r="R502" i="1"/>
  <c r="M502" i="1"/>
  <c r="N502" i="1" s="1"/>
  <c r="L502" i="1"/>
  <c r="K502" i="1"/>
  <c r="R501" i="1"/>
  <c r="M501" i="1"/>
  <c r="L501" i="1"/>
  <c r="K501" i="1"/>
  <c r="R500" i="1"/>
  <c r="N500" i="1"/>
  <c r="M500" i="1"/>
  <c r="L500" i="1"/>
  <c r="K500" i="1"/>
  <c r="R499" i="1"/>
  <c r="M499" i="1"/>
  <c r="L499" i="1"/>
  <c r="N499" i="1" s="1"/>
  <c r="K499" i="1"/>
  <c r="R498" i="1"/>
  <c r="M498" i="1"/>
  <c r="L498" i="1"/>
  <c r="N498" i="1" s="1"/>
  <c r="K498" i="1"/>
  <c r="R497" i="1"/>
  <c r="M497" i="1"/>
  <c r="L497" i="1"/>
  <c r="N497" i="1" s="1"/>
  <c r="K497" i="1"/>
  <c r="R496" i="1"/>
  <c r="M496" i="1"/>
  <c r="L496" i="1"/>
  <c r="N496" i="1" s="1"/>
  <c r="K496" i="1"/>
  <c r="R495" i="1"/>
  <c r="M495" i="1"/>
  <c r="L495" i="1"/>
  <c r="K495" i="1"/>
  <c r="R494" i="1"/>
  <c r="N494" i="1"/>
  <c r="M494" i="1"/>
  <c r="L494" i="1"/>
  <c r="K494" i="1"/>
  <c r="R493" i="1"/>
  <c r="M493" i="1"/>
  <c r="L493" i="1"/>
  <c r="K493" i="1"/>
  <c r="R492" i="1"/>
  <c r="N492" i="1"/>
  <c r="M492" i="1"/>
  <c r="L492" i="1"/>
  <c r="K492" i="1"/>
  <c r="R491" i="1"/>
  <c r="M491" i="1"/>
  <c r="L491" i="1"/>
  <c r="N491" i="1" s="1"/>
  <c r="K491" i="1"/>
  <c r="R490" i="1"/>
  <c r="M490" i="1"/>
  <c r="L490" i="1"/>
  <c r="K490" i="1"/>
  <c r="R489" i="1"/>
  <c r="M489" i="1"/>
  <c r="L489" i="1"/>
  <c r="N489" i="1" s="1"/>
  <c r="K489" i="1"/>
  <c r="R488" i="1"/>
  <c r="M488" i="1"/>
  <c r="L488" i="1"/>
  <c r="N488" i="1" s="1"/>
  <c r="K488" i="1"/>
  <c r="R487" i="1"/>
  <c r="M487" i="1"/>
  <c r="L487" i="1"/>
  <c r="N487" i="1" s="1"/>
  <c r="K487" i="1"/>
  <c r="R486" i="1"/>
  <c r="M486" i="1"/>
  <c r="L486" i="1"/>
  <c r="N486" i="1" s="1"/>
  <c r="K486" i="1"/>
  <c r="R485" i="1"/>
  <c r="M485" i="1"/>
  <c r="L485" i="1"/>
  <c r="K485" i="1"/>
  <c r="R484" i="1"/>
  <c r="M484" i="1"/>
  <c r="N484" i="1" s="1"/>
  <c r="L484" i="1"/>
  <c r="K484" i="1"/>
  <c r="R483" i="1"/>
  <c r="M483" i="1"/>
  <c r="L483" i="1"/>
  <c r="K483" i="1"/>
  <c r="R482" i="1"/>
  <c r="M482" i="1"/>
  <c r="N482" i="1" s="1"/>
  <c r="L482" i="1"/>
  <c r="K482" i="1"/>
  <c r="R481" i="1"/>
  <c r="M481" i="1"/>
  <c r="L481" i="1"/>
  <c r="K481" i="1"/>
  <c r="R480" i="1"/>
  <c r="N480" i="1"/>
  <c r="M480" i="1"/>
  <c r="L480" i="1"/>
  <c r="K480" i="1"/>
  <c r="R479" i="1"/>
  <c r="M479" i="1"/>
  <c r="L479" i="1"/>
  <c r="N479" i="1" s="1"/>
  <c r="K479" i="1"/>
  <c r="R478" i="1"/>
  <c r="M478" i="1"/>
  <c r="L478" i="1"/>
  <c r="K478" i="1"/>
  <c r="R477" i="1"/>
  <c r="M477" i="1"/>
  <c r="L477" i="1"/>
  <c r="N477" i="1" s="1"/>
  <c r="K477" i="1"/>
  <c r="R476" i="1"/>
  <c r="M476" i="1"/>
  <c r="L476" i="1"/>
  <c r="N476" i="1" s="1"/>
  <c r="K476" i="1"/>
  <c r="R475" i="1"/>
  <c r="M475" i="1"/>
  <c r="L475" i="1"/>
  <c r="N475" i="1" s="1"/>
  <c r="K475" i="1"/>
  <c r="R474" i="1"/>
  <c r="M474" i="1"/>
  <c r="L474" i="1"/>
  <c r="K474" i="1"/>
  <c r="R473" i="1"/>
  <c r="M473" i="1"/>
  <c r="L473" i="1"/>
  <c r="N473" i="1" s="1"/>
  <c r="K473" i="1"/>
  <c r="R472" i="1"/>
  <c r="N472" i="1"/>
  <c r="M472" i="1"/>
  <c r="L472" i="1"/>
  <c r="K472" i="1"/>
  <c r="R471" i="1"/>
  <c r="M471" i="1"/>
  <c r="L471" i="1"/>
  <c r="K471" i="1"/>
  <c r="R470" i="1"/>
  <c r="M470" i="1"/>
  <c r="N470" i="1" s="1"/>
  <c r="L470" i="1"/>
  <c r="K470" i="1"/>
  <c r="R469" i="1"/>
  <c r="M469" i="1"/>
  <c r="L469" i="1"/>
  <c r="K469" i="1"/>
  <c r="R468" i="1"/>
  <c r="N468" i="1"/>
  <c r="M468" i="1"/>
  <c r="L468" i="1"/>
  <c r="K468" i="1"/>
  <c r="R467" i="1"/>
  <c r="M467" i="1"/>
  <c r="L467" i="1"/>
  <c r="K467" i="1"/>
  <c r="R466" i="1"/>
  <c r="M466" i="1"/>
  <c r="L466" i="1"/>
  <c r="N466" i="1" s="1"/>
  <c r="K466" i="1"/>
  <c r="R465" i="1"/>
  <c r="M465" i="1"/>
  <c r="L465" i="1"/>
  <c r="N465" i="1" s="1"/>
  <c r="K465" i="1"/>
  <c r="R464" i="1"/>
  <c r="M464" i="1"/>
  <c r="L464" i="1"/>
  <c r="N464" i="1" s="1"/>
  <c r="K464" i="1"/>
  <c r="R463" i="1"/>
  <c r="M463" i="1"/>
  <c r="L463" i="1"/>
  <c r="K463" i="1"/>
  <c r="R462" i="1"/>
  <c r="M462" i="1"/>
  <c r="N462" i="1" s="1"/>
  <c r="L462" i="1"/>
  <c r="K462" i="1"/>
  <c r="R461" i="1"/>
  <c r="M461" i="1"/>
  <c r="L461" i="1"/>
  <c r="K461" i="1"/>
  <c r="R460" i="1"/>
  <c r="N460" i="1"/>
  <c r="M460" i="1"/>
  <c r="L460" i="1"/>
  <c r="K460" i="1"/>
  <c r="R459" i="1"/>
  <c r="M459" i="1"/>
  <c r="L459" i="1"/>
  <c r="N459" i="1" s="1"/>
  <c r="K459" i="1"/>
  <c r="R458" i="1"/>
  <c r="M458" i="1"/>
  <c r="N458" i="1" s="1"/>
  <c r="L458" i="1"/>
  <c r="K458" i="1"/>
  <c r="R457" i="1"/>
  <c r="M457" i="1"/>
  <c r="L457" i="1"/>
  <c r="N457" i="1" s="1"/>
  <c r="K457" i="1"/>
  <c r="R456" i="1"/>
  <c r="M456" i="1"/>
  <c r="L456" i="1"/>
  <c r="N456" i="1" s="1"/>
  <c r="K456" i="1"/>
  <c r="R455" i="1"/>
  <c r="M455" i="1"/>
  <c r="L455" i="1"/>
  <c r="N455" i="1" s="1"/>
  <c r="K455" i="1"/>
  <c r="R454" i="1"/>
  <c r="M454" i="1"/>
  <c r="L454" i="1"/>
  <c r="N454" i="1" s="1"/>
  <c r="K454" i="1"/>
  <c r="R453" i="1"/>
  <c r="M453" i="1"/>
  <c r="L453" i="1"/>
  <c r="K453" i="1"/>
  <c r="R452" i="1"/>
  <c r="N452" i="1"/>
  <c r="M452" i="1"/>
  <c r="L452" i="1"/>
  <c r="K452" i="1"/>
  <c r="R451" i="1"/>
  <c r="M451" i="1"/>
  <c r="L451" i="1"/>
  <c r="K451" i="1"/>
  <c r="R450" i="1"/>
  <c r="M450" i="1"/>
  <c r="N450" i="1" s="1"/>
  <c r="L450" i="1"/>
  <c r="K450" i="1"/>
  <c r="R449" i="1"/>
  <c r="M449" i="1"/>
  <c r="L449" i="1"/>
  <c r="K449" i="1"/>
  <c r="R448" i="1"/>
  <c r="N448" i="1"/>
  <c r="M448" i="1"/>
  <c r="L448" i="1"/>
  <c r="K448" i="1"/>
  <c r="R447" i="1"/>
  <c r="M447" i="1"/>
  <c r="L447" i="1"/>
  <c r="K447" i="1"/>
  <c r="R446" i="1"/>
  <c r="M446" i="1"/>
  <c r="L446" i="1"/>
  <c r="K446" i="1"/>
  <c r="R445" i="1"/>
  <c r="M445" i="1"/>
  <c r="L445" i="1"/>
  <c r="K445" i="1"/>
  <c r="R444" i="1"/>
  <c r="M444" i="1"/>
  <c r="L444" i="1"/>
  <c r="N444" i="1" s="1"/>
  <c r="K444" i="1"/>
  <c r="R443" i="1"/>
  <c r="M443" i="1"/>
  <c r="L443" i="1"/>
  <c r="N443" i="1" s="1"/>
  <c r="K443" i="1"/>
  <c r="R442" i="1"/>
  <c r="M442" i="1"/>
  <c r="L442" i="1"/>
  <c r="N442" i="1" s="1"/>
  <c r="K442" i="1"/>
  <c r="R441" i="1"/>
  <c r="M441" i="1"/>
  <c r="L441" i="1"/>
  <c r="K441" i="1"/>
  <c r="R440" i="1"/>
  <c r="M440" i="1"/>
  <c r="N440" i="1" s="1"/>
  <c r="L440" i="1"/>
  <c r="K440" i="1"/>
  <c r="R439" i="1"/>
  <c r="M439" i="1"/>
  <c r="L439" i="1"/>
  <c r="K439" i="1"/>
  <c r="R438" i="1"/>
  <c r="M438" i="1"/>
  <c r="N438" i="1" s="1"/>
  <c r="L438" i="1"/>
  <c r="K438" i="1"/>
  <c r="R437" i="1"/>
  <c r="M437" i="1"/>
  <c r="L437" i="1"/>
  <c r="K437" i="1"/>
  <c r="R436" i="1"/>
  <c r="N436" i="1"/>
  <c r="M436" i="1"/>
  <c r="L436" i="1"/>
  <c r="K436" i="1"/>
  <c r="R435" i="1"/>
  <c r="M435" i="1"/>
  <c r="L435" i="1"/>
  <c r="N435" i="1" s="1"/>
  <c r="K435" i="1"/>
  <c r="R434" i="1"/>
  <c r="M434" i="1"/>
  <c r="L434" i="1"/>
  <c r="N434" i="1" s="1"/>
  <c r="K434" i="1"/>
  <c r="R433" i="1"/>
  <c r="M433" i="1"/>
  <c r="L433" i="1"/>
  <c r="N433" i="1" s="1"/>
  <c r="K433" i="1"/>
  <c r="R432" i="1"/>
  <c r="M432" i="1"/>
  <c r="L432" i="1"/>
  <c r="K432" i="1"/>
  <c r="R431" i="1"/>
  <c r="M431" i="1"/>
  <c r="L431" i="1"/>
  <c r="N431" i="1" s="1"/>
  <c r="K431" i="1"/>
  <c r="R430" i="1"/>
  <c r="N430" i="1"/>
  <c r="M430" i="1"/>
  <c r="L430" i="1"/>
  <c r="K430" i="1"/>
  <c r="R429" i="1"/>
  <c r="M429" i="1"/>
  <c r="L429" i="1"/>
  <c r="K429" i="1"/>
  <c r="R428" i="1"/>
  <c r="N428" i="1"/>
  <c r="M428" i="1"/>
  <c r="L428" i="1"/>
  <c r="K428" i="1"/>
  <c r="R427" i="1"/>
  <c r="M427" i="1"/>
  <c r="L427" i="1"/>
  <c r="K427" i="1"/>
  <c r="R426" i="1"/>
  <c r="M426" i="1"/>
  <c r="L426" i="1"/>
  <c r="K426" i="1"/>
  <c r="R425" i="1"/>
  <c r="M425" i="1"/>
  <c r="L425" i="1"/>
  <c r="K425" i="1"/>
  <c r="R424" i="1"/>
  <c r="M424" i="1"/>
  <c r="L424" i="1"/>
  <c r="N424" i="1" s="1"/>
  <c r="K424" i="1"/>
  <c r="R423" i="1"/>
  <c r="M423" i="1"/>
  <c r="L423" i="1"/>
  <c r="N423" i="1" s="1"/>
  <c r="K423" i="1"/>
  <c r="R422" i="1"/>
  <c r="M422" i="1"/>
  <c r="L422" i="1"/>
  <c r="N422" i="1" s="1"/>
  <c r="K422" i="1"/>
  <c r="R421" i="1"/>
  <c r="M421" i="1"/>
  <c r="L421" i="1"/>
  <c r="K421" i="1"/>
  <c r="R420" i="1"/>
  <c r="M420" i="1"/>
  <c r="N420" i="1" s="1"/>
  <c r="L420" i="1"/>
  <c r="K420" i="1"/>
  <c r="R419" i="1"/>
  <c r="M419" i="1"/>
  <c r="L419" i="1"/>
  <c r="K419" i="1"/>
  <c r="R418" i="1"/>
  <c r="M418" i="1"/>
  <c r="N418" i="1" s="1"/>
  <c r="L418" i="1"/>
  <c r="K418" i="1"/>
  <c r="R417" i="1"/>
  <c r="M417" i="1"/>
  <c r="L417" i="1"/>
  <c r="K417" i="1"/>
  <c r="R416" i="1"/>
  <c r="N416" i="1"/>
  <c r="M416" i="1"/>
  <c r="L416" i="1"/>
  <c r="K416" i="1"/>
  <c r="R415" i="1"/>
  <c r="M415" i="1"/>
  <c r="L415" i="1"/>
  <c r="N415" i="1" s="1"/>
  <c r="K415" i="1"/>
  <c r="R414" i="1"/>
  <c r="M414" i="1"/>
  <c r="N414" i="1" s="1"/>
  <c r="L414" i="1"/>
  <c r="K414" i="1"/>
  <c r="R413" i="1"/>
  <c r="M413" i="1"/>
  <c r="L413" i="1"/>
  <c r="N413" i="1" s="1"/>
  <c r="K413" i="1"/>
  <c r="R412" i="1"/>
  <c r="M412" i="1"/>
  <c r="L412" i="1"/>
  <c r="K412" i="1"/>
  <c r="R411" i="1"/>
  <c r="M411" i="1"/>
  <c r="L411" i="1"/>
  <c r="N411" i="1" s="1"/>
  <c r="K411" i="1"/>
  <c r="R410" i="1"/>
  <c r="M410" i="1"/>
  <c r="L410" i="1"/>
  <c r="K410" i="1"/>
  <c r="R409" i="1"/>
  <c r="M409" i="1"/>
  <c r="L409" i="1"/>
  <c r="N409" i="1" s="1"/>
  <c r="K409" i="1"/>
  <c r="R408" i="1"/>
  <c r="M408" i="1"/>
  <c r="L408" i="1"/>
  <c r="N408" i="1" s="1"/>
  <c r="K408" i="1"/>
  <c r="R407" i="1"/>
  <c r="N407" i="1"/>
  <c r="M407" i="1"/>
  <c r="L407" i="1"/>
  <c r="K407" i="1"/>
  <c r="R406" i="1"/>
  <c r="M406" i="1"/>
  <c r="L406" i="1"/>
  <c r="K406" i="1"/>
  <c r="R405" i="1"/>
  <c r="M405" i="1"/>
  <c r="L405" i="1"/>
  <c r="K405" i="1"/>
  <c r="R404" i="1"/>
  <c r="M404" i="1"/>
  <c r="L404" i="1"/>
  <c r="K404" i="1"/>
  <c r="R403" i="1"/>
  <c r="N403" i="1"/>
  <c r="M403" i="1"/>
  <c r="L403" i="1"/>
  <c r="K403" i="1"/>
  <c r="R402" i="1"/>
  <c r="M402" i="1"/>
  <c r="L402" i="1"/>
  <c r="K402" i="1"/>
  <c r="R401" i="1"/>
  <c r="M401" i="1"/>
  <c r="L401" i="1"/>
  <c r="K401" i="1"/>
  <c r="R400" i="1"/>
  <c r="M400" i="1"/>
  <c r="L400" i="1"/>
  <c r="N400" i="1" s="1"/>
  <c r="K400" i="1"/>
  <c r="R399" i="1"/>
  <c r="M399" i="1"/>
  <c r="L399" i="1"/>
  <c r="K399" i="1"/>
  <c r="R398" i="1"/>
  <c r="M398" i="1"/>
  <c r="L398" i="1"/>
  <c r="K398" i="1"/>
  <c r="R397" i="1"/>
  <c r="M397" i="1"/>
  <c r="L397" i="1"/>
  <c r="N397" i="1" s="1"/>
  <c r="K397" i="1"/>
  <c r="R396" i="1"/>
  <c r="M396" i="1"/>
  <c r="L396" i="1"/>
  <c r="N396" i="1" s="1"/>
  <c r="K396" i="1"/>
  <c r="R395" i="1"/>
  <c r="M395" i="1"/>
  <c r="L395" i="1"/>
  <c r="N395" i="1" s="1"/>
  <c r="K395" i="1"/>
  <c r="R394" i="1"/>
  <c r="M394" i="1"/>
  <c r="L394" i="1"/>
  <c r="N394" i="1" s="1"/>
  <c r="K394" i="1"/>
  <c r="R393" i="1"/>
  <c r="M393" i="1"/>
  <c r="L393" i="1"/>
  <c r="N393" i="1" s="1"/>
  <c r="K393" i="1"/>
  <c r="R392" i="1"/>
  <c r="M392" i="1"/>
  <c r="L392" i="1"/>
  <c r="N392" i="1" s="1"/>
  <c r="K392" i="1"/>
  <c r="R391" i="1"/>
  <c r="M391" i="1"/>
  <c r="L391" i="1"/>
  <c r="N391" i="1" s="1"/>
  <c r="K391" i="1"/>
  <c r="R390" i="1"/>
  <c r="M390" i="1"/>
  <c r="L390" i="1"/>
  <c r="N390" i="1" s="1"/>
  <c r="K390" i="1"/>
  <c r="R389" i="1"/>
  <c r="M389" i="1"/>
  <c r="L389" i="1"/>
  <c r="N389" i="1" s="1"/>
  <c r="K389" i="1"/>
  <c r="R388" i="1"/>
  <c r="M388" i="1"/>
  <c r="L388" i="1"/>
  <c r="N388" i="1" s="1"/>
  <c r="K388" i="1"/>
  <c r="R387" i="1"/>
  <c r="M387" i="1"/>
  <c r="L387" i="1"/>
  <c r="N387" i="1" s="1"/>
  <c r="K387" i="1"/>
  <c r="R386" i="1"/>
  <c r="M386" i="1"/>
  <c r="L386" i="1"/>
  <c r="N386" i="1" s="1"/>
  <c r="K386" i="1"/>
  <c r="R385" i="1"/>
  <c r="M385" i="1"/>
  <c r="L385" i="1"/>
  <c r="N385" i="1" s="1"/>
  <c r="K385" i="1"/>
  <c r="R384" i="1"/>
  <c r="M384" i="1"/>
  <c r="L384" i="1"/>
  <c r="N384" i="1" s="1"/>
  <c r="K384" i="1"/>
  <c r="R383" i="1"/>
  <c r="M383" i="1"/>
  <c r="L383" i="1"/>
  <c r="N383" i="1" s="1"/>
  <c r="K383" i="1"/>
  <c r="R382" i="1"/>
  <c r="M382" i="1"/>
  <c r="L382" i="1"/>
  <c r="N382" i="1" s="1"/>
  <c r="K382" i="1"/>
  <c r="R381" i="1"/>
  <c r="M381" i="1"/>
  <c r="L381" i="1"/>
  <c r="N381" i="1" s="1"/>
  <c r="K381" i="1"/>
  <c r="R380" i="1"/>
  <c r="M380" i="1"/>
  <c r="L380" i="1"/>
  <c r="N380" i="1" s="1"/>
  <c r="K380" i="1"/>
  <c r="R379" i="1"/>
  <c r="M379" i="1"/>
  <c r="L379" i="1"/>
  <c r="N379" i="1" s="1"/>
  <c r="K379" i="1"/>
  <c r="R378" i="1"/>
  <c r="M378" i="1"/>
  <c r="L378" i="1"/>
  <c r="N378" i="1" s="1"/>
  <c r="K378" i="1"/>
  <c r="R377" i="1"/>
  <c r="M377" i="1"/>
  <c r="L377" i="1"/>
  <c r="N377" i="1" s="1"/>
  <c r="K377" i="1"/>
  <c r="R376" i="1"/>
  <c r="M376" i="1"/>
  <c r="L376" i="1"/>
  <c r="N376" i="1" s="1"/>
  <c r="K376" i="1"/>
  <c r="R375" i="1"/>
  <c r="M375" i="1"/>
  <c r="L375" i="1"/>
  <c r="N375" i="1" s="1"/>
  <c r="K375" i="1"/>
  <c r="R374" i="1"/>
  <c r="M374" i="1"/>
  <c r="L374" i="1"/>
  <c r="N374" i="1" s="1"/>
  <c r="K374" i="1"/>
  <c r="R373" i="1"/>
  <c r="M373" i="1"/>
  <c r="L373" i="1"/>
  <c r="N373" i="1" s="1"/>
  <c r="K373" i="1"/>
  <c r="R372" i="1"/>
  <c r="M372" i="1"/>
  <c r="L372" i="1"/>
  <c r="N372" i="1" s="1"/>
  <c r="K372" i="1"/>
  <c r="R371" i="1"/>
  <c r="M371" i="1"/>
  <c r="L371" i="1"/>
  <c r="N371" i="1" s="1"/>
  <c r="K371" i="1"/>
  <c r="R370" i="1"/>
  <c r="M370" i="1"/>
  <c r="L370" i="1"/>
  <c r="N370" i="1" s="1"/>
  <c r="K370" i="1"/>
  <c r="R369" i="1"/>
  <c r="M369" i="1"/>
  <c r="L369" i="1"/>
  <c r="N369" i="1" s="1"/>
  <c r="K369" i="1"/>
  <c r="R368" i="1"/>
  <c r="M368" i="1"/>
  <c r="L368" i="1"/>
  <c r="N368" i="1" s="1"/>
  <c r="K368" i="1"/>
  <c r="R367" i="1"/>
  <c r="M367" i="1"/>
  <c r="L367" i="1"/>
  <c r="N367" i="1" s="1"/>
  <c r="K367" i="1"/>
  <c r="R366" i="1"/>
  <c r="M366" i="1"/>
  <c r="L366" i="1"/>
  <c r="N366" i="1" s="1"/>
  <c r="K366" i="1"/>
  <c r="R365" i="1"/>
  <c r="M365" i="1"/>
  <c r="L365" i="1"/>
  <c r="N365" i="1" s="1"/>
  <c r="K365" i="1"/>
  <c r="R364" i="1"/>
  <c r="M364" i="1"/>
  <c r="L364" i="1"/>
  <c r="N364" i="1" s="1"/>
  <c r="K364" i="1"/>
  <c r="R363" i="1"/>
  <c r="M363" i="1"/>
  <c r="L363" i="1"/>
  <c r="N363" i="1" s="1"/>
  <c r="K363" i="1"/>
  <c r="R362" i="1"/>
  <c r="M362" i="1"/>
  <c r="L362" i="1"/>
  <c r="N362" i="1" s="1"/>
  <c r="K362" i="1"/>
  <c r="R361" i="1"/>
  <c r="M361" i="1"/>
  <c r="L361" i="1"/>
  <c r="N361" i="1" s="1"/>
  <c r="K361" i="1"/>
  <c r="R360" i="1"/>
  <c r="M360" i="1"/>
  <c r="L360" i="1"/>
  <c r="N360" i="1" s="1"/>
  <c r="K360" i="1"/>
  <c r="R359" i="1"/>
  <c r="M359" i="1"/>
  <c r="L359" i="1"/>
  <c r="N359" i="1" s="1"/>
  <c r="K359" i="1"/>
  <c r="R358" i="1"/>
  <c r="M358" i="1"/>
  <c r="L358" i="1"/>
  <c r="N358" i="1" s="1"/>
  <c r="K358" i="1"/>
  <c r="R357" i="1"/>
  <c r="M357" i="1"/>
  <c r="L357" i="1"/>
  <c r="N357" i="1" s="1"/>
  <c r="K357" i="1"/>
  <c r="R356" i="1"/>
  <c r="M356" i="1"/>
  <c r="L356" i="1"/>
  <c r="N356" i="1" s="1"/>
  <c r="K356" i="1"/>
  <c r="R355" i="1"/>
  <c r="M355" i="1"/>
  <c r="L355" i="1"/>
  <c r="N355" i="1" s="1"/>
  <c r="K355" i="1"/>
  <c r="R354" i="1"/>
  <c r="M354" i="1"/>
  <c r="L354" i="1"/>
  <c r="N354" i="1" s="1"/>
  <c r="K354" i="1"/>
  <c r="R353" i="1"/>
  <c r="M353" i="1"/>
  <c r="L353" i="1"/>
  <c r="N353" i="1" s="1"/>
  <c r="K353" i="1"/>
  <c r="R352" i="1"/>
  <c r="M352" i="1"/>
  <c r="L352" i="1"/>
  <c r="N352" i="1" s="1"/>
  <c r="K352" i="1"/>
  <c r="R351" i="1"/>
  <c r="M351" i="1"/>
  <c r="L351" i="1"/>
  <c r="N351" i="1" s="1"/>
  <c r="K351" i="1"/>
  <c r="R350" i="1"/>
  <c r="M350" i="1"/>
  <c r="L350" i="1"/>
  <c r="N350" i="1" s="1"/>
  <c r="K350" i="1"/>
  <c r="R349" i="1"/>
  <c r="M349" i="1"/>
  <c r="L349" i="1"/>
  <c r="N349" i="1" s="1"/>
  <c r="K349" i="1"/>
  <c r="R348" i="1"/>
  <c r="M348" i="1"/>
  <c r="L348" i="1"/>
  <c r="N348" i="1" s="1"/>
  <c r="K348" i="1"/>
  <c r="R347" i="1"/>
  <c r="M347" i="1"/>
  <c r="L347" i="1"/>
  <c r="N347" i="1" s="1"/>
  <c r="K347" i="1"/>
  <c r="R346" i="1"/>
  <c r="M346" i="1"/>
  <c r="L346" i="1"/>
  <c r="N346" i="1" s="1"/>
  <c r="K346" i="1"/>
  <c r="R345" i="1"/>
  <c r="M345" i="1"/>
  <c r="L345" i="1"/>
  <c r="N345" i="1" s="1"/>
  <c r="K345" i="1"/>
  <c r="R344" i="1"/>
  <c r="M344" i="1"/>
  <c r="L344" i="1"/>
  <c r="N344" i="1" s="1"/>
  <c r="K344" i="1"/>
  <c r="R343" i="1"/>
  <c r="M343" i="1"/>
  <c r="L343" i="1"/>
  <c r="N343" i="1" s="1"/>
  <c r="K343" i="1"/>
  <c r="R342" i="1"/>
  <c r="M342" i="1"/>
  <c r="L342" i="1"/>
  <c r="N342" i="1" s="1"/>
  <c r="K342" i="1"/>
  <c r="R341" i="1"/>
  <c r="M341" i="1"/>
  <c r="L341" i="1"/>
  <c r="N341" i="1" s="1"/>
  <c r="K341" i="1"/>
  <c r="R340" i="1"/>
  <c r="M340" i="1"/>
  <c r="L340" i="1"/>
  <c r="N340" i="1" s="1"/>
  <c r="K340" i="1"/>
  <c r="R339" i="1"/>
  <c r="M339" i="1"/>
  <c r="L339" i="1"/>
  <c r="N339" i="1" s="1"/>
  <c r="K339" i="1"/>
  <c r="R338" i="1"/>
  <c r="M338" i="1"/>
  <c r="L338" i="1"/>
  <c r="N338" i="1" s="1"/>
  <c r="K338" i="1"/>
  <c r="R337" i="1"/>
  <c r="M337" i="1"/>
  <c r="L337" i="1"/>
  <c r="N337" i="1" s="1"/>
  <c r="K337" i="1"/>
  <c r="R336" i="1"/>
  <c r="M336" i="1"/>
  <c r="L336" i="1"/>
  <c r="N336" i="1" s="1"/>
  <c r="K336" i="1"/>
  <c r="R335" i="1"/>
  <c r="M335" i="1"/>
  <c r="L335" i="1"/>
  <c r="N335" i="1" s="1"/>
  <c r="K335" i="1"/>
  <c r="R334" i="1"/>
  <c r="M334" i="1"/>
  <c r="L334" i="1"/>
  <c r="N334" i="1" s="1"/>
  <c r="K334" i="1"/>
  <c r="R333" i="1"/>
  <c r="M333" i="1"/>
  <c r="L333" i="1"/>
  <c r="N333" i="1" s="1"/>
  <c r="K333" i="1"/>
  <c r="R332" i="1"/>
  <c r="M332" i="1"/>
  <c r="L332" i="1"/>
  <c r="N332" i="1" s="1"/>
  <c r="K332" i="1"/>
  <c r="R331" i="1"/>
  <c r="M331" i="1"/>
  <c r="L331" i="1"/>
  <c r="N331" i="1" s="1"/>
  <c r="K331" i="1"/>
  <c r="R330" i="1"/>
  <c r="M330" i="1"/>
  <c r="L330" i="1"/>
  <c r="N330" i="1" s="1"/>
  <c r="K330" i="1"/>
  <c r="R329" i="1"/>
  <c r="M329" i="1"/>
  <c r="L329" i="1"/>
  <c r="N329" i="1" s="1"/>
  <c r="K329" i="1"/>
  <c r="R328" i="1"/>
  <c r="M328" i="1"/>
  <c r="L328" i="1"/>
  <c r="N328" i="1" s="1"/>
  <c r="K328" i="1"/>
  <c r="R327" i="1"/>
  <c r="M327" i="1"/>
  <c r="L327" i="1"/>
  <c r="N327" i="1" s="1"/>
  <c r="K327" i="1"/>
  <c r="R326" i="1"/>
  <c r="M326" i="1"/>
  <c r="L326" i="1"/>
  <c r="N326" i="1" s="1"/>
  <c r="K326" i="1"/>
  <c r="R325" i="1"/>
  <c r="M325" i="1"/>
  <c r="L325" i="1"/>
  <c r="N325" i="1" s="1"/>
  <c r="K325" i="1"/>
  <c r="R324" i="1"/>
  <c r="M324" i="1"/>
  <c r="L324" i="1"/>
  <c r="N324" i="1" s="1"/>
  <c r="K324" i="1"/>
  <c r="R323" i="1"/>
  <c r="M323" i="1"/>
  <c r="L323" i="1"/>
  <c r="N323" i="1" s="1"/>
  <c r="K323" i="1"/>
  <c r="R322" i="1"/>
  <c r="M322" i="1"/>
  <c r="L322" i="1"/>
  <c r="N322" i="1" s="1"/>
  <c r="K322" i="1"/>
  <c r="R321" i="1"/>
  <c r="M321" i="1"/>
  <c r="L321" i="1"/>
  <c r="N321" i="1" s="1"/>
  <c r="K321" i="1"/>
  <c r="R320" i="1"/>
  <c r="M320" i="1"/>
  <c r="L320" i="1"/>
  <c r="N320" i="1" s="1"/>
  <c r="K320" i="1"/>
  <c r="R319" i="1"/>
  <c r="M319" i="1"/>
  <c r="L319" i="1"/>
  <c r="N319" i="1" s="1"/>
  <c r="K319" i="1"/>
  <c r="R318" i="1"/>
  <c r="M318" i="1"/>
  <c r="L318" i="1"/>
  <c r="N318" i="1" s="1"/>
  <c r="K318" i="1"/>
  <c r="R317" i="1"/>
  <c r="M317" i="1"/>
  <c r="L317" i="1"/>
  <c r="N317" i="1" s="1"/>
  <c r="K317" i="1"/>
  <c r="R316" i="1"/>
  <c r="M316" i="1"/>
  <c r="L316" i="1"/>
  <c r="N316" i="1" s="1"/>
  <c r="K316" i="1"/>
  <c r="R315" i="1"/>
  <c r="M315" i="1"/>
  <c r="L315" i="1"/>
  <c r="N315" i="1" s="1"/>
  <c r="K315" i="1"/>
  <c r="R314" i="1"/>
  <c r="M314" i="1"/>
  <c r="L314" i="1"/>
  <c r="N314" i="1" s="1"/>
  <c r="K314" i="1"/>
  <c r="R313" i="1"/>
  <c r="M313" i="1"/>
  <c r="L313" i="1"/>
  <c r="N313" i="1" s="1"/>
  <c r="K313" i="1"/>
  <c r="R312" i="1"/>
  <c r="M312" i="1"/>
  <c r="L312" i="1"/>
  <c r="N312" i="1" s="1"/>
  <c r="K312" i="1"/>
  <c r="R311" i="1"/>
  <c r="M311" i="1"/>
  <c r="L311" i="1"/>
  <c r="N311" i="1" s="1"/>
  <c r="K311" i="1"/>
  <c r="R310" i="1"/>
  <c r="M310" i="1"/>
  <c r="L310" i="1"/>
  <c r="N310" i="1" s="1"/>
  <c r="K310" i="1"/>
  <c r="R309" i="1"/>
  <c r="M309" i="1"/>
  <c r="L309" i="1"/>
  <c r="N309" i="1" s="1"/>
  <c r="K309" i="1"/>
  <c r="R308" i="1"/>
  <c r="M308" i="1"/>
  <c r="L308" i="1"/>
  <c r="N308" i="1" s="1"/>
  <c r="K308" i="1"/>
  <c r="R307" i="1"/>
  <c r="M307" i="1"/>
  <c r="L307" i="1"/>
  <c r="N307" i="1" s="1"/>
  <c r="K307" i="1"/>
  <c r="R306" i="1"/>
  <c r="M306" i="1"/>
  <c r="L306" i="1"/>
  <c r="N306" i="1" s="1"/>
  <c r="K306" i="1"/>
  <c r="R305" i="1"/>
  <c r="M305" i="1"/>
  <c r="L305" i="1"/>
  <c r="N305" i="1" s="1"/>
  <c r="K305" i="1"/>
  <c r="R304" i="1"/>
  <c r="M304" i="1"/>
  <c r="L304" i="1"/>
  <c r="N304" i="1" s="1"/>
  <c r="K304" i="1"/>
  <c r="R303" i="1"/>
  <c r="M303" i="1"/>
  <c r="L303" i="1"/>
  <c r="N303" i="1" s="1"/>
  <c r="K303" i="1"/>
  <c r="R302" i="1"/>
  <c r="M302" i="1"/>
  <c r="L302" i="1"/>
  <c r="N302" i="1" s="1"/>
  <c r="K302" i="1"/>
  <c r="R301" i="1"/>
  <c r="M301" i="1"/>
  <c r="L301" i="1"/>
  <c r="N301" i="1" s="1"/>
  <c r="K301" i="1"/>
  <c r="R300" i="1"/>
  <c r="M300" i="1"/>
  <c r="L300" i="1"/>
  <c r="N300" i="1" s="1"/>
  <c r="K300" i="1"/>
  <c r="R299" i="1"/>
  <c r="M299" i="1"/>
  <c r="L299" i="1"/>
  <c r="N299" i="1" s="1"/>
  <c r="K299" i="1"/>
  <c r="R298" i="1"/>
  <c r="M298" i="1"/>
  <c r="L298" i="1"/>
  <c r="N298" i="1" s="1"/>
  <c r="K298" i="1"/>
  <c r="R297" i="1"/>
  <c r="M297" i="1"/>
  <c r="L297" i="1"/>
  <c r="N297" i="1" s="1"/>
  <c r="K297" i="1"/>
  <c r="R296" i="1"/>
  <c r="M296" i="1"/>
  <c r="L296" i="1"/>
  <c r="N296" i="1" s="1"/>
  <c r="K296" i="1"/>
  <c r="R295" i="1"/>
  <c r="M295" i="1"/>
  <c r="L295" i="1"/>
  <c r="N295" i="1" s="1"/>
  <c r="K295" i="1"/>
  <c r="R294" i="1"/>
  <c r="M294" i="1"/>
  <c r="L294" i="1"/>
  <c r="N294" i="1" s="1"/>
  <c r="K294" i="1"/>
  <c r="R293" i="1"/>
  <c r="M293" i="1"/>
  <c r="L293" i="1"/>
  <c r="N293" i="1" s="1"/>
  <c r="K293" i="1"/>
  <c r="R292" i="1"/>
  <c r="M292" i="1"/>
  <c r="L292" i="1"/>
  <c r="N292" i="1" s="1"/>
  <c r="K292" i="1"/>
  <c r="R291" i="1"/>
  <c r="M291" i="1"/>
  <c r="L291" i="1"/>
  <c r="N291" i="1" s="1"/>
  <c r="K291" i="1"/>
  <c r="R290" i="1"/>
  <c r="M290" i="1"/>
  <c r="L290" i="1"/>
  <c r="N290" i="1" s="1"/>
  <c r="K290" i="1"/>
  <c r="R289" i="1"/>
  <c r="M289" i="1"/>
  <c r="L289" i="1"/>
  <c r="N289" i="1" s="1"/>
  <c r="K289" i="1"/>
  <c r="R288" i="1"/>
  <c r="M288" i="1"/>
  <c r="L288" i="1"/>
  <c r="N288" i="1" s="1"/>
  <c r="K288" i="1"/>
  <c r="R287" i="1"/>
  <c r="M287" i="1"/>
  <c r="L287" i="1"/>
  <c r="N287" i="1" s="1"/>
  <c r="K287" i="1"/>
  <c r="R286" i="1"/>
  <c r="M286" i="1"/>
  <c r="L286" i="1"/>
  <c r="N286" i="1" s="1"/>
  <c r="K286" i="1"/>
  <c r="R285" i="1"/>
  <c r="M285" i="1"/>
  <c r="L285" i="1"/>
  <c r="N285" i="1" s="1"/>
  <c r="K285" i="1"/>
  <c r="R284" i="1"/>
  <c r="M284" i="1"/>
  <c r="L284" i="1"/>
  <c r="N284" i="1" s="1"/>
  <c r="K284" i="1"/>
  <c r="R283" i="1"/>
  <c r="M283" i="1"/>
  <c r="L283" i="1"/>
  <c r="N283" i="1" s="1"/>
  <c r="K283" i="1"/>
  <c r="R282" i="1"/>
  <c r="M282" i="1"/>
  <c r="L282" i="1"/>
  <c r="N282" i="1" s="1"/>
  <c r="K282" i="1"/>
  <c r="R281" i="1"/>
  <c r="M281" i="1"/>
  <c r="L281" i="1"/>
  <c r="N281" i="1" s="1"/>
  <c r="K281" i="1"/>
  <c r="R280" i="1"/>
  <c r="M280" i="1"/>
  <c r="L280" i="1"/>
  <c r="N280" i="1" s="1"/>
  <c r="K280" i="1"/>
  <c r="R279" i="1"/>
  <c r="M279" i="1"/>
  <c r="L279" i="1"/>
  <c r="N279" i="1" s="1"/>
  <c r="K279" i="1"/>
  <c r="R278" i="1"/>
  <c r="M278" i="1"/>
  <c r="L278" i="1"/>
  <c r="N278" i="1" s="1"/>
  <c r="K278" i="1"/>
  <c r="R277" i="1"/>
  <c r="M277" i="1"/>
  <c r="L277" i="1"/>
  <c r="N277" i="1" s="1"/>
  <c r="K277" i="1"/>
  <c r="R276" i="1"/>
  <c r="M276" i="1"/>
  <c r="L276" i="1"/>
  <c r="N276" i="1" s="1"/>
  <c r="K276" i="1"/>
  <c r="R275" i="1"/>
  <c r="M275" i="1"/>
  <c r="L275" i="1"/>
  <c r="N275" i="1" s="1"/>
  <c r="K275" i="1"/>
  <c r="R274" i="1"/>
  <c r="M274" i="1"/>
  <c r="L274" i="1"/>
  <c r="N274" i="1" s="1"/>
  <c r="K274" i="1"/>
  <c r="R273" i="1"/>
  <c r="M273" i="1"/>
  <c r="L273" i="1"/>
  <c r="N273" i="1" s="1"/>
  <c r="K273" i="1"/>
  <c r="R272" i="1"/>
  <c r="M272" i="1"/>
  <c r="L272" i="1"/>
  <c r="N272" i="1" s="1"/>
  <c r="K272" i="1"/>
  <c r="R271" i="1"/>
  <c r="M271" i="1"/>
  <c r="L271" i="1"/>
  <c r="N271" i="1" s="1"/>
  <c r="K271" i="1"/>
  <c r="R270" i="1"/>
  <c r="M270" i="1"/>
  <c r="L270" i="1"/>
  <c r="N270" i="1" s="1"/>
  <c r="K270" i="1"/>
  <c r="R269" i="1"/>
  <c r="M269" i="1"/>
  <c r="L269" i="1"/>
  <c r="N269" i="1" s="1"/>
  <c r="K269" i="1"/>
  <c r="R268" i="1"/>
  <c r="M268" i="1"/>
  <c r="L268" i="1"/>
  <c r="N268" i="1" s="1"/>
  <c r="K268" i="1"/>
  <c r="R267" i="1"/>
  <c r="M267" i="1"/>
  <c r="L267" i="1"/>
  <c r="K267" i="1"/>
  <c r="R266" i="1"/>
  <c r="M266" i="1"/>
  <c r="L266" i="1"/>
  <c r="N266" i="1" s="1"/>
  <c r="K266" i="1"/>
  <c r="R265" i="1"/>
  <c r="M265" i="1"/>
  <c r="L265" i="1"/>
  <c r="K265" i="1"/>
  <c r="R264" i="1"/>
  <c r="M264" i="1"/>
  <c r="L264" i="1"/>
  <c r="N264" i="1" s="1"/>
  <c r="K264" i="1"/>
  <c r="R263" i="1"/>
  <c r="M263" i="1"/>
  <c r="L263" i="1"/>
  <c r="N263" i="1" s="1"/>
  <c r="K263" i="1"/>
  <c r="R262" i="1"/>
  <c r="M262" i="1"/>
  <c r="L262" i="1"/>
  <c r="N262" i="1" s="1"/>
  <c r="K262" i="1"/>
  <c r="R261" i="1"/>
  <c r="M261" i="1"/>
  <c r="L261" i="1"/>
  <c r="N261" i="1" s="1"/>
  <c r="K261" i="1"/>
  <c r="R260" i="1"/>
  <c r="M260" i="1"/>
  <c r="L260" i="1"/>
  <c r="K260" i="1"/>
  <c r="R259" i="1"/>
  <c r="M259" i="1"/>
  <c r="L259" i="1"/>
  <c r="K259" i="1"/>
  <c r="R258" i="1"/>
  <c r="M258" i="1"/>
  <c r="L258" i="1"/>
  <c r="N258" i="1" s="1"/>
  <c r="K258" i="1"/>
  <c r="R257" i="1"/>
  <c r="M257" i="1"/>
  <c r="L257" i="1"/>
  <c r="K257" i="1"/>
  <c r="R256" i="1"/>
  <c r="M256" i="1"/>
  <c r="L256" i="1"/>
  <c r="N256" i="1" s="1"/>
  <c r="K256" i="1"/>
  <c r="R255" i="1"/>
  <c r="M255" i="1"/>
  <c r="L255" i="1"/>
  <c r="N255" i="1" s="1"/>
  <c r="K255" i="1"/>
  <c r="R254" i="1"/>
  <c r="M254" i="1"/>
  <c r="L254" i="1"/>
  <c r="N254" i="1" s="1"/>
  <c r="K254" i="1"/>
  <c r="R253" i="1"/>
  <c r="M253" i="1"/>
  <c r="L253" i="1"/>
  <c r="N253" i="1" s="1"/>
  <c r="K253" i="1"/>
  <c r="R252" i="1"/>
  <c r="M252" i="1"/>
  <c r="L252" i="1"/>
  <c r="K252" i="1"/>
  <c r="R251" i="1"/>
  <c r="M251" i="1"/>
  <c r="L251" i="1"/>
  <c r="K251" i="1"/>
  <c r="R250" i="1"/>
  <c r="M250" i="1"/>
  <c r="L250" i="1"/>
  <c r="N250" i="1" s="1"/>
  <c r="K250" i="1"/>
  <c r="R249" i="1"/>
  <c r="M249" i="1"/>
  <c r="L249" i="1"/>
  <c r="K249" i="1"/>
  <c r="R248" i="1"/>
  <c r="M248" i="1"/>
  <c r="L248" i="1"/>
  <c r="N248" i="1" s="1"/>
  <c r="K248" i="1"/>
  <c r="R247" i="1"/>
  <c r="M247" i="1"/>
  <c r="L247" i="1"/>
  <c r="N247" i="1" s="1"/>
  <c r="K247" i="1"/>
  <c r="R246" i="1"/>
  <c r="M246" i="1"/>
  <c r="L246" i="1"/>
  <c r="N246" i="1" s="1"/>
  <c r="K246" i="1"/>
  <c r="R245" i="1"/>
  <c r="M245" i="1"/>
  <c r="L245" i="1"/>
  <c r="N245" i="1" s="1"/>
  <c r="K245" i="1"/>
  <c r="R244" i="1"/>
  <c r="M244" i="1"/>
  <c r="L244" i="1"/>
  <c r="K244" i="1"/>
  <c r="R243" i="1"/>
  <c r="M243" i="1"/>
  <c r="L243" i="1"/>
  <c r="K243" i="1"/>
  <c r="R242" i="1"/>
  <c r="M242" i="1"/>
  <c r="L242" i="1"/>
  <c r="N242" i="1" s="1"/>
  <c r="K242" i="1"/>
  <c r="R241" i="1"/>
  <c r="M241" i="1"/>
  <c r="L241" i="1"/>
  <c r="K241" i="1"/>
  <c r="R240" i="1"/>
  <c r="M240" i="1"/>
  <c r="L240" i="1"/>
  <c r="N240" i="1" s="1"/>
  <c r="K240" i="1"/>
  <c r="R239" i="1"/>
  <c r="M239" i="1"/>
  <c r="L239" i="1"/>
  <c r="N239" i="1" s="1"/>
  <c r="K239" i="1"/>
  <c r="R238" i="1"/>
  <c r="M238" i="1"/>
  <c r="L238" i="1"/>
  <c r="N238" i="1" s="1"/>
  <c r="K238" i="1"/>
  <c r="R237" i="1"/>
  <c r="M237" i="1"/>
  <c r="L237" i="1"/>
  <c r="N237" i="1" s="1"/>
  <c r="K237" i="1"/>
  <c r="R236" i="1"/>
  <c r="M236" i="1"/>
  <c r="L236" i="1"/>
  <c r="K236" i="1"/>
  <c r="R235" i="1"/>
  <c r="M235" i="1"/>
  <c r="L235" i="1"/>
  <c r="K235" i="1"/>
  <c r="R234" i="1"/>
  <c r="M234" i="1"/>
  <c r="L234" i="1"/>
  <c r="N234" i="1" s="1"/>
  <c r="K234" i="1"/>
  <c r="R233" i="1"/>
  <c r="M233" i="1"/>
  <c r="L233" i="1"/>
  <c r="K233" i="1"/>
  <c r="R232" i="1"/>
  <c r="M232" i="1"/>
  <c r="L232" i="1"/>
  <c r="N232" i="1" s="1"/>
  <c r="K232" i="1"/>
  <c r="R231" i="1"/>
  <c r="M231" i="1"/>
  <c r="L231" i="1"/>
  <c r="N231" i="1" s="1"/>
  <c r="K231" i="1"/>
  <c r="R230" i="1"/>
  <c r="M230" i="1"/>
  <c r="L230" i="1"/>
  <c r="N230" i="1" s="1"/>
  <c r="K230" i="1"/>
  <c r="R229" i="1"/>
  <c r="M229" i="1"/>
  <c r="L229" i="1"/>
  <c r="N229" i="1" s="1"/>
  <c r="K229" i="1"/>
  <c r="R228" i="1"/>
  <c r="M228" i="1"/>
  <c r="L228" i="1"/>
  <c r="N228" i="1" s="1"/>
  <c r="K228" i="1"/>
  <c r="R227" i="1"/>
  <c r="M227" i="1"/>
  <c r="L227" i="1"/>
  <c r="K227" i="1"/>
  <c r="R226" i="1"/>
  <c r="M226" i="1"/>
  <c r="L226" i="1"/>
  <c r="K226" i="1"/>
  <c r="R225" i="1"/>
  <c r="M225" i="1"/>
  <c r="L225" i="1"/>
  <c r="N225" i="1" s="1"/>
  <c r="K225" i="1"/>
  <c r="R224" i="1"/>
  <c r="M224" i="1"/>
  <c r="L224" i="1"/>
  <c r="N224" i="1" s="1"/>
  <c r="K224" i="1"/>
  <c r="R223" i="1"/>
  <c r="M223" i="1"/>
  <c r="L223" i="1"/>
  <c r="K223" i="1"/>
  <c r="R222" i="1"/>
  <c r="M222" i="1"/>
  <c r="L222" i="1"/>
  <c r="K222" i="1"/>
  <c r="R221" i="1"/>
  <c r="M221" i="1"/>
  <c r="L221" i="1"/>
  <c r="N221" i="1" s="1"/>
  <c r="K221" i="1"/>
  <c r="R220" i="1"/>
  <c r="M220" i="1"/>
  <c r="L220" i="1"/>
  <c r="N220" i="1" s="1"/>
  <c r="K220" i="1"/>
  <c r="R219" i="1"/>
  <c r="M219" i="1"/>
  <c r="L219" i="1"/>
  <c r="K219" i="1"/>
  <c r="R218" i="1"/>
  <c r="M218" i="1"/>
  <c r="L218" i="1"/>
  <c r="K218" i="1"/>
  <c r="R217" i="1"/>
  <c r="M217" i="1"/>
  <c r="L217" i="1"/>
  <c r="N217" i="1" s="1"/>
  <c r="K217" i="1"/>
  <c r="R216" i="1"/>
  <c r="M216" i="1"/>
  <c r="L216" i="1"/>
  <c r="N216" i="1" s="1"/>
  <c r="K216" i="1"/>
  <c r="R215" i="1"/>
  <c r="M215" i="1"/>
  <c r="L215" i="1"/>
  <c r="K215" i="1"/>
  <c r="R214" i="1"/>
  <c r="M214" i="1"/>
  <c r="L214" i="1"/>
  <c r="K214" i="1"/>
  <c r="R213" i="1"/>
  <c r="M213" i="1"/>
  <c r="L213" i="1"/>
  <c r="N213" i="1" s="1"/>
  <c r="K213" i="1"/>
  <c r="R212" i="1"/>
  <c r="M212" i="1"/>
  <c r="L212" i="1"/>
  <c r="N212" i="1" s="1"/>
  <c r="K212" i="1"/>
  <c r="R211" i="1"/>
  <c r="M211" i="1"/>
  <c r="L211" i="1"/>
  <c r="K211" i="1"/>
  <c r="R210" i="1"/>
  <c r="M210" i="1"/>
  <c r="L210" i="1"/>
  <c r="K210" i="1"/>
  <c r="R209" i="1"/>
  <c r="M209" i="1"/>
  <c r="L209" i="1"/>
  <c r="N209" i="1" s="1"/>
  <c r="K209" i="1"/>
  <c r="R208" i="1"/>
  <c r="M208" i="1"/>
  <c r="L208" i="1"/>
  <c r="N208" i="1" s="1"/>
  <c r="K208" i="1"/>
  <c r="R207" i="1"/>
  <c r="M207" i="1"/>
  <c r="L207" i="1"/>
  <c r="K207" i="1"/>
  <c r="R206" i="1"/>
  <c r="M206" i="1"/>
  <c r="L206" i="1"/>
  <c r="K206" i="1"/>
  <c r="R205" i="1"/>
  <c r="M205" i="1"/>
  <c r="L205" i="1"/>
  <c r="N205" i="1" s="1"/>
  <c r="K205" i="1"/>
  <c r="R204" i="1"/>
  <c r="M204" i="1"/>
  <c r="L204" i="1"/>
  <c r="N204" i="1" s="1"/>
  <c r="K204" i="1"/>
  <c r="R203" i="1"/>
  <c r="M203" i="1"/>
  <c r="L203" i="1"/>
  <c r="K203" i="1"/>
  <c r="R202" i="1"/>
  <c r="M202" i="1"/>
  <c r="L202" i="1"/>
  <c r="K202" i="1"/>
  <c r="R201" i="1"/>
  <c r="M201" i="1"/>
  <c r="L201" i="1"/>
  <c r="N201" i="1" s="1"/>
  <c r="K201" i="1"/>
  <c r="R200" i="1"/>
  <c r="M200" i="1"/>
  <c r="L200" i="1"/>
  <c r="N200" i="1" s="1"/>
  <c r="K200" i="1"/>
  <c r="R199" i="1"/>
  <c r="M199" i="1"/>
  <c r="L199" i="1"/>
  <c r="K199" i="1"/>
  <c r="R198" i="1"/>
  <c r="M198" i="1"/>
  <c r="L198" i="1"/>
  <c r="K198" i="1"/>
  <c r="R197" i="1"/>
  <c r="M197" i="1"/>
  <c r="L197" i="1"/>
  <c r="N197" i="1" s="1"/>
  <c r="K197" i="1"/>
  <c r="R196" i="1"/>
  <c r="M196" i="1"/>
  <c r="L196" i="1"/>
  <c r="N196" i="1" s="1"/>
  <c r="K196" i="1"/>
  <c r="R195" i="1"/>
  <c r="M195" i="1"/>
  <c r="L195" i="1"/>
  <c r="K195" i="1"/>
  <c r="R194" i="1"/>
  <c r="M194" i="1"/>
  <c r="L194" i="1"/>
  <c r="K194" i="1"/>
  <c r="R193" i="1"/>
  <c r="M193" i="1"/>
  <c r="L193" i="1"/>
  <c r="N193" i="1" s="1"/>
  <c r="K193" i="1"/>
  <c r="R192" i="1"/>
  <c r="M192" i="1"/>
  <c r="L192" i="1"/>
  <c r="N192" i="1" s="1"/>
  <c r="K192" i="1"/>
  <c r="R191" i="1"/>
  <c r="M191" i="1"/>
  <c r="L191" i="1"/>
  <c r="K191" i="1"/>
  <c r="R190" i="1"/>
  <c r="M190" i="1"/>
  <c r="L190" i="1"/>
  <c r="K190" i="1"/>
  <c r="R189" i="1"/>
  <c r="M189" i="1"/>
  <c r="L189" i="1"/>
  <c r="N189" i="1" s="1"/>
  <c r="K189" i="1"/>
  <c r="R188" i="1"/>
  <c r="M188" i="1"/>
  <c r="L188" i="1"/>
  <c r="N188" i="1" s="1"/>
  <c r="K188" i="1"/>
  <c r="R187" i="1"/>
  <c r="M187" i="1"/>
  <c r="L187" i="1"/>
  <c r="K187" i="1"/>
  <c r="R186" i="1"/>
  <c r="M186" i="1"/>
  <c r="L186" i="1"/>
  <c r="K186" i="1"/>
  <c r="R185" i="1"/>
  <c r="M185" i="1"/>
  <c r="L185" i="1"/>
  <c r="N185" i="1" s="1"/>
  <c r="K185" i="1"/>
  <c r="R184" i="1"/>
  <c r="M184" i="1"/>
  <c r="L184" i="1"/>
  <c r="N184" i="1" s="1"/>
  <c r="K184" i="1"/>
  <c r="R183" i="1"/>
  <c r="M183" i="1"/>
  <c r="L183" i="1"/>
  <c r="K183" i="1"/>
  <c r="R182" i="1"/>
  <c r="M182" i="1"/>
  <c r="L182" i="1"/>
  <c r="K182" i="1"/>
  <c r="R181" i="1"/>
  <c r="M181" i="1"/>
  <c r="L181" i="1"/>
  <c r="N181" i="1" s="1"/>
  <c r="K181" i="1"/>
  <c r="R180" i="1"/>
  <c r="M180" i="1"/>
  <c r="L180" i="1"/>
  <c r="N180" i="1" s="1"/>
  <c r="K180" i="1"/>
  <c r="R179" i="1"/>
  <c r="M179" i="1"/>
  <c r="L179" i="1"/>
  <c r="K179" i="1"/>
  <c r="R178" i="1"/>
  <c r="M178" i="1"/>
  <c r="L178" i="1"/>
  <c r="K178" i="1"/>
  <c r="R177" i="1"/>
  <c r="M177" i="1"/>
  <c r="L177" i="1"/>
  <c r="N177" i="1" s="1"/>
  <c r="K177" i="1"/>
  <c r="R176" i="1"/>
  <c r="M176" i="1"/>
  <c r="L176" i="1"/>
  <c r="N176" i="1" s="1"/>
  <c r="K176" i="1"/>
  <c r="R175" i="1"/>
  <c r="M175" i="1"/>
  <c r="L175" i="1"/>
  <c r="K175" i="1"/>
  <c r="R174" i="1"/>
  <c r="M174" i="1"/>
  <c r="L174" i="1"/>
  <c r="K174" i="1"/>
  <c r="R173" i="1"/>
  <c r="M173" i="1"/>
  <c r="L173" i="1"/>
  <c r="N173" i="1" s="1"/>
  <c r="K173" i="1"/>
  <c r="R172" i="1"/>
  <c r="M172" i="1"/>
  <c r="L172" i="1"/>
  <c r="N172" i="1" s="1"/>
  <c r="K172" i="1"/>
  <c r="R171" i="1"/>
  <c r="M171" i="1"/>
  <c r="L171" i="1"/>
  <c r="K171" i="1"/>
  <c r="R170" i="1"/>
  <c r="M170" i="1"/>
  <c r="L170" i="1"/>
  <c r="K170" i="1"/>
  <c r="R169" i="1"/>
  <c r="M169" i="1"/>
  <c r="L169" i="1"/>
  <c r="N169" i="1" s="1"/>
  <c r="K169" i="1"/>
  <c r="R168" i="1"/>
  <c r="M168" i="1"/>
  <c r="L168" i="1"/>
  <c r="N168" i="1" s="1"/>
  <c r="K168" i="1"/>
  <c r="R167" i="1"/>
  <c r="M167" i="1"/>
  <c r="L167" i="1"/>
  <c r="K167" i="1"/>
  <c r="R166" i="1"/>
  <c r="M166" i="1"/>
  <c r="L166" i="1"/>
  <c r="K166" i="1"/>
  <c r="R165" i="1"/>
  <c r="M165" i="1"/>
  <c r="L165" i="1"/>
  <c r="N165" i="1" s="1"/>
  <c r="K165" i="1"/>
  <c r="R164" i="1"/>
  <c r="M164" i="1"/>
  <c r="L164" i="1"/>
  <c r="N164" i="1" s="1"/>
  <c r="K164" i="1"/>
  <c r="R163" i="1"/>
  <c r="M163" i="1"/>
  <c r="L163" i="1"/>
  <c r="K163" i="1"/>
  <c r="R162" i="1"/>
  <c r="M162" i="1"/>
  <c r="L162" i="1"/>
  <c r="K162" i="1"/>
  <c r="R161" i="1"/>
  <c r="M161" i="1"/>
  <c r="L161" i="1"/>
  <c r="N161" i="1" s="1"/>
  <c r="K161" i="1"/>
  <c r="R160" i="1"/>
  <c r="M160" i="1"/>
  <c r="L160" i="1"/>
  <c r="N160" i="1" s="1"/>
  <c r="K160" i="1"/>
  <c r="R159" i="1"/>
  <c r="M159" i="1"/>
  <c r="L159" i="1"/>
  <c r="K159" i="1"/>
  <c r="R158" i="1"/>
  <c r="M158" i="1"/>
  <c r="L158" i="1"/>
  <c r="K158" i="1"/>
  <c r="R157" i="1"/>
  <c r="M157" i="1"/>
  <c r="L157" i="1"/>
  <c r="N157" i="1" s="1"/>
  <c r="K157" i="1"/>
  <c r="R156" i="1"/>
  <c r="M156" i="1"/>
  <c r="L156" i="1"/>
  <c r="N156" i="1" s="1"/>
  <c r="K156" i="1"/>
  <c r="R155" i="1"/>
  <c r="M155" i="1"/>
  <c r="L155" i="1"/>
  <c r="K155" i="1"/>
  <c r="R154" i="1"/>
  <c r="M154" i="1"/>
  <c r="L154" i="1"/>
  <c r="K154" i="1"/>
  <c r="R153" i="1"/>
  <c r="M153" i="1"/>
  <c r="L153" i="1"/>
  <c r="N153" i="1" s="1"/>
  <c r="K153" i="1"/>
  <c r="R152" i="1"/>
  <c r="M152" i="1"/>
  <c r="L152" i="1"/>
  <c r="N152" i="1" s="1"/>
  <c r="K152" i="1"/>
  <c r="R151" i="1"/>
  <c r="M151" i="1"/>
  <c r="L151" i="1"/>
  <c r="K151" i="1"/>
  <c r="R150" i="1"/>
  <c r="M150" i="1"/>
  <c r="L150" i="1"/>
  <c r="K150" i="1"/>
  <c r="R149" i="1"/>
  <c r="M149" i="1"/>
  <c r="L149" i="1"/>
  <c r="N149" i="1" s="1"/>
  <c r="K149" i="1"/>
  <c r="R148" i="1"/>
  <c r="M148" i="1"/>
  <c r="L148" i="1"/>
  <c r="N148" i="1" s="1"/>
  <c r="K148" i="1"/>
  <c r="R147" i="1"/>
  <c r="M147" i="1"/>
  <c r="L147" i="1"/>
  <c r="K147" i="1"/>
  <c r="R146" i="1"/>
  <c r="M146" i="1"/>
  <c r="L146" i="1"/>
  <c r="K146" i="1"/>
  <c r="R145" i="1"/>
  <c r="M145" i="1"/>
  <c r="L145" i="1"/>
  <c r="N145" i="1" s="1"/>
  <c r="K145" i="1"/>
  <c r="R144" i="1"/>
  <c r="M144" i="1"/>
  <c r="L144" i="1"/>
  <c r="N144" i="1" s="1"/>
  <c r="K144" i="1"/>
  <c r="R143" i="1"/>
  <c r="M143" i="1"/>
  <c r="L143" i="1"/>
  <c r="K143" i="1"/>
  <c r="R142" i="1"/>
  <c r="M142" i="1"/>
  <c r="L142" i="1"/>
  <c r="K142" i="1"/>
  <c r="R141" i="1"/>
  <c r="M141" i="1"/>
  <c r="L141" i="1"/>
  <c r="N141" i="1" s="1"/>
  <c r="K141" i="1"/>
  <c r="R140" i="1"/>
  <c r="M140" i="1"/>
  <c r="L140" i="1"/>
  <c r="N140" i="1" s="1"/>
  <c r="K140" i="1"/>
  <c r="R139" i="1"/>
  <c r="M139" i="1"/>
  <c r="L139" i="1"/>
  <c r="K139" i="1"/>
  <c r="R138" i="1"/>
  <c r="M138" i="1"/>
  <c r="L138" i="1"/>
  <c r="K138" i="1"/>
  <c r="R137" i="1"/>
  <c r="M137" i="1"/>
  <c r="L137" i="1"/>
  <c r="N137" i="1" s="1"/>
  <c r="K137" i="1"/>
  <c r="R136" i="1"/>
  <c r="M136" i="1"/>
  <c r="L136" i="1"/>
  <c r="N136" i="1" s="1"/>
  <c r="K136" i="1"/>
  <c r="R135" i="1"/>
  <c r="M135" i="1"/>
  <c r="L135" i="1"/>
  <c r="K135" i="1"/>
  <c r="R134" i="1"/>
  <c r="M134" i="1"/>
  <c r="L134" i="1"/>
  <c r="K134" i="1"/>
  <c r="R133" i="1"/>
  <c r="M133" i="1"/>
  <c r="L133" i="1"/>
  <c r="N133" i="1" s="1"/>
  <c r="K133" i="1"/>
  <c r="R132" i="1"/>
  <c r="M132" i="1"/>
  <c r="L132" i="1"/>
  <c r="N132" i="1" s="1"/>
  <c r="K132" i="1"/>
  <c r="R131" i="1"/>
  <c r="M131" i="1"/>
  <c r="L131" i="1"/>
  <c r="K131" i="1"/>
  <c r="R130" i="1"/>
  <c r="M130" i="1"/>
  <c r="L130" i="1"/>
  <c r="K130" i="1"/>
  <c r="R129" i="1"/>
  <c r="M129" i="1"/>
  <c r="L129" i="1"/>
  <c r="N129" i="1" s="1"/>
  <c r="K129" i="1"/>
  <c r="R128" i="1"/>
  <c r="M128" i="1"/>
  <c r="L128" i="1"/>
  <c r="N128" i="1" s="1"/>
  <c r="K128" i="1"/>
  <c r="R127" i="1"/>
  <c r="M127" i="1"/>
  <c r="L127" i="1"/>
  <c r="K127" i="1"/>
  <c r="R126" i="1"/>
  <c r="M126" i="1"/>
  <c r="L126" i="1"/>
  <c r="K126" i="1"/>
  <c r="R125" i="1"/>
  <c r="M125" i="1"/>
  <c r="L125" i="1"/>
  <c r="N125" i="1" s="1"/>
  <c r="K125" i="1"/>
  <c r="R124" i="1"/>
  <c r="M124" i="1"/>
  <c r="L124" i="1"/>
  <c r="N124" i="1" s="1"/>
  <c r="K124" i="1"/>
  <c r="R123" i="1"/>
  <c r="M123" i="1"/>
  <c r="N123" i="1" s="1"/>
  <c r="L123" i="1"/>
  <c r="K123" i="1"/>
  <c r="R122" i="1"/>
  <c r="M122" i="1"/>
  <c r="N122" i="1" s="1"/>
  <c r="L122" i="1"/>
  <c r="K122" i="1"/>
  <c r="R121" i="1"/>
  <c r="N121" i="1"/>
  <c r="M121" i="1"/>
  <c r="L121" i="1"/>
  <c r="K121" i="1"/>
  <c r="R120" i="1"/>
  <c r="M120" i="1"/>
  <c r="N120" i="1" s="1"/>
  <c r="L120" i="1"/>
  <c r="K120" i="1"/>
  <c r="R119" i="1"/>
  <c r="M119" i="1"/>
  <c r="L119" i="1"/>
  <c r="K119" i="1"/>
  <c r="R118" i="1"/>
  <c r="M118" i="1"/>
  <c r="L118" i="1"/>
  <c r="K118" i="1"/>
  <c r="R117" i="1"/>
  <c r="M117" i="1"/>
  <c r="L117" i="1"/>
  <c r="K117" i="1"/>
  <c r="R116" i="1"/>
  <c r="M116" i="1"/>
  <c r="L116" i="1"/>
  <c r="K116" i="1"/>
  <c r="R115" i="1"/>
  <c r="M115" i="1"/>
  <c r="L115" i="1"/>
  <c r="N115" i="1" s="1"/>
  <c r="K115" i="1"/>
  <c r="R114" i="1"/>
  <c r="M114" i="1"/>
  <c r="L114" i="1"/>
  <c r="K114" i="1"/>
  <c r="R113" i="1"/>
  <c r="M113" i="1"/>
  <c r="L113" i="1"/>
  <c r="N113" i="1" s="1"/>
  <c r="K113" i="1"/>
  <c r="R112" i="1"/>
  <c r="M112" i="1"/>
  <c r="L112" i="1"/>
  <c r="K112" i="1"/>
  <c r="R111" i="1"/>
  <c r="M111" i="1"/>
  <c r="L111" i="1"/>
  <c r="K111" i="1"/>
  <c r="R110" i="1"/>
  <c r="M110" i="1"/>
  <c r="L110" i="1"/>
  <c r="K110" i="1"/>
  <c r="R109" i="1"/>
  <c r="M109" i="1"/>
  <c r="L109" i="1"/>
  <c r="K109" i="1"/>
  <c r="R108" i="1"/>
  <c r="M108" i="1"/>
  <c r="L108" i="1"/>
  <c r="K108" i="1"/>
  <c r="R107" i="1"/>
  <c r="M107" i="1"/>
  <c r="L107" i="1"/>
  <c r="N107" i="1" s="1"/>
  <c r="K107" i="1"/>
  <c r="R106" i="1"/>
  <c r="N106" i="1"/>
  <c r="M106" i="1"/>
  <c r="L106" i="1"/>
  <c r="K106" i="1"/>
  <c r="R105" i="1"/>
  <c r="N105" i="1"/>
  <c r="M105" i="1"/>
  <c r="L105" i="1"/>
  <c r="K105" i="1"/>
  <c r="R104" i="1"/>
  <c r="M104" i="1"/>
  <c r="L104" i="1"/>
  <c r="K104" i="1"/>
  <c r="R103" i="1"/>
  <c r="N103" i="1"/>
  <c r="M103" i="1"/>
  <c r="L103" i="1"/>
  <c r="K103" i="1"/>
  <c r="R102" i="1"/>
  <c r="M102" i="1"/>
  <c r="N102" i="1" s="1"/>
  <c r="L102" i="1"/>
  <c r="K102" i="1"/>
  <c r="R101" i="1"/>
  <c r="M101" i="1"/>
  <c r="L101" i="1"/>
  <c r="N101" i="1" s="1"/>
  <c r="K101" i="1"/>
  <c r="R100" i="1"/>
  <c r="M100" i="1"/>
  <c r="L100" i="1"/>
  <c r="N100" i="1" s="1"/>
  <c r="K100" i="1"/>
  <c r="R99" i="1"/>
  <c r="M99" i="1"/>
  <c r="L99" i="1"/>
  <c r="N99" i="1" s="1"/>
  <c r="K99" i="1"/>
  <c r="R98" i="1"/>
  <c r="N98" i="1"/>
  <c r="M98" i="1"/>
  <c r="L98" i="1"/>
  <c r="K98" i="1"/>
  <c r="R97" i="1"/>
  <c r="N97" i="1"/>
  <c r="M97" i="1"/>
  <c r="L97" i="1"/>
  <c r="K97" i="1"/>
  <c r="R96" i="1"/>
  <c r="M96" i="1"/>
  <c r="L96" i="1"/>
  <c r="K96" i="1"/>
  <c r="R95" i="1"/>
  <c r="M95" i="1"/>
  <c r="N95" i="1" s="1"/>
  <c r="L95" i="1"/>
  <c r="K95" i="1"/>
  <c r="R94" i="1"/>
  <c r="M94" i="1"/>
  <c r="N94" i="1" s="1"/>
  <c r="L94" i="1"/>
  <c r="K94" i="1"/>
  <c r="R93" i="1"/>
  <c r="M93" i="1"/>
  <c r="L93" i="1"/>
  <c r="N93" i="1" s="1"/>
  <c r="K93" i="1"/>
  <c r="R92" i="1"/>
  <c r="M92" i="1"/>
  <c r="L92" i="1"/>
  <c r="N92" i="1" s="1"/>
  <c r="K92" i="1"/>
  <c r="R91" i="1"/>
  <c r="M91" i="1"/>
  <c r="N91" i="1" s="1"/>
  <c r="L91" i="1"/>
  <c r="K91" i="1"/>
  <c r="R90" i="1"/>
  <c r="N90" i="1"/>
  <c r="M90" i="1"/>
  <c r="L90" i="1"/>
  <c r="K90" i="1"/>
  <c r="R89" i="1"/>
  <c r="M89" i="1"/>
  <c r="L89" i="1"/>
  <c r="N89" i="1" s="1"/>
  <c r="K89" i="1"/>
  <c r="R88" i="1"/>
  <c r="M88" i="1"/>
  <c r="L88" i="1"/>
  <c r="N88" i="1" s="1"/>
  <c r="K88" i="1"/>
  <c r="R87" i="1"/>
  <c r="M87" i="1"/>
  <c r="N87" i="1" s="1"/>
  <c r="L87" i="1"/>
  <c r="K87" i="1"/>
  <c r="R86" i="1"/>
  <c r="M86" i="1"/>
  <c r="N86" i="1" s="1"/>
  <c r="L86" i="1"/>
  <c r="K86" i="1"/>
  <c r="R85" i="1"/>
  <c r="M85" i="1"/>
  <c r="L85" i="1"/>
  <c r="N85" i="1" s="1"/>
  <c r="K85" i="1"/>
  <c r="R84" i="1"/>
  <c r="N84" i="1"/>
  <c r="M84" i="1"/>
  <c r="L84" i="1"/>
  <c r="K84" i="1"/>
  <c r="R83" i="1"/>
  <c r="M83" i="1"/>
  <c r="L83" i="1"/>
  <c r="N83" i="1" s="1"/>
  <c r="K83" i="1"/>
  <c r="R82" i="1"/>
  <c r="N82" i="1"/>
  <c r="M82" i="1"/>
  <c r="L82" i="1"/>
  <c r="K82" i="1"/>
  <c r="R81" i="1"/>
  <c r="M81" i="1"/>
  <c r="N81" i="1" s="1"/>
  <c r="L81" i="1"/>
  <c r="K81" i="1"/>
  <c r="R80" i="1"/>
  <c r="M80" i="1"/>
  <c r="L80" i="1"/>
  <c r="K80" i="1"/>
  <c r="R79" i="1"/>
  <c r="N79" i="1"/>
  <c r="M79" i="1"/>
  <c r="L79" i="1"/>
  <c r="K79" i="1"/>
  <c r="R78" i="1"/>
  <c r="M78" i="1"/>
  <c r="L78" i="1"/>
  <c r="N78" i="1" s="1"/>
  <c r="K78" i="1"/>
  <c r="R77" i="1"/>
  <c r="M77" i="1"/>
  <c r="L77" i="1"/>
  <c r="N77" i="1" s="1"/>
  <c r="K77" i="1"/>
  <c r="R76" i="1"/>
  <c r="M76" i="1"/>
  <c r="L76" i="1"/>
  <c r="N76" i="1" s="1"/>
  <c r="K76" i="1"/>
  <c r="R75" i="1"/>
  <c r="M75" i="1"/>
  <c r="N75" i="1" s="1"/>
  <c r="L75" i="1"/>
  <c r="K75" i="1"/>
  <c r="R74" i="1"/>
  <c r="N74" i="1"/>
  <c r="M74" i="1"/>
  <c r="L74" i="1"/>
  <c r="K74" i="1"/>
  <c r="R73" i="1"/>
  <c r="M73" i="1"/>
  <c r="L73" i="1"/>
  <c r="N73" i="1" s="1"/>
  <c r="K73" i="1"/>
  <c r="R72" i="1"/>
  <c r="M72" i="1"/>
  <c r="L72" i="1"/>
  <c r="N72" i="1" s="1"/>
  <c r="K72" i="1"/>
  <c r="R71" i="1"/>
  <c r="M71" i="1"/>
  <c r="N71" i="1" s="1"/>
  <c r="L71" i="1"/>
  <c r="K71" i="1"/>
  <c r="R70" i="1"/>
  <c r="M70" i="1"/>
  <c r="N70" i="1" s="1"/>
  <c r="L70" i="1"/>
  <c r="K70" i="1"/>
  <c r="R69" i="1"/>
  <c r="N69" i="1"/>
  <c r="M69" i="1"/>
  <c r="L69" i="1"/>
  <c r="K69" i="1"/>
  <c r="R68" i="1"/>
  <c r="M68" i="1"/>
  <c r="L68" i="1"/>
  <c r="N68" i="1" s="1"/>
  <c r="K68" i="1"/>
  <c r="R67" i="1"/>
  <c r="M67" i="1"/>
  <c r="L67" i="1"/>
  <c r="N67" i="1" s="1"/>
  <c r="K67" i="1"/>
  <c r="R66" i="1"/>
  <c r="M66" i="1"/>
  <c r="N66" i="1" s="1"/>
  <c r="L66" i="1"/>
  <c r="K66" i="1"/>
  <c r="R65" i="1"/>
  <c r="N65" i="1"/>
  <c r="M65" i="1"/>
  <c r="L65" i="1"/>
  <c r="K65" i="1"/>
  <c r="R64" i="1"/>
  <c r="M64" i="1"/>
  <c r="L64" i="1"/>
  <c r="K64" i="1"/>
  <c r="R63" i="1"/>
  <c r="M63" i="1"/>
  <c r="L63" i="1"/>
  <c r="N63" i="1" s="1"/>
  <c r="K63" i="1"/>
  <c r="R62" i="1"/>
  <c r="M62" i="1"/>
  <c r="L62" i="1"/>
  <c r="N62" i="1" s="1"/>
  <c r="K62" i="1"/>
  <c r="R61" i="1"/>
  <c r="N61" i="1"/>
  <c r="M61" i="1"/>
  <c r="L61" i="1"/>
  <c r="K61" i="1"/>
  <c r="R60" i="1"/>
  <c r="N60" i="1"/>
  <c r="M60" i="1"/>
  <c r="L60" i="1"/>
  <c r="K60" i="1"/>
  <c r="R59" i="1"/>
  <c r="M59" i="1"/>
  <c r="L59" i="1"/>
  <c r="N59" i="1" s="1"/>
  <c r="K59" i="1"/>
  <c r="R58" i="1"/>
  <c r="M58" i="1"/>
  <c r="N58" i="1" s="1"/>
  <c r="L58" i="1"/>
  <c r="K58" i="1"/>
  <c r="R57" i="1"/>
  <c r="M57" i="1"/>
  <c r="N57" i="1" s="1"/>
  <c r="L57" i="1"/>
  <c r="K57" i="1"/>
  <c r="R56" i="1"/>
  <c r="M56" i="1"/>
  <c r="L56" i="1"/>
  <c r="K56" i="1"/>
  <c r="R55" i="1"/>
  <c r="N55" i="1"/>
  <c r="M55" i="1"/>
  <c r="L55" i="1"/>
  <c r="K55" i="1"/>
  <c r="R54" i="1"/>
  <c r="M54" i="1"/>
  <c r="L54" i="1"/>
  <c r="N54" i="1" s="1"/>
  <c r="K54" i="1"/>
  <c r="R53" i="1"/>
  <c r="M53" i="1"/>
  <c r="L53" i="1"/>
  <c r="N53" i="1" s="1"/>
  <c r="K53" i="1"/>
  <c r="R52" i="1"/>
  <c r="M52" i="1"/>
  <c r="N52" i="1" s="1"/>
  <c r="L52" i="1"/>
  <c r="K52" i="1"/>
  <c r="R51" i="1"/>
  <c r="N51" i="1"/>
  <c r="M51" i="1"/>
  <c r="L51" i="1"/>
  <c r="K51" i="1"/>
  <c r="R50" i="1"/>
  <c r="M50" i="1"/>
  <c r="N50" i="1" s="1"/>
  <c r="L50" i="1"/>
  <c r="K50" i="1"/>
  <c r="R49" i="1"/>
  <c r="M49" i="1"/>
  <c r="L49" i="1"/>
  <c r="N49" i="1" s="1"/>
  <c r="K49" i="1"/>
  <c r="R48" i="1"/>
  <c r="M48" i="1"/>
  <c r="L48" i="1"/>
  <c r="N48" i="1" s="1"/>
  <c r="K48" i="1"/>
  <c r="R47" i="1"/>
  <c r="M47" i="1"/>
  <c r="N47" i="1" s="1"/>
  <c r="L47" i="1"/>
  <c r="K47" i="1"/>
  <c r="R46" i="1"/>
  <c r="N46" i="1"/>
  <c r="M46" i="1"/>
  <c r="L46" i="1"/>
  <c r="K46" i="1"/>
  <c r="R45" i="1"/>
  <c r="M45" i="1"/>
  <c r="L45" i="1"/>
  <c r="N45" i="1" s="1"/>
  <c r="K45" i="1"/>
  <c r="R44" i="1"/>
  <c r="M44" i="1"/>
  <c r="L44" i="1"/>
  <c r="N44" i="1" s="1"/>
  <c r="K44" i="1"/>
  <c r="R43" i="1"/>
  <c r="M43" i="1"/>
  <c r="N43" i="1" s="1"/>
  <c r="L43" i="1"/>
  <c r="K43" i="1"/>
  <c r="R42" i="1"/>
  <c r="N42" i="1"/>
  <c r="M42" i="1"/>
  <c r="L42" i="1"/>
  <c r="K42" i="1"/>
  <c r="R41" i="1"/>
  <c r="M41" i="1"/>
  <c r="L41" i="1"/>
  <c r="N41" i="1" s="1"/>
  <c r="K41" i="1"/>
  <c r="R40" i="1"/>
  <c r="M40" i="1"/>
  <c r="L40" i="1"/>
  <c r="N40" i="1" s="1"/>
  <c r="K40" i="1"/>
  <c r="R39" i="1"/>
  <c r="M39" i="1"/>
  <c r="L39" i="1"/>
  <c r="N39" i="1" s="1"/>
  <c r="K39" i="1"/>
  <c r="R38" i="1"/>
  <c r="M38" i="1"/>
  <c r="N38" i="1" s="1"/>
  <c r="L38" i="1"/>
  <c r="K38" i="1"/>
  <c r="R37" i="1"/>
  <c r="N37" i="1"/>
  <c r="M37" i="1"/>
  <c r="L37" i="1"/>
  <c r="K37" i="1"/>
  <c r="R36" i="1"/>
  <c r="M36" i="1"/>
  <c r="L36" i="1"/>
  <c r="N36" i="1" s="1"/>
  <c r="K36" i="1"/>
  <c r="R35" i="1"/>
  <c r="M35" i="1"/>
  <c r="L35" i="1"/>
  <c r="N35" i="1" s="1"/>
  <c r="K35" i="1"/>
  <c r="R34" i="1"/>
  <c r="M34" i="1"/>
  <c r="N34" i="1" s="1"/>
  <c r="L34" i="1"/>
  <c r="K34" i="1"/>
  <c r="R33" i="1"/>
  <c r="N33" i="1"/>
  <c r="M33" i="1"/>
  <c r="L33" i="1"/>
  <c r="K33" i="1"/>
  <c r="R32" i="1"/>
  <c r="M32" i="1"/>
  <c r="L32" i="1"/>
  <c r="N32" i="1" s="1"/>
  <c r="K32" i="1"/>
  <c r="R31" i="1"/>
  <c r="M31" i="1"/>
  <c r="L31" i="1"/>
  <c r="N31" i="1" s="1"/>
  <c r="K31" i="1"/>
  <c r="R30" i="1"/>
  <c r="M30" i="1"/>
  <c r="N30" i="1" s="1"/>
  <c r="L30" i="1"/>
  <c r="K30" i="1"/>
  <c r="R29" i="1"/>
  <c r="N29" i="1"/>
  <c r="M29" i="1"/>
  <c r="L29" i="1"/>
  <c r="K29" i="1"/>
  <c r="R28" i="1"/>
  <c r="M28" i="1"/>
  <c r="L28" i="1"/>
  <c r="N28" i="1" s="1"/>
  <c r="K28" i="1"/>
  <c r="R27" i="1"/>
  <c r="M27" i="1"/>
  <c r="L27" i="1"/>
  <c r="N27" i="1" s="1"/>
  <c r="K27" i="1"/>
  <c r="R26" i="1"/>
  <c r="M26" i="1"/>
  <c r="N26" i="1" s="1"/>
  <c r="L26" i="1"/>
  <c r="K26" i="1"/>
  <c r="R25" i="1"/>
  <c r="N25" i="1"/>
  <c r="M25" i="1"/>
  <c r="L25" i="1"/>
  <c r="K25" i="1"/>
  <c r="R24" i="1"/>
  <c r="M24" i="1"/>
  <c r="L24" i="1"/>
  <c r="N24" i="1" s="1"/>
  <c r="K24" i="1"/>
  <c r="R23" i="1"/>
  <c r="M23" i="1"/>
  <c r="L23" i="1"/>
  <c r="N23" i="1" s="1"/>
  <c r="K23" i="1"/>
  <c r="R22" i="1"/>
  <c r="M22" i="1"/>
  <c r="N22" i="1" s="1"/>
  <c r="L22" i="1"/>
  <c r="K22" i="1"/>
  <c r="R21" i="1"/>
  <c r="N21" i="1"/>
  <c r="M21" i="1"/>
  <c r="L21" i="1"/>
  <c r="K21" i="1"/>
  <c r="R20" i="1"/>
  <c r="M20" i="1"/>
  <c r="L20" i="1"/>
  <c r="N20" i="1" s="1"/>
  <c r="K20" i="1"/>
  <c r="R19" i="1"/>
  <c r="M19" i="1"/>
  <c r="L19" i="1"/>
  <c r="N19" i="1" s="1"/>
  <c r="K19" i="1"/>
  <c r="R18" i="1"/>
  <c r="M18" i="1"/>
  <c r="N18" i="1" s="1"/>
  <c r="L18" i="1"/>
  <c r="K18" i="1"/>
  <c r="R17" i="1"/>
  <c r="N17" i="1"/>
  <c r="M17" i="1"/>
  <c r="L17" i="1"/>
  <c r="K17" i="1"/>
  <c r="R16" i="1"/>
  <c r="M16" i="1"/>
  <c r="L16" i="1"/>
  <c r="N16" i="1" s="1"/>
  <c r="K16" i="1"/>
  <c r="R15" i="1"/>
  <c r="M15" i="1"/>
  <c r="L15" i="1"/>
  <c r="N15" i="1" s="1"/>
  <c r="K15" i="1"/>
  <c r="R14" i="1"/>
  <c r="M14" i="1"/>
  <c r="N14" i="1" s="1"/>
  <c r="L14" i="1"/>
  <c r="K14" i="1"/>
  <c r="R13" i="1"/>
  <c r="N13" i="1"/>
  <c r="M13" i="1"/>
  <c r="L13" i="1"/>
  <c r="K13" i="1"/>
  <c r="R12" i="1"/>
  <c r="M12" i="1"/>
  <c r="L12" i="1"/>
  <c r="N12" i="1" s="1"/>
  <c r="K12" i="1"/>
  <c r="R11" i="1"/>
  <c r="M11" i="1"/>
  <c r="L11" i="1"/>
  <c r="N11" i="1" s="1"/>
  <c r="K11" i="1"/>
  <c r="R10" i="1"/>
  <c r="M10" i="1"/>
  <c r="N10" i="1" s="1"/>
  <c r="L10" i="1"/>
  <c r="K10" i="1"/>
  <c r="R9" i="1"/>
  <c r="N9" i="1"/>
  <c r="M9" i="1"/>
  <c r="L9" i="1"/>
  <c r="K9" i="1"/>
  <c r="R8" i="1"/>
  <c r="M8" i="1"/>
  <c r="L8" i="1"/>
  <c r="N8" i="1" s="1"/>
  <c r="K8" i="1"/>
  <c r="R7" i="1"/>
  <c r="M7" i="1"/>
  <c r="L7" i="1"/>
  <c r="N7" i="1" s="1"/>
  <c r="K7" i="1"/>
  <c r="R6" i="1"/>
  <c r="M6" i="1"/>
  <c r="N6" i="1" s="1"/>
  <c r="L6" i="1"/>
  <c r="K6" i="1"/>
  <c r="R5" i="1"/>
  <c r="N5" i="1"/>
  <c r="M5" i="1"/>
  <c r="L5" i="1"/>
  <c r="K5" i="1"/>
  <c r="R4" i="1"/>
  <c r="M4" i="1"/>
  <c r="L4" i="1"/>
  <c r="N4" i="1" s="1"/>
  <c r="K4" i="1"/>
  <c r="R3" i="1"/>
  <c r="M3" i="1"/>
  <c r="L3" i="1"/>
  <c r="N3" i="1" s="1"/>
  <c r="K3" i="1"/>
  <c r="R2" i="1"/>
  <c r="M2" i="1"/>
  <c r="N2" i="1" s="1"/>
  <c r="L2" i="1"/>
  <c r="K2" i="1"/>
  <c r="N80" i="1" l="1"/>
  <c r="N104" i="1"/>
  <c r="N131" i="1"/>
  <c r="N139" i="1"/>
  <c r="N155" i="1"/>
  <c r="N163" i="1"/>
  <c r="N171" i="1"/>
  <c r="N179" i="1"/>
  <c r="N187" i="1"/>
  <c r="N195" i="1"/>
  <c r="N203" i="1"/>
  <c r="N215" i="1"/>
  <c r="N223" i="1"/>
  <c r="N135" i="1"/>
  <c r="N143" i="1"/>
  <c r="N151" i="1"/>
  <c r="N159" i="1"/>
  <c r="N167" i="1"/>
  <c r="N175" i="1"/>
  <c r="N183" i="1"/>
  <c r="N211" i="1"/>
  <c r="N219" i="1"/>
  <c r="N227" i="1"/>
  <c r="N64" i="1"/>
  <c r="N2100" i="1" s="1"/>
  <c r="N96" i="1"/>
  <c r="N108" i="1"/>
  <c r="N432" i="1"/>
  <c r="N453" i="1"/>
  <c r="N474" i="1"/>
  <c r="N495" i="1"/>
  <c r="N127" i="1"/>
  <c r="N147" i="1"/>
  <c r="N191" i="1"/>
  <c r="N199" i="1"/>
  <c r="N207" i="1"/>
  <c r="N56" i="1"/>
  <c r="N126" i="1"/>
  <c r="N130" i="1"/>
  <c r="N134" i="1"/>
  <c r="N142" i="1"/>
  <c r="N146" i="1"/>
  <c r="N150" i="1"/>
  <c r="N154" i="1"/>
  <c r="N158" i="1"/>
  <c r="N162" i="1"/>
  <c r="N166" i="1"/>
  <c r="N170" i="1"/>
  <c r="N174" i="1"/>
  <c r="N178" i="1"/>
  <c r="N182" i="1"/>
  <c r="N186" i="1"/>
  <c r="N190" i="1"/>
  <c r="N194" i="1"/>
  <c r="N198" i="1"/>
  <c r="N202" i="1"/>
  <c r="N206" i="1"/>
  <c r="N210" i="1"/>
  <c r="N214" i="1"/>
  <c r="N218" i="1"/>
  <c r="N222" i="1"/>
  <c r="N226" i="1"/>
  <c r="N138" i="1"/>
  <c r="N117" i="1"/>
  <c r="N119" i="1"/>
  <c r="N402" i="1"/>
  <c r="N404" i="1"/>
  <c r="N417" i="1"/>
  <c r="N419" i="1"/>
  <c r="N426" i="1"/>
  <c r="N437" i="1"/>
  <c r="N439" i="1"/>
  <c r="N446" i="1"/>
  <c r="N461" i="1"/>
  <c r="N481" i="1"/>
  <c r="N483" i="1"/>
  <c r="N490" i="1"/>
  <c r="N501" i="1"/>
  <c r="N503" i="1"/>
  <c r="N510" i="1"/>
  <c r="N525" i="1"/>
  <c r="N554" i="1"/>
  <c r="N691" i="1"/>
  <c r="N701" i="1"/>
  <c r="N703" i="1"/>
  <c r="N714" i="1"/>
  <c r="N716" i="1"/>
  <c r="N718" i="1"/>
  <c r="N741" i="1"/>
  <c r="N760" i="1"/>
  <c r="N762" i="1"/>
  <c r="N764" i="1"/>
  <c r="N766" i="1"/>
  <c r="N785" i="1"/>
  <c r="N787" i="1"/>
  <c r="N806" i="1"/>
  <c r="N810" i="1"/>
  <c r="N821" i="1"/>
  <c r="N832" i="1"/>
  <c r="N841" i="1"/>
  <c r="N901" i="1"/>
  <c r="N903" i="1"/>
  <c r="N905" i="1"/>
  <c r="N933" i="1"/>
  <c r="N935" i="1"/>
  <c r="N1008" i="1"/>
  <c r="N1045" i="1"/>
  <c r="N1058" i="1"/>
  <c r="N1060" i="1"/>
  <c r="N1092" i="1"/>
  <c r="N1136" i="1"/>
  <c r="N1164" i="1"/>
  <c r="N1184" i="1"/>
  <c r="N1328" i="1"/>
  <c r="N421" i="1"/>
  <c r="N441" i="1"/>
  <c r="N463" i="1"/>
  <c r="N485" i="1"/>
  <c r="N505" i="1"/>
  <c r="N527" i="1"/>
  <c r="N545" i="1"/>
  <c r="N963" i="1"/>
  <c r="N967" i="1"/>
  <c r="N971" i="1"/>
  <c r="N975" i="1"/>
  <c r="N979" i="1"/>
  <c r="N1012" i="1"/>
  <c r="N1036" i="1"/>
  <c r="N1064" i="1"/>
  <c r="N1081" i="1"/>
  <c r="N1096" i="1"/>
  <c r="N1112" i="1"/>
  <c r="N1124" i="1"/>
  <c r="N1200" i="1"/>
  <c r="N1202" i="1"/>
  <c r="N1249" i="1"/>
  <c r="N1315" i="1"/>
  <c r="N1367" i="1"/>
  <c r="N728" i="1"/>
  <c r="N827" i="1"/>
  <c r="N847" i="1"/>
  <c r="N849" i="1"/>
  <c r="N909" i="1"/>
  <c r="N399" i="1"/>
  <c r="N401" i="1"/>
  <c r="N410" i="1"/>
  <c r="N412" i="1"/>
  <c r="N425" i="1"/>
  <c r="N427" i="1"/>
  <c r="N445" i="1"/>
  <c r="N447" i="1"/>
  <c r="N467" i="1"/>
  <c r="N688" i="1"/>
  <c r="N690" i="1"/>
  <c r="N692" i="1"/>
  <c r="N694" i="1"/>
  <c r="N707" i="1"/>
  <c r="N747" i="1"/>
  <c r="N757" i="1"/>
  <c r="N759" i="1"/>
  <c r="N776" i="1"/>
  <c r="N782" i="1"/>
  <c r="N801" i="1"/>
  <c r="N803" i="1"/>
  <c r="N829" i="1"/>
  <c r="N851" i="1"/>
  <c r="N896" i="1"/>
  <c r="N900" i="1"/>
  <c r="N928" i="1"/>
  <c r="N932" i="1"/>
  <c r="N1029" i="1"/>
  <c r="N1042" i="1"/>
  <c r="N1044" i="1"/>
  <c r="N1053" i="1"/>
  <c r="N1085" i="1"/>
  <c r="N1128" i="1"/>
  <c r="N1234" i="1"/>
  <c r="N114" i="1"/>
  <c r="N116" i="1"/>
  <c r="N118" i="1"/>
  <c r="N405" i="1"/>
  <c r="N429" i="1"/>
  <c r="N449" i="1"/>
  <c r="N451" i="1"/>
  <c r="N469" i="1"/>
  <c r="N471" i="1"/>
  <c r="N478" i="1"/>
  <c r="N493" i="1"/>
  <c r="N513" i="1"/>
  <c r="N515" i="1"/>
  <c r="N522" i="1"/>
  <c r="N533" i="1"/>
  <c r="N535" i="1"/>
  <c r="N553" i="1"/>
  <c r="N557" i="1"/>
  <c r="N698" i="1"/>
  <c r="N700" i="1"/>
  <c r="N702" i="1"/>
  <c r="N717" i="1"/>
  <c r="N719" i="1"/>
  <c r="N738" i="1"/>
  <c r="N740" i="1"/>
  <c r="N742" i="1"/>
  <c r="N765" i="1"/>
  <c r="N767" i="1"/>
  <c r="N786" i="1"/>
  <c r="N805" i="1"/>
  <c r="N807" i="1"/>
  <c r="N809" i="1"/>
  <c r="N811" i="1"/>
  <c r="N889" i="1"/>
  <c r="N919" i="1"/>
  <c r="N921" i="1"/>
  <c r="N1078" i="1"/>
  <c r="N1089" i="1"/>
  <c r="N1091" i="1"/>
  <c r="N1104" i="1"/>
  <c r="N1116" i="1"/>
  <c r="N1163" i="1"/>
  <c r="N1167" i="1"/>
  <c r="N1273" i="1"/>
  <c r="N1308" i="1"/>
  <c r="N537" i="1"/>
  <c r="N544" i="1"/>
  <c r="N546" i="1"/>
  <c r="N1391" i="1"/>
  <c r="N723" i="1"/>
  <c r="N792" i="1"/>
  <c r="N837" i="1"/>
  <c r="N848" i="1"/>
  <c r="N893" i="1"/>
  <c r="N925" i="1"/>
  <c r="N1013" i="1"/>
  <c r="N1026" i="1"/>
  <c r="N1028" i="1"/>
  <c r="N1037" i="1"/>
  <c r="N1052" i="1"/>
  <c r="N1063" i="1"/>
  <c r="N1082" i="1"/>
  <c r="N1095" i="1"/>
  <c r="N1120" i="1"/>
  <c r="N1132" i="1"/>
  <c r="N1139" i="1"/>
  <c r="N1180" i="1"/>
  <c r="N1223" i="1"/>
  <c r="N1258" i="1"/>
  <c r="N1380" i="1"/>
  <c r="N1382" i="1"/>
  <c r="N548" i="1"/>
  <c r="N731" i="1"/>
  <c r="N752" i="1"/>
  <c r="N819" i="1"/>
  <c r="N839" i="1"/>
  <c r="N912" i="1"/>
  <c r="N1071" i="1"/>
  <c r="N1073" i="1"/>
  <c r="N1145" i="1"/>
  <c r="N1147" i="1"/>
  <c r="N1169" i="1"/>
  <c r="N1174" i="1"/>
  <c r="N1218" i="1"/>
  <c r="N1244" i="1"/>
  <c r="N1266" i="1"/>
  <c r="N1283" i="1"/>
  <c r="N1292" i="1"/>
  <c r="N1294" i="1"/>
  <c r="N1296" i="1"/>
  <c r="N1321" i="1"/>
  <c r="N1334" i="1"/>
  <c r="N1349" i="1"/>
  <c r="N1364" i="1"/>
  <c r="N1375" i="1"/>
  <c r="N1377" i="1"/>
  <c r="N1388" i="1"/>
  <c r="N1399" i="1"/>
  <c r="N1401" i="1"/>
  <c r="N1418" i="1"/>
  <c r="N1431" i="1"/>
  <c r="N1448" i="1"/>
  <c r="N1476" i="1"/>
  <c r="N1487" i="1"/>
  <c r="N1545" i="1"/>
  <c r="N1622" i="1"/>
  <c r="N1646" i="1"/>
  <c r="N1670" i="1"/>
  <c r="N1703" i="1"/>
  <c r="N1705" i="1"/>
  <c r="N1707" i="1"/>
  <c r="N1738" i="1"/>
  <c r="N1740" i="1"/>
  <c r="N1762" i="1"/>
  <c r="N1773" i="1"/>
  <c r="N1784" i="1"/>
  <c r="N1799" i="1"/>
  <c r="N1801" i="1"/>
  <c r="N1901" i="1"/>
  <c r="N1980" i="1"/>
  <c r="N1995" i="1"/>
  <c r="N2081" i="1"/>
  <c r="N1140" i="1"/>
  <c r="N1160" i="1"/>
  <c r="N1235" i="1"/>
  <c r="N1237" i="1"/>
  <c r="N1248" i="1"/>
  <c r="N1259" i="1"/>
  <c r="N1272" i="1"/>
  <c r="N1298" i="1"/>
  <c r="N1300" i="1"/>
  <c r="N1307" i="1"/>
  <c r="N1338" i="1"/>
  <c r="N1353" i="1"/>
  <c r="N1381" i="1"/>
  <c r="N1405" i="1"/>
  <c r="N1420" i="1"/>
  <c r="N1422" i="1"/>
  <c r="N1424" i="1"/>
  <c r="N1497" i="1"/>
  <c r="N1499" i="1"/>
  <c r="N1556" i="1"/>
  <c r="N1558" i="1"/>
  <c r="N1585" i="1"/>
  <c r="N1609" i="1"/>
  <c r="N1611" i="1"/>
  <c r="N1633" i="1"/>
  <c r="N1635" i="1"/>
  <c r="N1661" i="1"/>
  <c r="N1674" i="1"/>
  <c r="N1676" i="1"/>
  <c r="N1696" i="1"/>
  <c r="N1709" i="1"/>
  <c r="N1742" i="1"/>
  <c r="N1753" i="1"/>
  <c r="N1755" i="1"/>
  <c r="N1803" i="1"/>
  <c r="N1805" i="1"/>
  <c r="N2013" i="1"/>
  <c r="N2015" i="1"/>
  <c r="N2032" i="1"/>
  <c r="N2041" i="1"/>
  <c r="N2043" i="1"/>
  <c r="N2045" i="1"/>
  <c r="N2047" i="1"/>
  <c r="N2068" i="1"/>
  <c r="N2083" i="1"/>
  <c r="N2085" i="1"/>
  <c r="N1918" i="1"/>
  <c r="N2019" i="1"/>
  <c r="N2021" i="1"/>
  <c r="N2072" i="1"/>
  <c r="N2087" i="1"/>
  <c r="N1203" i="1"/>
  <c r="N1205" i="1"/>
  <c r="N1207" i="1"/>
  <c r="N1209" i="1"/>
  <c r="N1211" i="1"/>
  <c r="N1213" i="1"/>
  <c r="N1252" i="1"/>
  <c r="N1276" i="1"/>
  <c r="N1278" i="1"/>
  <c r="N1359" i="1"/>
  <c r="N1383" i="1"/>
  <c r="N1443" i="1"/>
  <c r="N1469" i="1"/>
  <c r="N1484" i="1"/>
  <c r="N1516" i="1"/>
  <c r="N1523" i="1"/>
  <c r="N1537" i="1"/>
  <c r="N1551" i="1"/>
  <c r="N1570" i="1"/>
  <c r="N1639" i="1"/>
  <c r="N1663" i="1"/>
  <c r="N1894" i="1"/>
  <c r="N1909" i="1"/>
  <c r="N1911" i="1"/>
  <c r="N1975" i="1"/>
  <c r="N1992" i="1"/>
  <c r="N2023" i="1"/>
  <c r="N2036" i="1"/>
  <c r="N2051" i="1"/>
  <c r="N2053" i="1"/>
  <c r="N2055" i="1"/>
  <c r="N2093" i="1"/>
  <c r="N1153" i="1"/>
  <c r="N1155" i="1"/>
  <c r="N1157" i="1"/>
  <c r="N1219" i="1"/>
  <c r="N1228" i="1"/>
  <c r="N1230" i="1"/>
  <c r="N1232" i="1"/>
  <c r="N1254" i="1"/>
  <c r="N1256" i="1"/>
  <c r="N1267" i="1"/>
  <c r="N1269" i="1"/>
  <c r="N1282" i="1"/>
  <c r="N1322" i="1"/>
  <c r="N1348" i="1"/>
  <c r="N1350" i="1"/>
  <c r="N1378" i="1"/>
  <c r="N1389" i="1"/>
  <c r="N1402" i="1"/>
  <c r="N1415" i="1"/>
  <c r="N1417" i="1"/>
  <c r="N1434" i="1"/>
  <c r="N1436" i="1"/>
  <c r="N1471" i="1"/>
  <c r="N1503" i="1"/>
  <c r="N1509" i="1"/>
  <c r="N1525" i="1"/>
  <c r="N1539" i="1"/>
  <c r="N1553" i="1"/>
  <c r="N1593" i="1"/>
  <c r="N1604" i="1"/>
  <c r="N1606" i="1"/>
  <c r="N1645" i="1"/>
  <c r="N1706" i="1"/>
  <c r="N1748" i="1"/>
  <c r="N1774" i="1"/>
  <c r="N1787" i="1"/>
  <c r="N1789" i="1"/>
  <c r="N1813" i="1"/>
  <c r="N1900" i="1"/>
  <c r="N1979" i="1"/>
  <c r="N1996" i="1"/>
  <c r="N2097" i="1"/>
  <c r="N1421" i="1"/>
  <c r="N1440" i="1"/>
  <c r="N1464" i="1"/>
  <c r="N1496" i="1"/>
  <c r="N1498" i="1"/>
  <c r="N1500" i="1"/>
  <c r="N1557" i="1"/>
  <c r="N1561" i="1"/>
  <c r="N1586" i="1"/>
  <c r="N1597" i="1"/>
  <c r="N1610" i="1"/>
  <c r="N1612" i="1"/>
  <c r="N1634" i="1"/>
  <c r="N1649" i="1"/>
  <c r="N1673" i="1"/>
  <c r="N1675" i="1"/>
  <c r="N1754" i="1"/>
  <c r="N1791" i="1"/>
  <c r="N1793" i="1"/>
  <c r="N1815" i="1"/>
  <c r="N2065" i="1"/>
  <c r="N1928" i="1"/>
  <c r="N1972" i="1"/>
  <c r="N2020" i="1"/>
  <c r="N2071" i="1"/>
  <c r="N2088" i="1"/>
  <c r="N1204" i="1"/>
  <c r="N1206" i="1"/>
  <c r="N1208" i="1"/>
  <c r="N1210" i="1"/>
  <c r="N1212" i="1"/>
  <c r="N1214" i="1"/>
  <c r="N1262" i="1"/>
  <c r="N1427" i="1"/>
  <c r="N1455" i="1"/>
  <c r="N1479" i="1"/>
  <c r="N1485" i="1"/>
  <c r="N1515" i="1"/>
  <c r="N1531" i="1"/>
  <c r="N1543" i="1"/>
  <c r="N1599" i="1"/>
  <c r="N1627" i="1"/>
  <c r="N1655" i="1"/>
  <c r="N1681" i="1"/>
  <c r="N1734" i="1"/>
  <c r="N1780" i="1"/>
  <c r="N1808" i="1"/>
  <c r="N1897" i="1"/>
  <c r="N1906" i="1"/>
  <c r="N1908" i="1"/>
  <c r="N1930" i="1"/>
  <c r="N1976" i="1"/>
  <c r="N1991" i="1"/>
  <c r="N2035" i="1"/>
  <c r="N2037" i="1"/>
  <c r="N2052" i="1"/>
  <c r="N2054" i="1"/>
  <c r="N2056" i="1"/>
  <c r="N2075" i="1"/>
  <c r="N2077" i="1"/>
  <c r="N2092" i="1"/>
  <c r="N111" i="1"/>
  <c r="O130" i="1"/>
  <c r="N112" i="1"/>
  <c r="O352" i="1"/>
  <c r="N110" i="1"/>
  <c r="O350" i="1"/>
  <c r="L2100" i="1"/>
  <c r="O131" i="1" s="1"/>
  <c r="O2036" i="1"/>
  <c r="O2028" i="1"/>
  <c r="O2029" i="1"/>
  <c r="O2080" i="1"/>
  <c r="O2076" i="1"/>
  <c r="O2072" i="1"/>
  <c r="O2046" i="1"/>
  <c r="O2030" i="1"/>
  <c r="O2063" i="1"/>
  <c r="O2055" i="1"/>
  <c r="O2031" i="1"/>
  <c r="O2023" i="1"/>
  <c r="O2015" i="1"/>
  <c r="O2014" i="1"/>
  <c r="O2013" i="1"/>
  <c r="O2011" i="1"/>
  <c r="O2010" i="1"/>
  <c r="O2009" i="1"/>
  <c r="O2008" i="1"/>
  <c r="O2007" i="1"/>
  <c r="O2006" i="1"/>
  <c r="O2005" i="1"/>
  <c r="O2004" i="1"/>
  <c r="O2003" i="1"/>
  <c r="O2002" i="1"/>
  <c r="O2001" i="1"/>
  <c r="O2000" i="1"/>
  <c r="O1999" i="1"/>
  <c r="O1998" i="1"/>
  <c r="O2097" i="1"/>
  <c r="O2093" i="1"/>
  <c r="O2089" i="1"/>
  <c r="O2085" i="1"/>
  <c r="O2081" i="1"/>
  <c r="O2077" i="1"/>
  <c r="O2073" i="1"/>
  <c r="O2069" i="1"/>
  <c r="O2064" i="1"/>
  <c r="O2056" i="1"/>
  <c r="O2048" i="1"/>
  <c r="O2040" i="1"/>
  <c r="O2032" i="1"/>
  <c r="O2024" i="1"/>
  <c r="O2016" i="1"/>
  <c r="O2065" i="1"/>
  <c r="O2057" i="1"/>
  <c r="O2049" i="1"/>
  <c r="O2041" i="1"/>
  <c r="O2033" i="1"/>
  <c r="O2025" i="1"/>
  <c r="O2017" i="1"/>
  <c r="O2027" i="1"/>
  <c r="O1995" i="1"/>
  <c r="O1991" i="1"/>
  <c r="O1987" i="1"/>
  <c r="O1983" i="1"/>
  <c r="O1979" i="1"/>
  <c r="O1975" i="1"/>
  <c r="O1967" i="1"/>
  <c r="O1959" i="1"/>
  <c r="O2090" i="1"/>
  <c r="O2074" i="1"/>
  <c r="O2050" i="1"/>
  <c r="O2035" i="1"/>
  <c r="O1968" i="1"/>
  <c r="O1960" i="1"/>
  <c r="O2043" i="1"/>
  <c r="O1996" i="1"/>
  <c r="O1992" i="1"/>
  <c r="O1988" i="1"/>
  <c r="O1984" i="1"/>
  <c r="O1980" i="1"/>
  <c r="O1976" i="1"/>
  <c r="O1969" i="1"/>
  <c r="O1961" i="1"/>
  <c r="O2086" i="1"/>
  <c r="O2070" i="1"/>
  <c r="O2058" i="1"/>
  <c r="O1970" i="1"/>
  <c r="O1962" i="1"/>
  <c r="O2051" i="1"/>
  <c r="O2018" i="1"/>
  <c r="O1997" i="1"/>
  <c r="O1993" i="1"/>
  <c r="O1989" i="1"/>
  <c r="O1985" i="1"/>
  <c r="O1981" i="1"/>
  <c r="O1977" i="1"/>
  <c r="O1971" i="1"/>
  <c r="O1963" i="1"/>
  <c r="O2098" i="1"/>
  <c r="O2082" i="1"/>
  <c r="O2066" i="1"/>
  <c r="O2026" i="1"/>
  <c r="O1972" i="1"/>
  <c r="O1964" i="1"/>
  <c r="O2034" i="1"/>
  <c r="O1956" i="1"/>
  <c r="O1952" i="1"/>
  <c r="O1948" i="1"/>
  <c r="O1944" i="1"/>
  <c r="O1939" i="1"/>
  <c r="O1931" i="1"/>
  <c r="O1923" i="1"/>
  <c r="O1915" i="1"/>
  <c r="O1907" i="1"/>
  <c r="O1899" i="1"/>
  <c r="O1982" i="1"/>
  <c r="O1940" i="1"/>
  <c r="O1932" i="1"/>
  <c r="O1924" i="1"/>
  <c r="O1916" i="1"/>
  <c r="O1908" i="1"/>
  <c r="O1957" i="1"/>
  <c r="O1953" i="1"/>
  <c r="O1949" i="1"/>
  <c r="O1945" i="1"/>
  <c r="O1941" i="1"/>
  <c r="O1933" i="1"/>
  <c r="O1925" i="1"/>
  <c r="O1917" i="1"/>
  <c r="O1909" i="1"/>
  <c r="O1901" i="1"/>
  <c r="O1893" i="1"/>
  <c r="O2078" i="1"/>
  <c r="O1994" i="1"/>
  <c r="O1978" i="1"/>
  <c r="O1965" i="1"/>
  <c r="O1934" i="1"/>
  <c r="O1926" i="1"/>
  <c r="O1918" i="1"/>
  <c r="O1910" i="1"/>
  <c r="O1902" i="1"/>
  <c r="O1894" i="1"/>
  <c r="O2059" i="1"/>
  <c r="O2019" i="1"/>
  <c r="O1973" i="1"/>
  <c r="O1958" i="1"/>
  <c r="O1954" i="1"/>
  <c r="O1950" i="1"/>
  <c r="O1946" i="1"/>
  <c r="O1942" i="1"/>
  <c r="O1935" i="1"/>
  <c r="O1927" i="1"/>
  <c r="O1919" i="1"/>
  <c r="O2094" i="1"/>
  <c r="O1974" i="1"/>
  <c r="O1955" i="1"/>
  <c r="O1951" i="1"/>
  <c r="O1947" i="1"/>
  <c r="O1943" i="1"/>
  <c r="O1937" i="1"/>
  <c r="O1929" i="1"/>
  <c r="O1921" i="1"/>
  <c r="O1913" i="1"/>
  <c r="O1905" i="1"/>
  <c r="O1897" i="1"/>
  <c r="O1895" i="1"/>
  <c r="O1892" i="1"/>
  <c r="O1888" i="1"/>
  <c r="O1882" i="1"/>
  <c r="O1874" i="1"/>
  <c r="O1866" i="1"/>
  <c r="O1858" i="1"/>
  <c r="O1850" i="1"/>
  <c r="O1842" i="1"/>
  <c r="O1834" i="1"/>
  <c r="O2042" i="1"/>
  <c r="O1914" i="1"/>
  <c r="O1883" i="1"/>
  <c r="O1875" i="1"/>
  <c r="O1867" i="1"/>
  <c r="O1859" i="1"/>
  <c r="O1851" i="1"/>
  <c r="O1843" i="1"/>
  <c r="O1835" i="1"/>
  <c r="O1922" i="1"/>
  <c r="O1911" i="1"/>
  <c r="O1889" i="1"/>
  <c r="O1884" i="1"/>
  <c r="O1876" i="1"/>
  <c r="O1868" i="1"/>
  <c r="O1860" i="1"/>
  <c r="O1852" i="1"/>
  <c r="O1844" i="1"/>
  <c r="O1836" i="1"/>
  <c r="O1936" i="1"/>
  <c r="O1930" i="1"/>
  <c r="O1906" i="1"/>
  <c r="O1896" i="1"/>
  <c r="O1885" i="1"/>
  <c r="O1877" i="1"/>
  <c r="O1869" i="1"/>
  <c r="O1861" i="1"/>
  <c r="O1853" i="1"/>
  <c r="O1845" i="1"/>
  <c r="O1837" i="1"/>
  <c r="O1990" i="1"/>
  <c r="O1903" i="1"/>
  <c r="O1900" i="1"/>
  <c r="O1890" i="1"/>
  <c r="O1886" i="1"/>
  <c r="O1878" i="1"/>
  <c r="O1870" i="1"/>
  <c r="O1862" i="1"/>
  <c r="O1854" i="1"/>
  <c r="O1846" i="1"/>
  <c r="O1838" i="1"/>
  <c r="O1920" i="1"/>
  <c r="O1912" i="1"/>
  <c r="O1879" i="1"/>
  <c r="O1871" i="1"/>
  <c r="O1863" i="1"/>
  <c r="O1855" i="1"/>
  <c r="O1847" i="1"/>
  <c r="O1839" i="1"/>
  <c r="O1904" i="1"/>
  <c r="O1873" i="1"/>
  <c r="O1841" i="1"/>
  <c r="O1777" i="1"/>
  <c r="O1769" i="1"/>
  <c r="O1761" i="1"/>
  <c r="O1753" i="1"/>
  <c r="O1745" i="1"/>
  <c r="O1737" i="1"/>
  <c r="O1729" i="1"/>
  <c r="O1721" i="1"/>
  <c r="O1856" i="1"/>
  <c r="O1831" i="1"/>
  <c r="O1827" i="1"/>
  <c r="O1823" i="1"/>
  <c r="O1819" i="1"/>
  <c r="O1815" i="1"/>
  <c r="O1811" i="1"/>
  <c r="O1807" i="1"/>
  <c r="O1803" i="1"/>
  <c r="O1799" i="1"/>
  <c r="O1795" i="1"/>
  <c r="O1791" i="1"/>
  <c r="O1787" i="1"/>
  <c r="O1783" i="1"/>
  <c r="O1778" i="1"/>
  <c r="O1770" i="1"/>
  <c r="O1762" i="1"/>
  <c r="O1754" i="1"/>
  <c r="O1746" i="1"/>
  <c r="O1738" i="1"/>
  <c r="O1730" i="1"/>
  <c r="O1722" i="1"/>
  <c r="O1714" i="1"/>
  <c r="O1706" i="1"/>
  <c r="O1966" i="1"/>
  <c r="O1938" i="1"/>
  <c r="O1881" i="1"/>
  <c r="O1849" i="1"/>
  <c r="O1779" i="1"/>
  <c r="O1771" i="1"/>
  <c r="O1763" i="1"/>
  <c r="O1755" i="1"/>
  <c r="O1747" i="1"/>
  <c r="O1739" i="1"/>
  <c r="O1731" i="1"/>
  <c r="O1723" i="1"/>
  <c r="O1715" i="1"/>
  <c r="O1707" i="1"/>
  <c r="O1891" i="1"/>
  <c r="O1864" i="1"/>
  <c r="O1832" i="1"/>
  <c r="O1828" i="1"/>
  <c r="O1824" i="1"/>
  <c r="O1820" i="1"/>
  <c r="O1816" i="1"/>
  <c r="O1812" i="1"/>
  <c r="O1808" i="1"/>
  <c r="O1804" i="1"/>
  <c r="O1800" i="1"/>
  <c r="O1796" i="1"/>
  <c r="O1792" i="1"/>
  <c r="O1788" i="1"/>
  <c r="O1784" i="1"/>
  <c r="O1780" i="1"/>
  <c r="O1772" i="1"/>
  <c r="O1764" i="1"/>
  <c r="O1756" i="1"/>
  <c r="O1748" i="1"/>
  <c r="O1740" i="1"/>
  <c r="O1732" i="1"/>
  <c r="O1724" i="1"/>
  <c r="O1716" i="1"/>
  <c r="O1865" i="1"/>
  <c r="O1833" i="1"/>
  <c r="O1775" i="1"/>
  <c r="O1767" i="1"/>
  <c r="O1759" i="1"/>
  <c r="O1751" i="1"/>
  <c r="O1743" i="1"/>
  <c r="O1825" i="1"/>
  <c r="O1822" i="1"/>
  <c r="O1776" i="1"/>
  <c r="O1749" i="1"/>
  <c r="O1744" i="1"/>
  <c r="O1728" i="1"/>
  <c r="O1709" i="1"/>
  <c r="O1700" i="1"/>
  <c r="O1696" i="1"/>
  <c r="O1692" i="1"/>
  <c r="O1688" i="1"/>
  <c r="O1684" i="1"/>
  <c r="O1680" i="1"/>
  <c r="O1674" i="1"/>
  <c r="O1666" i="1"/>
  <c r="O1658" i="1"/>
  <c r="O1650" i="1"/>
  <c r="O1642" i="1"/>
  <c r="O1634" i="1"/>
  <c r="O1626" i="1"/>
  <c r="O1618" i="1"/>
  <c r="O1610" i="1"/>
  <c r="O1602" i="1"/>
  <c r="O1594" i="1"/>
  <c r="O1586"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813" i="1"/>
  <c r="O1805" i="1"/>
  <c r="O1797" i="1"/>
  <c r="O1789" i="1"/>
  <c r="O1781" i="1"/>
  <c r="O1758" i="1"/>
  <c r="O1734" i="1"/>
  <c r="O1717" i="1"/>
  <c r="O1710" i="1"/>
  <c r="O1675" i="1"/>
  <c r="O1667" i="1"/>
  <c r="O1659" i="1"/>
  <c r="O1651" i="1"/>
  <c r="O1643" i="1"/>
  <c r="O1635" i="1"/>
  <c r="O1627" i="1"/>
  <c r="O1619" i="1"/>
  <c r="O1611" i="1"/>
  <c r="O1603" i="1"/>
  <c r="O1595" i="1"/>
  <c r="O1587" i="1"/>
  <c r="O1579" i="1"/>
  <c r="O1928" i="1"/>
  <c r="O1829" i="1"/>
  <c r="O1826" i="1"/>
  <c r="O1773" i="1"/>
  <c r="O1986" i="1"/>
  <c r="O1848" i="1"/>
  <c r="O1830" i="1"/>
  <c r="O1817" i="1"/>
  <c r="O1814" i="1"/>
  <c r="O1782" i="1"/>
  <c r="O1774" i="1"/>
  <c r="O1766" i="1"/>
  <c r="O1742" i="1"/>
  <c r="O1718" i="1"/>
  <c r="O1671" i="1"/>
  <c r="O1661" i="1"/>
  <c r="O1652" i="1"/>
  <c r="O1639" i="1"/>
  <c r="O1629" i="1"/>
  <c r="O1620" i="1"/>
  <c r="O1607" i="1"/>
  <c r="O1597" i="1"/>
  <c r="O1588" i="1"/>
  <c r="O1887" i="1"/>
  <c r="O1809" i="1"/>
  <c r="O1802" i="1"/>
  <c r="O1750" i="1"/>
  <c r="O1725" i="1"/>
  <c r="O1719" i="1"/>
  <c r="O1713" i="1"/>
  <c r="O1702" i="1"/>
  <c r="O1699" i="1"/>
  <c r="O1689" i="1"/>
  <c r="O1686" i="1"/>
  <c r="O1683" i="1"/>
  <c r="O1672" i="1"/>
  <c r="O1662" i="1"/>
  <c r="O1649" i="1"/>
  <c r="O1640" i="1"/>
  <c r="O1630" i="1"/>
  <c r="O1617" i="1"/>
  <c r="O1608" i="1"/>
  <c r="O1598" i="1"/>
  <c r="O1585" i="1"/>
  <c r="O1790" i="1"/>
  <c r="O1720" i="1"/>
  <c r="O1703" i="1"/>
  <c r="O1898" i="1"/>
  <c r="O1840" i="1"/>
  <c r="O1810" i="1"/>
  <c r="O1785" i="1"/>
  <c r="O1735" i="1"/>
  <c r="O1726" i="1"/>
  <c r="O1704" i="1"/>
  <c r="O1693" i="1"/>
  <c r="O1690" i="1"/>
  <c r="O1687" i="1"/>
  <c r="O1673" i="1"/>
  <c r="O1664" i="1"/>
  <c r="O1654" i="1"/>
  <c r="O1641" i="1"/>
  <c r="O1632" i="1"/>
  <c r="O1622" i="1"/>
  <c r="O1609" i="1"/>
  <c r="O1600" i="1"/>
  <c r="O1590" i="1"/>
  <c r="O1821" i="1"/>
  <c r="O1818" i="1"/>
  <c r="O1798" i="1"/>
  <c r="O1857" i="1"/>
  <c r="O1793" i="1"/>
  <c r="O1786" i="1"/>
  <c r="O1765" i="1"/>
  <c r="O1760" i="1"/>
  <c r="O1757" i="1"/>
  <c r="O1741" i="1"/>
  <c r="O1736" i="1"/>
  <c r="O1711" i="1"/>
  <c r="O1708" i="1"/>
  <c r="O1705" i="1"/>
  <c r="O1697" i="1"/>
  <c r="O1694" i="1"/>
  <c r="O1691" i="1"/>
  <c r="O1681" i="1"/>
  <c r="O1678" i="1"/>
  <c r="O1665" i="1"/>
  <c r="O1656" i="1"/>
  <c r="O1646" i="1"/>
  <c r="O1794" i="1"/>
  <c r="O1660" i="1"/>
  <c r="O1657" i="1"/>
  <c r="O1633" i="1"/>
  <c r="O1624" i="1"/>
  <c r="O1615" i="1"/>
  <c r="O1596" i="1"/>
  <c r="O1593" i="1"/>
  <c r="O1589" i="1"/>
  <c r="O1552" i="1"/>
  <c r="O1544" i="1"/>
  <c r="O1536" i="1"/>
  <c r="O1528" i="1"/>
  <c r="O1520" i="1"/>
  <c r="O1512" i="1"/>
  <c r="O1504" i="1"/>
  <c r="O1496" i="1"/>
  <c r="O1488" i="1"/>
  <c r="O1480" i="1"/>
  <c r="O1472" i="1"/>
  <c r="O1464" i="1"/>
  <c r="O1456" i="1"/>
  <c r="O1448" i="1"/>
  <c r="O1801" i="1"/>
  <c r="O1682" i="1"/>
  <c r="O1669" i="1"/>
  <c r="O1663" i="1"/>
  <c r="O1637" i="1"/>
  <c r="O1616" i="1"/>
  <c r="O1606" i="1"/>
  <c r="O1599" i="1"/>
  <c r="O1580" i="1"/>
  <c r="O1553" i="1"/>
  <c r="O1545" i="1"/>
  <c r="O1537" i="1"/>
  <c r="O1529" i="1"/>
  <c r="O1521" i="1"/>
  <c r="O1513" i="1"/>
  <c r="O1505" i="1"/>
  <c r="O1497" i="1"/>
  <c r="O1489" i="1"/>
  <c r="O1481" i="1"/>
  <c r="O1473" i="1"/>
  <c r="O1465" i="1"/>
  <c r="O1457" i="1"/>
  <c r="O1449" i="1"/>
  <c r="O1806" i="1"/>
  <c r="O1695" i="1"/>
  <c r="O1677" i="1"/>
  <c r="O1628" i="1"/>
  <c r="O1625" i="1"/>
  <c r="O1621" i="1"/>
  <c r="O1546" i="1"/>
  <c r="O1538" i="1"/>
  <c r="O1530" i="1"/>
  <c r="O1522" i="1"/>
  <c r="O1514" i="1"/>
  <c r="O1506" i="1"/>
  <c r="O1498" i="1"/>
  <c r="O1490" i="1"/>
  <c r="O1482" i="1"/>
  <c r="O1474" i="1"/>
  <c r="O1466" i="1"/>
  <c r="O1458" i="1"/>
  <c r="O1450" i="1"/>
  <c r="O1768" i="1"/>
  <c r="O1752" i="1"/>
  <c r="O1733" i="1"/>
  <c r="O1685" i="1"/>
  <c r="O1655" i="1"/>
  <c r="O1647" i="1"/>
  <c r="O1638" i="1"/>
  <c r="O1631" i="1"/>
  <c r="O1612" i="1"/>
  <c r="O1581" i="1"/>
  <c r="O1547" i="1"/>
  <c r="O1539" i="1"/>
  <c r="O1531" i="1"/>
  <c r="O1523" i="1"/>
  <c r="O1515" i="1"/>
  <c r="O1507" i="1"/>
  <c r="O1499" i="1"/>
  <c r="O1491" i="1"/>
  <c r="O1483" i="1"/>
  <c r="O1880" i="1"/>
  <c r="O1712" i="1"/>
  <c r="O1698" i="1"/>
  <c r="O1670" i="1"/>
  <c r="O1591" i="1"/>
  <c r="O1548" i="1"/>
  <c r="O1540" i="1"/>
  <c r="O1532" i="1"/>
  <c r="O1524" i="1"/>
  <c r="O1516" i="1"/>
  <c r="O1508" i="1"/>
  <c r="O1500" i="1"/>
  <c r="O1492" i="1"/>
  <c r="O1484" i="1"/>
  <c r="O1476" i="1"/>
  <c r="O1468" i="1"/>
  <c r="O1460" i="1"/>
  <c r="O1452" i="1"/>
  <c r="O1444" i="1"/>
  <c r="O1443" i="1"/>
  <c r="O1442" i="1"/>
  <c r="O1441" i="1"/>
  <c r="O1440" i="1"/>
  <c r="O1439" i="1"/>
  <c r="O1438" i="1"/>
  <c r="O1437" i="1"/>
  <c r="O1436" i="1"/>
  <c r="O1435" i="1"/>
  <c r="O1434" i="1"/>
  <c r="O1433" i="1"/>
  <c r="O1432" i="1"/>
  <c r="O1431" i="1"/>
  <c r="O1430" i="1"/>
  <c r="O1429" i="1"/>
  <c r="O1428" i="1"/>
  <c r="O1427" i="1"/>
  <c r="O1426" i="1"/>
  <c r="O1425" i="1"/>
  <c r="O1424" i="1"/>
  <c r="O1423" i="1"/>
  <c r="O1668" i="1"/>
  <c r="O1550" i="1"/>
  <c r="O1535" i="1"/>
  <c r="O1502" i="1"/>
  <c r="O1485" i="1"/>
  <c r="O1418" i="1"/>
  <c r="O1410" i="1"/>
  <c r="O1402" i="1"/>
  <c r="O1394" i="1"/>
  <c r="O1386" i="1"/>
  <c r="O1378" i="1"/>
  <c r="O1370" i="1"/>
  <c r="O1362" i="1"/>
  <c r="O1354" i="1"/>
  <c r="O1346" i="1"/>
  <c r="O1582" i="1"/>
  <c r="O1541" i="1"/>
  <c r="O1526" i="1"/>
  <c r="O1511" i="1"/>
  <c r="O1494" i="1"/>
  <c r="O1477" i="1"/>
  <c r="O1471" i="1"/>
  <c r="O1467" i="1"/>
  <c r="O1461" i="1"/>
  <c r="O1455" i="1"/>
  <c r="O1451" i="1"/>
  <c r="O1445" i="1"/>
  <c r="O1419" i="1"/>
  <c r="O1411" i="1"/>
  <c r="O1403" i="1"/>
  <c r="O1395" i="1"/>
  <c r="O1387" i="1"/>
  <c r="O1379" i="1"/>
  <c r="O1371" i="1"/>
  <c r="O1363" i="1"/>
  <c r="O1355" i="1"/>
  <c r="O1347" i="1"/>
  <c r="O1339" i="1"/>
  <c r="O1331" i="1"/>
  <c r="O1323" i="1"/>
  <c r="O1315" i="1"/>
  <c r="O1701" i="1"/>
  <c r="O1645" i="1"/>
  <c r="O1623" i="1"/>
  <c r="O1551" i="1"/>
  <c r="O1517" i="1"/>
  <c r="O1503" i="1"/>
  <c r="O1486" i="1"/>
  <c r="O1420" i="1"/>
  <c r="O1412" i="1"/>
  <c r="O1404" i="1"/>
  <c r="O1396" i="1"/>
  <c r="O1388" i="1"/>
  <c r="O1380" i="1"/>
  <c r="O1372" i="1"/>
  <c r="O1364" i="1"/>
  <c r="O1356" i="1"/>
  <c r="O1348" i="1"/>
  <c r="O1648" i="1"/>
  <c r="O1613" i="1"/>
  <c r="O1583" i="1"/>
  <c r="O1542" i="1"/>
  <c r="O1527" i="1"/>
  <c r="O1495" i="1"/>
  <c r="O1478" i="1"/>
  <c r="O1462" i="1"/>
  <c r="O1446" i="1"/>
  <c r="O1421" i="1"/>
  <c r="O1413" i="1"/>
  <c r="O1405" i="1"/>
  <c r="O1397" i="1"/>
  <c r="O1389" i="1"/>
  <c r="O1381" i="1"/>
  <c r="O1373" i="1"/>
  <c r="O1365" i="1"/>
  <c r="O1357" i="1"/>
  <c r="O1349" i="1"/>
  <c r="O1341" i="1"/>
  <c r="O1333" i="1"/>
  <c r="O1325" i="1"/>
  <c r="O1317" i="1"/>
  <c r="O1872" i="1"/>
  <c r="O1676" i="1"/>
  <c r="O1636" i="1"/>
  <c r="O1601" i="1"/>
  <c r="O1584" i="1"/>
  <c r="O1533" i="1"/>
  <c r="O1518" i="1"/>
  <c r="O1487" i="1"/>
  <c r="O1422" i="1"/>
  <c r="O1414" i="1"/>
  <c r="O1406" i="1"/>
  <c r="O1398" i="1"/>
  <c r="O1390" i="1"/>
  <c r="O1382" i="1"/>
  <c r="O1374" i="1"/>
  <c r="O1366" i="1"/>
  <c r="O1358" i="1"/>
  <c r="O1350" i="1"/>
  <c r="O1342" i="1"/>
  <c r="O1334" i="1"/>
  <c r="O1326" i="1"/>
  <c r="O1318"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614" i="1"/>
  <c r="O1549" i="1"/>
  <c r="O1534" i="1"/>
  <c r="O1519" i="1"/>
  <c r="O1501" i="1"/>
  <c r="O1416" i="1"/>
  <c r="O1408" i="1"/>
  <c r="O1400" i="1"/>
  <c r="O1392" i="1"/>
  <c r="O1384" i="1"/>
  <c r="O1376" i="1"/>
  <c r="O1368" i="1"/>
  <c r="O1360" i="1"/>
  <c r="O1352" i="1"/>
  <c r="O1463" i="1"/>
  <c r="O1453" i="1"/>
  <c r="O1401" i="1"/>
  <c r="O1375" i="1"/>
  <c r="O1336" i="1"/>
  <c r="O1329" i="1"/>
  <c r="O1314" i="1"/>
  <c r="O1679" i="1"/>
  <c r="O1592" i="1"/>
  <c r="O1543" i="1"/>
  <c r="O1493" i="1"/>
  <c r="O1475" i="1"/>
  <c r="O1409" i="1"/>
  <c r="O1383" i="1"/>
  <c r="O1344" i="1"/>
  <c r="O1337" i="1"/>
  <c r="O1322" i="1"/>
  <c r="O1454" i="1"/>
  <c r="O1417" i="1"/>
  <c r="O1391" i="1"/>
  <c r="O1353" i="1"/>
  <c r="O1330" i="1"/>
  <c r="O1509" i="1"/>
  <c r="O1447" i="1"/>
  <c r="O1399" i="1"/>
  <c r="O1361" i="1"/>
  <c r="O1345" i="1"/>
  <c r="O1338" i="1"/>
  <c r="O1311" i="1"/>
  <c r="O1653" i="1"/>
  <c r="O1644" i="1"/>
  <c r="O1459" i="1"/>
  <c r="O1407" i="1"/>
  <c r="O1369" i="1"/>
  <c r="O1319" i="1"/>
  <c r="O1316" i="1"/>
  <c r="O1385" i="1"/>
  <c r="O1359" i="1"/>
  <c r="O1335" i="1"/>
  <c r="O1332" i="1"/>
  <c r="O1320" i="1"/>
  <c r="O1313" i="1"/>
  <c r="O1479" i="1"/>
  <c r="O1470" i="1"/>
  <c r="O1367" i="1"/>
  <c r="O1351" i="1"/>
  <c r="O1210" i="1"/>
  <c r="O1202" i="1"/>
  <c r="O1194" i="1"/>
  <c r="O1186" i="1"/>
  <c r="O1182" i="1"/>
  <c r="O1178" i="1"/>
  <c r="O1174" i="1"/>
  <c r="O1169" i="1"/>
  <c r="O1161" i="1"/>
  <c r="O1153" i="1"/>
  <c r="O1145" i="1"/>
  <c r="O1605" i="1"/>
  <c r="O1525" i="1"/>
  <c r="O1213" i="1"/>
  <c r="O1205" i="1"/>
  <c r="O1197" i="1"/>
  <c r="O1189" i="1"/>
  <c r="O1170" i="1"/>
  <c r="O1162" i="1"/>
  <c r="O1154" i="1"/>
  <c r="O1146"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377" i="1"/>
  <c r="O1340" i="1"/>
  <c r="O1328" i="1"/>
  <c r="O1321" i="1"/>
  <c r="O1208" i="1"/>
  <c r="O1200" i="1"/>
  <c r="O1192" i="1"/>
  <c r="O1183" i="1"/>
  <c r="O1179" i="1"/>
  <c r="O1175" i="1"/>
  <c r="O1171" i="1"/>
  <c r="O1163" i="1"/>
  <c r="O1155" i="1"/>
  <c r="O1147" i="1"/>
  <c r="O1139" i="1"/>
  <c r="O1393" i="1"/>
  <c r="O1211" i="1"/>
  <c r="O1203" i="1"/>
  <c r="O1195" i="1"/>
  <c r="O1187" i="1"/>
  <c r="O1164" i="1"/>
  <c r="O1156" i="1"/>
  <c r="O1148" i="1"/>
  <c r="O1140" i="1"/>
  <c r="O1415" i="1"/>
  <c r="O1343" i="1"/>
  <c r="O1324" i="1"/>
  <c r="O1206" i="1"/>
  <c r="O1198" i="1"/>
  <c r="O1190" i="1"/>
  <c r="O1184" i="1"/>
  <c r="O1180" i="1"/>
  <c r="O1176" i="1"/>
  <c r="O1172" i="1"/>
  <c r="O1165" i="1"/>
  <c r="O1157" i="1"/>
  <c r="O1149" i="1"/>
  <c r="O1141" i="1"/>
  <c r="O1510" i="1"/>
  <c r="O1199" i="1"/>
  <c r="O1188" i="1"/>
  <c r="O1166" i="1"/>
  <c r="O1152" i="1"/>
  <c r="O1143" i="1"/>
  <c r="O1082" i="1"/>
  <c r="O1074" i="1"/>
  <c r="O1066" i="1"/>
  <c r="O1058" i="1"/>
  <c r="O1050" i="1"/>
  <c r="O1042" i="1"/>
  <c r="O1034" i="1"/>
  <c r="O1026" i="1"/>
  <c r="O1018" i="1"/>
  <c r="O1010" i="1"/>
  <c r="O1002" i="1"/>
  <c r="O1181" i="1"/>
  <c r="O1173" i="1"/>
  <c r="O1083" i="1"/>
  <c r="O1075" i="1"/>
  <c r="O1067" i="1"/>
  <c r="O1191" i="1"/>
  <c r="O1085" i="1"/>
  <c r="O1077" i="1"/>
  <c r="O1069" i="1"/>
  <c r="O1061" i="1"/>
  <c r="O1053" i="1"/>
  <c r="O1045" i="1"/>
  <c r="O1037" i="1"/>
  <c r="O1029" i="1"/>
  <c r="O1021" i="1"/>
  <c r="O1013" i="1"/>
  <c r="O1005" i="1"/>
  <c r="O1604" i="1"/>
  <c r="O1209" i="1"/>
  <c r="O1168" i="1"/>
  <c r="O1159" i="1"/>
  <c r="O1150" i="1"/>
  <c r="O1086" i="1"/>
  <c r="O1078" i="1"/>
  <c r="O1070" i="1"/>
  <c r="O1062" i="1"/>
  <c r="O1054" i="1"/>
  <c r="O1046" i="1"/>
  <c r="O1038" i="1"/>
  <c r="O1030" i="1"/>
  <c r="O1022" i="1"/>
  <c r="O1014" i="1"/>
  <c r="O1006" i="1"/>
  <c r="O1327" i="1"/>
  <c r="O1160" i="1"/>
  <c r="O1151" i="1"/>
  <c r="O1142" i="1"/>
  <c r="O1088" i="1"/>
  <c r="O1080" i="1"/>
  <c r="O1072" i="1"/>
  <c r="O1064" i="1"/>
  <c r="O1056" i="1"/>
  <c r="O1048" i="1"/>
  <c r="O1040" i="1"/>
  <c r="O1032" i="1"/>
  <c r="O1024" i="1"/>
  <c r="O1016" i="1"/>
  <c r="O1008" i="1"/>
  <c r="O1207" i="1"/>
  <c r="O1057" i="1"/>
  <c r="O1051" i="1"/>
  <c r="O1041" i="1"/>
  <c r="O1035" i="1"/>
  <c r="O1025" i="1"/>
  <c r="O1019" i="1"/>
  <c r="O1009" i="1"/>
  <c r="O1003" i="1"/>
  <c r="O999" i="1"/>
  <c r="O995" i="1"/>
  <c r="O991" i="1"/>
  <c r="O987" i="1"/>
  <c r="O983" i="1"/>
  <c r="O979" i="1"/>
  <c r="O975" i="1"/>
  <c r="O971" i="1"/>
  <c r="O967" i="1"/>
  <c r="O963" i="1"/>
  <c r="O959" i="1"/>
  <c r="O955" i="1"/>
  <c r="O951" i="1"/>
  <c r="O947" i="1"/>
  <c r="O943" i="1"/>
  <c r="O939" i="1"/>
  <c r="O933" i="1"/>
  <c r="O925" i="1"/>
  <c r="O917" i="1"/>
  <c r="O909" i="1"/>
  <c r="O901" i="1"/>
  <c r="O893" i="1"/>
  <c r="O1089" i="1"/>
  <c r="O934" i="1"/>
  <c r="O926" i="1"/>
  <c r="O918" i="1"/>
  <c r="O910" i="1"/>
  <c r="O902" i="1"/>
  <c r="O894" i="1"/>
  <c r="O1312" i="1"/>
  <c r="O1201" i="1"/>
  <c r="O1167" i="1"/>
  <c r="O1081" i="1"/>
  <c r="O1000" i="1"/>
  <c r="O996" i="1"/>
  <c r="O992" i="1"/>
  <c r="O988" i="1"/>
  <c r="O984" i="1"/>
  <c r="O980" i="1"/>
  <c r="O976" i="1"/>
  <c r="O972" i="1"/>
  <c r="O968" i="1"/>
  <c r="O964" i="1"/>
  <c r="O960" i="1"/>
  <c r="O956" i="1"/>
  <c r="O952" i="1"/>
  <c r="O948" i="1"/>
  <c r="O944" i="1"/>
  <c r="O940" i="1"/>
  <c r="O935" i="1"/>
  <c r="O927" i="1"/>
  <c r="O919" i="1"/>
  <c r="O911" i="1"/>
  <c r="O903" i="1"/>
  <c r="O895" i="1"/>
  <c r="O1212" i="1"/>
  <c r="O1177" i="1"/>
  <c r="O1158" i="1"/>
  <c r="O1084" i="1"/>
  <c r="O1073" i="1"/>
  <c r="O1055" i="1"/>
  <c r="O1052" i="1"/>
  <c r="O1039" i="1"/>
  <c r="O1036" i="1"/>
  <c r="O1023" i="1"/>
  <c r="O1020" i="1"/>
  <c r="O1007" i="1"/>
  <c r="O1004" i="1"/>
  <c r="O936" i="1"/>
  <c r="O928" i="1"/>
  <c r="O920" i="1"/>
  <c r="O912" i="1"/>
  <c r="O904" i="1"/>
  <c r="O896"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1193" i="1"/>
  <c r="O1144" i="1"/>
  <c r="O1087" i="1"/>
  <c r="O1076" i="1"/>
  <c r="O1065" i="1"/>
  <c r="O1059" i="1"/>
  <c r="O1049" i="1"/>
  <c r="O1043" i="1"/>
  <c r="O1033" i="1"/>
  <c r="O1027" i="1"/>
  <c r="O1017" i="1"/>
  <c r="O1011" i="1"/>
  <c r="O1001" i="1"/>
  <c r="O997" i="1"/>
  <c r="O993" i="1"/>
  <c r="O989" i="1"/>
  <c r="O985" i="1"/>
  <c r="O981" i="1"/>
  <c r="O977" i="1"/>
  <c r="O973" i="1"/>
  <c r="O969" i="1"/>
  <c r="O965" i="1"/>
  <c r="O961" i="1"/>
  <c r="O957" i="1"/>
  <c r="O953" i="1"/>
  <c r="O949" i="1"/>
  <c r="O945" i="1"/>
  <c r="O941" i="1"/>
  <c r="O937" i="1"/>
  <c r="O929" i="1"/>
  <c r="O921" i="1"/>
  <c r="O913" i="1"/>
  <c r="O905" i="1"/>
  <c r="O897" i="1"/>
  <c r="O889" i="1"/>
  <c r="O1071" i="1"/>
  <c r="O998" i="1"/>
  <c r="O994" i="1"/>
  <c r="O990" i="1"/>
  <c r="O986" i="1"/>
  <c r="O982" i="1"/>
  <c r="O978" i="1"/>
  <c r="O974" i="1"/>
  <c r="O970" i="1"/>
  <c r="O966" i="1"/>
  <c r="O962" i="1"/>
  <c r="O958" i="1"/>
  <c r="O954" i="1"/>
  <c r="O950" i="1"/>
  <c r="O946" i="1"/>
  <c r="O942" i="1"/>
  <c r="O938" i="1"/>
  <c r="O931" i="1"/>
  <c r="O923" i="1"/>
  <c r="O915" i="1"/>
  <c r="O907" i="1"/>
  <c r="O899" i="1"/>
  <c r="O891" i="1"/>
  <c r="O1060" i="1"/>
  <c r="O930" i="1"/>
  <c r="O892" i="1"/>
  <c r="O1044" i="1"/>
  <c r="O900" i="1"/>
  <c r="O1063" i="1"/>
  <c r="O1028" i="1"/>
  <c r="O908" i="1"/>
  <c r="O1185" i="1"/>
  <c r="O1079" i="1"/>
  <c r="O1068" i="1"/>
  <c r="O1047" i="1"/>
  <c r="O1012" i="1"/>
  <c r="O916" i="1"/>
  <c r="O890"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1031" i="1"/>
  <c r="O924" i="1"/>
  <c r="O898" i="1"/>
  <c r="O1727" i="1"/>
  <c r="O1469" i="1"/>
  <c r="O1204" i="1"/>
  <c r="O1015" i="1"/>
  <c r="O932" i="1"/>
  <c r="O906" i="1"/>
  <c r="O1196" i="1"/>
  <c r="O922" i="1"/>
  <c r="O410" i="1"/>
  <c r="O402" i="1"/>
  <c r="O411" i="1"/>
  <c r="O403" i="1"/>
  <c r="O405" i="1"/>
  <c r="O397" i="1"/>
  <c r="O914" i="1"/>
  <c r="O406" i="1"/>
  <c r="O398" i="1"/>
  <c r="O407" i="1"/>
  <c r="O399" i="1"/>
  <c r="N109" i="1"/>
  <c r="O110" i="1"/>
  <c r="O118" i="1"/>
  <c r="P119" i="1"/>
  <c r="O125" i="1"/>
  <c r="O129" i="1"/>
  <c r="O133" i="1"/>
  <c r="O137" i="1"/>
  <c r="O141" i="1"/>
  <c r="O145" i="1"/>
  <c r="O149" i="1"/>
  <c r="O153" i="1"/>
  <c r="O157" i="1"/>
  <c r="O161" i="1"/>
  <c r="O165" i="1"/>
  <c r="O169" i="1"/>
  <c r="O173" i="1"/>
  <c r="O177" i="1"/>
  <c r="O181" i="1"/>
  <c r="O185" i="1"/>
  <c r="O189" i="1"/>
  <c r="O193" i="1"/>
  <c r="O197" i="1"/>
  <c r="O201" i="1"/>
  <c r="O205" i="1"/>
  <c r="O209" i="1"/>
  <c r="O213" i="1"/>
  <c r="O217" i="1"/>
  <c r="O221" i="1"/>
  <c r="O225" i="1"/>
  <c r="O234" i="1"/>
  <c r="N236" i="1"/>
  <c r="O242" i="1"/>
  <c r="N244" i="1"/>
  <c r="O250" i="1"/>
  <c r="N252" i="1"/>
  <c r="O258" i="1"/>
  <c r="N260" i="1"/>
  <c r="O266" i="1"/>
  <c r="O274" i="1"/>
  <c r="O282" i="1"/>
  <c r="O290" i="1"/>
  <c r="O298" i="1"/>
  <c r="O306" i="1"/>
  <c r="O314" i="1"/>
  <c r="O322" i="1"/>
  <c r="O330" i="1"/>
  <c r="O338" i="1"/>
  <c r="O346" i="1"/>
  <c r="O354" i="1"/>
  <c r="O362" i="1"/>
  <c r="O370" i="1"/>
  <c r="O378" i="1"/>
  <c r="O386" i="1"/>
  <c r="O394" i="1"/>
  <c r="N552" i="1"/>
  <c r="O122" i="1"/>
  <c r="O147" i="1"/>
  <c r="O171" i="1"/>
  <c r="O191" i="1"/>
  <c r="O203" i="1"/>
  <c r="O219" i="1"/>
  <c r="O227" i="1"/>
  <c r="O238" i="1"/>
  <c r="O270" i="1"/>
  <c r="O286" i="1"/>
  <c r="O326" i="1"/>
  <c r="O342" i="1"/>
  <c r="O358" i="1"/>
  <c r="O374" i="1"/>
  <c r="P471" i="1"/>
  <c r="O113" i="1"/>
  <c r="O259" i="1"/>
  <c r="O291" i="1"/>
  <c r="O307" i="1"/>
  <c r="O323" i="1"/>
  <c r="O339" i="1"/>
  <c r="O355" i="1"/>
  <c r="O371" i="1"/>
  <c r="P409" i="1"/>
  <c r="P809" i="1"/>
  <c r="O232" i="1"/>
  <c r="M2100" i="1"/>
  <c r="P113" i="1" s="1"/>
  <c r="P2094" i="1"/>
  <c r="P2093" i="1"/>
  <c r="P2092" i="1"/>
  <c r="P2089" i="1"/>
  <c r="P2084" i="1"/>
  <c r="P2083" i="1"/>
  <c r="P2081" i="1"/>
  <c r="P2079" i="1"/>
  <c r="P2077" i="1"/>
  <c r="P2075" i="1"/>
  <c r="P2073" i="1"/>
  <c r="P2072" i="1"/>
  <c r="P2070" i="1"/>
  <c r="P2068" i="1"/>
  <c r="P2066" i="1"/>
  <c r="P2061" i="1"/>
  <c r="P2053" i="1"/>
  <c r="P2037" i="1"/>
  <c r="P2021" i="1"/>
  <c r="P2054" i="1"/>
  <c r="P2046" i="1"/>
  <c r="P2038" i="1"/>
  <c r="P2022" i="1"/>
  <c r="P2055" i="1"/>
  <c r="P2039" i="1"/>
  <c r="P2031" i="1"/>
  <c r="P2023" i="1"/>
  <c r="P2014" i="1"/>
  <c r="P2012" i="1"/>
  <c r="P2010" i="1"/>
  <c r="P2009" i="1"/>
  <c r="P2008" i="1"/>
  <c r="P2006" i="1"/>
  <c r="P2004" i="1"/>
  <c r="P2002" i="1"/>
  <c r="P2001" i="1"/>
  <c r="P2000" i="1"/>
  <c r="P1998" i="1"/>
  <c r="P1996" i="1"/>
  <c r="P1994" i="1"/>
  <c r="P1993" i="1"/>
  <c r="P1992" i="1"/>
  <c r="P1990" i="1"/>
  <c r="P1988" i="1"/>
  <c r="P1986" i="1"/>
  <c r="P1985" i="1"/>
  <c r="P1984" i="1"/>
  <c r="P1982" i="1"/>
  <c r="P1980" i="1"/>
  <c r="P1978" i="1"/>
  <c r="P1977" i="1"/>
  <c r="P1976" i="1"/>
  <c r="P2064" i="1"/>
  <c r="P2048" i="1"/>
  <c r="P2032" i="1"/>
  <c r="P2024" i="1"/>
  <c r="P2016" i="1"/>
  <c r="P2057" i="1"/>
  <c r="P2041" i="1"/>
  <c r="P2025" i="1"/>
  <c r="P2017" i="1"/>
  <c r="P2058" i="1"/>
  <c r="P2042" i="1"/>
  <c r="P2026" i="1"/>
  <c r="P2060" i="1"/>
  <c r="P2035" i="1"/>
  <c r="P1968" i="1"/>
  <c r="P2043" i="1"/>
  <c r="P1969" i="1"/>
  <c r="P2028" i="1"/>
  <c r="P1970" i="1"/>
  <c r="P1962" i="1"/>
  <c r="P2036" i="1"/>
  <c r="P1971" i="1"/>
  <c r="P1963" i="1"/>
  <c r="P1972" i="1"/>
  <c r="P1964" i="1"/>
  <c r="P2059" i="1"/>
  <c r="P1965" i="1"/>
  <c r="P1957" i="1"/>
  <c r="P1956" i="1"/>
  <c r="P1954" i="1"/>
  <c r="P1953" i="1"/>
  <c r="P1952" i="1"/>
  <c r="P1951" i="1"/>
  <c r="P1950" i="1"/>
  <c r="P1949" i="1"/>
  <c r="P1948"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2027" i="1"/>
  <c r="P1891" i="1"/>
  <c r="P1890" i="1"/>
  <c r="P1889" i="1"/>
  <c r="P1888" i="1"/>
  <c r="P1887" i="1"/>
  <c r="P1886" i="1"/>
  <c r="P2052" i="1"/>
  <c r="P2019" i="1"/>
  <c r="P1958" i="1"/>
  <c r="P1966" i="1"/>
  <c r="P1959" i="1"/>
  <c r="P1883" i="1"/>
  <c r="P1875" i="1"/>
  <c r="P1867" i="1"/>
  <c r="P1859" i="1"/>
  <c r="P1851" i="1"/>
  <c r="P1843" i="1"/>
  <c r="P1835" i="1"/>
  <c r="P1967" i="1"/>
  <c r="P1884" i="1"/>
  <c r="P1876" i="1"/>
  <c r="P1868" i="1"/>
  <c r="P1860" i="1"/>
  <c r="P1852" i="1"/>
  <c r="P1844" i="1"/>
  <c r="P1836" i="1"/>
  <c r="P1974" i="1"/>
  <c r="P1885" i="1"/>
  <c r="P1877" i="1"/>
  <c r="P1869" i="1"/>
  <c r="P1861" i="1"/>
  <c r="P1853" i="1"/>
  <c r="P1845" i="1"/>
  <c r="P1837" i="1"/>
  <c r="P1878" i="1"/>
  <c r="P1870" i="1"/>
  <c r="P1862" i="1"/>
  <c r="P1854" i="1"/>
  <c r="P1846" i="1"/>
  <c r="P1838" i="1"/>
  <c r="P1879" i="1"/>
  <c r="P1871" i="1"/>
  <c r="P1863" i="1"/>
  <c r="P1855" i="1"/>
  <c r="P1847" i="1"/>
  <c r="P1839" i="1"/>
  <c r="P1880" i="1"/>
  <c r="P1872" i="1"/>
  <c r="P1864" i="1"/>
  <c r="P1856" i="1"/>
  <c r="P1848" i="1"/>
  <c r="P1840"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866" i="1"/>
  <c r="P1834" i="1"/>
  <c r="P1881" i="1"/>
  <c r="P1849" i="1"/>
  <c r="P1874" i="1"/>
  <c r="P1842"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857" i="1"/>
  <c r="P1858" i="1"/>
  <c r="P1873" i="1"/>
  <c r="P1882" i="1"/>
  <c r="P1841" i="1"/>
  <c r="P1865" i="1"/>
  <c r="P1833" i="1"/>
  <c r="P1565" i="1"/>
  <c r="P1557" i="1"/>
  <c r="P1576" i="1"/>
  <c r="P1572" i="1"/>
  <c r="P1566" i="1"/>
  <c r="P1558" i="1"/>
  <c r="P1850" i="1"/>
  <c r="P1577" i="1"/>
  <c r="P1573" i="1"/>
  <c r="P1568" i="1"/>
  <c r="P1560" i="1"/>
  <c r="P1553" i="1"/>
  <c r="P1545" i="1"/>
  <c r="P1537" i="1"/>
  <c r="P1529" i="1"/>
  <c r="P1521" i="1"/>
  <c r="P1513" i="1"/>
  <c r="P1505" i="1"/>
  <c r="P1497" i="1"/>
  <c r="P1489" i="1"/>
  <c r="P1481" i="1"/>
  <c r="P1473" i="1"/>
  <c r="P1465" i="1"/>
  <c r="P1457" i="1"/>
  <c r="P1449" i="1"/>
  <c r="P1575" i="1"/>
  <c r="P1561" i="1"/>
  <c r="P1546" i="1"/>
  <c r="P1538" i="1"/>
  <c r="P1530" i="1"/>
  <c r="P1522" i="1"/>
  <c r="P1514" i="1"/>
  <c r="P1506" i="1"/>
  <c r="P1498" i="1"/>
  <c r="P1490" i="1"/>
  <c r="P1482" i="1"/>
  <c r="P1474" i="1"/>
  <c r="P1466" i="1"/>
  <c r="P1458" i="1"/>
  <c r="P1450" i="1"/>
  <c r="P1569" i="1"/>
  <c r="P1554" i="1"/>
  <c r="P1547" i="1"/>
  <c r="P1539" i="1"/>
  <c r="P1531" i="1"/>
  <c r="P1523" i="1"/>
  <c r="P1515" i="1"/>
  <c r="P1507" i="1"/>
  <c r="P1499" i="1"/>
  <c r="P1491" i="1"/>
  <c r="P1483" i="1"/>
  <c r="P1475" i="1"/>
  <c r="P1467" i="1"/>
  <c r="P1459" i="1"/>
  <c r="P1451" i="1"/>
  <c r="P1562" i="1"/>
  <c r="P1555" i="1"/>
  <c r="P1548" i="1"/>
  <c r="P1540" i="1"/>
  <c r="P1532" i="1"/>
  <c r="P1524" i="1"/>
  <c r="P1516" i="1"/>
  <c r="P1508" i="1"/>
  <c r="P1500" i="1"/>
  <c r="P1492" i="1"/>
  <c r="P1484" i="1"/>
  <c r="P1570" i="1"/>
  <c r="P1563" i="1"/>
  <c r="P1549" i="1"/>
  <c r="P1541" i="1"/>
  <c r="P1533" i="1"/>
  <c r="P1525" i="1"/>
  <c r="P1517" i="1"/>
  <c r="P1509" i="1"/>
  <c r="P1501" i="1"/>
  <c r="P1493" i="1"/>
  <c r="P1485" i="1"/>
  <c r="P1477" i="1"/>
  <c r="P1469" i="1"/>
  <c r="P1461" i="1"/>
  <c r="P1453" i="1"/>
  <c r="P1445" i="1"/>
  <c r="P1556" i="1"/>
  <c r="P1526" i="1"/>
  <c r="P1511" i="1"/>
  <c r="P1494" i="1"/>
  <c r="P1471" i="1"/>
  <c r="P1455" i="1"/>
  <c r="P1419" i="1"/>
  <c r="P1411" i="1"/>
  <c r="P1403" i="1"/>
  <c r="P1395" i="1"/>
  <c r="P1387" i="1"/>
  <c r="P1379" i="1"/>
  <c r="P1371" i="1"/>
  <c r="P1363" i="1"/>
  <c r="P1355" i="1"/>
  <c r="P1347" i="1"/>
  <c r="P1551" i="1"/>
  <c r="P1536" i="1"/>
  <c r="P1503" i="1"/>
  <c r="P1486" i="1"/>
  <c r="P1441" i="1"/>
  <c r="P1437" i="1"/>
  <c r="P1433" i="1"/>
  <c r="P1429" i="1"/>
  <c r="P1425" i="1"/>
  <c r="P1420" i="1"/>
  <c r="P1412" i="1"/>
  <c r="P1404" i="1"/>
  <c r="P1396" i="1"/>
  <c r="P1388" i="1"/>
  <c r="P1380" i="1"/>
  <c r="P1372" i="1"/>
  <c r="P1364" i="1"/>
  <c r="P1356" i="1"/>
  <c r="P1348" i="1"/>
  <c r="P1340" i="1"/>
  <c r="P1332" i="1"/>
  <c r="P1324" i="1"/>
  <c r="P1316" i="1"/>
  <c r="P1559" i="1"/>
  <c r="P1542" i="1"/>
  <c r="P1527" i="1"/>
  <c r="P1512" i="1"/>
  <c r="P1495" i="1"/>
  <c r="P1478" i="1"/>
  <c r="P1462" i="1"/>
  <c r="P1446" i="1"/>
  <c r="P1421" i="1"/>
  <c r="P1413" i="1"/>
  <c r="P1405" i="1"/>
  <c r="P1397" i="1"/>
  <c r="P1389" i="1"/>
  <c r="P1381" i="1"/>
  <c r="P1373" i="1"/>
  <c r="P1365" i="1"/>
  <c r="P1357" i="1"/>
  <c r="P1349" i="1"/>
  <c r="P1571" i="1"/>
  <c r="P1564" i="1"/>
  <c r="P1552" i="1"/>
  <c r="P1518" i="1"/>
  <c r="P1487" i="1"/>
  <c r="P1472" i="1"/>
  <c r="P1468" i="1"/>
  <c r="P1456" i="1"/>
  <c r="P1452" i="1"/>
  <c r="P1442" i="1"/>
  <c r="P1438" i="1"/>
  <c r="P1434" i="1"/>
  <c r="P1430" i="1"/>
  <c r="P1426" i="1"/>
  <c r="P1422" i="1"/>
  <c r="P1414" i="1"/>
  <c r="P1406" i="1"/>
  <c r="P1398" i="1"/>
  <c r="P1390" i="1"/>
  <c r="P1382" i="1"/>
  <c r="P1374" i="1"/>
  <c r="P1366" i="1"/>
  <c r="P1358" i="1"/>
  <c r="P1350" i="1"/>
  <c r="P1342" i="1"/>
  <c r="P1334" i="1"/>
  <c r="P1326" i="1"/>
  <c r="P1318" i="1"/>
  <c r="P1310" i="1"/>
  <c r="P1309" i="1"/>
  <c r="P1308" i="1"/>
  <c r="P1307" i="1"/>
  <c r="P1306" i="1"/>
  <c r="P1305" i="1"/>
  <c r="P1304" i="1"/>
  <c r="P1303" i="1"/>
  <c r="P1302" i="1"/>
  <c r="P1301" i="1"/>
  <c r="P1300" i="1"/>
  <c r="P1299" i="1"/>
  <c r="P1543" i="1"/>
  <c r="P1528" i="1"/>
  <c r="P1504" i="1"/>
  <c r="P1479" i="1"/>
  <c r="P1463" i="1"/>
  <c r="P1447" i="1"/>
  <c r="P1415" i="1"/>
  <c r="P1407" i="1"/>
  <c r="P1399" i="1"/>
  <c r="P1391" i="1"/>
  <c r="P1383" i="1"/>
  <c r="P1375" i="1"/>
  <c r="P1367" i="1"/>
  <c r="P1359" i="1"/>
  <c r="P1351" i="1"/>
  <c r="P1343" i="1"/>
  <c r="P1335" i="1"/>
  <c r="P1327" i="1"/>
  <c r="P1319" i="1"/>
  <c r="P1311" i="1"/>
  <c r="P1544" i="1"/>
  <c r="P1510" i="1"/>
  <c r="P1488" i="1"/>
  <c r="P1470" i="1"/>
  <c r="P1454" i="1"/>
  <c r="P1417" i="1"/>
  <c r="P1409" i="1"/>
  <c r="P1401" i="1"/>
  <c r="P1393" i="1"/>
  <c r="P1385" i="1"/>
  <c r="P1377" i="1"/>
  <c r="P1369" i="1"/>
  <c r="P1361" i="1"/>
  <c r="P1353" i="1"/>
  <c r="P1550" i="1"/>
  <c r="P1502" i="1"/>
  <c r="P1480" i="1"/>
  <c r="P1436" i="1"/>
  <c r="P1431" i="1"/>
  <c r="P1378" i="1"/>
  <c r="P1360" i="1"/>
  <c r="P1344" i="1"/>
  <c r="P1337" i="1"/>
  <c r="P1325" i="1"/>
  <c r="P1322" i="1"/>
  <c r="P1297" i="1"/>
  <c r="P1289" i="1"/>
  <c r="P1281" i="1"/>
  <c r="P1273" i="1"/>
  <c r="P1265" i="1"/>
  <c r="P1257" i="1"/>
  <c r="P1249" i="1"/>
  <c r="P1241" i="1"/>
  <c r="P1233" i="1"/>
  <c r="P1225" i="1"/>
  <c r="P1217" i="1"/>
  <c r="P1574" i="1"/>
  <c r="P1424" i="1"/>
  <c r="P1386" i="1"/>
  <c r="P1368" i="1"/>
  <c r="P1333" i="1"/>
  <c r="P1330" i="1"/>
  <c r="P1315" i="1"/>
  <c r="P1298" i="1"/>
  <c r="P1290" i="1"/>
  <c r="P1282" i="1"/>
  <c r="P1274" i="1"/>
  <c r="P1266" i="1"/>
  <c r="P1258" i="1"/>
  <c r="P1250" i="1"/>
  <c r="P1242" i="1"/>
  <c r="P1234" i="1"/>
  <c r="P1226" i="1"/>
  <c r="P1218" i="1"/>
  <c r="P1444" i="1"/>
  <c r="P1439" i="1"/>
  <c r="P1394" i="1"/>
  <c r="P1376" i="1"/>
  <c r="P1345" i="1"/>
  <c r="P1341" i="1"/>
  <c r="P1338" i="1"/>
  <c r="P1323" i="1"/>
  <c r="P1291" i="1"/>
  <c r="P1283" i="1"/>
  <c r="P1275" i="1"/>
  <c r="P1267" i="1"/>
  <c r="P1259" i="1"/>
  <c r="P1251" i="1"/>
  <c r="P1243" i="1"/>
  <c r="P1235" i="1"/>
  <c r="P1227" i="1"/>
  <c r="P1219" i="1"/>
  <c r="P1496" i="1"/>
  <c r="P1464" i="1"/>
  <c r="P1432" i="1"/>
  <c r="P1427" i="1"/>
  <c r="P1402" i="1"/>
  <c r="P1384" i="1"/>
  <c r="P1331" i="1"/>
  <c r="P1292" i="1"/>
  <c r="P1284" i="1"/>
  <c r="P1276" i="1"/>
  <c r="P1268" i="1"/>
  <c r="P1260" i="1"/>
  <c r="P1252" i="1"/>
  <c r="P1244" i="1"/>
  <c r="P1236" i="1"/>
  <c r="P1228" i="1"/>
  <c r="P1220" i="1"/>
  <c r="P1534" i="1"/>
  <c r="P1519" i="1"/>
  <c r="P1476" i="1"/>
  <c r="P1410" i="1"/>
  <c r="P1392" i="1"/>
  <c r="P1339" i="1"/>
  <c r="P1312" i="1"/>
  <c r="P1293" i="1"/>
  <c r="P1285" i="1"/>
  <c r="P1277" i="1"/>
  <c r="P1269" i="1"/>
  <c r="P1261" i="1"/>
  <c r="P1253" i="1"/>
  <c r="P1245" i="1"/>
  <c r="P1237" i="1"/>
  <c r="P1229" i="1"/>
  <c r="P1221"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567" i="1"/>
  <c r="P1520" i="1"/>
  <c r="P1448" i="1"/>
  <c r="P1428" i="1"/>
  <c r="P1423" i="1"/>
  <c r="P1408" i="1"/>
  <c r="P1362" i="1"/>
  <c r="P1328" i="1"/>
  <c r="P1321" i="1"/>
  <c r="P1295" i="1"/>
  <c r="P1287" i="1"/>
  <c r="P1279" i="1"/>
  <c r="P1271" i="1"/>
  <c r="P1263" i="1"/>
  <c r="P1255" i="1"/>
  <c r="P1247" i="1"/>
  <c r="P1239" i="1"/>
  <c r="P1231" i="1"/>
  <c r="P1223" i="1"/>
  <c r="P1215" i="1"/>
  <c r="P1443" i="1"/>
  <c r="P1272" i="1"/>
  <c r="P1246" i="1"/>
  <c r="P1170" i="1"/>
  <c r="P1162" i="1"/>
  <c r="P1154" i="1"/>
  <c r="P1146"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354" i="1"/>
  <c r="P1313" i="1"/>
  <c r="P1280" i="1"/>
  <c r="P1254" i="1"/>
  <c r="P1216" i="1"/>
  <c r="P1163" i="1"/>
  <c r="P1155" i="1"/>
  <c r="P1147" i="1"/>
  <c r="P1139" i="1"/>
  <c r="P1535" i="1"/>
  <c r="P1370" i="1"/>
  <c r="P1352" i="1"/>
  <c r="P1288" i="1"/>
  <c r="P1262" i="1"/>
  <c r="P1224" i="1"/>
  <c r="P1164" i="1"/>
  <c r="P1156" i="1"/>
  <c r="P1148" i="1"/>
  <c r="P1140" i="1"/>
  <c r="P1296" i="1"/>
  <c r="P1270" i="1"/>
  <c r="P1232" i="1"/>
  <c r="P1165" i="1"/>
  <c r="P1157" i="1"/>
  <c r="P1149" i="1"/>
  <c r="P1141" i="1"/>
  <c r="P1435" i="1"/>
  <c r="P1400" i="1"/>
  <c r="P1336" i="1"/>
  <c r="P1329" i="1"/>
  <c r="P1314" i="1"/>
  <c r="P1278" i="1"/>
  <c r="P1240" i="1"/>
  <c r="P1214" i="1"/>
  <c r="P1166" i="1"/>
  <c r="P1158" i="1"/>
  <c r="P1150" i="1"/>
  <c r="P1142" i="1"/>
  <c r="P1161" i="1"/>
  <c r="P1167" i="1"/>
  <c r="P1144" i="1"/>
  <c r="P1346" i="1"/>
  <c r="P1317" i="1"/>
  <c r="P1264" i="1"/>
  <c r="P1168" i="1"/>
  <c r="P1159" i="1"/>
  <c r="P1418" i="1"/>
  <c r="P1320" i="1"/>
  <c r="P1248" i="1"/>
  <c r="P1145" i="1"/>
  <c r="P1440" i="1"/>
  <c r="P1294" i="1"/>
  <c r="P1230" i="1"/>
  <c r="P1169"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1416" i="1"/>
  <c r="P1256" i="1"/>
  <c r="P1238" i="1"/>
  <c r="P1160" i="1"/>
  <c r="P1153" i="1"/>
  <c r="P1143"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1151" i="1"/>
  <c r="P1152" i="1"/>
  <c r="P763" i="1"/>
  <c r="P755" i="1"/>
  <c r="P747" i="1"/>
  <c r="P739" i="1"/>
  <c r="P731" i="1"/>
  <c r="P723" i="1"/>
  <c r="P715" i="1"/>
  <c r="P707" i="1"/>
  <c r="P699" i="1"/>
  <c r="P691" i="1"/>
  <c r="P1222" i="1"/>
  <c r="P850" i="1"/>
  <c r="P846" i="1"/>
  <c r="P842" i="1"/>
  <c r="P838" i="1"/>
  <c r="P834" i="1"/>
  <c r="P830" i="1"/>
  <c r="P826" i="1"/>
  <c r="P822" i="1"/>
  <c r="P818" i="1"/>
  <c r="P814" i="1"/>
  <c r="P810" i="1"/>
  <c r="P806" i="1"/>
  <c r="P802" i="1"/>
  <c r="P798" i="1"/>
  <c r="P794" i="1"/>
  <c r="P790" i="1"/>
  <c r="P786" i="1"/>
  <c r="P782" i="1"/>
  <c r="P778" i="1"/>
  <c r="P774" i="1"/>
  <c r="P770" i="1"/>
  <c r="P764" i="1"/>
  <c r="P756" i="1"/>
  <c r="P748" i="1"/>
  <c r="P740" i="1"/>
  <c r="P732" i="1"/>
  <c r="P724" i="1"/>
  <c r="P716" i="1"/>
  <c r="P708" i="1"/>
  <c r="P700" i="1"/>
  <c r="P692" i="1"/>
  <c r="P765" i="1"/>
  <c r="P757" i="1"/>
  <c r="P749" i="1"/>
  <c r="P741" i="1"/>
  <c r="P733" i="1"/>
  <c r="P725" i="1"/>
  <c r="P717" i="1"/>
  <c r="P709" i="1"/>
  <c r="P701" i="1"/>
  <c r="P693"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847" i="1"/>
  <c r="P843" i="1"/>
  <c r="P839" i="1"/>
  <c r="P835" i="1"/>
  <c r="P831" i="1"/>
  <c r="P827" i="1"/>
  <c r="P823" i="1"/>
  <c r="P819" i="1"/>
  <c r="P815" i="1"/>
  <c r="P811" i="1"/>
  <c r="P807" i="1"/>
  <c r="P803" i="1"/>
  <c r="P799" i="1"/>
  <c r="P795" i="1"/>
  <c r="P791" i="1"/>
  <c r="P787" i="1"/>
  <c r="P783" i="1"/>
  <c r="P779" i="1"/>
  <c r="P775" i="1"/>
  <c r="P771" i="1"/>
  <c r="P766" i="1"/>
  <c r="P758" i="1"/>
  <c r="P750" i="1"/>
  <c r="P742" i="1"/>
  <c r="P734" i="1"/>
  <c r="P726" i="1"/>
  <c r="P718" i="1"/>
  <c r="P710" i="1"/>
  <c r="P702" i="1"/>
  <c r="P694" i="1"/>
  <c r="P686" i="1"/>
  <c r="P1286" i="1"/>
  <c r="P767" i="1"/>
  <c r="P759" i="1"/>
  <c r="P751" i="1"/>
  <c r="P743" i="1"/>
  <c r="P735" i="1"/>
  <c r="P727" i="1"/>
  <c r="P719" i="1"/>
  <c r="P711" i="1"/>
  <c r="P703" i="1"/>
  <c r="P695" i="1"/>
  <c r="P687" i="1"/>
  <c r="P1460" i="1"/>
  <c r="P848" i="1"/>
  <c r="P844" i="1"/>
  <c r="P840" i="1"/>
  <c r="P836" i="1"/>
  <c r="P832" i="1"/>
  <c r="P828" i="1"/>
  <c r="P824" i="1"/>
  <c r="P820" i="1"/>
  <c r="P816" i="1"/>
  <c r="P812" i="1"/>
  <c r="P808" i="1"/>
  <c r="P804" i="1"/>
  <c r="P800" i="1"/>
  <c r="P796" i="1"/>
  <c r="P792" i="1"/>
  <c r="P788" i="1"/>
  <c r="P784" i="1"/>
  <c r="P780" i="1"/>
  <c r="P776" i="1"/>
  <c r="P772" i="1"/>
  <c r="P768" i="1"/>
  <c r="P760" i="1"/>
  <c r="P752" i="1"/>
  <c r="P744" i="1"/>
  <c r="P736" i="1"/>
  <c r="P728" i="1"/>
  <c r="P720" i="1"/>
  <c r="P712" i="1"/>
  <c r="P704" i="1"/>
  <c r="P696" i="1"/>
  <c r="P688" i="1"/>
  <c r="P833" i="1"/>
  <c r="P761" i="1"/>
  <c r="P729" i="1"/>
  <c r="P697" i="1"/>
  <c r="P411" i="1"/>
  <c r="P403" i="1"/>
  <c r="P821" i="1"/>
  <c r="P805" i="1"/>
  <c r="P789" i="1"/>
  <c r="P773" i="1"/>
  <c r="P754" i="1"/>
  <c r="P722" i="1"/>
  <c r="P690" i="1"/>
  <c r="P540" i="1"/>
  <c r="P536" i="1"/>
  <c r="P532" i="1"/>
  <c r="P528" i="1"/>
  <c r="P524" i="1"/>
  <c r="P520" i="1"/>
  <c r="P516" i="1"/>
  <c r="P512" i="1"/>
  <c r="P508" i="1"/>
  <c r="P504" i="1"/>
  <c r="P500" i="1"/>
  <c r="P496" i="1"/>
  <c r="P492" i="1"/>
  <c r="P488" i="1"/>
  <c r="P484" i="1"/>
  <c r="P480" i="1"/>
  <c r="P476" i="1"/>
  <c r="P472" i="1"/>
  <c r="P468" i="1"/>
  <c r="P464" i="1"/>
  <c r="P460" i="1"/>
  <c r="P456" i="1"/>
  <c r="P452" i="1"/>
  <c r="P448" i="1"/>
  <c r="P444" i="1"/>
  <c r="P440" i="1"/>
  <c r="P436" i="1"/>
  <c r="P432" i="1"/>
  <c r="P428" i="1"/>
  <c r="P424" i="1"/>
  <c r="P420" i="1"/>
  <c r="P416" i="1"/>
  <c r="P412" i="1"/>
  <c r="P404"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841" i="1"/>
  <c r="P737" i="1"/>
  <c r="P705" i="1"/>
  <c r="P829" i="1"/>
  <c r="P817" i="1"/>
  <c r="P801" i="1"/>
  <c r="P785" i="1"/>
  <c r="P769" i="1"/>
  <c r="P762" i="1"/>
  <c r="P730" i="1"/>
  <c r="P698" i="1"/>
  <c r="P537" i="1"/>
  <c r="P533" i="1"/>
  <c r="P529" i="1"/>
  <c r="P525" i="1"/>
  <c r="P521" i="1"/>
  <c r="P517" i="1"/>
  <c r="P513" i="1"/>
  <c r="P509" i="1"/>
  <c r="P505" i="1"/>
  <c r="P501" i="1"/>
  <c r="P497" i="1"/>
  <c r="P493" i="1"/>
  <c r="P489" i="1"/>
  <c r="P485" i="1"/>
  <c r="P481" i="1"/>
  <c r="P477" i="1"/>
  <c r="P473" i="1"/>
  <c r="P469" i="1"/>
  <c r="P465" i="1"/>
  <c r="P461" i="1"/>
  <c r="P457" i="1"/>
  <c r="P453" i="1"/>
  <c r="P449" i="1"/>
  <c r="P445" i="1"/>
  <c r="P441" i="1"/>
  <c r="P437" i="1"/>
  <c r="P433" i="1"/>
  <c r="P429" i="1"/>
  <c r="P425" i="1"/>
  <c r="P421" i="1"/>
  <c r="P417" i="1"/>
  <c r="P413" i="1"/>
  <c r="P406" i="1"/>
  <c r="P398" i="1"/>
  <c r="P849" i="1"/>
  <c r="P745" i="1"/>
  <c r="P713" i="1"/>
  <c r="P407" i="1"/>
  <c r="P399" i="1"/>
  <c r="P837" i="1"/>
  <c r="P813" i="1"/>
  <c r="P797" i="1"/>
  <c r="P781" i="1"/>
  <c r="P738" i="1"/>
  <c r="P706" i="1"/>
  <c r="P538" i="1"/>
  <c r="P534" i="1"/>
  <c r="P530" i="1"/>
  <c r="P526" i="1"/>
  <c r="P522" i="1"/>
  <c r="P518" i="1"/>
  <c r="P514" i="1"/>
  <c r="P510" i="1"/>
  <c r="P506" i="1"/>
  <c r="P502" i="1"/>
  <c r="P498" i="1"/>
  <c r="P494" i="1"/>
  <c r="P490" i="1"/>
  <c r="P486" i="1"/>
  <c r="P482" i="1"/>
  <c r="P478" i="1"/>
  <c r="P474" i="1"/>
  <c r="P470" i="1"/>
  <c r="P466" i="1"/>
  <c r="P462" i="1"/>
  <c r="P458" i="1"/>
  <c r="P454" i="1"/>
  <c r="P450" i="1"/>
  <c r="P446" i="1"/>
  <c r="P442" i="1"/>
  <c r="P438" i="1"/>
  <c r="P434" i="1"/>
  <c r="P430" i="1"/>
  <c r="P426" i="1"/>
  <c r="P422" i="1"/>
  <c r="P418" i="1"/>
  <c r="P414" i="1"/>
  <c r="P408" i="1"/>
  <c r="P400" i="1"/>
  <c r="O109" i="1"/>
  <c r="P110" i="1"/>
  <c r="O117" i="1"/>
  <c r="P118" i="1"/>
  <c r="O231" i="1"/>
  <c r="N233" i="1"/>
  <c r="O239" i="1"/>
  <c r="N241" i="1"/>
  <c r="O247" i="1"/>
  <c r="N249" i="1"/>
  <c r="O255" i="1"/>
  <c r="N257" i="1"/>
  <c r="O263" i="1"/>
  <c r="N265" i="1"/>
  <c r="O271" i="1"/>
  <c r="O279" i="1"/>
  <c r="O287" i="1"/>
  <c r="O295" i="1"/>
  <c r="O303" i="1"/>
  <c r="O311" i="1"/>
  <c r="O319" i="1"/>
  <c r="O327" i="1"/>
  <c r="O335" i="1"/>
  <c r="O343" i="1"/>
  <c r="O351" i="1"/>
  <c r="O359" i="1"/>
  <c r="O367" i="1"/>
  <c r="O375" i="1"/>
  <c r="O383" i="1"/>
  <c r="O391" i="1"/>
  <c r="P402" i="1"/>
  <c r="P435" i="1"/>
  <c r="P467" i="1"/>
  <c r="P499" i="1"/>
  <c r="P531" i="1"/>
  <c r="P746" i="1"/>
  <c r="P793" i="1"/>
  <c r="O108" i="1"/>
  <c r="P109" i="1"/>
  <c r="O116" i="1"/>
  <c r="O124" i="1"/>
  <c r="O128" i="1"/>
  <c r="O132" i="1"/>
  <c r="O136" i="1"/>
  <c r="O140" i="1"/>
  <c r="O144" i="1"/>
  <c r="O148" i="1"/>
  <c r="O152" i="1"/>
  <c r="O156" i="1"/>
  <c r="O160" i="1"/>
  <c r="O164" i="1"/>
  <c r="O168" i="1"/>
  <c r="O172" i="1"/>
  <c r="O176" i="1"/>
  <c r="O180" i="1"/>
  <c r="O184" i="1"/>
  <c r="O188" i="1"/>
  <c r="O192" i="1"/>
  <c r="O196" i="1"/>
  <c r="O200" i="1"/>
  <c r="O204" i="1"/>
  <c r="O208" i="1"/>
  <c r="O212" i="1"/>
  <c r="O216" i="1"/>
  <c r="O220" i="1"/>
  <c r="O224" i="1"/>
  <c r="O228" i="1"/>
  <c r="O236" i="1"/>
  <c r="O244" i="1"/>
  <c r="O252" i="1"/>
  <c r="O260" i="1"/>
  <c r="O268" i="1"/>
  <c r="O276" i="1"/>
  <c r="O284" i="1"/>
  <c r="O292" i="1"/>
  <c r="O300" i="1"/>
  <c r="O308" i="1"/>
  <c r="O316" i="1"/>
  <c r="O324" i="1"/>
  <c r="O332" i="1"/>
  <c r="O340" i="1"/>
  <c r="O348" i="1"/>
  <c r="O356" i="1"/>
  <c r="O364" i="1"/>
  <c r="O372" i="1"/>
  <c r="O380" i="1"/>
  <c r="O388" i="1"/>
  <c r="O396" i="1"/>
  <c r="N398" i="1"/>
  <c r="P410" i="1"/>
  <c r="P415" i="1"/>
  <c r="P447" i="1"/>
  <c r="P479" i="1"/>
  <c r="P511" i="1"/>
  <c r="P689" i="1"/>
  <c r="P825" i="1"/>
  <c r="O159" i="1"/>
  <c r="O175" i="1"/>
  <c r="O2" i="1"/>
  <c r="O3" i="1"/>
  <c r="O4" i="1"/>
  <c r="O5" i="1"/>
  <c r="O6" i="1"/>
  <c r="O7" i="1"/>
  <c r="O8" i="1"/>
  <c r="O9" i="1"/>
  <c r="O10"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7" i="1"/>
  <c r="O88" i="1"/>
  <c r="O89" i="1"/>
  <c r="O90" i="1"/>
  <c r="O91" i="1"/>
  <c r="O92" i="1"/>
  <c r="O93" i="1"/>
  <c r="O94" i="1"/>
  <c r="O95" i="1"/>
  <c r="O96" i="1"/>
  <c r="O97" i="1"/>
  <c r="O98" i="1"/>
  <c r="O99" i="1"/>
  <c r="O100" i="1"/>
  <c r="O101" i="1"/>
  <c r="O102" i="1"/>
  <c r="O103" i="1"/>
  <c r="O104" i="1"/>
  <c r="O105" i="1"/>
  <c r="O106" i="1"/>
  <c r="O107" i="1"/>
  <c r="P108" i="1"/>
  <c r="O115" i="1"/>
  <c r="P116" i="1"/>
  <c r="O233" i="1"/>
  <c r="N235" i="1"/>
  <c r="O241" i="1"/>
  <c r="N243" i="1"/>
  <c r="O249" i="1"/>
  <c r="N251" i="1"/>
  <c r="O257" i="1"/>
  <c r="N259" i="1"/>
  <c r="O265" i="1"/>
  <c r="N267" i="1"/>
  <c r="O273" i="1"/>
  <c r="O281" i="1"/>
  <c r="O289" i="1"/>
  <c r="O297" i="1"/>
  <c r="O305" i="1"/>
  <c r="O313" i="1"/>
  <c r="O321" i="1"/>
  <c r="O329" i="1"/>
  <c r="O337" i="1"/>
  <c r="O345" i="1"/>
  <c r="O353" i="1"/>
  <c r="O361" i="1"/>
  <c r="O369" i="1"/>
  <c r="O377" i="1"/>
  <c r="O385" i="1"/>
  <c r="O393" i="1"/>
  <c r="O401" i="1"/>
  <c r="O404" i="1"/>
  <c r="N406" i="1"/>
  <c r="P427" i="1"/>
  <c r="P459" i="1"/>
  <c r="P491" i="1"/>
  <c r="P523" i="1"/>
  <c r="N560" i="1"/>
  <c r="P845" i="1"/>
  <c r="N906" i="1"/>
  <c r="N711" i="1"/>
  <c r="N743" i="1"/>
  <c r="N890" i="1"/>
  <c r="N922" i="1"/>
  <c r="N914" i="1"/>
  <c r="N941" i="1"/>
  <c r="N945" i="1"/>
  <c r="N949" i="1"/>
  <c r="N953" i="1"/>
  <c r="N957" i="1"/>
  <c r="N961" i="1"/>
  <c r="N965" i="1"/>
  <c r="N969" i="1"/>
  <c r="N973" i="1"/>
  <c r="N977" i="1"/>
  <c r="N981" i="1"/>
  <c r="N985" i="1"/>
  <c r="N989" i="1"/>
  <c r="N993" i="1"/>
  <c r="N997" i="1"/>
  <c r="N1001" i="1"/>
  <c r="N1017" i="1"/>
  <c r="N1033" i="1"/>
  <c r="N1049" i="1"/>
  <c r="N983" i="1"/>
  <c r="N987" i="1"/>
  <c r="N991" i="1"/>
  <c r="N995" i="1"/>
  <c r="N999" i="1"/>
  <c r="N1009" i="1"/>
  <c r="N1025" i="1"/>
  <c r="N1041" i="1"/>
  <c r="N1057" i="1"/>
  <c r="N938" i="1"/>
  <c r="N942" i="1"/>
  <c r="N946" i="1"/>
  <c r="N950" i="1"/>
  <c r="N954" i="1"/>
  <c r="N958" i="1"/>
  <c r="N962" i="1"/>
  <c r="N966" i="1"/>
  <c r="N970" i="1"/>
  <c r="N974" i="1"/>
  <c r="N978" i="1"/>
  <c r="N982" i="1"/>
  <c r="N986" i="1"/>
  <c r="N990" i="1"/>
  <c r="N994" i="1"/>
  <c r="N998" i="1"/>
  <c r="N1156" i="1"/>
  <c r="N1148" i="1"/>
  <c r="N1397" i="1"/>
  <c r="N1430" i="1"/>
  <c r="N1452" i="1"/>
  <c r="N1314" i="1"/>
  <c r="N1325" i="1"/>
  <c r="N1365" i="1"/>
  <c r="N1413" i="1"/>
  <c r="N1438" i="1"/>
  <c r="N1449" i="1"/>
  <c r="N1465" i="1"/>
  <c r="N1483" i="1"/>
  <c r="N1559" i="1"/>
  <c r="N1451" i="1"/>
  <c r="N1467" i="1"/>
  <c r="N1491" i="1"/>
  <c r="N1573" i="1"/>
  <c r="N1588" i="1"/>
  <c r="N1457" i="1"/>
  <c r="N1473" i="1"/>
  <c r="N1581" i="1"/>
  <c r="N1629" i="1"/>
  <c r="N1578" i="1"/>
  <c r="N1621" i="1"/>
  <c r="N1652" i="1"/>
  <c r="N1677" i="1"/>
  <c r="N1565" i="1"/>
  <c r="N1589" i="1"/>
  <c r="N1732" i="1"/>
  <c r="N1567" i="1"/>
  <c r="N1620" i="1"/>
  <c r="N1642" i="1"/>
  <c r="N1653" i="1"/>
  <c r="N1710" i="1"/>
  <c r="N1650" i="1"/>
  <c r="N1572" i="1"/>
  <c r="N1576" i="1"/>
  <c r="N1594" i="1"/>
  <c r="N1626" i="1"/>
  <c r="N1658" i="1"/>
  <c r="N1688" i="1"/>
  <c r="N1739" i="1"/>
  <c r="N1747" i="1"/>
  <c r="N1771" i="1"/>
  <c r="N1779" i="1"/>
  <c r="N1766" i="1"/>
  <c r="N1879" i="1"/>
  <c r="N1723" i="1"/>
  <c r="N1763" i="1"/>
  <c r="N1912" i="1"/>
  <c r="N1920" i="1"/>
  <c r="N1863" i="1"/>
  <c r="N1837" i="1"/>
  <c r="N1845" i="1"/>
  <c r="N1853" i="1"/>
  <c r="N1861" i="1"/>
  <c r="N1869" i="1"/>
  <c r="N1877" i="1"/>
  <c r="N1885" i="1"/>
  <c r="N1893" i="1"/>
  <c r="N1896" i="1"/>
  <c r="N1835" i="1"/>
  <c r="N1843" i="1"/>
  <c r="N1851" i="1"/>
  <c r="N1859" i="1"/>
  <c r="N1867" i="1"/>
  <c r="N1875" i="1"/>
  <c r="N1883" i="1"/>
  <c r="N1840" i="1"/>
  <c r="N1848" i="1"/>
  <c r="N1856" i="1"/>
  <c r="N1864" i="1"/>
  <c r="N1872" i="1"/>
  <c r="N1880" i="1"/>
  <c r="N1887" i="1"/>
  <c r="N1985" i="1"/>
  <c r="N1977" i="1"/>
  <c r="N1993" i="1"/>
  <c r="N1971" i="1"/>
  <c r="N1981" i="1"/>
  <c r="N1997" i="1"/>
  <c r="N2048" i="1"/>
  <c r="N2024" i="1"/>
  <c r="N2064" i="1"/>
  <c r="N2000" i="1"/>
  <c r="N2002" i="1"/>
  <c r="N2016" i="1"/>
  <c r="N2073" i="1"/>
  <c r="N2089" i="1"/>
  <c r="Q257" i="1" l="1"/>
  <c r="Q193" i="1"/>
  <c r="Q746" i="1"/>
  <c r="P1947" i="1"/>
  <c r="P1955" i="1"/>
  <c r="P2044" i="1"/>
  <c r="P1961" i="1"/>
  <c r="P2018" i="1"/>
  <c r="P2033" i="1"/>
  <c r="P2040" i="1"/>
  <c r="P1979" i="1"/>
  <c r="P1987" i="1"/>
  <c r="P1995" i="1"/>
  <c r="P2003" i="1"/>
  <c r="P2011" i="1"/>
  <c r="P2047" i="1"/>
  <c r="P2062" i="1"/>
  <c r="P2067" i="1"/>
  <c r="P2076" i="1"/>
  <c r="P2085" i="1"/>
  <c r="P2095" i="1"/>
  <c r="P401" i="1"/>
  <c r="P519" i="1"/>
  <c r="O2012" i="1"/>
  <c r="O2022" i="1"/>
  <c r="O2084" i="1"/>
  <c r="O2052" i="1"/>
  <c r="O167" i="1"/>
  <c r="O240" i="1"/>
  <c r="Q129" i="1"/>
  <c r="P2086" i="1"/>
  <c r="P2097" i="1"/>
  <c r="P487" i="1"/>
  <c r="P111" i="1"/>
  <c r="O2088" i="1"/>
  <c r="O2067" i="1"/>
  <c r="P539" i="1"/>
  <c r="O120" i="1"/>
  <c r="O123" i="1"/>
  <c r="P2020" i="1"/>
  <c r="P2034" i="1"/>
  <c r="P2049" i="1"/>
  <c r="P2056" i="1"/>
  <c r="P1981" i="1"/>
  <c r="P1989" i="1"/>
  <c r="P1997" i="1"/>
  <c r="P2005" i="1"/>
  <c r="P2013" i="1"/>
  <c r="P2063" i="1"/>
  <c r="P2029" i="1"/>
  <c r="P2069" i="1"/>
  <c r="P2078" i="1"/>
  <c r="P2087" i="1"/>
  <c r="P2099" i="1"/>
  <c r="P455" i="1"/>
  <c r="O2038" i="1"/>
  <c r="O2021" i="1"/>
  <c r="O2091" i="1"/>
  <c r="O365" i="1"/>
  <c r="O251" i="1"/>
  <c r="P405" i="1"/>
  <c r="O301" i="1"/>
  <c r="P1973" i="1"/>
  <c r="P2051" i="1"/>
  <c r="P1960" i="1"/>
  <c r="P2050" i="1"/>
  <c r="P2065" i="1"/>
  <c r="P1975" i="1"/>
  <c r="P1983" i="1"/>
  <c r="P1991" i="1"/>
  <c r="P1999" i="1"/>
  <c r="P2007" i="1"/>
  <c r="P2015" i="1"/>
  <c r="P2030" i="1"/>
  <c r="P2045" i="1"/>
  <c r="P2071" i="1"/>
  <c r="P2080" i="1"/>
  <c r="P2091" i="1"/>
  <c r="O2068" i="1"/>
  <c r="O2045" i="1"/>
  <c r="O226" i="1"/>
  <c r="O237" i="1"/>
  <c r="O318" i="1"/>
  <c r="Q241" i="1"/>
  <c r="O2061" i="1"/>
  <c r="O142" i="1"/>
  <c r="O187" i="1"/>
  <c r="O379" i="1"/>
  <c r="P463" i="1"/>
  <c r="O214" i="1"/>
  <c r="Q145" i="1"/>
  <c r="Q209" i="1"/>
  <c r="Q201" i="1"/>
  <c r="Q974" i="1"/>
  <c r="Q153" i="1"/>
  <c r="Q217" i="1"/>
  <c r="Q137" i="1"/>
  <c r="Q990" i="1"/>
  <c r="Q161" i="1"/>
  <c r="Q225" i="1"/>
  <c r="Q747" i="1"/>
  <c r="Q169" i="1"/>
  <c r="Q233" i="1"/>
  <c r="Q265" i="1"/>
  <c r="Q24" i="1"/>
  <c r="Q113" i="1"/>
  <c r="Q177" i="1"/>
  <c r="Q2086" i="1"/>
  <c r="Q2046" i="1"/>
  <c r="Q2006" i="1"/>
  <c r="Q1966" i="1"/>
  <c r="Q1906" i="1"/>
  <c r="Q1823" i="1"/>
  <c r="Q1887" i="1"/>
  <c r="Q1764" i="1"/>
  <c r="Q1660" i="1"/>
  <c r="Q1650" i="1"/>
  <c r="Q1515" i="1"/>
  <c r="Q1451" i="1"/>
  <c r="Q1424" i="1"/>
  <c r="Q1368" i="1"/>
  <c r="Q1320" i="1"/>
  <c r="Q1605" i="1"/>
  <c r="Q1207" i="1"/>
  <c r="Q1143" i="1"/>
  <c r="Q1118" i="1"/>
  <c r="Q1047" i="1"/>
  <c r="Q976" i="1"/>
  <c r="Q855" i="1"/>
  <c r="Q799" i="1"/>
  <c r="Q941" i="1"/>
  <c r="Q416" i="1"/>
  <c r="Q657" i="1"/>
  <c r="Q609" i="1"/>
  <c r="Q545" i="1"/>
  <c r="Q488" i="1"/>
  <c r="Q440" i="1"/>
  <c r="Q767" i="1"/>
  <c r="Q393" i="1"/>
  <c r="Q337" i="1"/>
  <c r="Q281" i="1"/>
  <c r="Q2062" i="1"/>
  <c r="Q2014" i="1"/>
  <c r="Q1950" i="1"/>
  <c r="Q1869" i="1"/>
  <c r="Q1807" i="1"/>
  <c r="Q1730" i="1"/>
  <c r="Q1768" i="1"/>
  <c r="Q1640" i="1"/>
  <c r="Q1547" i="1"/>
  <c r="Q1499" i="1"/>
  <c r="Q1728" i="1"/>
  <c r="Q1416" i="1"/>
  <c r="Q1352" i="1"/>
  <c r="Q1648" i="1"/>
  <c r="Q1268" i="1"/>
  <c r="Q1175" i="1"/>
  <c r="Q1254" i="1"/>
  <c r="Q1241" i="1"/>
  <c r="Q1049" i="1"/>
  <c r="Q887" i="1"/>
  <c r="Q831" i="1"/>
  <c r="Q783" i="1"/>
  <c r="Q1131" i="1"/>
  <c r="Q402" i="1"/>
  <c r="Q641" i="1"/>
  <c r="Q593" i="1"/>
  <c r="Q529" i="1"/>
  <c r="Q472" i="1"/>
  <c r="Q423" i="1"/>
  <c r="Q728" i="1"/>
  <c r="Q369" i="1"/>
  <c r="Q321" i="1"/>
  <c r="Q26" i="1"/>
  <c r="Q99" i="1"/>
  <c r="Q1990" i="1"/>
  <c r="Q1892" i="1"/>
  <c r="Q1879" i="1"/>
  <c r="Q1791" i="1"/>
  <c r="Q1698" i="1"/>
  <c r="Q1627" i="1"/>
  <c r="Q1653" i="1"/>
  <c r="Q1523" i="1"/>
  <c r="Q1475" i="1"/>
  <c r="Q1721" i="1"/>
  <c r="Q1400" i="1"/>
  <c r="Q1344" i="1"/>
  <c r="Q1737" i="1"/>
  <c r="Q1229" i="1"/>
  <c r="Q1159" i="1"/>
  <c r="Q1248" i="1"/>
  <c r="Q1030" i="1"/>
  <c r="Q894" i="1"/>
  <c r="Q863" i="1"/>
  <c r="Q807" i="1"/>
  <c r="Q888" i="1"/>
  <c r="Q933" i="1"/>
  <c r="Q673" i="1"/>
  <c r="Q617" i="1"/>
  <c r="Q569" i="1"/>
  <c r="Q504" i="1"/>
  <c r="Q464" i="1"/>
  <c r="Q742" i="1"/>
  <c r="Q761" i="1"/>
  <c r="Q361" i="1"/>
  <c r="Q305" i="1"/>
  <c r="Q49" i="1"/>
  <c r="Q2094" i="1"/>
  <c r="Q2078" i="1"/>
  <c r="Q2070" i="1"/>
  <c r="Q2030" i="1"/>
  <c r="Q1974" i="1"/>
  <c r="Q1895" i="1"/>
  <c r="Q1831" i="1"/>
  <c r="Q1888" i="1"/>
  <c r="Q1700" i="1"/>
  <c r="Q1596" i="1"/>
  <c r="Q1539" i="1"/>
  <c r="Q1483" i="1"/>
  <c r="Q1634" i="1"/>
  <c r="Q1384" i="1"/>
  <c r="Q1328" i="1"/>
  <c r="Q1291" i="1"/>
  <c r="Q1191" i="1"/>
  <c r="Q1308" i="1"/>
  <c r="Q1083" i="1"/>
  <c r="Q1133" i="1"/>
  <c r="Q944" i="1"/>
  <c r="Q839" i="1"/>
  <c r="Q1107" i="1"/>
  <c r="Q1034" i="1"/>
  <c r="Q717" i="1"/>
  <c r="Q633" i="1"/>
  <c r="Q577" i="1"/>
  <c r="Q520" i="1"/>
  <c r="Q431" i="1"/>
  <c r="Q703" i="1"/>
  <c r="Q385" i="1"/>
  <c r="Q329" i="1"/>
  <c r="Q273" i="1"/>
  <c r="Q3" i="1"/>
  <c r="Q72" i="1"/>
  <c r="Q1998" i="1"/>
  <c r="Q1942" i="1"/>
  <c r="Q1862" i="1"/>
  <c r="Q1799" i="1"/>
  <c r="Q1690" i="1"/>
  <c r="Q1734" i="1"/>
  <c r="Q1566" i="1"/>
  <c r="Q1531" i="1"/>
  <c r="Q1467" i="1"/>
  <c r="Q1440" i="1"/>
  <c r="Q1392" i="1"/>
  <c r="Q1336" i="1"/>
  <c r="Q1642" i="1"/>
  <c r="Q1293" i="1"/>
  <c r="Q1167" i="1"/>
  <c r="Q1265" i="1"/>
  <c r="Q1132" i="1"/>
  <c r="Q1091" i="1"/>
  <c r="Q871" i="1"/>
  <c r="Q815" i="1"/>
  <c r="Q1010" i="1"/>
  <c r="Q908" i="1"/>
  <c r="Q681" i="1"/>
  <c r="Q625" i="1"/>
  <c r="Q561" i="1"/>
  <c r="Q512" i="1"/>
  <c r="Q456" i="1"/>
  <c r="Q991" i="1"/>
  <c r="Q1066" i="1"/>
  <c r="Q353" i="1"/>
  <c r="Q297" i="1"/>
  <c r="Q2038" i="1"/>
  <c r="Q1982" i="1"/>
  <c r="Q1910" i="1"/>
  <c r="Q1897" i="1"/>
  <c r="Q1783" i="1"/>
  <c r="Q1682" i="1"/>
  <c r="Q1843" i="1"/>
  <c r="Q1559" i="1"/>
  <c r="Q1507" i="1"/>
  <c r="Q1459" i="1"/>
  <c r="Q1432" i="1"/>
  <c r="Q1376" i="1"/>
  <c r="Q1312" i="1"/>
  <c r="Q1266" i="1"/>
  <c r="Q1199" i="1"/>
  <c r="Q1151" i="1"/>
  <c r="Q1665" i="1"/>
  <c r="Q1100" i="1"/>
  <c r="Q1016" i="1"/>
  <c r="Q847" i="1"/>
  <c r="Q791" i="1"/>
  <c r="Q973" i="1"/>
  <c r="Q716" i="1"/>
  <c r="Q665" i="1"/>
  <c r="Q601" i="1"/>
  <c r="Q553" i="1"/>
  <c r="Q496" i="1"/>
  <c r="Q448" i="1"/>
  <c r="Q1095" i="1"/>
  <c r="Q697" i="1"/>
  <c r="Q345" i="1"/>
  <c r="Q289" i="1"/>
  <c r="Q2054" i="1"/>
  <c r="Q2022" i="1"/>
  <c r="Q1958" i="1"/>
  <c r="Q1852" i="1"/>
  <c r="Q1815" i="1"/>
  <c r="Q1755" i="1"/>
  <c r="Q1741" i="1"/>
  <c r="Q1729" i="1"/>
  <c r="Q1569" i="1"/>
  <c r="Q1491" i="1"/>
  <c r="Q1616" i="1"/>
  <c r="Q1408" i="1"/>
  <c r="Q1360" i="1"/>
  <c r="Q1607" i="1"/>
  <c r="Q1227" i="1"/>
  <c r="Q1183" i="1"/>
  <c r="Q1305" i="1"/>
  <c r="Q1019" i="1"/>
  <c r="Q1101" i="1"/>
  <c r="Q879" i="1"/>
  <c r="Q823" i="1"/>
  <c r="Q775" i="1"/>
  <c r="Q1233" i="1"/>
  <c r="Q938" i="1"/>
  <c r="Q649" i="1"/>
  <c r="Q585" i="1"/>
  <c r="Q537" i="1"/>
  <c r="Q480" i="1"/>
  <c r="Q409" i="1"/>
  <c r="Q971" i="1"/>
  <c r="Q377" i="1"/>
  <c r="Q313" i="1"/>
  <c r="Q121" i="1"/>
  <c r="Q185" i="1"/>
  <c r="Q249" i="1"/>
  <c r="Q88" i="1"/>
  <c r="Q54" i="1"/>
  <c r="Q19" i="1"/>
  <c r="Q739" i="1"/>
  <c r="Q1103" i="1"/>
  <c r="Q698" i="1"/>
  <c r="Q942" i="1"/>
  <c r="Q114" i="1"/>
  <c r="Q122" i="1"/>
  <c r="Q130" i="1"/>
  <c r="Q138" i="1"/>
  <c r="Q146" i="1"/>
  <c r="Q154" i="1"/>
  <c r="Q162" i="1"/>
  <c r="Q170" i="1"/>
  <c r="Q178" i="1"/>
  <c r="Q186" i="1"/>
  <c r="Q194" i="1"/>
  <c r="Q202" i="1"/>
  <c r="Q210" i="1"/>
  <c r="Q218" i="1"/>
  <c r="Q226" i="1"/>
  <c r="Q234" i="1"/>
  <c r="Q242" i="1"/>
  <c r="Q250" i="1"/>
  <c r="Q258" i="1"/>
  <c r="Q266" i="1"/>
  <c r="Q274" i="1"/>
  <c r="Q282" i="1"/>
  <c r="Q290" i="1"/>
  <c r="Q298" i="1"/>
  <c r="Q306" i="1"/>
  <c r="Q314" i="1"/>
  <c r="Q322" i="1"/>
  <c r="Q330" i="1"/>
  <c r="Q338" i="1"/>
  <c r="Q346" i="1"/>
  <c r="Q354" i="1"/>
  <c r="Q362" i="1"/>
  <c r="Q370" i="1"/>
  <c r="Q378" i="1"/>
  <c r="Q386" i="1"/>
  <c r="Q394" i="1"/>
  <c r="Q705" i="1"/>
  <c r="Q891" i="1"/>
  <c r="Q1080" i="1"/>
  <c r="Q736" i="1"/>
  <c r="Q987" i="1"/>
  <c r="Q711" i="1"/>
  <c r="Q893" i="1"/>
  <c r="Q686" i="1"/>
  <c r="Q750" i="1"/>
  <c r="Q1021" i="1"/>
  <c r="Q411" i="1"/>
  <c r="Q424" i="1"/>
  <c r="Q433" i="1"/>
  <c r="Q441" i="1"/>
  <c r="Q449" i="1"/>
  <c r="Q457" i="1"/>
  <c r="Q465" i="1"/>
  <c r="Q473" i="1"/>
  <c r="Q481" i="1"/>
  <c r="Q489" i="1"/>
  <c r="Q497" i="1"/>
  <c r="Q505" i="1"/>
  <c r="Q513" i="1"/>
  <c r="Q521" i="1"/>
  <c r="Q530" i="1"/>
  <c r="Q538" i="1"/>
  <c r="Q546" i="1"/>
  <c r="Q554" i="1"/>
  <c r="Q562" i="1"/>
  <c r="Q570" i="1"/>
  <c r="Q578" i="1"/>
  <c r="Q586" i="1"/>
  <c r="Q594" i="1"/>
  <c r="Q602" i="1"/>
  <c r="Q610" i="1"/>
  <c r="Q618" i="1"/>
  <c r="Q626" i="1"/>
  <c r="Q634" i="1"/>
  <c r="Q642" i="1"/>
  <c r="Q650" i="1"/>
  <c r="Q658" i="1"/>
  <c r="Q666" i="1"/>
  <c r="Q674" i="1"/>
  <c r="Q682" i="1"/>
  <c r="Q725" i="1"/>
  <c r="Q954" i="1"/>
  <c r="Q403" i="1"/>
  <c r="Q418" i="1"/>
  <c r="Q724" i="1"/>
  <c r="Q947" i="1"/>
  <c r="Q916" i="1"/>
  <c r="Q1044" i="1"/>
  <c r="Q1297" i="1"/>
  <c r="Q889" i="1"/>
  <c r="Q945" i="1"/>
  <c r="Q977" i="1"/>
  <c r="Q896" i="1"/>
  <c r="Q1020" i="1"/>
  <c r="Q768" i="1"/>
  <c r="Q776" i="1"/>
  <c r="Q784" i="1"/>
  <c r="Q792" i="1"/>
  <c r="Q800" i="1"/>
  <c r="Q808" i="1"/>
  <c r="Q816" i="1"/>
  <c r="Q824" i="1"/>
  <c r="Q832" i="1"/>
  <c r="Q840" i="1"/>
  <c r="Q848" i="1"/>
  <c r="Q856" i="1"/>
  <c r="Q864" i="1"/>
  <c r="Q872" i="1"/>
  <c r="Q880" i="1"/>
  <c r="Q895" i="1"/>
  <c r="Q948" i="1"/>
  <c r="Q980" i="1"/>
  <c r="Q1029" i="1"/>
  <c r="Q902" i="1"/>
  <c r="Q1115" i="1"/>
  <c r="Q1057" i="1"/>
  <c r="Q1105" i="1"/>
  <c r="Q1137" i="1"/>
  <c r="Q1055" i="1"/>
  <c r="Q1104" i="1"/>
  <c r="Q1136" i="1"/>
  <c r="Q1038" i="1"/>
  <c r="Q1068" i="1"/>
  <c r="Q1027" i="1"/>
  <c r="Q1090" i="1"/>
  <c r="Q1122" i="1"/>
  <c r="Q1217" i="1"/>
  <c r="Q1231" i="1"/>
  <c r="Q1256" i="1"/>
  <c r="Q1309" i="1"/>
  <c r="Q1262" i="1"/>
  <c r="Q1560" i="1"/>
  <c r="Q1144" i="1"/>
  <c r="Q1152" i="1"/>
  <c r="Q1160" i="1"/>
  <c r="Q1168" i="1"/>
  <c r="Q1176" i="1"/>
  <c r="Q1184" i="1"/>
  <c r="Q1192" i="1"/>
  <c r="Q1200" i="1"/>
  <c r="Q1208" i="1"/>
  <c r="Q1237" i="1"/>
  <c r="Q1615" i="1"/>
  <c r="Q1276" i="1"/>
  <c r="Q1235" i="1"/>
  <c r="Q1614" i="1"/>
  <c r="Q1274" i="1"/>
  <c r="Q1629" i="1"/>
  <c r="Q1564" i="1"/>
  <c r="Q1766" i="1"/>
  <c r="Q1673" i="1"/>
  <c r="Q1641" i="1"/>
  <c r="Q1313" i="1"/>
  <c r="Q1321" i="1"/>
  <c r="Q1329" i="1"/>
  <c r="Q1337" i="1"/>
  <c r="Q1345" i="1"/>
  <c r="Q1353" i="1"/>
  <c r="Q1361" i="1"/>
  <c r="Q1369" i="1"/>
  <c r="Q1377" i="1"/>
  <c r="Q1385" i="1"/>
  <c r="Q1393" i="1"/>
  <c r="Q1401" i="1"/>
  <c r="Q1409" i="1"/>
  <c r="Q1417" i="1"/>
  <c r="Q1425" i="1"/>
  <c r="Q1433" i="1"/>
  <c r="Q1441" i="1"/>
  <c r="Q1638" i="1"/>
  <c r="Q1742" i="1"/>
  <c r="Q1637" i="1"/>
  <c r="Q1444" i="1"/>
  <c r="Q1452" i="1"/>
  <c r="Q1460" i="1"/>
  <c r="Q1468" i="1"/>
  <c r="Q1476" i="1"/>
  <c r="Q1484" i="1"/>
  <c r="Q1492" i="1"/>
  <c r="Q1500" i="1"/>
  <c r="Q1508" i="1"/>
  <c r="Q1516" i="1"/>
  <c r="Q1524" i="1"/>
  <c r="Q1532" i="1"/>
  <c r="Q1540" i="1"/>
  <c r="Q1548" i="1"/>
  <c r="Q1581" i="1"/>
  <c r="Q1655" i="1"/>
  <c r="Q1567" i="1"/>
  <c r="Q1658" i="1"/>
  <c r="Q1572" i="1"/>
  <c r="Q1649" i="1"/>
  <c r="Q1750" i="1"/>
  <c r="Q1604" i="1"/>
  <c r="Q1668" i="1"/>
  <c r="Q1858" i="1"/>
  <c r="Q1635" i="1"/>
  <c r="Q1758" i="1"/>
  <c r="Q1776" i="1"/>
  <c r="Q1749" i="1"/>
  <c r="Q1708" i="1"/>
  <c r="Q1772" i="1"/>
  <c r="Q1683" i="1"/>
  <c r="Q1691" i="1"/>
  <c r="Q1699" i="1"/>
  <c r="Q1763" i="1"/>
  <c r="Q1738" i="1"/>
  <c r="Q1833" i="1"/>
  <c r="Q1891" i="1"/>
  <c r="Q1784" i="1"/>
  <c r="Q1792" i="1"/>
  <c r="Q1800" i="1"/>
  <c r="Q1808" i="1"/>
  <c r="Q1816" i="1"/>
  <c r="Q1824" i="1"/>
  <c r="Q1832" i="1"/>
  <c r="Q1912" i="1"/>
  <c r="Q1886" i="1"/>
  <c r="Q1870" i="1"/>
  <c r="Q1877" i="1"/>
  <c r="Q1860" i="1"/>
  <c r="Q1914" i="1"/>
  <c r="Q1903" i="1"/>
  <c r="Q1918" i="1"/>
  <c r="Q1900" i="1"/>
  <c r="Q1943" i="1"/>
  <c r="Q1951" i="1"/>
  <c r="Q1959" i="1"/>
  <c r="Q1967" i="1"/>
  <c r="Q1975" i="1"/>
  <c r="Q1983" i="1"/>
  <c r="Q1991" i="1"/>
  <c r="Q1999" i="1"/>
  <c r="Q2007" i="1"/>
  <c r="Q2015" i="1"/>
  <c r="Q2023" i="1"/>
  <c r="Q2031" i="1"/>
  <c r="Q2039" i="1"/>
  <c r="Q2047" i="1"/>
  <c r="Q2055" i="1"/>
  <c r="Q2063" i="1"/>
  <c r="Q2071" i="1"/>
  <c r="Q2079" i="1"/>
  <c r="Q2087" i="1"/>
  <c r="Q2095" i="1"/>
  <c r="P2074" i="1"/>
  <c r="P2082" i="1"/>
  <c r="P2090" i="1"/>
  <c r="P2098" i="1"/>
  <c r="Q97" i="1"/>
  <c r="Q70" i="1"/>
  <c r="Q47" i="1"/>
  <c r="Q23" i="1"/>
  <c r="P503" i="1"/>
  <c r="O2053" i="1"/>
  <c r="O2060" i="1"/>
  <c r="O2095" i="1"/>
  <c r="O218" i="1"/>
  <c r="O126" i="1"/>
  <c r="O347" i="1"/>
  <c r="Q103" i="1"/>
  <c r="Q85" i="1"/>
  <c r="Q66" i="1"/>
  <c r="Q48" i="1"/>
  <c r="Q30" i="1"/>
  <c r="Q11" i="1"/>
  <c r="O310" i="1"/>
  <c r="O155" i="1"/>
  <c r="P507" i="1"/>
  <c r="O357" i="1"/>
  <c r="O293" i="1"/>
  <c r="O229" i="1"/>
  <c r="P431" i="1"/>
  <c r="O344" i="1"/>
  <c r="O222" i="1"/>
  <c r="P777" i="1"/>
  <c r="O235" i="1"/>
  <c r="Q84" i="1"/>
  <c r="Q51" i="1"/>
  <c r="Q14" i="1"/>
  <c r="O302" i="1"/>
  <c r="O151" i="1"/>
  <c r="O194" i="1"/>
  <c r="P121" i="1"/>
  <c r="P117" i="1"/>
  <c r="Q706" i="1"/>
  <c r="Q730" i="1"/>
  <c r="Q107" i="1"/>
  <c r="Q115" i="1"/>
  <c r="Q123" i="1"/>
  <c r="Q131" i="1"/>
  <c r="Q139" i="1"/>
  <c r="Q147" i="1"/>
  <c r="Q155" i="1"/>
  <c r="Q163" i="1"/>
  <c r="Q171" i="1"/>
  <c r="Q179" i="1"/>
  <c r="Q187" i="1"/>
  <c r="Q195" i="1"/>
  <c r="Q203" i="1"/>
  <c r="Q211" i="1"/>
  <c r="Q219" i="1"/>
  <c r="Q227" i="1"/>
  <c r="Q235" i="1"/>
  <c r="Q243" i="1"/>
  <c r="Q251" i="1"/>
  <c r="Q259" i="1"/>
  <c r="Q267" i="1"/>
  <c r="Q275" i="1"/>
  <c r="Q283" i="1"/>
  <c r="Q291" i="1"/>
  <c r="Q299" i="1"/>
  <c r="Q307" i="1"/>
  <c r="Q315" i="1"/>
  <c r="Q323" i="1"/>
  <c r="Q331" i="1"/>
  <c r="Q339" i="1"/>
  <c r="Q347" i="1"/>
  <c r="Q355" i="1"/>
  <c r="Q363" i="1"/>
  <c r="Q371" i="1"/>
  <c r="Q379" i="1"/>
  <c r="Q387" i="1"/>
  <c r="Q395" i="1"/>
  <c r="Q713" i="1"/>
  <c r="Q909" i="1"/>
  <c r="Q1111" i="1"/>
  <c r="Q744" i="1"/>
  <c r="Q1024" i="1"/>
  <c r="Q719" i="1"/>
  <c r="Q950" i="1"/>
  <c r="Q694" i="1"/>
  <c r="Q758" i="1"/>
  <c r="Q1056" i="1"/>
  <c r="Q413" i="1"/>
  <c r="Q425" i="1"/>
  <c r="Q434" i="1"/>
  <c r="Q442" i="1"/>
  <c r="Q450" i="1"/>
  <c r="Q458" i="1"/>
  <c r="Q466" i="1"/>
  <c r="Q474" i="1"/>
  <c r="Q482" i="1"/>
  <c r="Q490" i="1"/>
  <c r="Q498" i="1"/>
  <c r="Q506" i="1"/>
  <c r="Q514" i="1"/>
  <c r="Q522" i="1"/>
  <c r="Q531" i="1"/>
  <c r="Q539" i="1"/>
  <c r="Q547" i="1"/>
  <c r="Q555" i="1"/>
  <c r="Q563" i="1"/>
  <c r="Q571" i="1"/>
  <c r="Q579" i="1"/>
  <c r="Q587" i="1"/>
  <c r="Q595" i="1"/>
  <c r="Q603" i="1"/>
  <c r="Q611" i="1"/>
  <c r="Q619" i="1"/>
  <c r="Q627" i="1"/>
  <c r="Q635" i="1"/>
  <c r="Q643" i="1"/>
  <c r="Q651" i="1"/>
  <c r="Q659" i="1"/>
  <c r="Q667" i="1"/>
  <c r="Q675" i="1"/>
  <c r="Q683" i="1"/>
  <c r="Q733" i="1"/>
  <c r="Q970" i="1"/>
  <c r="Q405" i="1"/>
  <c r="Q421" i="1"/>
  <c r="Q732" i="1"/>
  <c r="Q963" i="1"/>
  <c r="Q924" i="1"/>
  <c r="Q1050" i="1"/>
  <c r="Q890" i="1"/>
  <c r="Q897" i="1"/>
  <c r="Q949" i="1"/>
  <c r="Q981" i="1"/>
  <c r="Q904" i="1"/>
  <c r="Q1026" i="1"/>
  <c r="Q769" i="1"/>
  <c r="Q777" i="1"/>
  <c r="Q785" i="1"/>
  <c r="Q793" i="1"/>
  <c r="Q801" i="1"/>
  <c r="Q809" i="1"/>
  <c r="Q817" i="1"/>
  <c r="Q825" i="1"/>
  <c r="Q833" i="1"/>
  <c r="Q841" i="1"/>
  <c r="Q849" i="1"/>
  <c r="Q857" i="1"/>
  <c r="Q865" i="1"/>
  <c r="Q873" i="1"/>
  <c r="Q881" i="1"/>
  <c r="Q903" i="1"/>
  <c r="Q952" i="1"/>
  <c r="Q984" i="1"/>
  <c r="Q1032" i="1"/>
  <c r="Q910" i="1"/>
  <c r="Q1001" i="1"/>
  <c r="Q1065" i="1"/>
  <c r="Q1109" i="1"/>
  <c r="Q1249" i="1"/>
  <c r="Q1063" i="1"/>
  <c r="Q1108" i="1"/>
  <c r="Q1223" i="1"/>
  <c r="Q1046" i="1"/>
  <c r="Q1076" i="1"/>
  <c r="Q1035" i="1"/>
  <c r="Q1094" i="1"/>
  <c r="Q1126" i="1"/>
  <c r="Q1255" i="1"/>
  <c r="Q1257" i="1"/>
  <c r="Q1264" i="1"/>
  <c r="Q1656" i="1"/>
  <c r="Q1270" i="1"/>
  <c r="Q1577" i="1"/>
  <c r="Q1145" i="1"/>
  <c r="Q1153" i="1"/>
  <c r="Q1161" i="1"/>
  <c r="Q1169" i="1"/>
  <c r="Q1177" i="1"/>
  <c r="Q1185" i="1"/>
  <c r="Q1193" i="1"/>
  <c r="Q1201" i="1"/>
  <c r="Q1209" i="1"/>
  <c r="Q1245" i="1"/>
  <c r="Q1220" i="1"/>
  <c r="Q1284" i="1"/>
  <c r="Q1243" i="1"/>
  <c r="Q1218" i="1"/>
  <c r="Q1282" i="1"/>
  <c r="Q1639" i="1"/>
  <c r="Q1571" i="1"/>
  <c r="Q1769" i="1"/>
  <c r="Q1705" i="1"/>
  <c r="Q1661" i="1"/>
  <c r="Q1314" i="1"/>
  <c r="Q1322" i="1"/>
  <c r="Q1330" i="1"/>
  <c r="Q1338" i="1"/>
  <c r="Q1346" i="1"/>
  <c r="Q1354" i="1"/>
  <c r="Q1362" i="1"/>
  <c r="Q1370" i="1"/>
  <c r="Q1378" i="1"/>
  <c r="Q1386" i="1"/>
  <c r="Q1394" i="1"/>
  <c r="Q1402" i="1"/>
  <c r="Q1410" i="1"/>
  <c r="Q1418" i="1"/>
  <c r="Q1426" i="1"/>
  <c r="Q1434" i="1"/>
  <c r="Q1442" i="1"/>
  <c r="Q1745" i="1"/>
  <c r="Q1777" i="1"/>
  <c r="Q1654" i="1"/>
  <c r="Q1445" i="1"/>
  <c r="Q1453" i="1"/>
  <c r="Q1461" i="1"/>
  <c r="Q1469" i="1"/>
  <c r="Q1477" i="1"/>
  <c r="Q1485" i="1"/>
  <c r="Q1493" i="1"/>
  <c r="Q1501" i="1"/>
  <c r="Q1509" i="1"/>
  <c r="Q1517" i="1"/>
  <c r="Q1525" i="1"/>
  <c r="Q1533" i="1"/>
  <c r="Q1541" i="1"/>
  <c r="Q1549" i="1"/>
  <c r="Q1586" i="1"/>
  <c r="Q1677" i="1"/>
  <c r="Q1589" i="1"/>
  <c r="Q1663" i="1"/>
  <c r="Q1576" i="1"/>
  <c r="Q1662" i="1"/>
  <c r="Q1761" i="1"/>
  <c r="Q1612" i="1"/>
  <c r="Q1676" i="1"/>
  <c r="Q1579" i="1"/>
  <c r="Q1643" i="1"/>
  <c r="Q1767" i="1"/>
  <c r="Q1851" i="1"/>
  <c r="Q1757" i="1"/>
  <c r="Q1716" i="1"/>
  <c r="Q1835" i="1"/>
  <c r="Q1684" i="1"/>
  <c r="Q1692" i="1"/>
  <c r="Q1707" i="1"/>
  <c r="Q1771" i="1"/>
  <c r="Q1746" i="1"/>
  <c r="Q1841" i="1"/>
  <c r="Q1907" i="1"/>
  <c r="Q1785" i="1"/>
  <c r="Q1793" i="1"/>
  <c r="Q1801" i="1"/>
  <c r="Q1809" i="1"/>
  <c r="Q1817" i="1"/>
  <c r="Q1825" i="1"/>
  <c r="Q1840" i="1"/>
  <c r="Q1923" i="1"/>
  <c r="Q1890" i="1"/>
  <c r="Q1878" i="1"/>
  <c r="Q1885" i="1"/>
  <c r="Q1868" i="1"/>
  <c r="Q1922" i="1"/>
  <c r="Q1911" i="1"/>
  <c r="Q1926" i="1"/>
  <c r="Q1908" i="1"/>
  <c r="Q1944" i="1"/>
  <c r="Q1952" i="1"/>
  <c r="Q1960" i="1"/>
  <c r="Q1968" i="1"/>
  <c r="Q1976" i="1"/>
  <c r="Q1984" i="1"/>
  <c r="Q1992" i="1"/>
  <c r="Q2000" i="1"/>
  <c r="Q2008" i="1"/>
  <c r="Q2016" i="1"/>
  <c r="Q2024" i="1"/>
  <c r="Q2032" i="1"/>
  <c r="Q2040" i="1"/>
  <c r="Q2048" i="1"/>
  <c r="Q2056" i="1"/>
  <c r="Q2064" i="1"/>
  <c r="Q2072" i="1"/>
  <c r="Q2080" i="1"/>
  <c r="Q2088" i="1"/>
  <c r="Q2096" i="1"/>
  <c r="Q94" i="1"/>
  <c r="Q67" i="1"/>
  <c r="Q44" i="1"/>
  <c r="Q21" i="1"/>
  <c r="O210" i="1"/>
  <c r="O112" i="1"/>
  <c r="O331" i="1"/>
  <c r="Q101" i="1"/>
  <c r="Q83" i="1"/>
  <c r="Q64" i="1"/>
  <c r="Q45" i="1"/>
  <c r="Q27" i="1"/>
  <c r="Q8" i="1"/>
  <c r="O294" i="1"/>
  <c r="O135" i="1"/>
  <c r="P475" i="1"/>
  <c r="O349" i="1"/>
  <c r="O285" i="1"/>
  <c r="P120" i="1"/>
  <c r="O400" i="1"/>
  <c r="O336" i="1"/>
  <c r="O206" i="1"/>
  <c r="P515" i="1"/>
  <c r="O121" i="1"/>
  <c r="Q80" i="1"/>
  <c r="Q46" i="1"/>
  <c r="Q10" i="1"/>
  <c r="O278" i="1"/>
  <c r="O143" i="1"/>
  <c r="O182" i="1"/>
  <c r="Q106" i="1"/>
  <c r="Q87" i="1"/>
  <c r="Q69" i="1"/>
  <c r="Q50" i="1"/>
  <c r="Q31" i="1"/>
  <c r="Q13" i="1"/>
  <c r="Q738" i="1"/>
  <c r="Q762" i="1"/>
  <c r="Q108" i="1"/>
  <c r="Q116" i="1"/>
  <c r="Q124" i="1"/>
  <c r="Q132" i="1"/>
  <c r="Q140" i="1"/>
  <c r="Q148" i="1"/>
  <c r="Q156" i="1"/>
  <c r="Q164" i="1"/>
  <c r="Q172" i="1"/>
  <c r="Q180" i="1"/>
  <c r="Q188" i="1"/>
  <c r="Q196" i="1"/>
  <c r="Q204" i="1"/>
  <c r="Q212" i="1"/>
  <c r="Q220" i="1"/>
  <c r="Q228" i="1"/>
  <c r="Q236" i="1"/>
  <c r="Q244" i="1"/>
  <c r="Q252" i="1"/>
  <c r="Q260" i="1"/>
  <c r="Q268" i="1"/>
  <c r="Q276" i="1"/>
  <c r="Q284" i="1"/>
  <c r="Q292" i="1"/>
  <c r="Q300" i="1"/>
  <c r="Q308" i="1"/>
  <c r="Q316" i="1"/>
  <c r="Q324" i="1"/>
  <c r="Q332" i="1"/>
  <c r="Q340" i="1"/>
  <c r="Q348" i="1"/>
  <c r="Q356" i="1"/>
  <c r="Q364" i="1"/>
  <c r="Q372" i="1"/>
  <c r="Q380" i="1"/>
  <c r="Q388" i="1"/>
  <c r="Q690" i="1"/>
  <c r="Q721" i="1"/>
  <c r="Q946" i="1"/>
  <c r="Q688" i="1"/>
  <c r="Q752" i="1"/>
  <c r="Q1077" i="1"/>
  <c r="Q727" i="1"/>
  <c r="Q966" i="1"/>
  <c r="Q702" i="1"/>
  <c r="Q766" i="1"/>
  <c r="Q396" i="1"/>
  <c r="Q415" i="1"/>
  <c r="Q426" i="1"/>
  <c r="Q435" i="1"/>
  <c r="Q443" i="1"/>
  <c r="Q451" i="1"/>
  <c r="Q459" i="1"/>
  <c r="Q467" i="1"/>
  <c r="Q475" i="1"/>
  <c r="Q483" i="1"/>
  <c r="Q491" i="1"/>
  <c r="Q499" i="1"/>
  <c r="Q507" i="1"/>
  <c r="Q515" i="1"/>
  <c r="Q524" i="1"/>
  <c r="Q532" i="1"/>
  <c r="Q540" i="1"/>
  <c r="Q548" i="1"/>
  <c r="Q556" i="1"/>
  <c r="Q564" i="1"/>
  <c r="Q572" i="1"/>
  <c r="Q580" i="1"/>
  <c r="Q588" i="1"/>
  <c r="Q596" i="1"/>
  <c r="Q604" i="1"/>
  <c r="Q612" i="1"/>
  <c r="Q620" i="1"/>
  <c r="Q628" i="1"/>
  <c r="Q636" i="1"/>
  <c r="Q644" i="1"/>
  <c r="Q652" i="1"/>
  <c r="Q660" i="1"/>
  <c r="Q668" i="1"/>
  <c r="Q676" i="1"/>
  <c r="Q684" i="1"/>
  <c r="Q741" i="1"/>
  <c r="Q986" i="1"/>
  <c r="Q407" i="1"/>
  <c r="Q432" i="1"/>
  <c r="Q740" i="1"/>
  <c r="Q979" i="1"/>
  <c r="Q932" i="1"/>
  <c r="Q1060" i="1"/>
  <c r="Q898" i="1"/>
  <c r="Q905" i="1"/>
  <c r="Q953" i="1"/>
  <c r="Q985" i="1"/>
  <c r="Q912" i="1"/>
  <c r="Q1036" i="1"/>
  <c r="Q770" i="1"/>
  <c r="Q778" i="1"/>
  <c r="Q786" i="1"/>
  <c r="Q794" i="1"/>
  <c r="Q802" i="1"/>
  <c r="Q810" i="1"/>
  <c r="Q818" i="1"/>
  <c r="Q826" i="1"/>
  <c r="Q834" i="1"/>
  <c r="Q842" i="1"/>
  <c r="Q850" i="1"/>
  <c r="Q858" i="1"/>
  <c r="Q866" i="1"/>
  <c r="Q874" i="1"/>
  <c r="Q882" i="1"/>
  <c r="Q911" i="1"/>
  <c r="Q956" i="1"/>
  <c r="Q988" i="1"/>
  <c r="Q1045" i="1"/>
  <c r="Q918" i="1"/>
  <c r="Q1009" i="1"/>
  <c r="Q1073" i="1"/>
  <c r="Q1113" i="1"/>
  <c r="Q1007" i="1"/>
  <c r="Q1071" i="1"/>
  <c r="Q1112" i="1"/>
  <c r="Q1271" i="1"/>
  <c r="Q1054" i="1"/>
  <c r="Q1084" i="1"/>
  <c r="Q1043" i="1"/>
  <c r="Q1098" i="1"/>
  <c r="Q1130" i="1"/>
  <c r="Q1281" i="1"/>
  <c r="Q1295" i="1"/>
  <c r="Q1272" i="1"/>
  <c r="Q1214" i="1"/>
  <c r="Q1278" i="1"/>
  <c r="Q1138" i="1"/>
  <c r="Q1146" i="1"/>
  <c r="Q1154" i="1"/>
  <c r="Q1162" i="1"/>
  <c r="Q1170" i="1"/>
  <c r="Q1178" i="1"/>
  <c r="Q1186" i="1"/>
  <c r="Q1194" i="1"/>
  <c r="Q1202" i="1"/>
  <c r="Q1210" i="1"/>
  <c r="Q1253" i="1"/>
  <c r="Q1228" i="1"/>
  <c r="Q1292" i="1"/>
  <c r="Q1251" i="1"/>
  <c r="Q1226" i="1"/>
  <c r="Q1290" i="1"/>
  <c r="Q1574" i="1"/>
  <c r="Q1583" i="1"/>
  <c r="Q1556" i="1"/>
  <c r="Q1736" i="1"/>
  <c r="Q1664" i="1"/>
  <c r="Q1315" i="1"/>
  <c r="Q1323" i="1"/>
  <c r="Q1331" i="1"/>
  <c r="Q1339" i="1"/>
  <c r="Q1347" i="1"/>
  <c r="Q1355" i="1"/>
  <c r="Q1363" i="1"/>
  <c r="Q1371" i="1"/>
  <c r="Q1379" i="1"/>
  <c r="Q1387" i="1"/>
  <c r="Q1395" i="1"/>
  <c r="Q1403" i="1"/>
  <c r="Q1411" i="1"/>
  <c r="Q1419" i="1"/>
  <c r="Q1427" i="1"/>
  <c r="Q1435" i="1"/>
  <c r="Q1443" i="1"/>
  <c r="Q1554" i="1"/>
  <c r="Q1565" i="1"/>
  <c r="Q1718" i="1"/>
  <c r="Q1446" i="1"/>
  <c r="Q1454" i="1"/>
  <c r="Q1462" i="1"/>
  <c r="Q1470" i="1"/>
  <c r="Q1478" i="1"/>
  <c r="Q1486" i="1"/>
  <c r="Q1494" i="1"/>
  <c r="Q1502" i="1"/>
  <c r="Q1510" i="1"/>
  <c r="Q1518" i="1"/>
  <c r="Q1526" i="1"/>
  <c r="Q1534" i="1"/>
  <c r="Q1542" i="1"/>
  <c r="Q1550" i="1"/>
  <c r="Q1591" i="1"/>
  <c r="Q1727" i="1"/>
  <c r="Q1594" i="1"/>
  <c r="Q1703" i="1"/>
  <c r="Q1585" i="1"/>
  <c r="Q1672" i="1"/>
  <c r="Q1866" i="1"/>
  <c r="Q1620" i="1"/>
  <c r="Q1701" i="1"/>
  <c r="Q1587" i="1"/>
  <c r="Q1651" i="1"/>
  <c r="Q1834" i="1"/>
  <c r="Q1883" i="1"/>
  <c r="Q1765" i="1"/>
  <c r="Q1724" i="1"/>
  <c r="Q1867" i="1"/>
  <c r="Q1685" i="1"/>
  <c r="Q1693" i="1"/>
  <c r="Q1715" i="1"/>
  <c r="Q1779" i="1"/>
  <c r="Q1754" i="1"/>
  <c r="Q1849" i="1"/>
  <c r="Q1931" i="1"/>
  <c r="Q1786" i="1"/>
  <c r="Q1794" i="1"/>
  <c r="Q1802" i="1"/>
  <c r="Q1810" i="1"/>
  <c r="Q1818" i="1"/>
  <c r="Q1826" i="1"/>
  <c r="Q1848" i="1"/>
  <c r="Q1839" i="1"/>
  <c r="Q1893" i="1"/>
  <c r="Q1896" i="1"/>
  <c r="Q1889" i="1"/>
  <c r="Q1876" i="1"/>
  <c r="Q1930" i="1"/>
  <c r="Q1919" i="1"/>
  <c r="Q1934" i="1"/>
  <c r="Q1916" i="1"/>
  <c r="Q1945" i="1"/>
  <c r="Q1953" i="1"/>
  <c r="Q1961" i="1"/>
  <c r="Q1969" i="1"/>
  <c r="Q1977" i="1"/>
  <c r="Q1985" i="1"/>
  <c r="Q1993" i="1"/>
  <c r="Q2001" i="1"/>
  <c r="Q2009" i="1"/>
  <c r="Q2017" i="1"/>
  <c r="Q2025" i="1"/>
  <c r="Q2033" i="1"/>
  <c r="Q2041" i="1"/>
  <c r="Q2049" i="1"/>
  <c r="Q2057" i="1"/>
  <c r="Q2065" i="1"/>
  <c r="Q2073" i="1"/>
  <c r="Q2081" i="1"/>
  <c r="Q2089" i="1"/>
  <c r="Q2097" i="1"/>
  <c r="P104" i="1"/>
  <c r="P101" i="1"/>
  <c r="P98" i="1"/>
  <c r="P92" i="1"/>
  <c r="P86" i="1"/>
  <c r="P81" i="1"/>
  <c r="P73" i="1"/>
  <c r="P68" i="1"/>
  <c r="P61" i="1"/>
  <c r="P54" i="1"/>
  <c r="P49" i="1"/>
  <c r="P43" i="1"/>
  <c r="P35" i="1"/>
  <c r="P32" i="1"/>
  <c r="P26" i="1"/>
  <c r="P19" i="1"/>
  <c r="P14" i="1"/>
  <c r="P6" i="1"/>
  <c r="P107" i="1"/>
  <c r="P99" i="1"/>
  <c r="P95" i="1"/>
  <c r="P89" i="1"/>
  <c r="P85" i="1"/>
  <c r="P79" i="1"/>
  <c r="P75" i="1"/>
  <c r="P69" i="1"/>
  <c r="P62" i="1"/>
  <c r="P56" i="1"/>
  <c r="P51" i="1"/>
  <c r="P41" i="1"/>
  <c r="P37" i="1"/>
  <c r="P31" i="1"/>
  <c r="P23" i="1"/>
  <c r="P17" i="1"/>
  <c r="P15" i="1"/>
  <c r="P9" i="1"/>
  <c r="P3" i="1"/>
  <c r="P105" i="1"/>
  <c r="P100" i="1"/>
  <c r="P94" i="1"/>
  <c r="P91" i="1"/>
  <c r="P83" i="1"/>
  <c r="P78" i="1"/>
  <c r="P72" i="1"/>
  <c r="P64" i="1"/>
  <c r="P58" i="1"/>
  <c r="P53" i="1"/>
  <c r="P47" i="1"/>
  <c r="P42" i="1"/>
  <c r="P39" i="1"/>
  <c r="P30" i="1"/>
  <c r="P27" i="1"/>
  <c r="P21" i="1"/>
  <c r="P11" i="1"/>
  <c r="P8" i="1"/>
  <c r="P2" i="1"/>
  <c r="P115" i="1"/>
  <c r="P102" i="1"/>
  <c r="P97" i="1"/>
  <c r="P90" i="1"/>
  <c r="P84" i="1"/>
  <c r="P77" i="1"/>
  <c r="P71" i="1"/>
  <c r="P65" i="1"/>
  <c r="P59" i="1"/>
  <c r="P52" i="1"/>
  <c r="P46" i="1"/>
  <c r="P44" i="1"/>
  <c r="P38" i="1"/>
  <c r="P29" i="1"/>
  <c r="P24" i="1"/>
  <c r="P20" i="1"/>
  <c r="P13" i="1"/>
  <c r="P7" i="1"/>
  <c r="P106" i="1"/>
  <c r="P103" i="1"/>
  <c r="P96" i="1"/>
  <c r="P93" i="1"/>
  <c r="P87" i="1"/>
  <c r="P80" i="1"/>
  <c r="P74" i="1"/>
  <c r="P67" i="1"/>
  <c r="P60" i="1"/>
  <c r="P55" i="1"/>
  <c r="P48" i="1"/>
  <c r="P45" i="1"/>
  <c r="P36" i="1"/>
  <c r="P33" i="1"/>
  <c r="P25" i="1"/>
  <c r="P18" i="1"/>
  <c r="P12" i="1"/>
  <c r="P5" i="1"/>
  <c r="P88" i="1"/>
  <c r="P82" i="1"/>
  <c r="P76" i="1"/>
  <c r="P70" i="1"/>
  <c r="P66" i="1"/>
  <c r="P63" i="1"/>
  <c r="P57" i="1"/>
  <c r="P50" i="1"/>
  <c r="P40" i="1"/>
  <c r="P34" i="1"/>
  <c r="P28" i="1"/>
  <c r="P22" i="1"/>
  <c r="P16" i="1"/>
  <c r="P10" i="1"/>
  <c r="P4" i="1"/>
  <c r="Q90" i="1"/>
  <c r="Q65" i="1"/>
  <c r="Q41" i="1"/>
  <c r="Q18" i="1"/>
  <c r="P439" i="1"/>
  <c r="O2039" i="1"/>
  <c r="O2054" i="1"/>
  <c r="O2092" i="1"/>
  <c r="O2099" i="1"/>
  <c r="O2071" i="1"/>
  <c r="O320" i="1"/>
  <c r="O202" i="1"/>
  <c r="P721" i="1"/>
  <c r="O315" i="1"/>
  <c r="Q98" i="1"/>
  <c r="Q81" i="1"/>
  <c r="Q61" i="1"/>
  <c r="Q43" i="1"/>
  <c r="Q25" i="1"/>
  <c r="Q5" i="1"/>
  <c r="O254" i="1"/>
  <c r="P123" i="1"/>
  <c r="P443" i="1"/>
  <c r="O341" i="1"/>
  <c r="O277" i="1"/>
  <c r="O119" i="1"/>
  <c r="O392" i="1"/>
  <c r="O328" i="1"/>
  <c r="O198" i="1"/>
  <c r="O387" i="1"/>
  <c r="Q77" i="1"/>
  <c r="Q42" i="1"/>
  <c r="Q7" i="1"/>
  <c r="O262" i="1"/>
  <c r="O127" i="1"/>
  <c r="O174" i="1"/>
  <c r="O195" i="1"/>
  <c r="Q105" i="1"/>
  <c r="Q907" i="1"/>
  <c r="Q133" i="1"/>
  <c r="Q165" i="1"/>
  <c r="Q197" i="1"/>
  <c r="Q229" i="1"/>
  <c r="Q261" i="1"/>
  <c r="Q293" i="1"/>
  <c r="Q325" i="1"/>
  <c r="Q357" i="1"/>
  <c r="Q389" i="1"/>
  <c r="Q696" i="1"/>
  <c r="Q982" i="1"/>
  <c r="Q417" i="1"/>
  <c r="Q452" i="1"/>
  <c r="Q484" i="1"/>
  <c r="Q516" i="1"/>
  <c r="Q549" i="1"/>
  <c r="Q581" i="1"/>
  <c r="Q613" i="1"/>
  <c r="Q645" i="1"/>
  <c r="Q677" i="1"/>
  <c r="Q408" i="1"/>
  <c r="Q1002" i="1"/>
  <c r="Q957" i="1"/>
  <c r="Q771" i="1"/>
  <c r="Q811" i="1"/>
  <c r="Q843" i="1"/>
  <c r="Q875" i="1"/>
  <c r="Q992" i="1"/>
  <c r="Q1081" i="1"/>
  <c r="Q1287" i="1"/>
  <c r="Q1102" i="1"/>
  <c r="Q1280" i="1"/>
  <c r="Q1147" i="1"/>
  <c r="Q1187" i="1"/>
  <c r="Q1261" i="1"/>
  <c r="Q1234" i="1"/>
  <c r="Q1573" i="1"/>
  <c r="Q1324" i="1"/>
  <c r="Q1364" i="1"/>
  <c r="Q1396" i="1"/>
  <c r="Q1428" i="1"/>
  <c r="Q1568" i="1"/>
  <c r="Q1463" i="1"/>
  <c r="Q1495" i="1"/>
  <c r="Q1527" i="1"/>
  <c r="Q1613" i="1"/>
  <c r="Q1598" i="1"/>
  <c r="Q1595" i="1"/>
  <c r="Q1773" i="1"/>
  <c r="Q1694" i="1"/>
  <c r="Q1937" i="1"/>
  <c r="Q1811" i="1"/>
  <c r="Q1847" i="1"/>
  <c r="Q1884" i="1"/>
  <c r="Q1924" i="1"/>
  <c r="Q1978" i="1"/>
  <c r="Q86" i="1"/>
  <c r="Q62" i="1"/>
  <c r="Q38" i="1"/>
  <c r="Q15" i="1"/>
  <c r="O2047" i="1"/>
  <c r="O2062" i="1"/>
  <c r="O2096" i="1"/>
  <c r="O2020" i="1"/>
  <c r="O2075" i="1"/>
  <c r="O304" i="1"/>
  <c r="O190" i="1"/>
  <c r="P483" i="1"/>
  <c r="O275" i="1"/>
  <c r="Q95" i="1"/>
  <c r="Q78" i="1"/>
  <c r="Q59" i="1"/>
  <c r="Q40" i="1"/>
  <c r="Q22" i="1"/>
  <c r="Q2" i="1"/>
  <c r="O223" i="1"/>
  <c r="Q999" i="1"/>
  <c r="P397" i="1"/>
  <c r="O333" i="1"/>
  <c r="O269" i="1"/>
  <c r="P112" i="1"/>
  <c r="O384" i="1"/>
  <c r="O312" i="1"/>
  <c r="O186" i="1"/>
  <c r="O363" i="1"/>
  <c r="Q104" i="1"/>
  <c r="Q73" i="1"/>
  <c r="Q37" i="1"/>
  <c r="Q4" i="1"/>
  <c r="O246" i="1"/>
  <c r="O114" i="1"/>
  <c r="O166" i="1"/>
  <c r="O179" i="1"/>
  <c r="P535" i="1"/>
  <c r="Q699" i="1"/>
  <c r="Q117" i="1"/>
  <c r="Q149" i="1"/>
  <c r="Q181" i="1"/>
  <c r="Q213" i="1"/>
  <c r="Q245" i="1"/>
  <c r="Q277" i="1"/>
  <c r="Q309" i="1"/>
  <c r="Q341" i="1"/>
  <c r="Q373" i="1"/>
  <c r="Q729" i="1"/>
  <c r="Q1082" i="1"/>
  <c r="Q931" i="1"/>
  <c r="Q436" i="1"/>
  <c r="Q468" i="1"/>
  <c r="Q500" i="1"/>
  <c r="Q533" i="1"/>
  <c r="Q565" i="1"/>
  <c r="Q597" i="1"/>
  <c r="Q629" i="1"/>
  <c r="Q661" i="1"/>
  <c r="Q749" i="1"/>
  <c r="Q748" i="1"/>
  <c r="Q906" i="1"/>
  <c r="Q920" i="1"/>
  <c r="Q787" i="1"/>
  <c r="Q819" i="1"/>
  <c r="Q851" i="1"/>
  <c r="Q883" i="1"/>
  <c r="Q1048" i="1"/>
  <c r="Q1117" i="1"/>
  <c r="Q1116" i="1"/>
  <c r="Q1051" i="1"/>
  <c r="Q1216" i="1"/>
  <c r="Q1139" i="1"/>
  <c r="Q1171" i="1"/>
  <c r="Q1203" i="1"/>
  <c r="Q1299" i="1"/>
  <c r="Q1624" i="1"/>
  <c r="Q1670" i="1"/>
  <c r="Q1340" i="1"/>
  <c r="Q1372" i="1"/>
  <c r="Q1404" i="1"/>
  <c r="Q1436" i="1"/>
  <c r="Q1774" i="1"/>
  <c r="Q1471" i="1"/>
  <c r="Q1503" i="1"/>
  <c r="Q1535" i="1"/>
  <c r="Q1599" i="1"/>
  <c r="Q1904" i="1"/>
  <c r="Q1659" i="1"/>
  <c r="Q1732" i="1"/>
  <c r="Q1723" i="1"/>
  <c r="Q1857" i="1"/>
  <c r="Q1803" i="1"/>
  <c r="Q1856" i="1"/>
  <c r="Q1837" i="1"/>
  <c r="Q1927" i="1"/>
  <c r="Q1946" i="1"/>
  <c r="Q1962" i="1"/>
  <c r="Q1986" i="1"/>
  <c r="Q1994" i="1"/>
  <c r="Q2002" i="1"/>
  <c r="Q2010" i="1"/>
  <c r="Q2018" i="1"/>
  <c r="Q2026" i="1"/>
  <c r="Q2034" i="1"/>
  <c r="Q2042" i="1"/>
  <c r="Q2050" i="1"/>
  <c r="Q2058" i="1"/>
  <c r="Q2066" i="1"/>
  <c r="Q2074" i="1"/>
  <c r="Q2082" i="1"/>
  <c r="Q2090" i="1"/>
  <c r="Q2098" i="1"/>
  <c r="Q925" i="1"/>
  <c r="Q126" i="1"/>
  <c r="Q150" i="1"/>
  <c r="Q174" i="1"/>
  <c r="Q198" i="1"/>
  <c r="Q222" i="1"/>
  <c r="Q246" i="1"/>
  <c r="Q270" i="1"/>
  <c r="Q302" i="1"/>
  <c r="Q326" i="1"/>
  <c r="Q350" i="1"/>
  <c r="Q374" i="1"/>
  <c r="Q754" i="1"/>
  <c r="Q704" i="1"/>
  <c r="Q743" i="1"/>
  <c r="Q943" i="1"/>
  <c r="Q428" i="1"/>
  <c r="Q453" i="1"/>
  <c r="Q477" i="1"/>
  <c r="Q501" i="1"/>
  <c r="Q526" i="1"/>
  <c r="Q550" i="1"/>
  <c r="Q574" i="1"/>
  <c r="Q598" i="1"/>
  <c r="Q622" i="1"/>
  <c r="Q646" i="1"/>
  <c r="Q670" i="1"/>
  <c r="Q757" i="1"/>
  <c r="Q692" i="1"/>
  <c r="Q1012" i="1"/>
  <c r="Q921" i="1"/>
  <c r="Q928" i="1"/>
  <c r="Q780" i="1"/>
  <c r="Q804" i="1"/>
  <c r="Q828" i="1"/>
  <c r="Q852" i="1"/>
  <c r="Q876" i="1"/>
  <c r="Q964" i="1"/>
  <c r="Q934" i="1"/>
  <c r="Q1121" i="1"/>
  <c r="Q1120" i="1"/>
  <c r="Q1279" i="1"/>
  <c r="Q1225" i="1"/>
  <c r="Q1288" i="1"/>
  <c r="Q1140" i="1"/>
  <c r="Q1164" i="1"/>
  <c r="Q1188" i="1"/>
  <c r="Q1269" i="1"/>
  <c r="Q1267" i="1"/>
  <c r="Q1557" i="1"/>
  <c r="Q1570" i="1"/>
  <c r="Q1325" i="1"/>
  <c r="Q1349" i="1"/>
  <c r="Q1373" i="1"/>
  <c r="Q1397" i="1"/>
  <c r="Q1421" i="1"/>
  <c r="Q1562" i="1"/>
  <c r="Q1647" i="1"/>
  <c r="Q1464" i="1"/>
  <c r="Q1488" i="1"/>
  <c r="Q1512" i="1"/>
  <c r="Q1536" i="1"/>
  <c r="Q1618" i="1"/>
  <c r="Q1743" i="1"/>
  <c r="Q1913" i="1"/>
  <c r="Q1603" i="1"/>
  <c r="Q1717" i="1"/>
  <c r="Q1679" i="1"/>
  <c r="Q1731" i="1"/>
  <c r="Q1865" i="1"/>
  <c r="Q1796" i="1"/>
  <c r="Q1828" i="1"/>
  <c r="Q1838" i="1"/>
  <c r="Q1905" i="1"/>
  <c r="Q1935" i="1"/>
  <c r="Q1947" i="1"/>
  <c r="Q1963" i="1"/>
  <c r="Q1971" i="1"/>
  <c r="Q1987" i="1"/>
  <c r="Q1995" i="1"/>
  <c r="Q2003" i="1"/>
  <c r="Q2011" i="1"/>
  <c r="Q2019" i="1"/>
  <c r="Q2027" i="1"/>
  <c r="Q2035" i="1"/>
  <c r="Q2043" i="1"/>
  <c r="Q2051" i="1"/>
  <c r="Q2059" i="1"/>
  <c r="Q2067" i="1"/>
  <c r="Q2075" i="1"/>
  <c r="Q2083" i="1"/>
  <c r="Q2091" i="1"/>
  <c r="Q2099" i="1"/>
  <c r="Q82" i="1"/>
  <c r="Q60" i="1"/>
  <c r="Q35" i="1"/>
  <c r="Q12" i="1"/>
  <c r="O2079" i="1"/>
  <c r="O288" i="1"/>
  <c r="O178" i="1"/>
  <c r="P451" i="1"/>
  <c r="O243" i="1"/>
  <c r="Q93" i="1"/>
  <c r="Q75" i="1"/>
  <c r="Q57" i="1"/>
  <c r="Q39" i="1"/>
  <c r="Q20" i="1"/>
  <c r="O412" i="1"/>
  <c r="O211" i="1"/>
  <c r="Q917" i="1"/>
  <c r="O389" i="1"/>
  <c r="O325" i="1"/>
  <c r="O261" i="1"/>
  <c r="O111" i="1"/>
  <c r="O376" i="1"/>
  <c r="O296" i="1"/>
  <c r="O154" i="1"/>
  <c r="O299" i="1"/>
  <c r="Q100" i="1"/>
  <c r="Q68" i="1"/>
  <c r="Q33" i="1"/>
  <c r="O409" i="1"/>
  <c r="O230" i="1"/>
  <c r="P714" i="1"/>
  <c r="O158" i="1"/>
  <c r="O163" i="1"/>
  <c r="O86" i="1"/>
  <c r="Q109" i="1"/>
  <c r="Q141" i="1"/>
  <c r="Q173" i="1"/>
  <c r="Q205" i="1"/>
  <c r="Q237" i="1"/>
  <c r="Q269" i="1"/>
  <c r="Q301" i="1"/>
  <c r="Q333" i="1"/>
  <c r="Q365" i="1"/>
  <c r="Q722" i="1"/>
  <c r="Q760" i="1"/>
  <c r="Q710" i="1"/>
  <c r="Q427" i="1"/>
  <c r="Q460" i="1"/>
  <c r="Q492" i="1"/>
  <c r="Q525" i="1"/>
  <c r="Q557" i="1"/>
  <c r="Q589" i="1"/>
  <c r="Q621" i="1"/>
  <c r="Q653" i="1"/>
  <c r="Q685" i="1"/>
  <c r="Q523" i="1"/>
  <c r="Q1074" i="1"/>
  <c r="Q989" i="1"/>
  <c r="Q779" i="1"/>
  <c r="Q803" i="1"/>
  <c r="Q835" i="1"/>
  <c r="Q867" i="1"/>
  <c r="Q960" i="1"/>
  <c r="Q1017" i="1"/>
  <c r="Q1079" i="1"/>
  <c r="Q1215" i="1"/>
  <c r="Q1632" i="1"/>
  <c r="Q1286" i="1"/>
  <c r="Q1163" i="1"/>
  <c r="Q1195" i="1"/>
  <c r="Q1236" i="1"/>
  <c r="Q1298" i="1"/>
  <c r="Q1563" i="1"/>
  <c r="Q1332" i="1"/>
  <c r="Q1356" i="1"/>
  <c r="Q1388" i="1"/>
  <c r="Q1420" i="1"/>
  <c r="Q1609" i="1"/>
  <c r="Q1455" i="1"/>
  <c r="Q1487" i="1"/>
  <c r="Q1519" i="1"/>
  <c r="Q1551" i="1"/>
  <c r="Q1720" i="1"/>
  <c r="Q1628" i="1"/>
  <c r="Q1875" i="1"/>
  <c r="Q1678" i="1"/>
  <c r="Q1842" i="1"/>
  <c r="Q1787" i="1"/>
  <c r="Q1819" i="1"/>
  <c r="Q1915" i="1"/>
  <c r="Q1938" i="1"/>
  <c r="Q1954" i="1"/>
  <c r="Q731" i="1"/>
  <c r="Q110" i="1"/>
  <c r="Q134" i="1"/>
  <c r="Q158" i="1"/>
  <c r="Q182" i="1"/>
  <c r="Q206" i="1"/>
  <c r="Q230" i="1"/>
  <c r="Q254" i="1"/>
  <c r="Q278" i="1"/>
  <c r="Q294" i="1"/>
  <c r="Q318" i="1"/>
  <c r="Q342" i="1"/>
  <c r="Q366" i="1"/>
  <c r="Q390" i="1"/>
  <c r="Q978" i="1"/>
  <c r="Q1135" i="1"/>
  <c r="Q718" i="1"/>
  <c r="Q419" i="1"/>
  <c r="Q445" i="1"/>
  <c r="Q469" i="1"/>
  <c r="Q493" i="1"/>
  <c r="Q517" i="1"/>
  <c r="Q542" i="1"/>
  <c r="Q566" i="1"/>
  <c r="Q590" i="1"/>
  <c r="Q614" i="1"/>
  <c r="Q638" i="1"/>
  <c r="Q662" i="1"/>
  <c r="Q693" i="1"/>
  <c r="Q410" i="1"/>
  <c r="Q1053" i="1"/>
  <c r="Q914" i="1"/>
  <c r="Q993" i="1"/>
  <c r="Q772" i="1"/>
  <c r="Q796" i="1"/>
  <c r="Q820" i="1"/>
  <c r="Q844" i="1"/>
  <c r="Q868" i="1"/>
  <c r="Q927" i="1"/>
  <c r="Q1061" i="1"/>
  <c r="Q1089" i="1"/>
  <c r="Q1087" i="1"/>
  <c r="Q1070" i="1"/>
  <c r="Q1106" i="1"/>
  <c r="Q1224" i="1"/>
  <c r="Q1294" i="1"/>
  <c r="Q1156" i="1"/>
  <c r="Q1180" i="1"/>
  <c r="Q1204" i="1"/>
  <c r="Q1244" i="1"/>
  <c r="Q1242" i="1"/>
  <c r="Q1657" i="1"/>
  <c r="Q1712" i="1"/>
  <c r="Q1333" i="1"/>
  <c r="Q1357" i="1"/>
  <c r="Q1381" i="1"/>
  <c r="Q1405" i="1"/>
  <c r="Q1429" i="1"/>
  <c r="Q1625" i="1"/>
  <c r="Q1448" i="1"/>
  <c r="Q1472" i="1"/>
  <c r="Q1496" i="1"/>
  <c r="Q1520" i="1"/>
  <c r="Q1544" i="1"/>
  <c r="Q1704" i="1"/>
  <c r="Q1608" i="1"/>
  <c r="Q1636" i="1"/>
  <c r="Q1667" i="1"/>
  <c r="Q1850" i="1"/>
  <c r="Q1687" i="1"/>
  <c r="Q1874" i="1"/>
  <c r="Q1780" i="1"/>
  <c r="Q1804" i="1"/>
  <c r="Q1820" i="1"/>
  <c r="Q1855" i="1"/>
  <c r="Q1939" i="1"/>
  <c r="Q1920" i="1"/>
  <c r="Q1932" i="1"/>
  <c r="Q1955" i="1"/>
  <c r="Q1979" i="1"/>
  <c r="Q958" i="1"/>
  <c r="Q763" i="1"/>
  <c r="Q967" i="1"/>
  <c r="Q119" i="1"/>
  <c r="Q135" i="1"/>
  <c r="Q151" i="1"/>
  <c r="Q167" i="1"/>
  <c r="Q183" i="1"/>
  <c r="Q199" i="1"/>
  <c r="Q215" i="1"/>
  <c r="Q231" i="1"/>
  <c r="Q247" i="1"/>
  <c r="Q263" i="1"/>
  <c r="Q279" i="1"/>
  <c r="Q295" i="1"/>
  <c r="Q311" i="1"/>
  <c r="Q327" i="1"/>
  <c r="Q343" i="1"/>
  <c r="Q359" i="1"/>
  <c r="Q375" i="1"/>
  <c r="Q391" i="1"/>
  <c r="Q745" i="1"/>
  <c r="Q712" i="1"/>
  <c r="Q687" i="1"/>
  <c r="Q1005" i="1"/>
  <c r="Q959" i="1"/>
  <c r="Q420" i="1"/>
  <c r="Q438" i="1"/>
  <c r="Q454" i="1"/>
  <c r="Q470" i="1"/>
  <c r="Q486" i="1"/>
  <c r="Q502" i="1"/>
  <c r="Q518" i="1"/>
  <c r="Q535" i="1"/>
  <c r="Q551" i="1"/>
  <c r="Q567" i="1"/>
  <c r="Q583" i="1"/>
  <c r="Q599" i="1"/>
  <c r="Q615" i="1"/>
  <c r="Q631" i="1"/>
  <c r="Q647" i="1"/>
  <c r="Q663" i="1"/>
  <c r="Q679" i="1"/>
  <c r="Q765" i="1"/>
  <c r="Q412" i="1"/>
  <c r="Q764" i="1"/>
  <c r="Q1018" i="1"/>
  <c r="Q922" i="1"/>
  <c r="Q997" i="1"/>
  <c r="Q1058" i="1"/>
  <c r="Q781" i="1"/>
  <c r="Q797" i="1"/>
  <c r="Q813" i="1"/>
  <c r="Q829" i="1"/>
  <c r="Q845" i="1"/>
  <c r="Q861" i="1"/>
  <c r="Q877" i="1"/>
  <c r="Q935" i="1"/>
  <c r="Q1000" i="1"/>
  <c r="Q1069" i="1"/>
  <c r="Q1093" i="1"/>
  <c r="Q1031" i="1"/>
  <c r="Q1124" i="1"/>
  <c r="Q1078" i="1"/>
  <c r="Q1067" i="1"/>
  <c r="Q1263" i="1"/>
  <c r="Q1232" i="1"/>
  <c r="Q1238" i="1"/>
  <c r="Q1141" i="1"/>
  <c r="Q1157" i="1"/>
  <c r="Q1173" i="1"/>
  <c r="Q1189" i="1"/>
  <c r="Q1205" i="1"/>
  <c r="Q1277" i="1"/>
  <c r="Q1307" i="1"/>
  <c r="Q1250" i="1"/>
  <c r="Q1584" i="1"/>
  <c r="Q1610" i="1"/>
  <c r="Q1310" i="1"/>
  <c r="Q1326" i="1"/>
  <c r="Q1342" i="1"/>
  <c r="Q1358" i="1"/>
  <c r="Q1374" i="1"/>
  <c r="Q1390" i="1"/>
  <c r="Q1406" i="1"/>
  <c r="Q1422" i="1"/>
  <c r="Q1438" i="1"/>
  <c r="Q1646" i="1"/>
  <c r="Q1669" i="1"/>
  <c r="Q1457" i="1"/>
  <c r="Q1473" i="1"/>
  <c r="Q1489" i="1"/>
  <c r="Q1505" i="1"/>
  <c r="Q1521" i="1"/>
  <c r="Q1537" i="1"/>
  <c r="Q1553" i="1"/>
  <c r="Q1626" i="1"/>
  <c r="Q1617" i="1"/>
  <c r="Q1580" i="1"/>
  <c r="Q1735" i="1"/>
  <c r="Q1675" i="1"/>
  <c r="Q1725" i="1"/>
  <c r="Q1748" i="1"/>
  <c r="Q1688" i="1"/>
  <c r="Q1739" i="1"/>
  <c r="Q1778" i="1"/>
  <c r="Q1781" i="1"/>
  <c r="Q1797" i="1"/>
  <c r="Q1813" i="1"/>
  <c r="Q1829" i="1"/>
  <c r="Q1872" i="1"/>
  <c r="Q1846" i="1"/>
  <c r="Q1853" i="1"/>
  <c r="Q1836" i="1"/>
  <c r="Q1929" i="1"/>
  <c r="Q1928" i="1"/>
  <c r="Q1894" i="1"/>
  <c r="Q1925" i="1"/>
  <c r="Q1940" i="1"/>
  <c r="Q1948" i="1"/>
  <c r="Q1956" i="1"/>
  <c r="Q1964" i="1"/>
  <c r="Q1972" i="1"/>
  <c r="Q1980" i="1"/>
  <c r="Q1988" i="1"/>
  <c r="Q1996" i="1"/>
  <c r="Q2004" i="1"/>
  <c r="Q2012" i="1"/>
  <c r="Q2020" i="1"/>
  <c r="Q2028" i="1"/>
  <c r="Q2036" i="1"/>
  <c r="Q2044" i="1"/>
  <c r="Q2052" i="1"/>
  <c r="Q2060" i="1"/>
  <c r="Q2068" i="1"/>
  <c r="Q2076" i="1"/>
  <c r="Q2084" i="1"/>
  <c r="Q2092" i="1"/>
  <c r="Q79" i="1"/>
  <c r="Q56" i="1"/>
  <c r="Q32" i="1"/>
  <c r="Q9" i="1"/>
  <c r="O2083" i="1"/>
  <c r="O264" i="1"/>
  <c r="O170" i="1"/>
  <c r="P419" i="1"/>
  <c r="P122" i="1"/>
  <c r="Q91" i="1"/>
  <c r="Q74" i="1"/>
  <c r="Q55" i="1"/>
  <c r="Q36" i="1"/>
  <c r="Q17" i="1"/>
  <c r="O382" i="1"/>
  <c r="O199" i="1"/>
  <c r="Q714" i="1"/>
  <c r="O381" i="1"/>
  <c r="O317" i="1"/>
  <c r="O253" i="1"/>
  <c r="O368" i="1"/>
  <c r="O272" i="1"/>
  <c r="O146" i="1"/>
  <c r="O283" i="1"/>
  <c r="Q96" i="1"/>
  <c r="Q63" i="1"/>
  <c r="Q28" i="1"/>
  <c r="O390" i="1"/>
  <c r="O215" i="1"/>
  <c r="P527" i="1"/>
  <c r="O150" i="1"/>
  <c r="O139" i="1"/>
  <c r="P753" i="1"/>
  <c r="Q951" i="1"/>
  <c r="Q125" i="1"/>
  <c r="Q157" i="1"/>
  <c r="Q189" i="1"/>
  <c r="Q221" i="1"/>
  <c r="Q253" i="1"/>
  <c r="Q285" i="1"/>
  <c r="Q317" i="1"/>
  <c r="Q349" i="1"/>
  <c r="Q381" i="1"/>
  <c r="Q962" i="1"/>
  <c r="Q735" i="1"/>
  <c r="Q398" i="1"/>
  <c r="Q444" i="1"/>
  <c r="Q476" i="1"/>
  <c r="Q508" i="1"/>
  <c r="Q541" i="1"/>
  <c r="Q573" i="1"/>
  <c r="Q605" i="1"/>
  <c r="Q637" i="1"/>
  <c r="Q669" i="1"/>
  <c r="Q1037" i="1"/>
  <c r="Q995" i="1"/>
  <c r="Q913" i="1"/>
  <c r="Q1042" i="1"/>
  <c r="Q795" i="1"/>
  <c r="Q827" i="1"/>
  <c r="Q859" i="1"/>
  <c r="Q919" i="1"/>
  <c r="Q926" i="1"/>
  <c r="Q1015" i="1"/>
  <c r="Q1062" i="1"/>
  <c r="Q1134" i="1"/>
  <c r="Q1222" i="1"/>
  <c r="Q1155" i="1"/>
  <c r="Q1179" i="1"/>
  <c r="Q1211" i="1"/>
  <c r="Q1259" i="1"/>
  <c r="Q1633" i="1"/>
  <c r="Q1316" i="1"/>
  <c r="Q1348" i="1"/>
  <c r="Q1380" i="1"/>
  <c r="Q1412" i="1"/>
  <c r="Q1555" i="1"/>
  <c r="Q1447" i="1"/>
  <c r="Q1479" i="1"/>
  <c r="Q1511" i="1"/>
  <c r="Q1543" i="1"/>
  <c r="Q1759" i="1"/>
  <c r="Q1702" i="1"/>
  <c r="Q1706" i="1"/>
  <c r="Q1901" i="1"/>
  <c r="Q1686" i="1"/>
  <c r="Q1762" i="1"/>
  <c r="Q1795" i="1"/>
  <c r="Q1827" i="1"/>
  <c r="Q1899" i="1"/>
  <c r="Q1909" i="1"/>
  <c r="Q1970" i="1"/>
  <c r="Q691" i="1"/>
  <c r="Q118" i="1"/>
  <c r="Q142" i="1"/>
  <c r="Q166" i="1"/>
  <c r="Q190" i="1"/>
  <c r="Q214" i="1"/>
  <c r="Q238" i="1"/>
  <c r="Q262" i="1"/>
  <c r="Q286" i="1"/>
  <c r="Q310" i="1"/>
  <c r="Q334" i="1"/>
  <c r="Q358" i="1"/>
  <c r="Q382" i="1"/>
  <c r="Q737" i="1"/>
  <c r="Q901" i="1"/>
  <c r="Q998" i="1"/>
  <c r="Q401" i="1"/>
  <c r="Q437" i="1"/>
  <c r="Q461" i="1"/>
  <c r="Q485" i="1"/>
  <c r="Q509" i="1"/>
  <c r="Q534" i="1"/>
  <c r="Q558" i="1"/>
  <c r="Q582" i="1"/>
  <c r="Q606" i="1"/>
  <c r="Q630" i="1"/>
  <c r="Q654" i="1"/>
  <c r="Q678" i="1"/>
  <c r="Q397" i="1"/>
  <c r="Q756" i="1"/>
  <c r="Q1085" i="1"/>
  <c r="Q961" i="1"/>
  <c r="Q1052" i="1"/>
  <c r="Q788" i="1"/>
  <c r="Q812" i="1"/>
  <c r="Q836" i="1"/>
  <c r="Q860" i="1"/>
  <c r="Q884" i="1"/>
  <c r="Q996" i="1"/>
  <c r="Q1025" i="1"/>
  <c r="Q1023" i="1"/>
  <c r="Q1006" i="1"/>
  <c r="Q1059" i="1"/>
  <c r="Q1247" i="1"/>
  <c r="Q1230" i="1"/>
  <c r="Q1148" i="1"/>
  <c r="Q1172" i="1"/>
  <c r="Q1196" i="1"/>
  <c r="Q1212" i="1"/>
  <c r="Q1303" i="1"/>
  <c r="Q1302" i="1"/>
  <c r="Q1582" i="1"/>
  <c r="Q1317" i="1"/>
  <c r="Q1341" i="1"/>
  <c r="Q1365" i="1"/>
  <c r="Q1389" i="1"/>
  <c r="Q1413" i="1"/>
  <c r="Q1437" i="1"/>
  <c r="Q1575" i="1"/>
  <c r="Q1456" i="1"/>
  <c r="Q1480" i="1"/>
  <c r="Q1504" i="1"/>
  <c r="Q1528" i="1"/>
  <c r="Q1552" i="1"/>
  <c r="Q1621" i="1"/>
  <c r="Q1709" i="1"/>
  <c r="Q1711" i="1"/>
  <c r="Q1744" i="1"/>
  <c r="Q1740" i="1"/>
  <c r="Q1695" i="1"/>
  <c r="Q1770" i="1"/>
  <c r="Q1788" i="1"/>
  <c r="Q1812" i="1"/>
  <c r="Q1864" i="1"/>
  <c r="Q1845" i="1"/>
  <c r="Q1917" i="1"/>
  <c r="Q723" i="1"/>
  <c r="Q111" i="1"/>
  <c r="Q127" i="1"/>
  <c r="Q143" i="1"/>
  <c r="Q159" i="1"/>
  <c r="Q175" i="1"/>
  <c r="Q191" i="1"/>
  <c r="Q207" i="1"/>
  <c r="Q223" i="1"/>
  <c r="Q239" i="1"/>
  <c r="Q255" i="1"/>
  <c r="Q271" i="1"/>
  <c r="Q287" i="1"/>
  <c r="Q303" i="1"/>
  <c r="Q319" i="1"/>
  <c r="Q335" i="1"/>
  <c r="Q351" i="1"/>
  <c r="Q367" i="1"/>
  <c r="Q383" i="1"/>
  <c r="Q983" i="1"/>
  <c r="Q994" i="1"/>
  <c r="Q939" i="1"/>
  <c r="Q751" i="1"/>
  <c r="Q726" i="1"/>
  <c r="Q404" i="1"/>
  <c r="Q429" i="1"/>
  <c r="Q446" i="1"/>
  <c r="Q462" i="1"/>
  <c r="Q478" i="1"/>
  <c r="Q494" i="1"/>
  <c r="Q510" i="1"/>
  <c r="Q527" i="1"/>
  <c r="Q543" i="1"/>
  <c r="Q559" i="1"/>
  <c r="Q575" i="1"/>
  <c r="Q591" i="1"/>
  <c r="Q607" i="1"/>
  <c r="Q623" i="1"/>
  <c r="Q639" i="1"/>
  <c r="Q655" i="1"/>
  <c r="Q671" i="1"/>
  <c r="Q701" i="1"/>
  <c r="Q399" i="1"/>
  <c r="Q700" i="1"/>
  <c r="Q892" i="1"/>
  <c r="Q1088" i="1"/>
  <c r="Q929" i="1"/>
  <c r="Q965" i="1"/>
  <c r="Q936" i="1"/>
  <c r="Q773" i="1"/>
  <c r="Q789" i="1"/>
  <c r="Q805" i="1"/>
  <c r="Q821" i="1"/>
  <c r="Q837" i="1"/>
  <c r="Q853" i="1"/>
  <c r="Q869" i="1"/>
  <c r="Q885" i="1"/>
  <c r="Q968" i="1"/>
  <c r="Q1064" i="1"/>
  <c r="Q1033" i="1"/>
  <c r="Q1125" i="1"/>
  <c r="Q1092" i="1"/>
  <c r="Q1014" i="1"/>
  <c r="Q1003" i="1"/>
  <c r="Q1110" i="1"/>
  <c r="Q1273" i="1"/>
  <c r="Q1296" i="1"/>
  <c r="Q1300" i="1"/>
  <c r="Q1149" i="1"/>
  <c r="Q1165" i="1"/>
  <c r="Q1181" i="1"/>
  <c r="Q1197" i="1"/>
  <c r="Q1213" i="1"/>
  <c r="Q1252" i="1"/>
  <c r="Q1275" i="1"/>
  <c r="Q1306" i="1"/>
  <c r="Q1671" i="1"/>
  <c r="Q1597" i="1"/>
  <c r="Q1318" i="1"/>
  <c r="Q1334" i="1"/>
  <c r="Q1350" i="1"/>
  <c r="Q1366" i="1"/>
  <c r="Q1382" i="1"/>
  <c r="Q1398" i="1"/>
  <c r="Q1414" i="1"/>
  <c r="Q1430" i="1"/>
  <c r="Q1578" i="1"/>
  <c r="Q1602" i="1"/>
  <c r="Q1449" i="1"/>
  <c r="Q1465" i="1"/>
  <c r="Q1481" i="1"/>
  <c r="Q1497" i="1"/>
  <c r="Q1513" i="1"/>
  <c r="Q1529" i="1"/>
  <c r="Q1545" i="1"/>
  <c r="Q1623" i="1"/>
  <c r="Q1726" i="1"/>
  <c r="Q1775" i="1"/>
  <c r="Q1713" i="1"/>
  <c r="Q1644" i="1"/>
  <c r="Q1611" i="1"/>
  <c r="Q1752" i="1"/>
  <c r="Q1882" i="1"/>
  <c r="Q1680" i="1"/>
  <c r="Q1696" i="1"/>
  <c r="Q1714" i="1"/>
  <c r="Q1873" i="1"/>
  <c r="Q1789" i="1"/>
  <c r="Q1805" i="1"/>
  <c r="Q1821" i="1"/>
  <c r="Q1863" i="1"/>
  <c r="Q899" i="1"/>
  <c r="Q755" i="1"/>
  <c r="Q715" i="1"/>
  <c r="Q112" i="1"/>
  <c r="Q120" i="1"/>
  <c r="Q128" i="1"/>
  <c r="Q136" i="1"/>
  <c r="Q144" i="1"/>
  <c r="Q152" i="1"/>
  <c r="Q160" i="1"/>
  <c r="Q168" i="1"/>
  <c r="Q176" i="1"/>
  <c r="Q184" i="1"/>
  <c r="Q192" i="1"/>
  <c r="Q200" i="1"/>
  <c r="Q208" i="1"/>
  <c r="Q216" i="1"/>
  <c r="Q224" i="1"/>
  <c r="Q232" i="1"/>
  <c r="Q240" i="1"/>
  <c r="Q248" i="1"/>
  <c r="Q256" i="1"/>
  <c r="Q264" i="1"/>
  <c r="Q272" i="1"/>
  <c r="Q280" i="1"/>
  <c r="Q288" i="1"/>
  <c r="Q296" i="1"/>
  <c r="Q304" i="1"/>
  <c r="Q312" i="1"/>
  <c r="Q320" i="1"/>
  <c r="Q328" i="1"/>
  <c r="Q336" i="1"/>
  <c r="Q344" i="1"/>
  <c r="Q352" i="1"/>
  <c r="Q360" i="1"/>
  <c r="Q368" i="1"/>
  <c r="Q376" i="1"/>
  <c r="Q384" i="1"/>
  <c r="Q392" i="1"/>
  <c r="Q689" i="1"/>
  <c r="Q753" i="1"/>
  <c r="Q1008" i="1"/>
  <c r="Q720" i="1"/>
  <c r="Q955" i="1"/>
  <c r="Q695" i="1"/>
  <c r="Q759" i="1"/>
  <c r="Q1040" i="1"/>
  <c r="Q734" i="1"/>
  <c r="Q975" i="1"/>
  <c r="Q406" i="1"/>
  <c r="Q422" i="1"/>
  <c r="Q430" i="1"/>
  <c r="Q439" i="1"/>
  <c r="Q447" i="1"/>
  <c r="Q455" i="1"/>
  <c r="Q463" i="1"/>
  <c r="Q471" i="1"/>
  <c r="Q479" i="1"/>
  <c r="Q487" i="1"/>
  <c r="Q495" i="1"/>
  <c r="Q503" i="1"/>
  <c r="Q511" i="1"/>
  <c r="Q519" i="1"/>
  <c r="Q528" i="1"/>
  <c r="Q536" i="1"/>
  <c r="Q544" i="1"/>
  <c r="Q552" i="1"/>
  <c r="Q560" i="1"/>
  <c r="Q568" i="1"/>
  <c r="Q576" i="1"/>
  <c r="Q584" i="1"/>
  <c r="Q592" i="1"/>
  <c r="Q600" i="1"/>
  <c r="Q608" i="1"/>
  <c r="Q616" i="1"/>
  <c r="Q624" i="1"/>
  <c r="Q632" i="1"/>
  <c r="Q640" i="1"/>
  <c r="Q648" i="1"/>
  <c r="Q656" i="1"/>
  <c r="Q664" i="1"/>
  <c r="Q672" i="1"/>
  <c r="Q680" i="1"/>
  <c r="Q709" i="1"/>
  <c r="Q923" i="1"/>
  <c r="Q400" i="1"/>
  <c r="Q414" i="1"/>
  <c r="Q708" i="1"/>
  <c r="Q915" i="1"/>
  <c r="Q900" i="1"/>
  <c r="Q1028" i="1"/>
  <c r="Q1123" i="1"/>
  <c r="Q930" i="1"/>
  <c r="Q937" i="1"/>
  <c r="Q969" i="1"/>
  <c r="Q1119" i="1"/>
  <c r="Q1004" i="1"/>
  <c r="Q1099" i="1"/>
  <c r="Q774" i="1"/>
  <c r="Q782" i="1"/>
  <c r="Q790" i="1"/>
  <c r="Q798" i="1"/>
  <c r="Q806" i="1"/>
  <c r="Q814" i="1"/>
  <c r="Q822" i="1"/>
  <c r="Q830" i="1"/>
  <c r="Q838" i="1"/>
  <c r="Q846" i="1"/>
  <c r="Q854" i="1"/>
  <c r="Q862" i="1"/>
  <c r="Q870" i="1"/>
  <c r="Q878" i="1"/>
  <c r="Q886" i="1"/>
  <c r="Q940" i="1"/>
  <c r="Q972" i="1"/>
  <c r="Q1013" i="1"/>
  <c r="Q1127" i="1"/>
  <c r="Q1072" i="1"/>
  <c r="Q1041" i="1"/>
  <c r="Q1097" i="1"/>
  <c r="Q1129" i="1"/>
  <c r="Q1039" i="1"/>
  <c r="Q1096" i="1"/>
  <c r="Q1128" i="1"/>
  <c r="Q1022" i="1"/>
  <c r="Q1086" i="1"/>
  <c r="Q1011" i="1"/>
  <c r="Q1075" i="1"/>
  <c r="Q1114" i="1"/>
  <c r="Q1289" i="1"/>
  <c r="Q1239" i="1"/>
  <c r="Q1240" i="1"/>
  <c r="Q1301" i="1"/>
  <c r="Q1246" i="1"/>
  <c r="Q1304" i="1"/>
  <c r="Q1142" i="1"/>
  <c r="Q1150" i="1"/>
  <c r="Q1158" i="1"/>
  <c r="Q1166" i="1"/>
  <c r="Q1174" i="1"/>
  <c r="Q1182" i="1"/>
  <c r="Q1190" i="1"/>
  <c r="Q1198" i="1"/>
  <c r="Q1206" i="1"/>
  <c r="Q1221" i="1"/>
  <c r="Q1285" i="1"/>
  <c r="Q1260" i="1"/>
  <c r="Q1219" i="1"/>
  <c r="Q1283" i="1"/>
  <c r="Q1258" i="1"/>
  <c r="Q1592" i="1"/>
  <c r="Q1601" i="1"/>
  <c r="Q1593" i="1"/>
  <c r="Q1622" i="1"/>
  <c r="Q1600" i="1"/>
  <c r="Q1311" i="1"/>
  <c r="Q1319" i="1"/>
  <c r="Q1327" i="1"/>
  <c r="Q1335" i="1"/>
  <c r="Q1343" i="1"/>
  <c r="Q1351" i="1"/>
  <c r="Q1359" i="1"/>
  <c r="Q1367" i="1"/>
  <c r="Q1375" i="1"/>
  <c r="Q1383" i="1"/>
  <c r="Q1391" i="1"/>
  <c r="Q1399" i="1"/>
  <c r="Q1407" i="1"/>
  <c r="Q1415" i="1"/>
  <c r="Q1423" i="1"/>
  <c r="Q1431" i="1"/>
  <c r="Q1439" i="1"/>
  <c r="Q1590" i="1"/>
  <c r="Q1666" i="1"/>
  <c r="Q1606" i="1"/>
  <c r="Q1674" i="1"/>
  <c r="Q1450" i="1"/>
  <c r="Q1458" i="1"/>
  <c r="Q1466" i="1"/>
  <c r="Q1474" i="1"/>
  <c r="Q1482" i="1"/>
  <c r="Q1490" i="1"/>
  <c r="Q1498" i="1"/>
  <c r="Q1506" i="1"/>
  <c r="Q1514" i="1"/>
  <c r="Q1522" i="1"/>
  <c r="Q1530" i="1"/>
  <c r="Q1538" i="1"/>
  <c r="Q1546" i="1"/>
  <c r="Q1561" i="1"/>
  <c r="Q1645" i="1"/>
  <c r="Q1751" i="1"/>
  <c r="Q1631" i="1"/>
  <c r="Q1558" i="1"/>
  <c r="Q1630" i="1"/>
  <c r="Q1719" i="1"/>
  <c r="Q1588" i="1"/>
  <c r="Q1652" i="1"/>
  <c r="Q1753" i="1"/>
  <c r="Q1619" i="1"/>
  <c r="Q1710" i="1"/>
  <c r="Q1760" i="1"/>
  <c r="Q1733" i="1"/>
  <c r="Q1921" i="1"/>
  <c r="Q1756" i="1"/>
  <c r="Q1681" i="1"/>
  <c r="Q1689" i="1"/>
  <c r="Q1697" i="1"/>
  <c r="Q1747" i="1"/>
  <c r="Q1722" i="1"/>
  <c r="Q1859" i="1"/>
  <c r="Q1881" i="1"/>
  <c r="Q1782" i="1"/>
  <c r="Q1790" i="1"/>
  <c r="Q1798" i="1"/>
  <c r="Q1806" i="1"/>
  <c r="Q1814" i="1"/>
  <c r="Q1822" i="1"/>
  <c r="Q1830" i="1"/>
  <c r="Q1880" i="1"/>
  <c r="Q1871" i="1"/>
  <c r="Q1854" i="1"/>
  <c r="Q1861" i="1"/>
  <c r="Q1844" i="1"/>
  <c r="Q1898" i="1"/>
  <c r="Q1936" i="1"/>
  <c r="Q1902" i="1"/>
  <c r="Q1933" i="1"/>
  <c r="Q1941" i="1"/>
  <c r="Q1949" i="1"/>
  <c r="Q1957" i="1"/>
  <c r="Q1965" i="1"/>
  <c r="Q1973" i="1"/>
  <c r="Q1981" i="1"/>
  <c r="Q1989" i="1"/>
  <c r="Q1997" i="1"/>
  <c r="Q2005" i="1"/>
  <c r="Q2013" i="1"/>
  <c r="Q2021" i="1"/>
  <c r="Q2029" i="1"/>
  <c r="Q2037" i="1"/>
  <c r="Q2045" i="1"/>
  <c r="Q2053" i="1"/>
  <c r="Q2061" i="1"/>
  <c r="Q2069" i="1"/>
  <c r="Q2077" i="1"/>
  <c r="Q2085" i="1"/>
  <c r="Q2093" i="1"/>
  <c r="P2088" i="1"/>
  <c r="P2096" i="1"/>
  <c r="Q102" i="1"/>
  <c r="Q76" i="1"/>
  <c r="Q53" i="1"/>
  <c r="Q29" i="1"/>
  <c r="Q6" i="1"/>
  <c r="P423" i="1"/>
  <c r="O2037" i="1"/>
  <c r="O2044" i="1"/>
  <c r="O2087" i="1"/>
  <c r="O256" i="1"/>
  <c r="O162" i="1"/>
  <c r="O395" i="1"/>
  <c r="P114" i="1"/>
  <c r="Q89" i="1"/>
  <c r="Q71" i="1"/>
  <c r="Q52" i="1"/>
  <c r="Q34" i="1"/>
  <c r="Q16" i="1"/>
  <c r="O366" i="1"/>
  <c r="O183" i="1"/>
  <c r="Q707" i="1"/>
  <c r="O373" i="1"/>
  <c r="O309" i="1"/>
  <c r="O245" i="1"/>
  <c r="P495" i="1"/>
  <c r="O360" i="1"/>
  <c r="O248" i="1"/>
  <c r="O134" i="1"/>
  <c r="O267" i="1"/>
  <c r="Q92" i="1"/>
  <c r="Q58" i="1"/>
  <c r="O334" i="1"/>
  <c r="O207" i="1"/>
  <c r="O280" i="1"/>
  <c r="O138" i="1"/>
  <c r="O11" i="1"/>
  <c r="O408" i="1"/>
  <c r="P2100" i="1" l="1"/>
</calcChain>
</file>

<file path=xl/connections.xml><?xml version="1.0" encoding="utf-8"?>
<connections xmlns="http://schemas.openxmlformats.org/spreadsheetml/2006/main">
  <connection id="1" keepAlive="1" name="ModelConnection_ExternalData_1" description="Data Model" type="5" refreshedVersion="5" minRefreshableVersion="5" saveData="1">
    <dbPr connection="Data Model Connection" command="DRILLTHROUGH MAXROWS 1000 SELECT FROM [Model] WHERE ([Measures].[Sum of Total COGS],[Table_1].[City].&amp;[Abuja])" commandType="4"/>
    <extLst>
      <ext xmlns:x15="http://schemas.microsoft.com/office/spreadsheetml/2010/11/main" uri="{DE250136-89BD-433C-8126-D09CA5730AF9}">
        <x15:connection id="" model="1"/>
      </ext>
    </extLst>
  </connection>
  <connection id="2" keepAlive="1" name="ModelConnection_ExternalData_11" description="Data Model" type="5" refreshedVersion="5" minRefreshableVersion="5" saveData="1">
    <dbPr connection="Data Model Connection" command="DRILLTHROUGH MAXROWS 1000 SELECT FROM [Model] WHERE ([Measures].[Sum of Total COGS])" commandType="4"/>
    <extLst>
      <ext xmlns:x15="http://schemas.microsoft.com/office/spreadsheetml/2010/11/main" uri="{DE250136-89BD-433C-8126-D09CA5730AF9}">
        <x15:connection id="" model="1"/>
      </ext>
    </extLst>
  </connection>
  <connection id="3"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zEW5rlpLSJevfb6EV7Xh_Excel Sales_Analysis_Project (2).xlsx!Table_1" type="102" refreshedVersion="5" minRefreshableVersion="5" saveData="1">
    <extLst>
      <ext xmlns:x15="http://schemas.microsoft.com/office/spreadsheetml/2010/11/main" uri="{DE250136-89BD-433C-8126-D09CA5730AF9}">
        <x15:connection id="Table_1-c2e7e0a2-e9c2-420c-b660-b352e1012495" autoDelete="1">
          <x15:rangePr sourceName="_xlcn.WorksheetConnection_zEW5rlpLSJevfb6EV7Xh_ExcelSales_Analysis_Project2.xlsxTable_11"/>
        </x15:connection>
      </ext>
    </extLst>
  </connection>
</connections>
</file>

<file path=xl/sharedStrings.xml><?xml version="1.0" encoding="utf-8"?>
<sst xmlns="http://schemas.openxmlformats.org/spreadsheetml/2006/main" count="45131" uniqueCount="390">
  <si>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</si>
  <si>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</si>
  <si>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</si>
  <si>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</si>
  <si>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</si>
  <si>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</si>
  <si>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</si>
  <si>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</si>
  <si>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</si>
  <si>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</si>
  <si>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</si>
  <si>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</si>
  <si>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</si>
  <si>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</si>
  <si>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</si>
  <si>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</si>
  <si>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</si>
  <si>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</si>
  <si>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</si>
  <si>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</si>
  <si>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</si>
  <si>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</si>
  <si>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</si>
  <si>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</si>
  <si>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</si>
  <si>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</si>
  <si>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</si>
  <si>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</si>
  <si>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</si>
  <si>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</si>
  <si>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</si>
  <si>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</si>
  <si>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</si>
  <si>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</si>
  <si>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</si>
  <si>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</si>
  <si>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</si>
  <si>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</si>
  <si>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</si>
  <si>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</si>
  <si>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</si>
  <si>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</si>
  <si>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</si>
  <si>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</si>
  <si>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</si>
  <si>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</si>
  <si>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</si>
  <si>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</si>
  <si>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</si>
  <si>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</si>
  <si>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</si>
  <si>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</si>
  <si>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</si>
  <si>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</si>
  <si>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</si>
  <si>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</si>
  <si>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</si>
  <si>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</si>
  <si>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</si>
  <si>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</si>
  <si>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</si>
  <si>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</si>
  <si>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</si>
  <si>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</si>
  <si>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</si>
  <si>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</si>
  <si>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</si>
  <si>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</si>
  <si>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</si>
  <si>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</si>
  <si>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</si>
  <si>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</si>
  <si>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</si>
  <si>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</si>
  <si>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</si>
  <si>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</si>
  <si>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</si>
  <si>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</si>
  <si>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</si>
  <si>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</si>
  <si>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</si>
  <si>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</si>
  <si>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</si>
  <si>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</si>
  <si>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</si>
  <si>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</si>
  <si>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</si>
  <si>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</si>
  <si>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</si>
  <si>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</si>
  <si>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</si>
  <si>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</si>
  <si>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</si>
  <si>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</si>
  <si>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</si>
  <si>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</si>
  <si>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</si>
  <si>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</si>
  <si>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</si>
  <si>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</si>
  <si>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</si>
  <si>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</si>
  <si>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</si>
  <si>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</si>
  <si>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</si>
  <si>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</si>
  <si>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</si>
  <si>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</si>
  <si>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</si>
  <si>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</si>
  <si>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</si>
  <si>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</si>
  <si>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</si>
  <si>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</si>
  <si>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</si>
  <si>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</si>
  <si>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</si>
  <si>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</si>
  <si>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</si>
  <si>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</si>
  <si>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</si>
  <si>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</si>
  <si>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</si>
  <si>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</si>
  <si>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</si>
  <si>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</si>
  <si>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</si>
  <si>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</si>
  <si>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</si>
  <si>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</si>
  <si>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</si>
  <si>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</si>
  <si>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</si>
  <si>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</si>
  <si>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</si>
  <si>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</si>
  <si>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</si>
  <si>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</si>
  <si>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</si>
  <si>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</si>
  <si>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</si>
  <si>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</si>
  <si>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</si>
  <si>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</si>
  <si>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</si>
  <si>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</si>
  <si>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</si>
  <si>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</si>
  <si>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</si>
  <si>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</si>
  <si>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</si>
  <si>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</si>
  <si>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</si>
  <si>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</si>
  <si>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</si>
  <si>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</si>
  <si>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</si>
  <si>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</si>
  <si>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</si>
  <si>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</si>
  <si>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</si>
  <si>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</si>
  <si>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</si>
  <si>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</si>
  <si>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</si>
  <si>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</si>
  <si>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</si>
  <si>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</si>
  <si>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</si>
  <si>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</si>
  <si>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</si>
  <si>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</si>
  <si>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</si>
  <si>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</si>
  <si>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</si>
  <si>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</si>
  <si>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</si>
  <si>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</si>
  <si>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</si>
  <si>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</si>
  <si>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</si>
  <si>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Row Labels</t>
  </si>
  <si>
    <t>Grand Total</t>
  </si>
  <si>
    <t>Total Revenue</t>
  </si>
  <si>
    <t>Total COGS</t>
  </si>
  <si>
    <t>Total profit</t>
  </si>
  <si>
    <t>Total Transaction</t>
  </si>
  <si>
    <t>Sum of Total profit</t>
  </si>
  <si>
    <t>Sum of Total Revenue</t>
  </si>
  <si>
    <t>Sum of Total COGS</t>
  </si>
  <si>
    <t>MONTH</t>
  </si>
  <si>
    <t>[$Table_1].[Date]</t>
  </si>
  <si>
    <t>[$Table_1].[Region]</t>
  </si>
  <si>
    <t>[$Table_1].[City]</t>
  </si>
  <si>
    <t>[$Table_1].[Customer Type]</t>
  </si>
  <si>
    <t>[$Table_1].[Channel]</t>
  </si>
  <si>
    <t>[$Table_1].[Product]</t>
  </si>
  <si>
    <t>[$Table_1].[Category]</t>
  </si>
  <si>
    <t>[$Table_1].[Unit Price]</t>
  </si>
  <si>
    <t>[$Table_1].[Quantity]</t>
  </si>
  <si>
    <t>[$Table_1].[Sales Rep]</t>
  </si>
  <si>
    <t>[$Table_1].[Cost Price]</t>
  </si>
  <si>
    <t>[$Table_1].[Revenue]</t>
  </si>
  <si>
    <t>[$Table_1].[COGS]</t>
  </si>
  <si>
    <t>[$Table_1].[PROFIT]</t>
  </si>
  <si>
    <t>[$Table_1].[Total Revenue]</t>
  </si>
  <si>
    <t>[$Table_1].[Total COGS]</t>
  </si>
  <si>
    <t>[$Table_1].[Total profit]</t>
  </si>
  <si>
    <t>[$Table_1].[Total Transaction]</t>
  </si>
  <si>
    <t>180000</t>
  </si>
  <si>
    <t>10</t>
  </si>
  <si>
    <t>144000</t>
  </si>
  <si>
    <t>1800000</t>
  </si>
  <si>
    <t>1440000</t>
  </si>
  <si>
    <t>360000</t>
  </si>
  <si>
    <t>4656740000</t>
  </si>
  <si>
    <t>3725392000</t>
  </si>
  <si>
    <t>465674000</t>
  </si>
  <si>
    <t>2098</t>
  </si>
  <si>
    <t>320000</t>
  </si>
  <si>
    <t>4</t>
  </si>
  <si>
    <t>256000</t>
  </si>
  <si>
    <t>1280000</t>
  </si>
  <si>
    <t>1024000</t>
  </si>
  <si>
    <t>300000</t>
  </si>
  <si>
    <t>5</t>
  </si>
  <si>
    <t>240000</t>
  </si>
  <si>
    <t>1500000</t>
  </si>
  <si>
    <t>1200000</t>
  </si>
  <si>
    <t>150000</t>
  </si>
  <si>
    <t>7</t>
  </si>
  <si>
    <t>120000</t>
  </si>
  <si>
    <t>1050000</t>
  </si>
  <si>
    <t>840000</t>
  </si>
  <si>
    <t>210000</t>
  </si>
  <si>
    <t>2240000</t>
  </si>
  <si>
    <t>1792000</t>
  </si>
  <si>
    <t>448000</t>
  </si>
  <si>
    <t>1</t>
  </si>
  <si>
    <t>30000</t>
  </si>
  <si>
    <t>6</t>
  </si>
  <si>
    <t>1920000</t>
  </si>
  <si>
    <t>1536000</t>
  </si>
  <si>
    <t>384000</t>
  </si>
  <si>
    <t>3</t>
  </si>
  <si>
    <t>24000</t>
  </si>
  <si>
    <t>90000</t>
  </si>
  <si>
    <t>72000</t>
  </si>
  <si>
    <t>18000</t>
  </si>
  <si>
    <t>8</t>
  </si>
  <si>
    <t>1152000</t>
  </si>
  <si>
    <t>288000</t>
  </si>
  <si>
    <t>60000</t>
  </si>
  <si>
    <t>48000</t>
  </si>
  <si>
    <t>36000</t>
  </si>
  <si>
    <t>220000</t>
  </si>
  <si>
    <t>176000</t>
  </si>
  <si>
    <t>660000</t>
  </si>
  <si>
    <t>528000</t>
  </si>
  <si>
    <t>132000</t>
  </si>
  <si>
    <t>250000</t>
  </si>
  <si>
    <t>200000</t>
  </si>
  <si>
    <t>2000000</t>
  </si>
  <si>
    <t>1600000</t>
  </si>
  <si>
    <t>400000</t>
  </si>
  <si>
    <t>2</t>
  </si>
  <si>
    <t>1080000</t>
  </si>
  <si>
    <t>864000</t>
  </si>
  <si>
    <t>216000</t>
  </si>
  <si>
    <t>9</t>
  </si>
  <si>
    <t>2700000</t>
  </si>
  <si>
    <t>2160000</t>
  </si>
  <si>
    <t>540000</t>
  </si>
  <si>
    <t>432000</t>
  </si>
  <si>
    <t>108000</t>
  </si>
  <si>
    <t>85000</t>
  </si>
  <si>
    <t>68000</t>
  </si>
  <si>
    <t>17000</t>
  </si>
  <si>
    <t>3200000</t>
  </si>
  <si>
    <t>2560000</t>
  </si>
  <si>
    <t>640000</t>
  </si>
  <si>
    <t>510000</t>
  </si>
  <si>
    <t>408000</t>
  </si>
  <si>
    <t>102000</t>
  </si>
  <si>
    <t>192000</t>
  </si>
  <si>
    <t>2200000</t>
  </si>
  <si>
    <t>1760000</t>
  </si>
  <si>
    <t>440000</t>
  </si>
  <si>
    <t>750000</t>
  </si>
  <si>
    <t>600000</t>
  </si>
  <si>
    <t>960000</t>
  </si>
  <si>
    <t>420000</t>
  </si>
  <si>
    <t>336000</t>
  </si>
  <si>
    <t>672000</t>
  </si>
  <si>
    <t>168000</t>
  </si>
  <si>
    <t>1408000</t>
  </si>
  <si>
    <t>352000</t>
  </si>
  <si>
    <t>480000</t>
  </si>
  <si>
    <t>768000</t>
  </si>
  <si>
    <t>3360000</t>
  </si>
  <si>
    <t>2688000</t>
  </si>
  <si>
    <t>900000</t>
  </si>
  <si>
    <t>720000</t>
  </si>
  <si>
    <t>880000</t>
  </si>
  <si>
    <t>704000</t>
  </si>
  <si>
    <t>1320000</t>
  </si>
  <si>
    <t>1056000</t>
  </si>
  <si>
    <t>264000</t>
  </si>
  <si>
    <t>64000</t>
  </si>
  <si>
    <t>270000</t>
  </si>
  <si>
    <t>54000</t>
  </si>
  <si>
    <t>96000</t>
  </si>
  <si>
    <t>450000</t>
  </si>
  <si>
    <t>12000</t>
  </si>
  <si>
    <t>850000</t>
  </si>
  <si>
    <t>680000</t>
  </si>
  <si>
    <t>170000</t>
  </si>
  <si>
    <t>1260000</t>
  </si>
  <si>
    <t>1008000</t>
  </si>
  <si>
    <t>252000</t>
  </si>
  <si>
    <t>2048000</t>
  </si>
  <si>
    <t>512000</t>
  </si>
  <si>
    <t>544000</t>
  </si>
  <si>
    <t>136000</t>
  </si>
  <si>
    <t>1100000</t>
  </si>
  <si>
    <t>255000</t>
  </si>
  <si>
    <t>204000</t>
  </si>
  <si>
    <t>51000</t>
  </si>
  <si>
    <t>3780000</t>
  </si>
  <si>
    <t>3024000</t>
  </si>
  <si>
    <t>756000</t>
  </si>
  <si>
    <t>42000</t>
  </si>
  <si>
    <t>2100000</t>
  </si>
  <si>
    <t>1680000</t>
  </si>
  <si>
    <t>44000</t>
  </si>
  <si>
    <t>1000000</t>
  </si>
  <si>
    <t>800000</t>
  </si>
  <si>
    <t>340000</t>
  </si>
  <si>
    <t>272000</t>
  </si>
  <si>
    <t>4200000</t>
  </si>
  <si>
    <t>128000</t>
  </si>
  <si>
    <t>88000</t>
  </si>
  <si>
    <t>576000</t>
  </si>
  <si>
    <t>84000</t>
  </si>
  <si>
    <t>34000</t>
  </si>
  <si>
    <t>1344000</t>
  </si>
  <si>
    <t>1980000</t>
  </si>
  <si>
    <t>1584000</t>
  </si>
  <si>
    <t>396000</t>
  </si>
  <si>
    <t>2520000</t>
  </si>
  <si>
    <t>2016000</t>
  </si>
  <si>
    <t>504000</t>
  </si>
  <si>
    <t>50000</t>
  </si>
  <si>
    <t>6000</t>
  </si>
  <si>
    <t>1540000</t>
  </si>
  <si>
    <t>1232000</t>
  </si>
  <si>
    <t>308000</t>
  </si>
  <si>
    <t>2940000</t>
  </si>
  <si>
    <t>2352000</t>
  </si>
  <si>
    <t>588000</t>
  </si>
  <si>
    <t>500000</t>
  </si>
  <si>
    <t>100000</t>
  </si>
  <si>
    <t>2880000</t>
  </si>
  <si>
    <t>2304000</t>
  </si>
  <si>
    <t>2500000</t>
  </si>
  <si>
    <t>3000000</t>
  </si>
  <si>
    <t>2400000</t>
  </si>
  <si>
    <t>1350000</t>
  </si>
  <si>
    <t>1750000</t>
  </si>
  <si>
    <t>1400000</t>
  </si>
  <si>
    <t>350000</t>
  </si>
  <si>
    <t>1620000</t>
  </si>
  <si>
    <t>1296000</t>
  </si>
  <si>
    <t>324000</t>
  </si>
  <si>
    <t>595000</t>
  </si>
  <si>
    <t>476000</t>
  </si>
  <si>
    <t>119000</t>
  </si>
  <si>
    <t>2250000</t>
  </si>
  <si>
    <t>425000</t>
  </si>
  <si>
    <t>1250000</t>
  </si>
  <si>
    <t>765000</t>
  </si>
  <si>
    <t>612000</t>
  </si>
  <si>
    <t>153000</t>
  </si>
  <si>
    <t>Data returned for Sum of Total COGS, Abuja (First 1000 rows).</t>
  </si>
  <si>
    <t/>
  </si>
  <si>
    <t>Data returned for Sum of Total COGS (First 1000 rows).</t>
  </si>
  <si>
    <t>[$Table_1].[MONTH]</t>
  </si>
  <si>
    <t>1/19/2025</t>
  </si>
  <si>
    <t>COUNT</t>
  </si>
  <si>
    <t>Count of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</si>
</sst>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8"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
      <sz val="11"/>
      <color theme="0"/>
      <name val="Calibri"/>
      <family val="2"/>
      <scheme val="minor"/>
    </font>
  </fonts>
  <fills count="2">
    <fill>
      <patternFill patternType="none"/>
    </fill>
    <fill>
      <patternFill patternType="gray125"/>
    </fill>
  </fills>
  <borders count="14">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4" fillId="0" borderId="0" applyFont="0" applyFill="0" applyBorder="0" applyAlignment="0" applyProtection="0"/>
  </cellStyleXfs>
  <cellXfs count="31">
    <xf numFmtId="0" fontId="0" fillId="0" borderId="0" xfId="0" applyFont="1" applyAlignment="1"/>
    <xf numFmtId="0" fontId="3" fillId="0" borderId="0" xfId="0" applyFont="1"/>
    <xf numFmtId="0" fontId="4" fillId="0" borderId="0" xfId="0" applyFont="1"/>
    <xf numFmtId="0" fontId="4" fillId="0" borderId="0" xfId="0" applyFont="1"/>
    <xf numFmtId="0" fontId="5" fillId="0" borderId="0" xfId="0" applyFont="1" applyAlignment="1"/>
    <xf numFmtId="0" fontId="7" fillId="0" borderId="0" xfId="0" applyFont="1" applyAlignment="1"/>
    <xf numFmtId="0" fontId="2" fillId="0" borderId="0" xfId="0" applyFont="1" applyAlignment="1"/>
    <xf numFmtId="0" fontId="0" fillId="0" borderId="0" xfId="0" applyNumberFormat="1" applyFont="1" applyAlignment="1"/>
    <xf numFmtId="44" fontId="0" fillId="0" borderId="0" xfId="1" applyFont="1" applyAlignment="1"/>
    <xf numFmtId="164" fontId="0" fillId="0" borderId="0" xfId="1" applyNumberFormat="1" applyFont="1" applyAlignment="1"/>
    <xf numFmtId="44" fontId="2" fillId="0" borderId="0" xfId="1" applyFont="1" applyAlignment="1"/>
    <xf numFmtId="164"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64" fontId="0" fillId="0" borderId="3" xfId="0" applyNumberFormat="1" applyFont="1" applyBorder="1" applyAlignment="1"/>
    <xf numFmtId="164" fontId="0" fillId="0" borderId="4" xfId="0" applyNumberFormat="1" applyFont="1" applyBorder="1" applyAlignment="1"/>
    <xf numFmtId="164" fontId="0" fillId="0" borderId="5" xfId="0" applyNumberFormat="1" applyFont="1" applyBorder="1" applyAlignment="1"/>
    <xf numFmtId="14" fontId="4" fillId="0" borderId="0" xfId="0" applyNumberFormat="1" applyFont="1"/>
    <xf numFmtId="14" fontId="0" fillId="0" borderId="0" xfId="0" applyNumberFormat="1" applyFont="1" applyAlignment="1"/>
    <xf numFmtId="0" fontId="0" fillId="0" borderId="1" xfId="0" applyFont="1" applyBorder="1" applyAlignment="1"/>
    <xf numFmtId="0" fontId="0" fillId="0" borderId="7" xfId="0" applyFont="1" applyBorder="1" applyAlignment="1"/>
    <xf numFmtId="0" fontId="0" fillId="0" borderId="8" xfId="0" applyFont="1" applyBorder="1" applyAlignment="1"/>
    <xf numFmtId="164" fontId="0" fillId="0" borderId="2" xfId="0" applyNumberFormat="1" applyFont="1" applyBorder="1" applyAlignment="1"/>
    <xf numFmtId="164" fontId="0" fillId="0" borderId="9" xfId="0" applyNumberFormat="1" applyFont="1" applyBorder="1" applyAlignment="1"/>
    <xf numFmtId="164" fontId="0" fillId="0" borderId="10" xfId="0" applyNumberFormat="1" applyFont="1" applyBorder="1" applyAlignment="1"/>
    <xf numFmtId="164" fontId="0" fillId="0" borderId="11" xfId="0" applyNumberFormat="1" applyFont="1" applyBorder="1" applyAlignment="1"/>
    <xf numFmtId="164" fontId="0" fillId="0" borderId="12" xfId="0" applyNumberFormat="1" applyFont="1" applyBorder="1" applyAlignment="1"/>
    <xf numFmtId="164" fontId="0" fillId="0" borderId="13" xfId="0" applyNumberFormat="1" applyFont="1" applyBorder="1" applyAlignment="1"/>
    <xf numFmtId="0" fontId="1" fillId="0" borderId="0" xfId="0" applyFont="1" applyAlignment="1"/>
  </cellXfs>
  <cellStyles count="2">
    <cellStyle name="Currency" xfId="1" builtinId="4"/>
    <cellStyle name="Normal" xfId="0" builtinId="0"/>
  </cellStyles>
  <dxfs count="147">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font>
        <color rgb="FF9C0006"/>
      </font>
      <fill>
        <patternFill>
          <bgColor rgb="FFFFC7CE"/>
        </patternFill>
      </fill>
    </dxf>
    <dxf>
      <font>
        <color theme="5" tint="-0.24994659260841701"/>
      </font>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font>
        <sz val="9"/>
        <color theme="2"/>
      </font>
      <fill>
        <patternFill>
          <bgColor theme="1"/>
        </patternFill>
      </fill>
      <border>
        <left style="medium">
          <color auto="1"/>
        </left>
        <right style="medium">
          <color auto="1"/>
        </right>
        <top style="medium">
          <color auto="1"/>
        </top>
        <bottom style="medium">
          <color auto="1"/>
        </bottom>
        <horizontal style="medium">
          <color auto="1"/>
        </horizontal>
      </border>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numFmt numFmtId="0" formatCode="General"/>
    </dxf>
    <dxf>
      <numFmt numFmtId="164" formatCode="_(&quot;$&quot;* #,##0_);_(&quot;$&quot;* \(#,##0\);_(&quot;$&quot;* &quot;-&quot;??_);_(@_)"/>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numFmt numFmtId="164" formatCode="_(&quot;$&quot;* #,##0_);_(&quot;$&quot;* \(#,##0\);_(&quot;$&quot;* &quot;-&quot;??_);_(@_)"/>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2"/>
      </font>
      <fill>
        <patternFill>
          <bgColor theme="8" tint="-0.499984740745262"/>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bgColor theme="0"/>
        </patternFill>
      </fill>
    </dxf>
  </dxfs>
  <tableStyles count="6">
    <tableStyle name="morden bottondark" pivot="0" table="0" count="4">
      <tableStyleElement type="wholeTable" dxfId="127"/>
    </tableStyle>
    <tableStyle name="NEW STYEL" pivot="0" table="0" count="3">
      <tableStyleElement type="wholeTable" dxfId="146"/>
    </tableStyle>
    <tableStyle name="Sales Data-style" pivot="0" count="3">
      <tableStyleElement type="headerRow" dxfId="145"/>
      <tableStyleElement type="firstRowStripe" dxfId="144"/>
      <tableStyleElement type="secondRowStripe" dxfId="143"/>
    </tableStyle>
    <tableStyle name="Slicer Style 1" pivot="0" table="0" count="0"/>
    <tableStyle name="Slicer Style 2" pivot="0" table="0" count="4">
      <tableStyleElement type="wholeTable" dxfId="142"/>
    </tableStyle>
    <tableStyle name="SlicerStyleDark1 2" pivot="0" table="0" count="10">
      <tableStyleElement type="wholeTable" dxfId="141"/>
      <tableStyleElement type="headerRow" dxfId="140"/>
    </tableStyle>
  </tableStyles>
  <colors>
    <mruColors>
      <color rgb="FF323114"/>
      <color rgb="FF4269CC"/>
    </mruColors>
  </colors>
  <extLst>
    <ext xmlns:x14="http://schemas.microsoft.com/office/spreadsheetml/2009/9/main" uri="{46F421CA-312F-682f-3DD2-61675219B42D}">
      <x14:dxfs count="15">
        <dxf>
          <font>
            <color theme="5" tint="0.39994506668294322"/>
          </font>
          <fill>
            <patternFill>
              <bgColor theme="9" tint="0.59996337778862885"/>
            </patternFill>
          </fill>
        </dxf>
        <dxf>
          <fill>
            <patternFill>
              <bgColor theme="8" tint="-0.499984740745262"/>
            </patternFill>
          </fill>
          <border>
            <left style="medium">
              <color auto="1"/>
            </left>
            <right style="medium">
              <color auto="1"/>
            </right>
            <top style="medium">
              <color auto="1"/>
            </top>
            <bottom style="medium">
              <color auto="1"/>
            </bottom>
          </border>
        </dxf>
        <dxf>
          <font>
            <name val="Calibri"/>
            <scheme val="minor"/>
          </font>
          <fill>
            <patternFill>
              <bgColor theme="3" tint="0.49998474074526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5" tint="0.39994506668294322"/>
          </font>
        </dxf>
        <dxf>
          <fill>
            <patternFill>
              <bgColor rgb="FFFFC000"/>
            </patternFill>
          </fill>
        </dxf>
        <dxf>
          <fill>
            <patternFill>
              <bgColor theme="8"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Other2">
        <x14:slicerStyle name="morden bottondark">
          <x14:slicerStyleElements>
            <x14:slicerStyleElement type="unselectedItemWithData" dxfId="2"/>
            <x14:slicerStyleElement type="selectedItemWithData" dxfId="1"/>
            <x14:slicerStyleElement type="hoveredSelectedItemWithData" dxfId="0"/>
          </x14:slicerStyleElements>
        </x14:slicerStyle>
        <x14:slicerStyle name="NEW STYEL">
          <x14:slicerStyleElements>
            <x14:slicerStyleElement type="unselectedItemWithData" dxfId="14"/>
            <x14:slicerStyleElement type="selectedItemWithData" dxfId="13"/>
          </x14:slicerStyleElements>
        </x14:slicerStyle>
        <x14:slicerStyle name="Slicer Style 1"/>
        <x14:slicerStyle name="Slicer Style 2">
          <x14:slicerStyleElements>
            <x14:slicerStyleElement type="unselectedItemWithData"/>
            <x14:slicerStyleElement type="selectedItemWithData" dxfId="12"/>
            <x14:slicerStyleElement type="hoveredSelectedItemWithData" dxfId="11"/>
          </x14:slicerStyleElements>
        </x14:slicerStyle>
        <x14:slicerStyle name="SlicerStyleDark1 2">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Sales_Analysis_Project REAL.xlsx]pivot table!PivotTable2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table'!$A$4:$A$14</c:f>
              <c:strCache>
                <c:ptCount val="10"/>
                <c:pt idx="0">
                  <c:v>Printer P50</c:v>
                </c:pt>
                <c:pt idx="1">
                  <c:v>Air Conditioner X2</c:v>
                </c:pt>
                <c:pt idx="2">
                  <c:v>Laptop A13</c:v>
                </c:pt>
                <c:pt idx="3">
                  <c:v>Blender B10</c:v>
                </c:pt>
                <c:pt idx="4">
                  <c:v>Refrigerator R55</c:v>
                </c:pt>
                <c:pt idx="5">
                  <c:v>Office Chair Pro</c:v>
                </c:pt>
                <c:pt idx="6">
                  <c:v>Sofa Classic</c:v>
                </c:pt>
                <c:pt idx="7">
                  <c:v>Desktop PC D21</c:v>
                </c:pt>
                <c:pt idx="8">
                  <c:v>Microwave M20</c:v>
                </c:pt>
                <c:pt idx="9">
                  <c:v>Smartphone Z10</c:v>
                </c:pt>
              </c:strCache>
            </c:strRef>
          </c:cat>
          <c:val>
            <c:numRef>
              <c:f>'pivot table'!$B$4:$B$14</c:f>
              <c:numCache>
                <c:formatCode>_("$"* #,##0_);_("$"* \(#,##0\);_("$"* "-"??_);_(@_)</c:formatCode>
                <c:ptCount val="10"/>
                <c:pt idx="0">
                  <c:v>113624456000</c:v>
                </c:pt>
                <c:pt idx="1">
                  <c:v>106173672000</c:v>
                </c:pt>
                <c:pt idx="2">
                  <c:v>101982606000</c:v>
                </c:pt>
                <c:pt idx="3">
                  <c:v>99188562000</c:v>
                </c:pt>
                <c:pt idx="4">
                  <c:v>94997496000</c:v>
                </c:pt>
                <c:pt idx="5">
                  <c:v>94997496000</c:v>
                </c:pt>
                <c:pt idx="6">
                  <c:v>93134800000</c:v>
                </c:pt>
                <c:pt idx="7">
                  <c:v>93134800000</c:v>
                </c:pt>
                <c:pt idx="8">
                  <c:v>92203452000</c:v>
                </c:pt>
                <c:pt idx="9">
                  <c:v>87546712000</c:v>
                </c:pt>
              </c:numCache>
            </c:numRef>
          </c:val>
        </c:ser>
        <c:dLbls>
          <c:showLegendKey val="0"/>
          <c:showVal val="0"/>
          <c:showCatName val="0"/>
          <c:showSerName val="0"/>
          <c:showPercent val="0"/>
          <c:showBubbleSize val="0"/>
        </c:dLbls>
        <c:gapWidth val="219"/>
        <c:axId val="317445528"/>
        <c:axId val="317440432"/>
      </c:barChart>
      <c:catAx>
        <c:axId val="317445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17440432"/>
        <c:crosses val="autoZero"/>
        <c:auto val="1"/>
        <c:lblAlgn val="ctr"/>
        <c:lblOffset val="100"/>
        <c:noMultiLvlLbl val="0"/>
      </c:catAx>
      <c:valAx>
        <c:axId val="317440432"/>
        <c:scaling>
          <c:orientation val="minMax"/>
        </c:scaling>
        <c:delete val="1"/>
        <c:axPos val="l"/>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crossAx val="317445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chart>
  <c:spPr>
    <a:solidFill>
      <a:schemeClr val="bg1"/>
    </a:solid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REAL.xlsx]pivot table!PivotTable1</c:name>
    <c:fmtId val="2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33753068315859"/>
          <c:y val="4.1443290333389164E-2"/>
          <c:w val="0.58498998276103065"/>
          <c:h val="0.48840425531914894"/>
        </c:manualLayout>
      </c:layout>
      <c:barChart>
        <c:barDir val="col"/>
        <c:grouping val="clustered"/>
        <c:varyColors val="0"/>
        <c:ser>
          <c:idx val="0"/>
          <c:order val="0"/>
          <c:tx>
            <c:strRef>
              <c:f>'pivot table'!$I$5</c:f>
              <c:strCache>
                <c:ptCount val="1"/>
                <c:pt idx="0">
                  <c:v>Total</c:v>
                </c:pt>
              </c:strCache>
            </c:strRef>
          </c:tx>
          <c:spPr>
            <a:solidFill>
              <a:schemeClr val="accent1"/>
            </a:solidFill>
            <a:ln>
              <a:noFill/>
            </a:ln>
            <a:effectLst/>
          </c:spPr>
          <c:invertIfNegative val="0"/>
          <c:cat>
            <c:strRef>
              <c:f>'pivot table'!$H$6:$H$12</c:f>
              <c:strCache>
                <c:ptCount val="6"/>
                <c:pt idx="0">
                  <c:v>Peter</c:v>
                </c:pt>
                <c:pt idx="1">
                  <c:v>David</c:v>
                </c:pt>
                <c:pt idx="2">
                  <c:v>Musa</c:v>
                </c:pt>
                <c:pt idx="3">
                  <c:v>Aisha</c:v>
                </c:pt>
                <c:pt idx="4">
                  <c:v>Grace</c:v>
                </c:pt>
                <c:pt idx="5">
                  <c:v>Chidinma</c:v>
                </c:pt>
              </c:strCache>
            </c:strRef>
          </c:cat>
          <c:val>
            <c:numRef>
              <c:f>'pivot table'!$I$6:$I$12</c:f>
              <c:numCache>
                <c:formatCode>_("$"* #,##0_);_("$"* \(#,##0\);_("$"* "-"??_);_(@_)</c:formatCode>
                <c:ptCount val="6"/>
                <c:pt idx="0">
                  <c:v>1769561200000</c:v>
                </c:pt>
                <c:pt idx="1">
                  <c:v>1676426400000</c:v>
                </c:pt>
                <c:pt idx="2">
                  <c:v>1671769660000</c:v>
                </c:pt>
                <c:pt idx="3">
                  <c:v>1643829220000</c:v>
                </c:pt>
                <c:pt idx="4">
                  <c:v>1518097240000</c:v>
                </c:pt>
                <c:pt idx="5">
                  <c:v>1490156800000</c:v>
                </c:pt>
              </c:numCache>
            </c:numRef>
          </c:val>
        </c:ser>
        <c:dLbls>
          <c:showLegendKey val="0"/>
          <c:showVal val="0"/>
          <c:showCatName val="0"/>
          <c:showSerName val="0"/>
          <c:showPercent val="0"/>
          <c:showBubbleSize val="0"/>
        </c:dLbls>
        <c:gapWidth val="182"/>
        <c:axId val="317446704"/>
        <c:axId val="317441216"/>
      </c:barChart>
      <c:catAx>
        <c:axId val="31744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17441216"/>
        <c:crosses val="autoZero"/>
        <c:auto val="1"/>
        <c:lblAlgn val="ctr"/>
        <c:lblOffset val="100"/>
        <c:noMultiLvlLbl val="0"/>
      </c:catAx>
      <c:valAx>
        <c:axId val="317441216"/>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317446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REAL.xlsx]pivot table!PivotTable3</c:name>
    <c:fmtId val="4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pivotFmt>
      <c:pivotFmt>
        <c:idx val="1"/>
      </c:pivotFmt>
      <c:pivotFmt>
        <c:idx val="2"/>
      </c:pivotFmt>
      <c:pivotFmt>
        <c:idx val="3"/>
      </c:pivotFmt>
      <c:pivotFmt>
        <c:idx val="4"/>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table'!$L$2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table'!$K$3:$K$7</c:f>
              <c:strCache>
                <c:ptCount val="4"/>
                <c:pt idx="0">
                  <c:v>Abuja</c:v>
                </c:pt>
                <c:pt idx="1">
                  <c:v>Kano</c:v>
                </c:pt>
                <c:pt idx="2">
                  <c:v>Lagos</c:v>
                </c:pt>
                <c:pt idx="3">
                  <c:v>Port Harcourt</c:v>
                </c:pt>
              </c:strCache>
            </c:strRef>
          </c:cat>
          <c:val>
            <c:numRef>
              <c:f>'pivot table'!$L$3:$L$7</c:f>
              <c:numCache>
                <c:formatCode>_("$"* #,##0_);_("$"* \(#,##0\);_("$"* "-"??_);_(@_)</c:formatCode>
                <c:ptCount val="4"/>
                <c:pt idx="0">
                  <c:v>1810540512000</c:v>
                </c:pt>
                <c:pt idx="1">
                  <c:v>2071317952000</c:v>
                </c:pt>
                <c:pt idx="2">
                  <c:v>2026613248000</c:v>
                </c:pt>
                <c:pt idx="3">
                  <c:v>1907400704000</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REAL.xlsx]pivot table!PivotTable6</c:name>
    <c:fmtId val="3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table'!$I$16</c:f>
              <c:strCache>
                <c:ptCount val="1"/>
                <c:pt idx="0">
                  <c:v>Total</c:v>
                </c:pt>
              </c:strCache>
            </c:strRef>
          </c:tx>
          <c:spPr>
            <a:ln w="28575" cap="rnd">
              <a:solidFill>
                <a:schemeClr val="accent1"/>
              </a:solidFill>
              <a:round/>
            </a:ln>
            <a:effectLst/>
          </c:spPr>
          <c:marker>
            <c:symbol val="none"/>
          </c:marker>
          <c:cat>
            <c:strRef>
              <c:f>'pivot table'!$H$17:$H$22</c:f>
              <c:strCache>
                <c:ptCount val="5"/>
                <c:pt idx="0">
                  <c:v>5</c:v>
                </c:pt>
                <c:pt idx="1">
                  <c:v>2</c:v>
                </c:pt>
                <c:pt idx="2">
                  <c:v>1</c:v>
                </c:pt>
                <c:pt idx="3">
                  <c:v>3</c:v>
                </c:pt>
                <c:pt idx="4">
                  <c:v>4</c:v>
                </c:pt>
              </c:strCache>
            </c:strRef>
          </c:cat>
          <c:val>
            <c:numRef>
              <c:f>'pivot table'!$I$17:$I$22</c:f>
              <c:numCache>
                <c:formatCode>_("$"* #,##0_);_("$"* \(#,##0\);_("$"* "-"??_);_(@_)</c:formatCode>
                <c:ptCount val="5"/>
                <c:pt idx="0">
                  <c:v>18</c:v>
                </c:pt>
                <c:pt idx="1">
                  <c:v>499</c:v>
                </c:pt>
                <c:pt idx="2">
                  <c:v>520</c:v>
                </c:pt>
                <c:pt idx="3">
                  <c:v>525</c:v>
                </c:pt>
                <c:pt idx="4">
                  <c:v>536</c:v>
                </c:pt>
              </c:numCache>
            </c:numRef>
          </c:val>
          <c:smooth val="0"/>
        </c:ser>
        <c:dLbls>
          <c:showLegendKey val="0"/>
          <c:showVal val="0"/>
          <c:showCatName val="0"/>
          <c:showSerName val="0"/>
          <c:showPercent val="0"/>
          <c:showBubbleSize val="0"/>
        </c:dLbls>
        <c:smooth val="0"/>
        <c:axId val="317444744"/>
        <c:axId val="317443176"/>
      </c:lineChart>
      <c:catAx>
        <c:axId val="317444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43176"/>
        <c:crosses val="autoZero"/>
        <c:auto val="1"/>
        <c:lblAlgn val="ctr"/>
        <c:lblOffset val="100"/>
        <c:noMultiLvlLbl val="0"/>
      </c:catAx>
      <c:valAx>
        <c:axId val="31744317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444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 Sales_Analysis_Project REAL.xlsx]pivot table!PivotTable2</c:name>
    <c:fmtId val="36"/>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solidFill>
            <a:schemeClr val="accent5">
              <a:lumMod val="50000"/>
            </a:schemeClr>
          </a:soli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6011169966682091"/>
          <c:y val="0.21951755878377888"/>
          <c:w val="0.73988830033317909"/>
          <c:h val="0.78048230537603103"/>
        </c:manualLayout>
      </c:layout>
      <c:barChart>
        <c:barDir val="bar"/>
        <c:grouping val="clustered"/>
        <c:varyColors val="0"/>
        <c:ser>
          <c:idx val="0"/>
          <c:order val="0"/>
          <c:tx>
            <c:strRef>
              <c:f>'pivot table'!$B$3</c:f>
              <c:strCache>
                <c:ptCount val="1"/>
                <c:pt idx="0">
                  <c:v>Total</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cat>
            <c:strRef>
              <c:f>'pivot table'!$A$4:$A$14</c:f>
              <c:strCache>
                <c:ptCount val="10"/>
                <c:pt idx="0">
                  <c:v>Printer P50</c:v>
                </c:pt>
                <c:pt idx="1">
                  <c:v>Air Conditioner X2</c:v>
                </c:pt>
                <c:pt idx="2">
                  <c:v>Laptop A13</c:v>
                </c:pt>
                <c:pt idx="3">
                  <c:v>Blender B10</c:v>
                </c:pt>
                <c:pt idx="4">
                  <c:v>Refrigerator R55</c:v>
                </c:pt>
                <c:pt idx="5">
                  <c:v>Office Chair Pro</c:v>
                </c:pt>
                <c:pt idx="6">
                  <c:v>Sofa Classic</c:v>
                </c:pt>
                <c:pt idx="7">
                  <c:v>Desktop PC D21</c:v>
                </c:pt>
                <c:pt idx="8">
                  <c:v>Microwave M20</c:v>
                </c:pt>
                <c:pt idx="9">
                  <c:v>Smartphone Z10</c:v>
                </c:pt>
              </c:strCache>
            </c:strRef>
          </c:cat>
          <c:val>
            <c:numRef>
              <c:f>'pivot table'!$B$4:$B$14</c:f>
              <c:numCache>
                <c:formatCode>_("$"* #,##0_);_("$"* \(#,##0\);_("$"* "-"??_);_(@_)</c:formatCode>
                <c:ptCount val="10"/>
                <c:pt idx="0">
                  <c:v>113624456000</c:v>
                </c:pt>
                <c:pt idx="1">
                  <c:v>106173672000</c:v>
                </c:pt>
                <c:pt idx="2">
                  <c:v>101982606000</c:v>
                </c:pt>
                <c:pt idx="3">
                  <c:v>99188562000</c:v>
                </c:pt>
                <c:pt idx="4">
                  <c:v>94997496000</c:v>
                </c:pt>
                <c:pt idx="5">
                  <c:v>94997496000</c:v>
                </c:pt>
                <c:pt idx="6">
                  <c:v>93134800000</c:v>
                </c:pt>
                <c:pt idx="7">
                  <c:v>93134800000</c:v>
                </c:pt>
                <c:pt idx="8">
                  <c:v>92203452000</c:v>
                </c:pt>
                <c:pt idx="9">
                  <c:v>87546712000</c:v>
                </c:pt>
              </c:numCache>
            </c:numRef>
          </c:val>
        </c:ser>
        <c:dLbls>
          <c:showLegendKey val="0"/>
          <c:showVal val="0"/>
          <c:showCatName val="0"/>
          <c:showSerName val="0"/>
          <c:showPercent val="0"/>
          <c:showBubbleSize val="0"/>
        </c:dLbls>
        <c:gapWidth val="219"/>
        <c:axId val="318018800"/>
        <c:axId val="318025856"/>
      </c:barChart>
      <c:catAx>
        <c:axId val="3180188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18025856"/>
        <c:crosses val="autoZero"/>
        <c:auto val="1"/>
        <c:lblAlgn val="ctr"/>
        <c:lblOffset val="100"/>
        <c:noMultiLvlLbl val="0"/>
      </c:catAx>
      <c:valAx>
        <c:axId val="318025856"/>
        <c:scaling>
          <c:orientation val="minMax"/>
        </c:scaling>
        <c:delete val="1"/>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crossAx val="318018800"/>
        <c:crosses val="autoZero"/>
        <c:crossBetween val="between"/>
      </c:valAx>
      <c:spPr>
        <a:noFill/>
        <a:ln>
          <a:noFill/>
        </a:ln>
        <a:effectLst/>
      </c:spPr>
    </c:plotArea>
    <c:plotVisOnly val="1"/>
    <c:dispBlanksAs val="gap"/>
    <c:showDLblsOverMax val="0"/>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REAL.xlsx]pivot table!PivotTable3</c:name>
    <c:fmtId val="4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18526180110397"/>
          <c:y val="0.21964523538696584"/>
          <c:w val="0.41632782391439721"/>
          <c:h val="0.69524016386816401"/>
        </c:manualLayout>
      </c:layout>
      <c:doughnutChart>
        <c:varyColors val="1"/>
        <c:ser>
          <c:idx val="0"/>
          <c:order val="0"/>
          <c:tx>
            <c:strRef>
              <c:f>'pivot table'!$L$2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table'!$K$3:$K$7</c:f>
              <c:strCache>
                <c:ptCount val="4"/>
                <c:pt idx="0">
                  <c:v>Abuja</c:v>
                </c:pt>
                <c:pt idx="1">
                  <c:v>Kano</c:v>
                </c:pt>
                <c:pt idx="2">
                  <c:v>Lagos</c:v>
                </c:pt>
                <c:pt idx="3">
                  <c:v>Port Harcourt</c:v>
                </c:pt>
              </c:strCache>
            </c:strRef>
          </c:cat>
          <c:val>
            <c:numRef>
              <c:f>'pivot table'!$L$3:$L$7</c:f>
              <c:numCache>
                <c:formatCode>_("$"* #,##0_);_("$"* \(#,##0\);_("$"* "-"??_);_(@_)</c:formatCode>
                <c:ptCount val="4"/>
                <c:pt idx="0">
                  <c:v>1810540512000</c:v>
                </c:pt>
                <c:pt idx="1">
                  <c:v>2071317952000</c:v>
                </c:pt>
                <c:pt idx="2">
                  <c:v>2026613248000</c:v>
                </c:pt>
                <c:pt idx="3">
                  <c:v>1907400704000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REAL.xlsx]pivot table!PivotTable1</c:name>
    <c:fmtId val="34"/>
  </c:pivotSource>
  <c:chart>
    <c:autoTitleDeleted val="1"/>
    <c:pivotFmts>
      <c:pivotFmt>
        <c:idx val="0"/>
      </c:pivotFmt>
      <c:pivotFmt>
        <c:idx val="1"/>
      </c:pivotFmt>
      <c:pivotFmt>
        <c:idx val="2"/>
      </c:pivotFmt>
      <c:pivotFmt>
        <c:idx val="3"/>
      </c:pivotFmt>
      <c:pivotFmt>
        <c:idx val="4"/>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pivotFmt>
      <c:pivotFmt>
        <c:idx val="7"/>
        <c:spPr>
          <a:solidFill>
            <a:schemeClr val="accent5">
              <a:lumMod val="50000"/>
            </a:schemeClr>
          </a:solidFill>
          <a:ln>
            <a:solidFill>
              <a:schemeClr val="accent5">
                <a:lumMod val="50000"/>
              </a:schemeClr>
            </a:solidFill>
          </a:ln>
          <a:effectLst/>
        </c:spPr>
      </c:pivotFmt>
      <c:pivotFmt>
        <c:idx val="8"/>
        <c:spPr>
          <a:solidFill>
            <a:schemeClr val="accent5">
              <a:lumMod val="50000"/>
            </a:schemeClr>
          </a:solidFill>
          <a:ln>
            <a:noFill/>
          </a:ln>
          <a:effectLst/>
        </c:spPr>
      </c:pivotFmt>
      <c:pivotFmt>
        <c:idx val="9"/>
        <c:spPr>
          <a:solidFill>
            <a:schemeClr val="accent5">
              <a:lumMod val="50000"/>
            </a:schemeClr>
          </a:solidFill>
          <a:ln>
            <a:noFill/>
          </a:ln>
          <a:effectLst/>
        </c:spPr>
      </c:pivotFmt>
    </c:pivotFmts>
    <c:plotArea>
      <c:layout>
        <c:manualLayout>
          <c:layoutTarget val="inner"/>
          <c:xMode val="edge"/>
          <c:yMode val="edge"/>
          <c:x val="1.142464999223727E-2"/>
          <c:y val="6.4308846078498391E-2"/>
          <c:w val="0.87271759451938258"/>
          <c:h val="0.80291408884167781"/>
        </c:manualLayout>
      </c:layout>
      <c:barChart>
        <c:barDir val="col"/>
        <c:grouping val="clustered"/>
        <c:varyColors val="0"/>
        <c:ser>
          <c:idx val="0"/>
          <c:order val="0"/>
          <c:tx>
            <c:strRef>
              <c:f>'pivot table'!$I$5</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solidFill>
                  <a:schemeClr val="accent5">
                    <a:lumMod val="50000"/>
                  </a:schemeClr>
                </a:solidFill>
              </a:ln>
              <a:effectLst/>
            </c:spPr>
          </c:dPt>
          <c:dPt>
            <c:idx val="5"/>
            <c:invertIfNegative val="0"/>
            <c:bubble3D val="0"/>
          </c:dPt>
          <c:cat>
            <c:strRef>
              <c:f>'pivot table'!$H$6:$H$12</c:f>
              <c:strCache>
                <c:ptCount val="6"/>
                <c:pt idx="0">
                  <c:v>Peter</c:v>
                </c:pt>
                <c:pt idx="1">
                  <c:v>David</c:v>
                </c:pt>
                <c:pt idx="2">
                  <c:v>Musa</c:v>
                </c:pt>
                <c:pt idx="3">
                  <c:v>Aisha</c:v>
                </c:pt>
                <c:pt idx="4">
                  <c:v>Grace</c:v>
                </c:pt>
                <c:pt idx="5">
                  <c:v>Chidinma</c:v>
                </c:pt>
              </c:strCache>
            </c:strRef>
          </c:cat>
          <c:val>
            <c:numRef>
              <c:f>'pivot table'!$I$6:$I$12</c:f>
              <c:numCache>
                <c:formatCode>_("$"* #,##0_);_("$"* \(#,##0\);_("$"* "-"??_);_(@_)</c:formatCode>
                <c:ptCount val="6"/>
                <c:pt idx="0">
                  <c:v>1769561200000</c:v>
                </c:pt>
                <c:pt idx="1">
                  <c:v>1676426400000</c:v>
                </c:pt>
                <c:pt idx="2">
                  <c:v>1671769660000</c:v>
                </c:pt>
                <c:pt idx="3">
                  <c:v>1643829220000</c:v>
                </c:pt>
                <c:pt idx="4">
                  <c:v>1518097240000</c:v>
                </c:pt>
                <c:pt idx="5">
                  <c:v>1490156800000</c:v>
                </c:pt>
              </c:numCache>
            </c:numRef>
          </c:val>
        </c:ser>
        <c:dLbls>
          <c:showLegendKey val="0"/>
          <c:showVal val="0"/>
          <c:showCatName val="0"/>
          <c:showSerName val="0"/>
          <c:showPercent val="0"/>
          <c:showBubbleSize val="0"/>
        </c:dLbls>
        <c:gapWidth val="100"/>
        <c:axId val="318024680"/>
        <c:axId val="318025464"/>
      </c:barChart>
      <c:catAx>
        <c:axId val="31802468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8025464"/>
        <c:crosses val="autoZero"/>
        <c:auto val="1"/>
        <c:lblAlgn val="ctr"/>
        <c:lblOffset val="100"/>
        <c:noMultiLvlLbl val="0"/>
      </c:catAx>
      <c:valAx>
        <c:axId val="318025464"/>
        <c:scaling>
          <c:orientation val="minMax"/>
        </c:scaling>
        <c:delete val="1"/>
        <c:axPos val="l"/>
        <c:majorGridlines>
          <c:spPr>
            <a:ln w="9525" cap="flat" cmpd="sng" algn="ctr">
              <a:noFill/>
              <a:round/>
            </a:ln>
            <a:effectLst/>
          </c:spPr>
        </c:majorGridlines>
        <c:numFmt formatCode="_(&quot;$&quot;* #,##0_);_(&quot;$&quot;* \(#,##0\);_(&quot;$&quot;* &quot;-&quot;??_);_(@_)" sourceLinked="1"/>
        <c:majorTickMark val="none"/>
        <c:minorTickMark val="none"/>
        <c:tickLblPos val="nextTo"/>
        <c:crossAx val="318024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Sales_Analysis_Project REAL.xlsx]pivot table!PivotTable6</c:name>
    <c:fmtId val="38"/>
  </c:pivotSource>
  <c:chart>
    <c:autoTitleDeleted val="1"/>
    <c:pivotFmts>
      <c:pivotFmt>
        <c:idx val="0"/>
      </c:pivotFmt>
      <c:pivotFmt>
        <c:idx val="1"/>
      </c:pivotFmt>
      <c:pivotFmt>
        <c:idx val="2"/>
      </c:pivotFmt>
      <c:pivotFmt>
        <c:idx val="3"/>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6877386358342877E-2"/>
          <c:y val="0.11922502506188754"/>
          <c:w val="0.98312261364165709"/>
          <c:h val="0.69928073113490163"/>
        </c:manualLayout>
      </c:layout>
      <c:lineChart>
        <c:grouping val="standard"/>
        <c:varyColors val="0"/>
        <c:ser>
          <c:idx val="0"/>
          <c:order val="0"/>
          <c:tx>
            <c:strRef>
              <c:f>'pivot table'!$I$16</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'pivot table'!$H$17:$H$22</c:f>
              <c:strCache>
                <c:ptCount val="5"/>
                <c:pt idx="0">
                  <c:v>5</c:v>
                </c:pt>
                <c:pt idx="1">
                  <c:v>2</c:v>
                </c:pt>
                <c:pt idx="2">
                  <c:v>1</c:v>
                </c:pt>
                <c:pt idx="3">
                  <c:v>3</c:v>
                </c:pt>
                <c:pt idx="4">
                  <c:v>4</c:v>
                </c:pt>
              </c:strCache>
            </c:strRef>
          </c:cat>
          <c:val>
            <c:numRef>
              <c:f>'pivot table'!$I$17:$I$22</c:f>
              <c:numCache>
                <c:formatCode>_("$"* #,##0_);_("$"* \(#,##0\);_("$"* "-"??_);_(@_)</c:formatCode>
                <c:ptCount val="5"/>
                <c:pt idx="0">
                  <c:v>18</c:v>
                </c:pt>
                <c:pt idx="1">
                  <c:v>499</c:v>
                </c:pt>
                <c:pt idx="2">
                  <c:v>520</c:v>
                </c:pt>
                <c:pt idx="3">
                  <c:v>525</c:v>
                </c:pt>
                <c:pt idx="4">
                  <c:v>536</c:v>
                </c:pt>
              </c:numCache>
            </c:numRef>
          </c:val>
          <c:smooth val="0"/>
        </c:ser>
        <c:dLbls>
          <c:dLblPos val="ctr"/>
          <c:showLegendKey val="0"/>
          <c:showVal val="1"/>
          <c:showCatName val="0"/>
          <c:showSerName val="0"/>
          <c:showPercent val="0"/>
          <c:showBubbleSize val="0"/>
        </c:dLbls>
        <c:marker val="1"/>
        <c:smooth val="0"/>
        <c:axId val="318018408"/>
        <c:axId val="318022328"/>
      </c:lineChart>
      <c:catAx>
        <c:axId val="3180184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318022328"/>
        <c:crosses val="autoZero"/>
        <c:auto val="1"/>
        <c:lblAlgn val="ctr"/>
        <c:lblOffset val="100"/>
        <c:noMultiLvlLbl val="0"/>
      </c:catAx>
      <c:valAx>
        <c:axId val="318022328"/>
        <c:scaling>
          <c:orientation val="minMax"/>
        </c:scaling>
        <c:delete val="1"/>
        <c:axPos val="l"/>
        <c:numFmt formatCode="_(&quot;$&quot;* #,##0_);_(&quot;$&quot;* \(#,##0\);_(&quot;$&quot;* &quot;-&quot;??_);_(@_)" sourceLinked="1"/>
        <c:majorTickMark val="none"/>
        <c:minorTickMark val="none"/>
        <c:tickLblPos val="nextTo"/>
        <c:crossAx val="318018408"/>
        <c:crosses val="autoZero"/>
        <c:crossBetween val="between"/>
      </c:valAx>
      <c:spPr>
        <a:noFill/>
        <a:ln>
          <a:noFill/>
        </a:ln>
        <a:effectLst/>
      </c:spPr>
    </c:plotArea>
    <c:legend>
      <c:legendPos val="r"/>
      <c:layout>
        <c:manualLayout>
          <c:xMode val="edge"/>
          <c:yMode val="edge"/>
          <c:x val="0.84716622922134732"/>
          <c:y val="0.36218722659667535"/>
          <c:w val="0.15283395195000146"/>
          <c:h val="0.170813006082722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3" Type="http://schemas.openxmlformats.org/officeDocument/2006/relationships/chart" Target="../charts/chart5.xml"/><Relationship Id="rId7" Type="http://schemas.openxmlformats.org/officeDocument/2006/relationships/image" Target="../media/image2.png"/><Relationship Id="rId12" Type="http://schemas.openxmlformats.org/officeDocument/2006/relationships/image" Target="../media/image6.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0" Type="http://schemas.openxmlformats.org/officeDocument/2006/relationships/image" Target="../media/image4.png"/><Relationship Id="rId4" Type="http://schemas.openxmlformats.org/officeDocument/2006/relationships/chart" Target="../charts/chart6.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247649</xdr:colOff>
      <xdr:row>0</xdr:row>
      <xdr:rowOff>0</xdr:rowOff>
    </xdr:from>
    <xdr:to>
      <xdr:col>5</xdr:col>
      <xdr:colOff>6350</xdr:colOff>
      <xdr:row>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xdr:row>
      <xdr:rowOff>0</xdr:rowOff>
    </xdr:from>
    <xdr:to>
      <xdr:col>5</xdr:col>
      <xdr:colOff>184150</xdr:colOff>
      <xdr:row>18</xdr:row>
      <xdr:rowOff>165100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152400</xdr:colOff>
      <xdr:row>7</xdr:row>
      <xdr:rowOff>107950</xdr:rowOff>
    </xdr:from>
    <xdr:to>
      <xdr:col>12</xdr:col>
      <xdr:colOff>139700</xdr:colOff>
      <xdr:row>13</xdr:row>
      <xdr:rowOff>44450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1390650</xdr:colOff>
      <xdr:row>15</xdr:row>
      <xdr:rowOff>104775</xdr:rowOff>
    </xdr:from>
    <xdr:to>
      <xdr:col>12</xdr:col>
      <xdr:colOff>292100</xdr:colOff>
      <xdr:row>21</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393700</xdr:colOff>
      <xdr:row>12</xdr:row>
      <xdr:rowOff>111125</xdr:rowOff>
    </xdr:from>
    <xdr:to>
      <xdr:col>14</xdr:col>
      <xdr:colOff>527050</xdr:colOff>
      <xdr:row>21</xdr:row>
      <xdr:rowOff>117475</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09450" y="2333625"/>
              <a:ext cx="74295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241300</xdr:colOff>
      <xdr:row>4</xdr:row>
      <xdr:rowOff>0</xdr:rowOff>
    </xdr:from>
    <xdr:to>
      <xdr:col>15</xdr:col>
      <xdr:colOff>241300</xdr:colOff>
      <xdr:row>12</xdr:row>
      <xdr:rowOff>111125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57050" y="749300"/>
              <a:ext cx="1219200" cy="1584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127000</xdr:colOff>
      <xdr:row>1</xdr:row>
      <xdr:rowOff>136071</xdr:rowOff>
    </xdr:from>
    <xdr:to>
      <xdr:col>19</xdr:col>
      <xdr:colOff>172357</xdr:colOff>
      <xdr:row>31</xdr:row>
      <xdr:rowOff>36285</xdr:rowOff>
    </xdr:to>
    <xdr:sp macro="" textlink="">
      <xdr:nvSpPr>
        <xdr:cNvPr id="2" name="Rounded Rectangle 1"/>
        <xdr:cNvSpPr/>
      </xdr:nvSpPr>
      <xdr:spPr>
        <a:xfrm>
          <a:off x="1950357" y="317500"/>
          <a:ext cx="9769929" cy="5343071"/>
        </a:xfrm>
        <a:prstGeom prst="roundRect">
          <a:avLst>
            <a:gd name="adj" fmla="val 4857"/>
          </a:avLst>
        </a:prstGeom>
        <a:solidFill>
          <a:schemeClr val="accent5">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272143</xdr:colOff>
      <xdr:row>2</xdr:row>
      <xdr:rowOff>72572</xdr:rowOff>
    </xdr:from>
    <xdr:to>
      <xdr:col>19</xdr:col>
      <xdr:colOff>54428</xdr:colOff>
      <xdr:row>30</xdr:row>
      <xdr:rowOff>127000</xdr:rowOff>
    </xdr:to>
    <xdr:sp macro="" textlink="">
      <xdr:nvSpPr>
        <xdr:cNvPr id="45" name="Rounded Rectangle 44"/>
        <xdr:cNvSpPr/>
      </xdr:nvSpPr>
      <xdr:spPr>
        <a:xfrm>
          <a:off x="2095500" y="435429"/>
          <a:ext cx="9506857" cy="5134428"/>
        </a:xfrm>
        <a:prstGeom prst="roundRect">
          <a:avLst>
            <a:gd name="adj" fmla="val 4857"/>
          </a:avLst>
        </a:prstGeom>
        <a:solidFill>
          <a:schemeClr val="bg2">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520325</xdr:colOff>
      <xdr:row>2</xdr:row>
      <xdr:rowOff>129989</xdr:rowOff>
    </xdr:from>
    <xdr:to>
      <xdr:col>18</xdr:col>
      <xdr:colOff>328706</xdr:colOff>
      <xdr:row>4</xdr:row>
      <xdr:rowOff>89648</xdr:rowOff>
    </xdr:to>
    <xdr:sp macro="" textlink="">
      <xdr:nvSpPr>
        <xdr:cNvPr id="7" name="Rounded Rectangle 6"/>
        <xdr:cNvSpPr/>
      </xdr:nvSpPr>
      <xdr:spPr>
        <a:xfrm>
          <a:off x="4187450" y="495114"/>
          <a:ext cx="7142631" cy="324784"/>
        </a:xfrm>
        <a:prstGeom prst="roundRect">
          <a:avLst/>
        </a:prstGeom>
        <a:solidFill>
          <a:schemeClr val="accent5">
            <a:lumMod val="5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r>
            <a:rPr lang="en-US" sz="1400" b="1">
              <a:solidFill>
                <a:schemeClr val="bg1"/>
              </a:solidFill>
            </a:rPr>
            <a:t>SALES</a:t>
          </a:r>
          <a:r>
            <a:rPr lang="en-US" sz="1400" b="1" baseline="0">
              <a:solidFill>
                <a:schemeClr val="bg1"/>
              </a:solidFill>
            </a:rPr>
            <a:t> PERFORMANCE DASHBOARD PROJECT</a:t>
          </a:r>
          <a:endParaRPr lang="en-US" sz="1400" b="1">
            <a:solidFill>
              <a:schemeClr val="bg1"/>
            </a:solidFill>
          </a:endParaRPr>
        </a:p>
      </xdr:txBody>
    </xdr:sp>
    <xdr:clientData/>
  </xdr:twoCellAnchor>
  <xdr:twoCellAnchor editAs="oneCell">
    <xdr:from>
      <xdr:col>6</xdr:col>
      <xdr:colOff>458370</xdr:colOff>
      <xdr:row>1</xdr:row>
      <xdr:rowOff>52227</xdr:rowOff>
    </xdr:from>
    <xdr:to>
      <xdr:col>7</xdr:col>
      <xdr:colOff>362858</xdr:colOff>
      <xdr:row>4</xdr:row>
      <xdr:rowOff>181425</xdr:rowOff>
    </xdr:to>
    <xdr:pic>
      <xdr:nvPicPr>
        <xdr:cNvPr id="43" name="Picture 42"/>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backgroundMark x1="29536" y1="39003" x2="29536" y2="39003"/>
                      <a14:backgroundMark x1="75105" y1="45748" x2="75105" y2="45748"/>
                    </a14:backgroundRemoval>
                  </a14:imgEffect>
                </a14:imgLayer>
              </a14:imgProps>
            </a:ext>
            <a:ext uri="{28A0092B-C50C-407E-A947-70E740481C1C}">
              <a14:useLocalDpi xmlns:a14="http://schemas.microsoft.com/office/drawing/2010/main" val="0"/>
            </a:ext>
          </a:extLst>
        </a:blip>
        <a:stretch>
          <a:fillRect/>
        </a:stretch>
      </xdr:blipFill>
      <xdr:spPr>
        <a:xfrm>
          <a:off x="4105084" y="233656"/>
          <a:ext cx="512274" cy="673483"/>
        </a:xfrm>
        <a:prstGeom prst="rect">
          <a:avLst/>
        </a:prstGeom>
        <a:ln>
          <a:noFill/>
        </a:ln>
      </xdr:spPr>
    </xdr:pic>
    <xdr:clientData/>
  </xdr:twoCellAnchor>
  <xdr:twoCellAnchor>
    <xdr:from>
      <xdr:col>5</xdr:col>
      <xdr:colOff>260723</xdr:colOff>
      <xdr:row>0</xdr:row>
      <xdr:rowOff>0</xdr:rowOff>
    </xdr:from>
    <xdr:to>
      <xdr:col>7</xdr:col>
      <xdr:colOff>593164</xdr:colOff>
      <xdr:row>0</xdr:row>
      <xdr:rowOff>0</xdr:rowOff>
    </xdr:to>
    <xdr:sp macro="" textlink="">
      <xdr:nvSpPr>
        <xdr:cNvPr id="9" name="Rounded Rectangle 8"/>
        <xdr:cNvSpPr/>
      </xdr:nvSpPr>
      <xdr:spPr>
        <a:xfrm>
          <a:off x="3323664" y="0"/>
          <a:ext cx="1557618" cy="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500530</xdr:colOff>
      <xdr:row>4</xdr:row>
      <xdr:rowOff>127000</xdr:rowOff>
    </xdr:from>
    <xdr:to>
      <xdr:col>18</xdr:col>
      <xdr:colOff>373530</xdr:colOff>
      <xdr:row>7</xdr:row>
      <xdr:rowOff>179294</xdr:rowOff>
    </xdr:to>
    <xdr:sp macro="" textlink="">
      <xdr:nvSpPr>
        <xdr:cNvPr id="12" name="Rounded Rectangle 11"/>
        <xdr:cNvSpPr/>
      </xdr:nvSpPr>
      <xdr:spPr>
        <a:xfrm>
          <a:off x="9689354" y="874059"/>
          <a:ext cx="1710764" cy="612588"/>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200" b="1" baseline="0">
            <a:solidFill>
              <a:schemeClr val="accent5">
                <a:lumMod val="50000"/>
              </a:schemeClr>
            </a:solidFill>
          </a:endParaRPr>
        </a:p>
      </xdr:txBody>
    </xdr:sp>
    <xdr:clientData/>
  </xdr:twoCellAnchor>
  <xdr:twoCellAnchor>
    <xdr:from>
      <xdr:col>12</xdr:col>
      <xdr:colOff>395941</xdr:colOff>
      <xdr:row>8</xdr:row>
      <xdr:rowOff>74707</xdr:rowOff>
    </xdr:from>
    <xdr:to>
      <xdr:col>18</xdr:col>
      <xdr:colOff>448236</xdr:colOff>
      <xdr:row>17</xdr:row>
      <xdr:rowOff>94927</xdr:rowOff>
    </xdr:to>
    <xdr:sp macro="" textlink="">
      <xdr:nvSpPr>
        <xdr:cNvPr id="14" name="Rounded Rectangle 13"/>
        <xdr:cNvSpPr/>
      </xdr:nvSpPr>
      <xdr:spPr>
        <a:xfrm>
          <a:off x="7747000" y="1568825"/>
          <a:ext cx="3727824" cy="1701102"/>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oneCellAnchor>
    <xdr:from>
      <xdr:col>14</xdr:col>
      <xdr:colOff>1</xdr:colOff>
      <xdr:row>8</xdr:row>
      <xdr:rowOff>89644</xdr:rowOff>
    </xdr:from>
    <xdr:ext cx="2530928" cy="420507"/>
    <xdr:sp macro="" textlink="">
      <xdr:nvSpPr>
        <xdr:cNvPr id="18" name="TextBox 17"/>
        <xdr:cNvSpPr txBox="1"/>
      </xdr:nvSpPr>
      <xdr:spPr>
        <a:xfrm>
          <a:off x="8509001" y="1541073"/>
          <a:ext cx="2530928" cy="42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solidFill>
                <a:schemeClr val="accent5">
                  <a:lumMod val="50000"/>
                </a:schemeClr>
              </a:solidFill>
              <a:latin typeface="+mj-lt"/>
            </a:rPr>
            <a:t>MOST</a:t>
          </a:r>
          <a:r>
            <a:rPr lang="en-US" sz="1400" b="1" baseline="0">
              <a:solidFill>
                <a:schemeClr val="accent5">
                  <a:lumMod val="50000"/>
                </a:schemeClr>
              </a:solidFill>
              <a:latin typeface="+mj-lt"/>
            </a:rPr>
            <a:t> PROFITABLE PRODUCT</a:t>
          </a:r>
          <a:endParaRPr lang="en-US" sz="1400" b="1">
            <a:solidFill>
              <a:schemeClr val="accent5">
                <a:lumMod val="50000"/>
              </a:schemeClr>
            </a:solidFill>
            <a:latin typeface="+mj-lt"/>
          </a:endParaRPr>
        </a:p>
      </xdr:txBody>
    </xdr:sp>
    <xdr:clientData/>
  </xdr:oneCellAnchor>
  <xdr:twoCellAnchor>
    <xdr:from>
      <xdr:col>12</xdr:col>
      <xdr:colOff>418353</xdr:colOff>
      <xdr:row>18</xdr:row>
      <xdr:rowOff>23159</xdr:rowOff>
    </xdr:from>
    <xdr:to>
      <xdr:col>18</xdr:col>
      <xdr:colOff>470647</xdr:colOff>
      <xdr:row>30</xdr:row>
      <xdr:rowOff>90714</xdr:rowOff>
    </xdr:to>
    <xdr:sp macro="" textlink="">
      <xdr:nvSpPr>
        <xdr:cNvPr id="20" name="Rounded Rectangle 19"/>
        <xdr:cNvSpPr/>
      </xdr:nvSpPr>
      <xdr:spPr>
        <a:xfrm>
          <a:off x="7711782" y="3288873"/>
          <a:ext cx="3699008" cy="2244698"/>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283884</xdr:colOff>
      <xdr:row>8</xdr:row>
      <xdr:rowOff>97117</xdr:rowOff>
    </xdr:from>
    <xdr:to>
      <xdr:col>12</xdr:col>
      <xdr:colOff>268942</xdr:colOff>
      <xdr:row>18</xdr:row>
      <xdr:rowOff>127000</xdr:rowOff>
    </xdr:to>
    <xdr:sp macro="" textlink="">
      <xdr:nvSpPr>
        <xdr:cNvPr id="21" name="Rounded Rectangle 20"/>
        <xdr:cNvSpPr/>
      </xdr:nvSpPr>
      <xdr:spPr>
        <a:xfrm>
          <a:off x="3930598" y="1548546"/>
          <a:ext cx="3631773" cy="1844168"/>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540871</xdr:colOff>
      <xdr:row>4</xdr:row>
      <xdr:rowOff>144929</xdr:rowOff>
    </xdr:from>
    <xdr:to>
      <xdr:col>15</xdr:col>
      <xdr:colOff>400425</xdr:colOff>
      <xdr:row>7</xdr:row>
      <xdr:rowOff>153896</xdr:rowOff>
    </xdr:to>
    <xdr:sp macro="" textlink="">
      <xdr:nvSpPr>
        <xdr:cNvPr id="23" name="Rounded Rectangle 22"/>
        <xdr:cNvSpPr/>
      </xdr:nvSpPr>
      <xdr:spPr>
        <a:xfrm>
          <a:off x="7891930" y="891988"/>
          <a:ext cx="1697319" cy="569261"/>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13448</xdr:colOff>
      <xdr:row>4</xdr:row>
      <xdr:rowOff>159658</xdr:rowOff>
    </xdr:from>
    <xdr:to>
      <xdr:col>12</xdr:col>
      <xdr:colOff>485590</xdr:colOff>
      <xdr:row>7</xdr:row>
      <xdr:rowOff>163289</xdr:rowOff>
    </xdr:to>
    <xdr:sp macro="" textlink="">
      <xdr:nvSpPr>
        <xdr:cNvPr id="24" name="Rounded Rectangle 23"/>
        <xdr:cNvSpPr/>
      </xdr:nvSpPr>
      <xdr:spPr>
        <a:xfrm>
          <a:off x="6091305" y="885372"/>
          <a:ext cx="1687714" cy="547917"/>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0</xdr:colOff>
      <xdr:row>5</xdr:row>
      <xdr:rowOff>5764</xdr:rowOff>
    </xdr:from>
    <xdr:to>
      <xdr:col>9</xdr:col>
      <xdr:colOff>472143</xdr:colOff>
      <xdr:row>8</xdr:row>
      <xdr:rowOff>14731</xdr:rowOff>
    </xdr:to>
    <xdr:sp macro="" textlink="">
      <xdr:nvSpPr>
        <xdr:cNvPr id="25" name="Rounded Rectangle 24"/>
        <xdr:cNvSpPr/>
      </xdr:nvSpPr>
      <xdr:spPr>
        <a:xfrm>
          <a:off x="4254500" y="912907"/>
          <a:ext cx="1687714" cy="553253"/>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530412</xdr:colOff>
      <xdr:row>8</xdr:row>
      <xdr:rowOff>59765</xdr:rowOff>
    </xdr:from>
    <xdr:to>
      <xdr:col>18</xdr:col>
      <xdr:colOff>605118</xdr:colOff>
      <xdr:row>16</xdr:row>
      <xdr:rowOff>104590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0</xdr:colOff>
      <xdr:row>8</xdr:row>
      <xdr:rowOff>29876</xdr:rowOff>
    </xdr:from>
    <xdr:ext cx="2364878" cy="311496"/>
    <xdr:sp macro="" textlink="">
      <xdr:nvSpPr>
        <xdr:cNvPr id="29" name="TextBox 28"/>
        <xdr:cNvSpPr txBox="1"/>
      </xdr:nvSpPr>
      <xdr:spPr>
        <a:xfrm>
          <a:off x="4862286" y="1481305"/>
          <a:ext cx="236487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5">
                  <a:lumMod val="50000"/>
                </a:schemeClr>
              </a:solidFill>
            </a:rPr>
            <a:t>TOP</a:t>
          </a:r>
          <a:r>
            <a:rPr lang="en-US" sz="1400" b="1" baseline="0">
              <a:solidFill>
                <a:schemeClr val="accent5">
                  <a:lumMod val="50000"/>
                </a:schemeClr>
              </a:solidFill>
            </a:rPr>
            <a:t> PERFORMING </a:t>
          </a:r>
          <a:r>
            <a:rPr lang="en-US" sz="1400" b="1">
              <a:solidFill>
                <a:schemeClr val="accent5">
                  <a:lumMod val="50000"/>
                </a:schemeClr>
              </a:solidFill>
            </a:rPr>
            <a:t>SALES REP</a:t>
          </a:r>
        </a:p>
      </xdr:txBody>
    </xdr:sp>
    <xdr:clientData/>
  </xdr:oneCellAnchor>
  <xdr:twoCellAnchor>
    <xdr:from>
      <xdr:col>12</xdr:col>
      <xdr:colOff>27214</xdr:colOff>
      <xdr:row>16</xdr:row>
      <xdr:rowOff>99786</xdr:rowOff>
    </xdr:from>
    <xdr:to>
      <xdr:col>18</xdr:col>
      <xdr:colOff>470647</xdr:colOff>
      <xdr:row>30</xdr:row>
      <xdr:rowOff>9072</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338326</xdr:colOff>
      <xdr:row>8</xdr:row>
      <xdr:rowOff>104588</xdr:rowOff>
    </xdr:from>
    <xdr:to>
      <xdr:col>12</xdr:col>
      <xdr:colOff>395941</xdr:colOff>
      <xdr:row>18</xdr:row>
      <xdr:rowOff>72572</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112059</xdr:colOff>
      <xdr:row>18</xdr:row>
      <xdr:rowOff>0</xdr:rowOff>
    </xdr:from>
    <xdr:ext cx="1265667" cy="311496"/>
    <xdr:sp macro="" textlink="">
      <xdr:nvSpPr>
        <xdr:cNvPr id="3" name="TextBox 2"/>
        <xdr:cNvSpPr txBox="1"/>
      </xdr:nvSpPr>
      <xdr:spPr>
        <a:xfrm>
          <a:off x="9228845" y="3265714"/>
          <a:ext cx="126566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5">
                  <a:lumMod val="50000"/>
                </a:schemeClr>
              </a:solidFill>
            </a:rPr>
            <a:t>COST BY COGS</a:t>
          </a:r>
        </a:p>
      </xdr:txBody>
    </xdr:sp>
    <xdr:clientData/>
  </xdr:oneCellAnchor>
  <xdr:twoCellAnchor>
    <xdr:from>
      <xdr:col>6</xdr:col>
      <xdr:colOff>272143</xdr:colOff>
      <xdr:row>19</xdr:row>
      <xdr:rowOff>29881</xdr:rowOff>
    </xdr:from>
    <xdr:to>
      <xdr:col>12</xdr:col>
      <xdr:colOff>353785</xdr:colOff>
      <xdr:row>30</xdr:row>
      <xdr:rowOff>108857</xdr:rowOff>
    </xdr:to>
    <xdr:sp macro="" textlink="">
      <xdr:nvSpPr>
        <xdr:cNvPr id="31" name="Rounded Rectangle 30"/>
        <xdr:cNvSpPr/>
      </xdr:nvSpPr>
      <xdr:spPr>
        <a:xfrm>
          <a:off x="3918857" y="3477024"/>
          <a:ext cx="3728357" cy="2074690"/>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239059</xdr:colOff>
      <xdr:row>19</xdr:row>
      <xdr:rowOff>126999</xdr:rowOff>
    </xdr:from>
    <xdr:to>
      <xdr:col>12</xdr:col>
      <xdr:colOff>298823</xdr:colOff>
      <xdr:row>28</xdr:row>
      <xdr:rowOff>156881</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283882</xdr:colOff>
      <xdr:row>4</xdr:row>
      <xdr:rowOff>134470</xdr:rowOff>
    </xdr:from>
    <xdr:to>
      <xdr:col>12</xdr:col>
      <xdr:colOff>328706</xdr:colOff>
      <xdr:row>8</xdr:row>
      <xdr:rowOff>44823</xdr:rowOff>
    </xdr:to>
    <xdr:pic>
      <xdr:nvPicPr>
        <xdr:cNvPr id="5" name="Picture 4"/>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2875" b="93770" l="9744" r="95367">
                      <a14:backgroundMark x1="16294" y1="70447" x2="17732" y2="70288"/>
                      <a14:backgroundMark x1="17093" y1="70288" x2="56390" y2="36901"/>
                      <a14:backgroundMark x1="63578" y1="39776" x2="72045" y2="38978"/>
                      <a14:backgroundMark x1="48882" y1="56709" x2="33067" y2="68211"/>
                    </a14:backgroundRemoval>
                  </a14:imgEffect>
                </a14:imgLayer>
              </a14:imgProps>
            </a:ext>
            <a:ext uri="{28A0092B-C50C-407E-A947-70E740481C1C}">
              <a14:useLocalDpi xmlns:a14="http://schemas.microsoft.com/office/drawing/2010/main" val="0"/>
            </a:ext>
          </a:extLst>
        </a:blip>
        <a:stretch>
          <a:fillRect/>
        </a:stretch>
      </xdr:blipFill>
      <xdr:spPr>
        <a:xfrm>
          <a:off x="7022353" y="881529"/>
          <a:ext cx="657412" cy="657412"/>
        </a:xfrm>
        <a:prstGeom prst="rect">
          <a:avLst/>
        </a:prstGeom>
      </xdr:spPr>
    </xdr:pic>
    <xdr:clientData/>
  </xdr:twoCellAnchor>
  <xdr:twoCellAnchor editAs="oneCell">
    <xdr:from>
      <xdr:col>8</xdr:col>
      <xdr:colOff>175606</xdr:colOff>
      <xdr:row>2</xdr:row>
      <xdr:rowOff>11580</xdr:rowOff>
    </xdr:from>
    <xdr:to>
      <xdr:col>9</xdr:col>
      <xdr:colOff>130782</xdr:colOff>
      <xdr:row>5</xdr:row>
      <xdr:rowOff>19049</xdr:rowOff>
    </xdr:to>
    <xdr:pic>
      <xdr:nvPicPr>
        <xdr:cNvPr id="6" name="Picture 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37892" y="374437"/>
          <a:ext cx="562961" cy="551755"/>
        </a:xfrm>
        <a:prstGeom prst="rect">
          <a:avLst/>
        </a:prstGeom>
      </xdr:spPr>
    </xdr:pic>
    <xdr:clientData/>
  </xdr:twoCellAnchor>
  <xdr:twoCellAnchor editAs="oneCell">
    <xdr:from>
      <xdr:col>13</xdr:col>
      <xdr:colOff>156885</xdr:colOff>
      <xdr:row>2</xdr:row>
      <xdr:rowOff>166750</xdr:rowOff>
    </xdr:from>
    <xdr:to>
      <xdr:col>16</xdr:col>
      <xdr:colOff>104588</xdr:colOff>
      <xdr:row>9</xdr:row>
      <xdr:rowOff>48092</xdr:rowOff>
    </xdr:to>
    <xdr:pic>
      <xdr:nvPicPr>
        <xdr:cNvPr id="11" name="Picture 10"/>
        <xdr:cNvPicPr>
          <a:picLocks noChangeAspect="1"/>
        </xdr:cNvPicPr>
      </xdr:nvPicPr>
      <xdr:blipFill>
        <a:blip xmlns:r="http://schemas.openxmlformats.org/officeDocument/2006/relationships" r:embed="rId10"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8120532" y="540279"/>
          <a:ext cx="1785468" cy="1188695"/>
        </a:xfrm>
        <a:prstGeom prst="rect">
          <a:avLst/>
        </a:prstGeom>
      </xdr:spPr>
    </xdr:pic>
    <xdr:clientData/>
  </xdr:twoCellAnchor>
  <xdr:oneCellAnchor>
    <xdr:from>
      <xdr:col>12</xdr:col>
      <xdr:colOff>560292</xdr:colOff>
      <xdr:row>4</xdr:row>
      <xdr:rowOff>89645</xdr:rowOff>
    </xdr:from>
    <xdr:ext cx="1090170" cy="280205"/>
    <xdr:sp macro="" textlink="">
      <xdr:nvSpPr>
        <xdr:cNvPr id="13" name="TextBox 12"/>
        <xdr:cNvSpPr txBox="1"/>
      </xdr:nvSpPr>
      <xdr:spPr>
        <a:xfrm>
          <a:off x="7894542" y="819895"/>
          <a:ext cx="109017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0" u="none" strike="noStrike" baseline="0">
              <a:solidFill>
                <a:schemeClr val="accent5">
                  <a:lumMod val="50000"/>
                </a:schemeClr>
              </a:solidFill>
              <a:effectLst/>
              <a:latin typeface="+mn-lt"/>
              <a:ea typeface="+mn-ea"/>
              <a:cs typeface="+mn-cs"/>
            </a:rPr>
            <a:t> COGS BY CITY</a:t>
          </a:r>
          <a:endParaRPr lang="en-US" sz="1200" b="1">
            <a:solidFill>
              <a:schemeClr val="accent5">
                <a:lumMod val="50000"/>
              </a:schemeClr>
            </a:solidFill>
          </a:endParaRPr>
        </a:p>
      </xdr:txBody>
    </xdr:sp>
    <xdr:clientData/>
  </xdr:oneCellAnchor>
  <xdr:oneCellAnchor>
    <xdr:from>
      <xdr:col>15</xdr:col>
      <xdr:colOff>485582</xdr:colOff>
      <xdr:row>4</xdr:row>
      <xdr:rowOff>74702</xdr:rowOff>
    </xdr:from>
    <xdr:ext cx="1438022" cy="280205"/>
    <xdr:sp macro="" textlink="">
      <xdr:nvSpPr>
        <xdr:cNvPr id="15" name="TextBox 14"/>
        <xdr:cNvSpPr txBox="1"/>
      </xdr:nvSpPr>
      <xdr:spPr>
        <a:xfrm>
          <a:off x="9653395" y="804952"/>
          <a:ext cx="143802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accent5">
                  <a:lumMod val="50000"/>
                </a:schemeClr>
              </a:solidFill>
            </a:rPr>
            <a:t>TOTAL CUSTOMERS</a:t>
          </a:r>
        </a:p>
      </xdr:txBody>
    </xdr:sp>
    <xdr:clientData/>
  </xdr:oneCellAnchor>
  <xdr:twoCellAnchor editAs="oneCell">
    <xdr:from>
      <xdr:col>8</xdr:col>
      <xdr:colOff>276410</xdr:colOff>
      <xdr:row>2</xdr:row>
      <xdr:rowOff>119344</xdr:rowOff>
    </xdr:from>
    <xdr:to>
      <xdr:col>10</xdr:col>
      <xdr:colOff>55729</xdr:colOff>
      <xdr:row>8</xdr:row>
      <xdr:rowOff>44823</xdr:rowOff>
    </xdr:to>
    <xdr:pic>
      <xdr:nvPicPr>
        <xdr:cNvPr id="17" name="Picture 16"/>
        <xdr:cNvPicPr>
          <a:picLocks noChangeAspect="1"/>
        </xdr:cNvPicPr>
      </xdr:nvPicPr>
      <xdr:blipFill>
        <a:blip xmlns:r="http://schemas.openxmlformats.org/officeDocument/2006/relationships" r:embed="rId1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5165910" y="484469"/>
          <a:ext cx="1001694" cy="1020854"/>
        </a:xfrm>
        <a:prstGeom prst="rect">
          <a:avLst/>
        </a:prstGeom>
      </xdr:spPr>
    </xdr:pic>
    <xdr:clientData/>
  </xdr:twoCellAnchor>
  <xdr:oneCellAnchor>
    <xdr:from>
      <xdr:col>6</xdr:col>
      <xdr:colOff>563284</xdr:colOff>
      <xdr:row>4</xdr:row>
      <xdr:rowOff>144929</xdr:rowOff>
    </xdr:from>
    <xdr:ext cx="1270279" cy="280205"/>
    <xdr:sp macro="" textlink="">
      <xdr:nvSpPr>
        <xdr:cNvPr id="19" name="TextBox 18"/>
        <xdr:cNvSpPr txBox="1"/>
      </xdr:nvSpPr>
      <xdr:spPr>
        <a:xfrm>
          <a:off x="4230409" y="875179"/>
          <a:ext cx="127027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accent5">
                  <a:lumMod val="50000"/>
                </a:schemeClr>
              </a:solidFill>
            </a:rPr>
            <a:t>TOTAL </a:t>
          </a:r>
          <a:r>
            <a:rPr lang="en-US" sz="1200" b="1" cap="none" spc="0">
              <a:ln w="0"/>
              <a:solidFill>
                <a:schemeClr val="accent5">
                  <a:lumMod val="50000"/>
                </a:schemeClr>
              </a:solidFill>
              <a:effectLst>
                <a:outerShdw blurRad="38100" dist="19050" dir="2700000" algn="tl" rotWithShape="0">
                  <a:schemeClr val="dk1">
                    <a:alpha val="40000"/>
                  </a:schemeClr>
                </a:outerShdw>
              </a:effectLst>
            </a:rPr>
            <a:t>REVENUE</a:t>
          </a:r>
          <a:endParaRPr lang="en-US" sz="1200" b="1">
            <a:solidFill>
              <a:schemeClr val="accent5">
                <a:lumMod val="50000"/>
              </a:schemeClr>
            </a:solidFill>
          </a:endParaRPr>
        </a:p>
      </xdr:txBody>
    </xdr:sp>
    <xdr:clientData/>
  </xdr:oneCellAnchor>
  <xdr:oneCellAnchor>
    <xdr:from>
      <xdr:col>6</xdr:col>
      <xdr:colOff>520325</xdr:colOff>
      <xdr:row>6</xdr:row>
      <xdr:rowOff>7470</xdr:rowOff>
    </xdr:from>
    <xdr:ext cx="1924425" cy="280205"/>
    <mc:AlternateContent xmlns:mc="http://schemas.openxmlformats.org/markup-compatibility/2006" xmlns:a14="http://schemas.microsoft.com/office/drawing/2010/main">
      <mc:Choice Requires="a14">
        <xdr:sp macro="" textlink="">
          <xdr:nvSpPr>
            <xdr:cNvPr id="32" name="TextBox 31"/>
            <xdr:cNvSpPr txBox="1"/>
          </xdr:nvSpPr>
          <xdr:spPr>
            <a:xfrm>
              <a:off x="4187450" y="1102845"/>
              <a:ext cx="19244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i="0" u="none" strike="noStrike">
                  <a:solidFill>
                    <a:schemeClr val="accent5">
                      <a:lumMod val="50000"/>
                    </a:schemeClr>
                  </a:solidFill>
                  <a:effectLst/>
                  <a:latin typeface="+mn-lt"/>
                  <a:ea typeface="+mn-ea"/>
                  <a:cs typeface="+mn-cs"/>
                </a:rPr>
                <a:t> </a:t>
              </a:r>
              <a14:m>
                <m:oMath xmlns:m="http://schemas.openxmlformats.org/officeDocument/2006/math">
                  <m:r>
                    <a:rPr lang="en-US" sz="1200" b="1" i="1" u="none" strike="noStrike">
                      <a:solidFill>
                        <a:schemeClr val="accent5">
                          <a:lumMod val="50000"/>
                        </a:schemeClr>
                      </a:solidFill>
                      <a:effectLst/>
                      <a:latin typeface="Cambria Math" panose="02040503050406030204" pitchFamily="18" charset="0"/>
                      <a:ea typeface="+mn-ea"/>
                      <a:cs typeface="Arial" panose="020B0604020202020204" pitchFamily="34" charset="0"/>
                    </a:rPr>
                    <m:t>₦</m:t>
                  </m:r>
                </m:oMath>
              </a14:m>
              <a:r>
                <a:rPr lang="en-US" sz="1200" b="1" i="0" u="none" strike="noStrike">
                  <a:solidFill>
                    <a:schemeClr val="accent5">
                      <a:lumMod val="50000"/>
                    </a:schemeClr>
                  </a:solidFill>
                  <a:effectLst/>
                  <a:latin typeface="Arial" panose="020B0604020202020204" pitchFamily="34" charset="0"/>
                  <a:ea typeface="+mn-ea"/>
                  <a:cs typeface="Arial" panose="020B0604020202020204" pitchFamily="34" charset="0"/>
                </a:rPr>
                <a:t> 2,328,370,000.00 </a:t>
              </a:r>
              <a:endParaRPr lang="en-US" sz="1200" b="1">
                <a:solidFill>
                  <a:schemeClr val="accent5">
                    <a:lumMod val="50000"/>
                  </a:schemeClr>
                </a:solidFill>
                <a:latin typeface="Arial" panose="020B0604020202020204" pitchFamily="34" charset="0"/>
                <a:cs typeface="Arial" panose="020B0604020202020204" pitchFamily="34" charset="0"/>
              </a:endParaRPr>
            </a:p>
          </xdr:txBody>
        </xdr:sp>
      </mc:Choice>
      <mc:Fallback xmlns="">
        <xdr:sp macro="" textlink="">
          <xdr:nvSpPr>
            <xdr:cNvPr id="32" name="TextBox 31"/>
            <xdr:cNvSpPr txBox="1"/>
          </xdr:nvSpPr>
          <xdr:spPr>
            <a:xfrm>
              <a:off x="4187450" y="1102845"/>
              <a:ext cx="19244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i="0" u="none" strike="noStrike">
                  <a:solidFill>
                    <a:schemeClr val="accent5">
                      <a:lumMod val="50000"/>
                    </a:schemeClr>
                  </a:solidFill>
                  <a:effectLst/>
                  <a:latin typeface="+mn-lt"/>
                  <a:ea typeface="+mn-ea"/>
                  <a:cs typeface="+mn-cs"/>
                </a:rPr>
                <a:t> </a:t>
              </a:r>
              <a:r>
                <a:rPr lang="en-US" sz="1200" b="1" i="0" u="none" strike="noStrike">
                  <a:solidFill>
                    <a:schemeClr val="accent5">
                      <a:lumMod val="50000"/>
                    </a:schemeClr>
                  </a:solidFill>
                  <a:effectLst/>
                  <a:latin typeface="Cambria Math" panose="02040503050406030204" pitchFamily="18" charset="0"/>
                  <a:ea typeface="+mn-ea"/>
                  <a:cs typeface="Arial" panose="020B0604020202020204" pitchFamily="34" charset="0"/>
                </a:rPr>
                <a:t>₦</a:t>
              </a:r>
              <a:r>
                <a:rPr lang="en-US" sz="1200" b="1" i="0" u="none" strike="noStrike">
                  <a:solidFill>
                    <a:schemeClr val="accent5">
                      <a:lumMod val="50000"/>
                    </a:schemeClr>
                  </a:solidFill>
                  <a:effectLst/>
                  <a:latin typeface="Arial" panose="020B0604020202020204" pitchFamily="34" charset="0"/>
                  <a:ea typeface="+mn-ea"/>
                  <a:cs typeface="Arial" panose="020B0604020202020204" pitchFamily="34" charset="0"/>
                </a:rPr>
                <a:t> 2,328,370,000.00 </a:t>
              </a:r>
              <a:endParaRPr lang="en-US" sz="1200" b="1">
                <a:solidFill>
                  <a:schemeClr val="accent5">
                    <a:lumMod val="50000"/>
                  </a:schemeClr>
                </a:solidFill>
                <a:latin typeface="Arial" panose="020B0604020202020204" pitchFamily="34" charset="0"/>
                <a:cs typeface="Arial" panose="020B0604020202020204" pitchFamily="34" charset="0"/>
              </a:endParaRPr>
            </a:p>
          </xdr:txBody>
        </xdr:sp>
      </mc:Fallback>
    </mc:AlternateContent>
    <xdr:clientData/>
  </xdr:oneCellAnchor>
  <xdr:oneCellAnchor>
    <xdr:from>
      <xdr:col>12</xdr:col>
      <xdr:colOff>491568</xdr:colOff>
      <xdr:row>6</xdr:row>
      <xdr:rowOff>115044</xdr:rowOff>
    </xdr:from>
    <xdr:ext cx="1779493" cy="280205"/>
    <xdr:sp macro="" textlink="">
      <xdr:nvSpPr>
        <xdr:cNvPr id="33" name="TextBox 32"/>
        <xdr:cNvSpPr txBox="1"/>
      </xdr:nvSpPr>
      <xdr:spPr>
        <a:xfrm>
          <a:off x="7825818" y="1210419"/>
          <a:ext cx="17794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0" u="none" strike="noStrike">
              <a:solidFill>
                <a:schemeClr val="accent5">
                  <a:lumMod val="50000"/>
                </a:schemeClr>
              </a:solidFill>
              <a:effectLst/>
              <a:latin typeface="+mn-lt"/>
              <a:ea typeface="+mn-ea"/>
              <a:cs typeface="+mn-cs"/>
            </a:rPr>
            <a:t> ₦</a:t>
          </a:r>
          <a:r>
            <a:rPr lang="en-US" sz="1200" b="1" i="0" u="none" strike="noStrike">
              <a:solidFill>
                <a:schemeClr val="accent5">
                  <a:lumMod val="50000"/>
                </a:schemeClr>
              </a:solidFill>
              <a:effectLst/>
              <a:latin typeface="+mn-lt"/>
              <a:ea typeface="+mn-ea"/>
              <a:cs typeface="+mn-cs"/>
            </a:rPr>
            <a:t>1,862,696,000.00 </a:t>
          </a:r>
          <a:r>
            <a:rPr lang="en-US" sz="1200" b="1" i="0" u="none" strike="noStrike">
              <a:solidFill>
                <a:schemeClr val="accent5">
                  <a:lumMod val="50000"/>
                </a:schemeClr>
              </a:solidFill>
              <a:effectLst/>
              <a:latin typeface="+mn-lt"/>
              <a:ea typeface="+mn-ea"/>
              <a:cs typeface="+mn-cs"/>
            </a:rPr>
            <a:t> </a:t>
          </a:r>
          <a:endParaRPr lang="en-US" sz="1200" b="1">
            <a:solidFill>
              <a:schemeClr val="accent5">
                <a:lumMod val="50000"/>
              </a:schemeClr>
            </a:solidFill>
            <a:latin typeface="Arial" panose="020B0604020202020204" pitchFamily="34" charset="0"/>
            <a:cs typeface="Arial" panose="020B0604020202020204" pitchFamily="34" charset="0"/>
          </a:endParaRPr>
        </a:p>
      </xdr:txBody>
    </xdr:sp>
    <xdr:clientData/>
  </xdr:oneCellAnchor>
  <xdr:oneCellAnchor>
    <xdr:from>
      <xdr:col>19</xdr:col>
      <xdr:colOff>186765</xdr:colOff>
      <xdr:row>5</xdr:row>
      <xdr:rowOff>74705</xdr:rowOff>
    </xdr:from>
    <xdr:ext cx="184731" cy="264560"/>
    <xdr:sp macro="" textlink="">
      <xdr:nvSpPr>
        <xdr:cNvPr id="30" name="TextBox 29"/>
        <xdr:cNvSpPr txBox="1"/>
      </xdr:nvSpPr>
      <xdr:spPr>
        <a:xfrm>
          <a:off x="11825941" y="1008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10453</xdr:colOff>
      <xdr:row>4</xdr:row>
      <xdr:rowOff>77690</xdr:rowOff>
    </xdr:from>
    <xdr:ext cx="1246303" cy="311496"/>
    <xdr:sp macro="" textlink="">
      <xdr:nvSpPr>
        <xdr:cNvPr id="35" name="TextBox 34"/>
        <xdr:cNvSpPr txBox="1"/>
      </xdr:nvSpPr>
      <xdr:spPr>
        <a:xfrm>
          <a:off x="6136335" y="824749"/>
          <a:ext cx="12463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5">
                  <a:lumMod val="50000"/>
                </a:schemeClr>
              </a:solidFill>
            </a:rPr>
            <a:t>TOTAL PROFIT</a:t>
          </a:r>
        </a:p>
      </xdr:txBody>
    </xdr:sp>
    <xdr:clientData/>
  </xdr:oneCellAnchor>
  <xdr:oneCellAnchor>
    <xdr:from>
      <xdr:col>9</xdr:col>
      <xdr:colOff>546846</xdr:colOff>
      <xdr:row>5</xdr:row>
      <xdr:rowOff>88150</xdr:rowOff>
    </xdr:from>
    <xdr:ext cx="1924425" cy="280205"/>
    <xdr:sp macro="" textlink="">
      <xdr:nvSpPr>
        <xdr:cNvPr id="36" name="TextBox 35"/>
        <xdr:cNvSpPr txBox="1"/>
      </xdr:nvSpPr>
      <xdr:spPr>
        <a:xfrm>
          <a:off x="6060140" y="1021974"/>
          <a:ext cx="19244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0" u="none" strike="noStrike">
              <a:solidFill>
                <a:schemeClr val="accent5">
                  <a:lumMod val="50000"/>
                </a:schemeClr>
              </a:solidFill>
              <a:effectLst/>
              <a:latin typeface="+mn-lt"/>
              <a:ea typeface="+mn-ea"/>
              <a:cs typeface="+mn-cs"/>
            </a:rPr>
            <a:t>  ₦ 465,674,000.00 </a:t>
          </a:r>
          <a:endParaRPr lang="en-US" sz="1200" b="1">
            <a:solidFill>
              <a:schemeClr val="accent5">
                <a:lumMod val="50000"/>
              </a:schemeClr>
            </a:solidFill>
            <a:latin typeface="Arial" panose="020B0604020202020204" pitchFamily="34" charset="0"/>
            <a:cs typeface="Arial" panose="020B0604020202020204" pitchFamily="34" charset="0"/>
          </a:endParaRPr>
        </a:p>
      </xdr:txBody>
    </xdr:sp>
    <xdr:clientData/>
  </xdr:oneCellAnchor>
  <xdr:twoCellAnchor editAs="oneCell">
    <xdr:from>
      <xdr:col>17</xdr:col>
      <xdr:colOff>134971</xdr:colOff>
      <xdr:row>3</xdr:row>
      <xdr:rowOff>89648</xdr:rowOff>
    </xdr:from>
    <xdr:to>
      <xdr:col>19</xdr:col>
      <xdr:colOff>6375</xdr:colOff>
      <xdr:row>9</xdr:row>
      <xdr:rowOff>89648</xdr:rowOff>
    </xdr:to>
    <xdr:pic>
      <xdr:nvPicPr>
        <xdr:cNvPr id="41" name="Picture 40"/>
        <xdr:cNvPicPr>
          <a:picLocks noChangeAspect="1"/>
        </xdr:cNvPicPr>
      </xdr:nvPicPr>
      <xdr:blipFill>
        <a:blip xmlns:r="http://schemas.openxmlformats.org/officeDocument/2006/relationships" r:embed="rId12"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10467328" y="633934"/>
          <a:ext cx="1086976" cy="1088571"/>
        </a:xfrm>
        <a:prstGeom prst="rect">
          <a:avLst/>
        </a:prstGeom>
      </xdr:spPr>
    </xdr:pic>
    <xdr:clientData/>
  </xdr:twoCellAnchor>
  <xdr:twoCellAnchor>
    <xdr:from>
      <xdr:col>3</xdr:col>
      <xdr:colOff>353786</xdr:colOff>
      <xdr:row>2</xdr:row>
      <xdr:rowOff>85107</xdr:rowOff>
    </xdr:from>
    <xdr:to>
      <xdr:col>6</xdr:col>
      <xdr:colOff>215367</xdr:colOff>
      <xdr:row>30</xdr:row>
      <xdr:rowOff>36286</xdr:rowOff>
    </xdr:to>
    <xdr:sp macro="" textlink="">
      <xdr:nvSpPr>
        <xdr:cNvPr id="48" name="Rounded Rectangle 47"/>
        <xdr:cNvSpPr/>
      </xdr:nvSpPr>
      <xdr:spPr>
        <a:xfrm>
          <a:off x="2177143" y="447964"/>
          <a:ext cx="1684938" cy="5031179"/>
        </a:xfrm>
        <a:prstGeom prst="roundRect">
          <a:avLst>
            <a:gd name="adj" fmla="val 5899"/>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381002</xdr:colOff>
      <xdr:row>12</xdr:row>
      <xdr:rowOff>72578</xdr:rowOff>
    </xdr:from>
    <xdr:to>
      <xdr:col>6</xdr:col>
      <xdr:colOff>181429</xdr:colOff>
      <xdr:row>30</xdr:row>
      <xdr:rowOff>27214</xdr:rowOff>
    </xdr:to>
    <xdr:sp macro="" textlink="">
      <xdr:nvSpPr>
        <xdr:cNvPr id="44" name="Rounded Rectangle 43"/>
        <xdr:cNvSpPr/>
      </xdr:nvSpPr>
      <xdr:spPr>
        <a:xfrm>
          <a:off x="2204359" y="2249721"/>
          <a:ext cx="1623784" cy="3220350"/>
        </a:xfrm>
        <a:prstGeom prst="roundRect">
          <a:avLst>
            <a:gd name="adj" fmla="val 10571"/>
          </a:avLst>
        </a:prstGeom>
        <a:solidFill>
          <a:schemeClr val="accent5">
            <a:lumMod val="5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050">
            <a:solidFill>
              <a:schemeClr val="accent1">
                <a:lumMod val="50000"/>
              </a:schemeClr>
            </a:solidFill>
          </a:endParaRPr>
        </a:p>
      </xdr:txBody>
    </xdr:sp>
    <xdr:clientData/>
  </xdr:twoCellAnchor>
  <xdr:twoCellAnchor editAs="oneCell">
    <xdr:from>
      <xdr:col>3</xdr:col>
      <xdr:colOff>377786</xdr:colOff>
      <xdr:row>2</xdr:row>
      <xdr:rowOff>133289</xdr:rowOff>
    </xdr:from>
    <xdr:to>
      <xdr:col>6</xdr:col>
      <xdr:colOff>159551</xdr:colOff>
      <xdr:row>7</xdr:row>
      <xdr:rowOff>36290</xdr:rowOff>
    </xdr:to>
    <mc:AlternateContent xmlns:mc="http://schemas.openxmlformats.org/markup-compatibility/2006">
      <mc:Choice xmlns:a14="http://schemas.microsoft.com/office/drawing/2010/main" Requires="a14">
        <xdr:graphicFrame macro="">
          <xdr:nvGraphicFramePr>
            <xdr:cNvPr id="3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01143" y="496146"/>
              <a:ext cx="1605122" cy="810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389525</xdr:colOff>
      <xdr:row>6</xdr:row>
      <xdr:rowOff>131214</xdr:rowOff>
    </xdr:from>
    <xdr:to>
      <xdr:col>6</xdr:col>
      <xdr:colOff>163286</xdr:colOff>
      <xdr:row>12</xdr:row>
      <xdr:rowOff>61377</xdr:rowOff>
    </xdr:to>
    <mc:AlternateContent xmlns:mc="http://schemas.openxmlformats.org/markup-compatibility/2006">
      <mc:Choice xmlns:a14="http://schemas.microsoft.com/office/drawing/2010/main" Requires="a14">
        <xdr:graphicFrame macro="">
          <xdr:nvGraphicFramePr>
            <xdr:cNvPr id="3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12882" y="1219785"/>
              <a:ext cx="1597118" cy="1018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26794</xdr:colOff>
      <xdr:row>5</xdr:row>
      <xdr:rowOff>44539</xdr:rowOff>
    </xdr:from>
    <xdr:ext cx="585215" cy="468077"/>
    <xdr:sp macro="" textlink="">
      <xdr:nvSpPr>
        <xdr:cNvPr id="49" name="TextBox 48"/>
        <xdr:cNvSpPr txBox="1"/>
      </xdr:nvSpPr>
      <xdr:spPr>
        <a:xfrm>
          <a:off x="9805794" y="957352"/>
          <a:ext cx="585215"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accent5">
                  <a:lumMod val="50000"/>
                </a:schemeClr>
              </a:solidFill>
            </a:rPr>
            <a:t>  2,098</a:t>
          </a:r>
        </a:p>
      </xdr:txBody>
    </xdr:sp>
    <xdr:clientData/>
  </xdr:oneCellAnchor>
  <xdr:oneCellAnchor>
    <xdr:from>
      <xdr:col>3</xdr:col>
      <xdr:colOff>552823</xdr:colOff>
      <xdr:row>5</xdr:row>
      <xdr:rowOff>122976</xdr:rowOff>
    </xdr:from>
    <xdr:ext cx="184731" cy="280205"/>
    <xdr:sp macro="" textlink="">
      <xdr:nvSpPr>
        <xdr:cNvPr id="52" name="TextBox 51"/>
        <xdr:cNvSpPr txBox="1"/>
      </xdr:nvSpPr>
      <xdr:spPr>
        <a:xfrm>
          <a:off x="2376180" y="1030119"/>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200" b="1">
            <a:solidFill>
              <a:schemeClr val="bg1"/>
            </a:solidFill>
          </a:endParaRPr>
        </a:p>
      </xdr:txBody>
    </xdr:sp>
    <xdr:clientData/>
  </xdr:oneCellAnchor>
  <xdr:oneCellAnchor>
    <xdr:from>
      <xdr:col>7</xdr:col>
      <xdr:colOff>546471</xdr:colOff>
      <xdr:row>19</xdr:row>
      <xdr:rowOff>164353</xdr:rowOff>
    </xdr:from>
    <xdr:ext cx="2107180" cy="267236"/>
    <xdr:sp macro="" textlink="">
      <xdr:nvSpPr>
        <xdr:cNvPr id="53" name="TextBox 52"/>
        <xdr:cNvSpPr txBox="1"/>
      </xdr:nvSpPr>
      <xdr:spPr>
        <a:xfrm>
          <a:off x="4834589" y="3712882"/>
          <a:ext cx="2107180" cy="267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accent5">
                  <a:lumMod val="50000"/>
                </a:schemeClr>
              </a:solidFill>
            </a:rPr>
            <a:t>MONTHLY CUSTOMER COUNT</a:t>
          </a:r>
        </a:p>
      </xdr:txBody>
    </xdr:sp>
    <xdr:clientData/>
  </xdr:oneCellAnchor>
  <xdr:oneCellAnchor>
    <xdr:from>
      <xdr:col>7</xdr:col>
      <xdr:colOff>0</xdr:colOff>
      <xdr:row>7</xdr:row>
      <xdr:rowOff>127000</xdr:rowOff>
    </xdr:from>
    <xdr:ext cx="184731" cy="264560"/>
    <xdr:sp macro="" textlink="">
      <xdr:nvSpPr>
        <xdr:cNvPr id="55" name="TextBox 54"/>
        <xdr:cNvSpPr txBox="1"/>
      </xdr:nvSpPr>
      <xdr:spPr>
        <a:xfrm>
          <a:off x="4278313" y="14049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344716</xdr:colOff>
      <xdr:row>12</xdr:row>
      <xdr:rowOff>9068</xdr:rowOff>
    </xdr:from>
    <xdr:ext cx="2476498" cy="3165932"/>
    <xdr:sp macro="" textlink="">
      <xdr:nvSpPr>
        <xdr:cNvPr id="4" name="TextBox 3"/>
        <xdr:cNvSpPr txBox="1"/>
      </xdr:nvSpPr>
      <xdr:spPr>
        <a:xfrm>
          <a:off x="2168073" y="2186211"/>
          <a:ext cx="2476498" cy="31659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baseline="0">
              <a:solidFill>
                <a:schemeClr val="bg1"/>
              </a:solidFill>
              <a:effectLst/>
              <a:latin typeface="Times New Roman" panose="02020603050405020304" pitchFamily="18" charset="0"/>
              <a:ea typeface="+mn-ea"/>
              <a:cs typeface="Times New Roman" panose="02020603050405020304" pitchFamily="18" charset="0"/>
            </a:rPr>
            <a:t>     </a:t>
          </a:r>
          <a:r>
            <a:rPr lang="en-US" sz="1200" b="1" u="sng" baseline="0">
              <a:solidFill>
                <a:schemeClr val="bg1"/>
              </a:solidFill>
              <a:effectLst/>
              <a:latin typeface="Times New Roman" panose="02020603050405020304" pitchFamily="18" charset="0"/>
              <a:ea typeface="+mn-ea"/>
              <a:cs typeface="Times New Roman" panose="02020603050405020304" pitchFamily="18" charset="0"/>
            </a:rPr>
            <a:t>summary</a:t>
          </a:r>
          <a:endParaRPr lang="en-US" sz="1200" b="1" u="sng">
            <a:solidFill>
              <a:schemeClr val="bg1"/>
            </a:solidFill>
            <a:effectLst/>
            <a:latin typeface="Times New Roman" panose="02020603050405020304" pitchFamily="18" charset="0"/>
            <a:cs typeface="Times New Roman" panose="02020603050405020304" pitchFamily="18" charset="0"/>
          </a:endParaRPr>
        </a:p>
        <a:p>
          <a:r>
            <a:rPr lang="en-US" sz="1100" baseline="0">
              <a:solidFill>
                <a:schemeClr val="bg1"/>
              </a:solidFill>
              <a:effectLst/>
              <a:latin typeface="Times New Roman" panose="02020603050405020304" pitchFamily="18" charset="0"/>
              <a:ea typeface="+mn-ea"/>
              <a:cs typeface="Times New Roman" panose="02020603050405020304" pitchFamily="18" charset="0"/>
            </a:rPr>
            <a:t>laptop A13, Desktop</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PCD21, and a sofa classic</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generated the highest</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profit and revenue.</a:t>
          </a:r>
          <a:endParaRPr lang="en-US">
            <a:solidFill>
              <a:schemeClr val="bg1"/>
            </a:solidFill>
            <a:effectLst/>
            <a:latin typeface="Times New Roman" panose="02020603050405020304" pitchFamily="18" charset="0"/>
            <a:cs typeface="Times New Roman" panose="02020603050405020304" pitchFamily="18" charset="0"/>
          </a:endParaRPr>
        </a:p>
        <a:p>
          <a:r>
            <a:rPr lang="en-US" sz="1200" b="1" baseline="0">
              <a:solidFill>
                <a:schemeClr val="bg1"/>
              </a:solidFill>
              <a:effectLst/>
              <a:latin typeface="Times New Roman" panose="02020603050405020304" pitchFamily="18" charset="0"/>
              <a:ea typeface="+mn-ea"/>
              <a:cs typeface="Times New Roman" panose="02020603050405020304" pitchFamily="18" charset="0"/>
            </a:rPr>
            <a:t>leading sale Rep: </a:t>
          </a:r>
          <a:r>
            <a:rPr lang="en-US" sz="1100" baseline="0">
              <a:solidFill>
                <a:schemeClr val="bg1"/>
              </a:solidFill>
              <a:effectLst/>
              <a:latin typeface="Times New Roman" panose="02020603050405020304" pitchFamily="18" charset="0"/>
              <a:ea typeface="+mn-ea"/>
              <a:cs typeface="Times New Roman" panose="02020603050405020304" pitchFamily="18" charset="0"/>
            </a:rPr>
            <a:t>musa, </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Grace, Peter, and Chidinma.</a:t>
          </a:r>
        </a:p>
        <a:p>
          <a:r>
            <a:rPr lang="en-US" sz="1200" b="1" baseline="0">
              <a:solidFill>
                <a:schemeClr val="bg1"/>
              </a:solidFill>
              <a:effectLst/>
              <a:latin typeface="Times New Roman" panose="02020603050405020304" pitchFamily="18" charset="0"/>
              <a:ea typeface="+mn-ea"/>
              <a:cs typeface="Times New Roman" panose="02020603050405020304" pitchFamily="18" charset="0"/>
            </a:rPr>
            <a:t>Strongest region $ cities</a:t>
          </a:r>
          <a:r>
            <a:rPr lang="en-US" sz="1100" baseline="0">
              <a:solidFill>
                <a:schemeClr val="bg1"/>
              </a:solidFill>
              <a:effectLst/>
              <a:latin typeface="Times New Roman" panose="02020603050405020304" pitchFamily="18" charset="0"/>
              <a:ea typeface="+mn-ea"/>
              <a:cs typeface="Times New Roman" panose="02020603050405020304" pitchFamily="18" charset="0"/>
            </a:rPr>
            <a:t>:</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lagos, Kano, Abuja, and</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Port Harcourt.</a:t>
          </a:r>
        </a:p>
        <a:p>
          <a:r>
            <a:rPr lang="en-US" sz="1200" b="1" baseline="0">
              <a:solidFill>
                <a:schemeClr val="bg1"/>
              </a:solidFill>
              <a:effectLst/>
              <a:latin typeface="Times New Roman" panose="02020603050405020304" pitchFamily="18" charset="0"/>
              <a:ea typeface="+mn-ea"/>
              <a:cs typeface="Times New Roman" panose="02020603050405020304" pitchFamily="18" charset="0"/>
            </a:rPr>
            <a:t>Monthly Trend:</a:t>
          </a:r>
          <a:r>
            <a:rPr lang="en-US" sz="1100" baseline="0">
              <a:solidFill>
                <a:schemeClr val="bg1"/>
              </a:solidFill>
              <a:effectLst/>
              <a:latin typeface="Times New Roman" panose="02020603050405020304" pitchFamily="18" charset="0"/>
              <a:ea typeface="+mn-ea"/>
              <a:cs typeface="Times New Roman" panose="02020603050405020304" pitchFamily="18" charset="0"/>
            </a:rPr>
            <a:t>march</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showed the highest sales</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volume while january was</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the weakest .</a:t>
          </a:r>
        </a:p>
        <a:p>
          <a:r>
            <a:rPr lang="en-US" sz="1200" b="1" baseline="0">
              <a:solidFill>
                <a:schemeClr val="bg1"/>
              </a:solidFill>
              <a:effectLst/>
              <a:latin typeface="Times New Roman" panose="02020603050405020304" pitchFamily="18" charset="0"/>
              <a:ea typeface="+mn-ea"/>
              <a:cs typeface="Times New Roman" panose="02020603050405020304" pitchFamily="18" charset="0"/>
            </a:rPr>
            <a:t>profitability : </a:t>
          </a:r>
          <a:r>
            <a:rPr lang="en-US" sz="1100" baseline="0">
              <a:solidFill>
                <a:schemeClr val="bg1"/>
              </a:solidFill>
              <a:effectLst/>
              <a:latin typeface="Times New Roman" panose="02020603050405020304" pitchFamily="18" charset="0"/>
              <a:ea typeface="+mn-ea"/>
              <a:cs typeface="Times New Roman" panose="02020603050405020304" pitchFamily="18" charset="0"/>
            </a:rPr>
            <a:t>electronics</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and furniture delivered </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the strongest margins,</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while home appliances</a:t>
          </a:r>
        </a:p>
        <a:p>
          <a:r>
            <a:rPr lang="en-US" sz="1100" baseline="0">
              <a:solidFill>
                <a:schemeClr val="bg1"/>
              </a:solidFill>
              <a:effectLst/>
              <a:latin typeface="Times New Roman" panose="02020603050405020304" pitchFamily="18" charset="0"/>
              <a:ea typeface="+mn-ea"/>
              <a:cs typeface="Times New Roman" panose="02020603050405020304" pitchFamily="18" charset="0"/>
            </a:rPr>
            <a:t> maintaned steady volume</a:t>
          </a:r>
          <a:endParaRPr lang="en-US">
            <a:solidFill>
              <a:schemeClr val="bg1"/>
            </a:solidFill>
            <a:effectLst/>
            <a:latin typeface="Times New Roman" panose="02020603050405020304" pitchFamily="18" charset="0"/>
            <a:cs typeface="Times New Roman" panose="02020603050405020304" pitchFamily="18" charset="0"/>
          </a:endParaRPr>
        </a:p>
        <a:p>
          <a:endParaRPr lang="en-US" sz="1100">
            <a:solidFill>
              <a:schemeClr val="bg1"/>
            </a:solidFill>
            <a:latin typeface="Times New Roman" panose="02020603050405020304" pitchFamily="18" charset="0"/>
            <a:cs typeface="Times New Roman" panose="02020603050405020304" pitchFamily="18" charset="0"/>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saveData="0" refreshedBy="HP" refreshedDate="46113.452667245372" backgroundQuery="1" createdVersion="5" refreshedVersion="5" minRefreshableVersion="3" recordCount="0" supportSubquery="1" supportAdvancedDrill="1">
  <cacheSource type="external" connectionId="3"/>
  <cacheFields count="3">
    <cacheField name="[Table_1].[Region].[Region]" caption="Region" numFmtId="0" hierarchy="1" level="1">
      <sharedItems containsSemiMixedTypes="0" containsNonDate="0" containsString="0"/>
    </cacheField>
    <cacheField name="[Measures].[Count of Date]" caption="Count of Date" numFmtId="0" hierarchy="22" level="32767"/>
    <cacheField name="[Table_1].[MONTH].[MONTH]" caption="MONTH" numFmtId="0" hierarchy="1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_1].[MONTH].&amp;[1]"/>
            <x15:cachedUniqueName index="1" name="[Table_1].[MONTH].&amp;[2]"/>
            <x15:cachedUniqueName index="2" name="[Table_1].[MONTH].&amp;[3]"/>
            <x15:cachedUniqueName index="3" name="[Table_1].[MONTH].&amp;[4]"/>
            <x15:cachedUniqueName index="4" name="[Table_1].[MONTH].&amp;[5]"/>
          </x15:cachedUniqueNames>
        </ext>
      </extLst>
    </cacheField>
  </cacheFields>
  <cacheHierarchies count="26">
    <cacheHierarchy uniqueName="[Table_1].[Date]" caption="Date" attribute="1" defaultMemberUniqueName="[Table_1].[Date].[All]" allUniqueName="[Table_1].[Date].[All]" dimensionUniqueName="[Table_1]" displayFolder="" count="2"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0"/>
      </fieldsUsage>
    </cacheHierarchy>
    <cacheHierarchy uniqueName="[Table_1].[City]" caption="City" attribute="1" defaultMemberUniqueName="[Table_1].[City].[All]" allUniqueName="[Table_1].[City].[All]" dimensionUniqueName="[Table_1]" displayFolder="" count="2" memberValueDatatype="130" unbalanced="0"/>
    <cacheHierarchy uniqueName="[Table_1].[Customer Type]" caption="Customer Type" attribute="1" defaultMemberUniqueName="[Table_1].[Customer Type].[All]" allUniqueName="[Table_1].[Customer Type].[All]" dimensionUniqueName="[Table_1]" displayFolder="" count="2" memberValueDatatype="130" unbalanced="0"/>
    <cacheHierarchy uniqueName="[Table_1].[Channel]" caption="Channel" attribute="1" defaultMemberUniqueName="[Table_1].[Channel].[All]" allUniqueName="[Table_1].[Channel].[All]" dimensionUniqueName="[Table_1]" displayFolder="" count="2"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2" memberValueDatatype="20" unbalanced="0"/>
    <cacheHierarchy uniqueName="[Table_1].[Quantity]" caption="Quantity" attribute="1" defaultMemberUniqueName="[Table_1].[Quantity].[All]" allUniqueName="[Table_1].[Quantity].[All]" dimensionUniqueName="[Table_1]" displayFolder="" count="2" memberValueDatatype="20" unbalanced="0"/>
    <cacheHierarchy uniqueName="[Table_1].[Sales Rep]" caption="Sales Rep" attribute="1" defaultMemberUniqueName="[Table_1].[Sales Rep].[All]" allUniqueName="[Table_1].[Sales Rep].[All]" dimensionUniqueName="[Table_1]" displayFolder="" count="2" memberValueDatatype="130" unbalanced="0"/>
    <cacheHierarchy uniqueName="[Table_1].[Cost Price]" caption="Cost Price" attribute="1" defaultMemberUniqueName="[Table_1].[Cost Price].[All]" allUniqueName="[Table_1].[Cost Price].[All]" dimensionUniqueName="[Table_1]" displayFolder="" count="2" memberValueDatatype="20" unbalanced="0"/>
    <cacheHierarchy uniqueName="[Table_1].[Revenue]" caption="Revenue" attribute="1" defaultMemberUniqueName="[Table_1].[Revenue].[All]" allUniqueName="[Table_1].[Revenue].[All]" dimensionUniqueName="[Table_1]" displayFolder="" count="2" memberValueDatatype="20" unbalanced="0"/>
    <cacheHierarchy uniqueName="[Table_1].[COGS]" caption="COGS" attribute="1" defaultMemberUniqueName="[Table_1].[COGS].[All]" allUniqueName="[Table_1].[COGS].[All]" dimensionUniqueName="[Table_1]" displayFolder="" count="2" memberValueDatatype="20" unbalanced="0"/>
    <cacheHierarchy uniqueName="[Table_1].[PROFIT]" caption="PROFIT" attribute="1" defaultMemberUniqueName="[Table_1].[PROFIT].[All]" allUniqueName="[Table_1].[PROFIT].[All]" dimensionUniqueName="[Table_1]" displayFolder="" count="2" memberValueDatatype="20" unbalanced="0"/>
    <cacheHierarchy uniqueName="[Table_1].[Total Revenue]" caption="Total Revenue" attribute="1" defaultMemberUniqueName="[Table_1].[Total Revenue].[All]" allUniqueName="[Table_1].[Total Revenue].[All]" dimensionUniqueName="[Table_1]" displayFolder="" count="2" memberValueDatatype="5" unbalanced="0"/>
    <cacheHierarchy uniqueName="[Table_1].[Total COGS]" caption="Total COGS" attribute="1" defaultMemberUniqueName="[Table_1].[Total COGS].[All]" allUniqueName="[Table_1].[Total COGS].[All]" dimensionUniqueName="[Table_1]" displayFolder="" count="2" memberValueDatatype="5" unbalanced="0"/>
    <cacheHierarchy uniqueName="[Table_1].[Total profit]" caption="Total profit" attribute="1" defaultMemberUniqueName="[Table_1].[Total profit].[All]" allUniqueName="[Table_1].[Total profit].[All]" dimensionUniqueName="[Table_1]" displayFolder="" count="2" memberValueDatatype="20" unbalanced="0"/>
    <cacheHierarchy uniqueName="[Table_1].[Total Transaction]" caption="Total Transaction" attribute="1" defaultMemberUniqueName="[Table_1].[Total Transaction].[All]" allUniqueName="[Table_1].[Total Transaction].[All]" dimensionUniqueName="[Table_1]" displayFolder="" count="2" memberValueDatatype="20" unbalanced="0"/>
    <cacheHierarchy uniqueName="[Table_1].[MONTH]" caption="MONTH" attribute="1" defaultMemberUniqueName="[Table_1].[MONTH].[All]" allUniqueName="[Table_1].[MONTH].[All]" dimensionUniqueName="[Table_1]" displayFolder="" count="2" memberValueDatatype="20" unbalanced="0">
      <fieldsUsage count="2">
        <fieldUsage x="-1"/>
        <fieldUsage x="2"/>
      </fieldsUsage>
    </cacheHierarchy>
    <cacheHierarchy uniqueName="[Measures].[Sum of Total profit]" caption="Sum of Total profit" measure="1" displayFolder="" measureGroup="Table_1" count="0">
      <extLst>
        <ext xmlns:x15="http://schemas.microsoft.com/office/spreadsheetml/2010/11/main" uri="{B97F6D7D-B522-45F9-BDA1-12C45D357490}">
          <x15:cacheHierarchy aggregatedColumn="16"/>
        </ext>
      </extLst>
    </cacheHierarchy>
    <cacheHierarchy uniqueName="[Measures].[Sum of Total Revenue]" caption="Sum of Total Revenue" measure="1" displayFolder="" measureGroup="Table_1" count="0">
      <extLst>
        <ext xmlns:x15="http://schemas.microsoft.com/office/spreadsheetml/2010/11/main" uri="{B97F6D7D-B522-45F9-BDA1-12C45D357490}">
          <x15:cacheHierarchy aggregatedColumn="14"/>
        </ext>
      </extLst>
    </cacheHierarchy>
    <cacheHierarchy uniqueName="[Measures].[Sum of Total COGS]" caption="Sum of Total COGS" measure="1" displayFolder="" measureGroup="Table_1"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_1" count="0" oneField="1">
      <fieldsUsage count="1">
        <fieldUsage x="1"/>
      </fieldsUsage>
      <extLst>
        <ext xmlns:x15="http://schemas.microsoft.com/office/spreadsheetml/2010/11/main" uri="{B97F6D7D-B522-45F9-BDA1-12C45D357490}">
          <x15:cacheHierarchy aggregatedColumn="0"/>
        </ext>
      </extLst>
    </cacheHierarchy>
    <cacheHierarchy uniqueName="[Measures].[Sum of MONTH]" caption="Sum of MONTH" measure="1" displayFolder="" measureGroup="Table_1" count="0">
      <extLst>
        <ext xmlns:x15="http://schemas.microsoft.com/office/spreadsheetml/2010/11/main" uri="{B97F6D7D-B522-45F9-BDA1-12C45D357490}">
          <x15:cacheHierarchy aggregatedColumn="18"/>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113.452667824073" backgroundQuery="1" createdVersion="5" refreshedVersion="5" minRefreshableVersion="3" recordCount="0" supportSubquery="1" supportAdvancedDrill="1">
  <cacheSource type="external" connectionId="3"/>
  <cacheFields count="3">
    <cacheField name="[Table_1].[Sales Rep].[Sales Rep]" caption="Sales Rep" numFmtId="0" hierarchy="9" level="1">
      <sharedItems count="6">
        <s v="Aisha"/>
        <s v="Chidinma"/>
        <s v="David"/>
        <s v="Grace"/>
        <s v="Musa"/>
        <s v="Peter"/>
      </sharedItems>
    </cacheField>
    <cacheField name="[Measures].[Sum of Total Revenue]" caption="Sum of Total Revenue" numFmtId="0" hierarchy="20" level="32767"/>
    <cacheField name="[Table_1].[Region].[Region]" caption="Region" numFmtId="0" hierarchy="1" level="1">
      <sharedItems containsSemiMixedTypes="0" containsNonDate="0" containsString="0"/>
    </cacheField>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Total Revenue]" caption="Total Revenue" attribute="1" defaultMemberUniqueName="[Table_1].[Total Revenue].[All]" allUniqueName="[Table_1].[Total Revenue].[All]" dimensionUniqueName="[Table_1]" displayFolder="" count="0" memberValueDatatype="5" unbalanced="0"/>
    <cacheHierarchy uniqueName="[Table_1].[Total COGS]" caption="Total COGS" attribute="1" defaultMemberUniqueName="[Table_1].[Total COGS].[All]" allUniqueName="[Table_1].[Total COGS].[All]" dimensionUniqueName="[Table_1]" displayFolder="" count="0" memberValueDatatype="5" unbalanced="0"/>
    <cacheHierarchy uniqueName="[Table_1].[Total profit]" caption="Total profit" attribute="1" defaultMemberUniqueName="[Table_1].[Total profit].[All]" allUniqueName="[Table_1].[Total profit].[All]" dimensionUniqueName="[Table_1]" displayFolder="" count="0" memberValueDatatype="20" unbalanced="0"/>
    <cacheHierarchy uniqueName="[Table_1].[Total Transaction]" caption="Total Transaction" attribute="1" defaultMemberUniqueName="[Table_1].[Total Transaction].[All]" allUniqueName="[Table_1].[Total Transaction].[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Sum of Total profit]" caption="Sum of Total profit" measure="1" displayFolder="" measureGroup="Table_1" count="0">
      <extLst>
        <ext xmlns:x15="http://schemas.microsoft.com/office/spreadsheetml/2010/11/main" uri="{B97F6D7D-B522-45F9-BDA1-12C45D357490}">
          <x15:cacheHierarchy aggregatedColumn="16"/>
        </ext>
      </extLst>
    </cacheHierarchy>
    <cacheHierarchy uniqueName="[Measures].[Sum of Total Revenue]" caption="Sum of Total Revenue" measure="1" displayFolder="" measureGroup="Table_1" count="0" oneField="1">
      <fieldsUsage count="1">
        <fieldUsage x="1"/>
      </fieldsUsage>
      <extLst>
        <ext xmlns:x15="http://schemas.microsoft.com/office/spreadsheetml/2010/11/main" uri="{B97F6D7D-B522-45F9-BDA1-12C45D357490}">
          <x15:cacheHierarchy aggregatedColumn="14"/>
        </ext>
      </extLst>
    </cacheHierarchy>
    <cacheHierarchy uniqueName="[Measures].[Sum of Total COGS]" caption="Sum of Total COGS" measure="1" displayFolder="" measureGroup="Table_1"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_1" count="0">
      <extLst>
        <ext xmlns:x15="http://schemas.microsoft.com/office/spreadsheetml/2010/11/main" uri="{B97F6D7D-B522-45F9-BDA1-12C45D357490}">
          <x15:cacheHierarchy aggregatedColumn="0"/>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113.452668287035" backgroundQuery="1" createdVersion="5" refreshedVersion="5" minRefreshableVersion="3" recordCount="0" supportSubquery="1" supportAdvancedDrill="1">
  <cacheSource type="external" connectionId="3"/>
  <cacheFields count="3">
    <cacheField name="[Table_1].[Product].[Product]" caption="Product" numFmtId="0" hierarchy="5" level="1">
      <sharedItems count="10">
        <s v="Air Conditioner X2"/>
        <s v="Blender B10"/>
        <s v="Desktop PC D21"/>
        <s v="Laptop A13"/>
        <s v="Microwave M20"/>
        <s v="Office Chair Pro"/>
        <s v="Printer P50"/>
        <s v="Refrigerator R55"/>
        <s v="Smartphone Z10"/>
        <s v="Sofa Classic"/>
      </sharedItems>
    </cacheField>
    <cacheField name="[Measures].[Sum of Total profit]" caption="Sum of Total profit" numFmtId="0" hierarchy="19" level="32767"/>
    <cacheField name="[Table_1].[Region].[Region]" caption="Region" numFmtId="0" hierarchy="1" level="1">
      <sharedItems containsSemiMixedTypes="0" containsNonDate="0" containsString="0"/>
    </cacheField>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Total Revenue]" caption="Total Revenue" attribute="1" defaultMemberUniqueName="[Table_1].[Total Revenue].[All]" allUniqueName="[Table_1].[Total Revenue].[All]" dimensionUniqueName="[Table_1]" displayFolder="" count="0" memberValueDatatype="5" unbalanced="0"/>
    <cacheHierarchy uniqueName="[Table_1].[Total COGS]" caption="Total COGS" attribute="1" defaultMemberUniqueName="[Table_1].[Total COGS].[All]" allUniqueName="[Table_1].[Total COGS].[All]" dimensionUniqueName="[Table_1]" displayFolder="" count="0" memberValueDatatype="5" unbalanced="0"/>
    <cacheHierarchy uniqueName="[Table_1].[Total profit]" caption="Total profit" attribute="1" defaultMemberUniqueName="[Table_1].[Total profit].[All]" allUniqueName="[Table_1].[Total profit].[All]" dimensionUniqueName="[Table_1]" displayFolder="" count="0" memberValueDatatype="20" unbalanced="0"/>
    <cacheHierarchy uniqueName="[Table_1].[Total Transaction]" caption="Total Transaction" attribute="1" defaultMemberUniqueName="[Table_1].[Total Transaction].[All]" allUniqueName="[Table_1].[Total Transaction].[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Sum of Total profit]" caption="Sum of Total profit" measure="1" displayFolder="" measureGroup="Table_1" count="0" oneField="1">
      <fieldsUsage count="1">
        <fieldUsage x="1"/>
      </fieldsUsage>
      <extLst>
        <ext xmlns:x15="http://schemas.microsoft.com/office/spreadsheetml/2010/11/main" uri="{B97F6D7D-B522-45F9-BDA1-12C45D357490}">
          <x15:cacheHierarchy aggregatedColumn="16"/>
        </ext>
      </extLst>
    </cacheHierarchy>
    <cacheHierarchy uniqueName="[Measures].[Sum of Total Revenue]" caption="Sum of Total Revenue" measure="1" displayFolder="" measureGroup="Table_1" count="0">
      <extLst>
        <ext xmlns:x15="http://schemas.microsoft.com/office/spreadsheetml/2010/11/main" uri="{B97F6D7D-B522-45F9-BDA1-12C45D357490}">
          <x15:cacheHierarchy aggregatedColumn="14"/>
        </ext>
      </extLst>
    </cacheHierarchy>
    <cacheHierarchy uniqueName="[Measures].[Sum of Total COGS]" caption="Sum of Total COGS" measure="1" displayFolder="" measureGroup="Table_1"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_1" count="0">
      <extLst>
        <ext xmlns:x15="http://schemas.microsoft.com/office/spreadsheetml/2010/11/main" uri="{B97F6D7D-B522-45F9-BDA1-12C45D357490}">
          <x15:cacheHierarchy aggregatedColumn="0"/>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113.452668981481" backgroundQuery="1" createdVersion="5" refreshedVersion="5" minRefreshableVersion="3" recordCount="0" supportSubquery="1" supportAdvancedDrill="1">
  <cacheSource type="external" connectionId="3"/>
  <cacheFields count="3">
    <cacheField name="[Table_1].[City].[City]" caption="City" numFmtId="0" hierarchy="2" level="1">
      <sharedItems count="4">
        <s v="Abuja"/>
        <s v="Kano"/>
        <s v="Lagos"/>
        <s v="Port Harcourt"/>
      </sharedItems>
    </cacheField>
    <cacheField name="[Measures].[Sum of Total COGS]" caption="Sum of Total COGS" numFmtId="0" hierarchy="21" level="32767"/>
    <cacheField name="[Table_1].[Region].[Region]" caption="Region" numFmtId="0" hierarchy="1" level="1">
      <sharedItems containsSemiMixedTypes="0" containsNonDate="0" containsString="0"/>
    </cacheField>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Total Revenue]" caption="Total Revenue" attribute="1" defaultMemberUniqueName="[Table_1].[Total Revenue].[All]" allUniqueName="[Table_1].[Total Revenue].[All]" dimensionUniqueName="[Table_1]" displayFolder="" count="0" memberValueDatatype="5" unbalanced="0"/>
    <cacheHierarchy uniqueName="[Table_1].[Total COGS]" caption="Total COGS" attribute="1" defaultMemberUniqueName="[Table_1].[Total COGS].[All]" allUniqueName="[Table_1].[Total COGS].[All]" dimensionUniqueName="[Table_1]" displayFolder="" count="0" memberValueDatatype="5" unbalanced="0"/>
    <cacheHierarchy uniqueName="[Table_1].[Total profit]" caption="Total profit" attribute="1" defaultMemberUniqueName="[Table_1].[Total profit].[All]" allUniqueName="[Table_1].[Total profit].[All]" dimensionUniqueName="[Table_1]" displayFolder="" count="0" memberValueDatatype="20" unbalanced="0"/>
    <cacheHierarchy uniqueName="[Table_1].[Total Transaction]" caption="Total Transaction" attribute="1" defaultMemberUniqueName="[Table_1].[Total Transaction].[All]" allUniqueName="[Table_1].[Total Transaction].[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Sum of Total profit]" caption="Sum of Total profit" measure="1" displayFolder="" measureGroup="Table_1" count="0">
      <extLst>
        <ext xmlns:x15="http://schemas.microsoft.com/office/spreadsheetml/2010/11/main" uri="{B97F6D7D-B522-45F9-BDA1-12C45D357490}">
          <x15:cacheHierarchy aggregatedColumn="16"/>
        </ext>
      </extLst>
    </cacheHierarchy>
    <cacheHierarchy uniqueName="[Measures].[Sum of Total Revenue]" caption="Sum of Total Revenue" measure="1" displayFolder="" measureGroup="Table_1" count="0">
      <extLst>
        <ext xmlns:x15="http://schemas.microsoft.com/office/spreadsheetml/2010/11/main" uri="{B97F6D7D-B522-45F9-BDA1-12C45D357490}">
          <x15:cacheHierarchy aggregatedColumn="14"/>
        </ext>
      </extLst>
    </cacheHierarchy>
    <cacheHierarchy uniqueName="[Measures].[Sum of Total COGS]" caption="Sum of Total COGS" measure="1" displayFolder="" measureGroup="Table_1" count="0" oneField="1">
      <fieldsUsage count="1">
        <fieldUsage x="1"/>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_1" count="0">
      <extLst>
        <ext xmlns:x15="http://schemas.microsoft.com/office/spreadsheetml/2010/11/main" uri="{B97F6D7D-B522-45F9-BDA1-12C45D357490}">
          <x15:cacheHierarchy aggregatedColumn="0"/>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113.452669560182" backgroundQuery="1" createdVersion="5" refreshedVersion="5" minRefreshableVersion="3" recordCount="0" supportSubquery="1" supportAdvancedDrill="1">
  <cacheSource type="external" connectionId="3"/>
  <cacheFields count="3">
    <cacheField name="[Table_1].[City].[City]" caption="City" numFmtId="0" hierarchy="2" level="1">
      <sharedItems count="4">
        <s v="Abuja"/>
        <s v="Kano"/>
        <s v="Lagos"/>
        <s v="Port Harcourt"/>
      </sharedItems>
    </cacheField>
    <cacheField name="[Measures].[Sum of Total COGS]" caption="Sum of Total COGS" numFmtId="0" hierarchy="21" level="32767"/>
    <cacheField name="[Table_1].[Region].[Region]" caption="Region" numFmtId="0" hierarchy="1" level="1">
      <sharedItems containsSemiMixedTypes="0" containsNonDate="0" containsString="0"/>
    </cacheField>
  </cacheFields>
  <cacheHierarchies count="25">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2"/>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Total Revenue]" caption="Total Revenue" attribute="1" defaultMemberUniqueName="[Table_1].[Total Revenue].[All]" allUniqueName="[Table_1].[Total Revenue].[All]" dimensionUniqueName="[Table_1]" displayFolder="" count="0" memberValueDatatype="5" unbalanced="0"/>
    <cacheHierarchy uniqueName="[Table_1].[Total COGS]" caption="Total COGS" attribute="1" defaultMemberUniqueName="[Table_1].[Total COGS].[All]" allUniqueName="[Table_1].[Total COGS].[All]" dimensionUniqueName="[Table_1]" displayFolder="" count="0" memberValueDatatype="5" unbalanced="0"/>
    <cacheHierarchy uniqueName="[Table_1].[Total profit]" caption="Total profit" attribute="1" defaultMemberUniqueName="[Table_1].[Total profit].[All]" allUniqueName="[Table_1].[Total profit].[All]" dimensionUniqueName="[Table_1]" displayFolder="" count="0" memberValueDatatype="20" unbalanced="0"/>
    <cacheHierarchy uniqueName="[Table_1].[Total Transaction]" caption="Total Transaction" attribute="1" defaultMemberUniqueName="[Table_1].[Total Transaction].[All]" allUniqueName="[Table_1].[Total Transaction].[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Sum of Total profit]" caption="Sum of Total profit" measure="1" displayFolder="" measureGroup="Table_1" count="0">
      <extLst>
        <ext xmlns:x15="http://schemas.microsoft.com/office/spreadsheetml/2010/11/main" uri="{B97F6D7D-B522-45F9-BDA1-12C45D357490}">
          <x15:cacheHierarchy aggregatedColumn="16"/>
        </ext>
      </extLst>
    </cacheHierarchy>
    <cacheHierarchy uniqueName="[Measures].[Sum of Total Revenue]" caption="Sum of Total Revenue" measure="1" displayFolder="" measureGroup="Table_1" count="0">
      <extLst>
        <ext xmlns:x15="http://schemas.microsoft.com/office/spreadsheetml/2010/11/main" uri="{B97F6D7D-B522-45F9-BDA1-12C45D357490}">
          <x15:cacheHierarchy aggregatedColumn="14"/>
        </ext>
      </extLst>
    </cacheHierarchy>
    <cacheHierarchy uniqueName="[Measures].[Sum of Total COGS]" caption="Sum of Total COGS" measure="1" displayFolder="" measureGroup="Table_1" count="0" oneField="1">
      <fieldsUsage count="1">
        <fieldUsage x="1"/>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_1" count="0">
      <extLst>
        <ext xmlns:x15="http://schemas.microsoft.com/office/spreadsheetml/2010/11/main" uri="{B97F6D7D-B522-45F9-BDA1-12C45D357490}">
          <x15:cacheHierarchy aggregatedColumn="0"/>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111.520582986108" backgroundQuery="1" createdVersion="3" refreshedVersion="5"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Table_1].[Date]" caption="Date" attribute="1" defaultMemberUniqueName="[Table_1].[Date].[All]" allUniqueName="[Table_1].[Date].[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Revenue]" caption="Revenue" attribute="1" defaultMemberUniqueName="[Table_1].[Revenue].[All]" allUniqueName="[Table_1].[Revenue].[All]" dimensionUniqueName="[Table_1]" displayFolder="" count="0" memberValueDatatype="20" unbalanced="0"/>
    <cacheHierarchy uniqueName="[Table_1].[COGS]" caption="COGS" attribute="1" defaultMemberUniqueName="[Table_1].[COGS].[All]" allUniqueName="[Table_1].[COGS].[All]" dimensionUniqueName="[Table_1]" displayFolder="" count="0" memberValueDatatype="20" unbalanced="0"/>
    <cacheHierarchy uniqueName="[Table_1].[PROFIT]" caption="PROFIT" attribute="1" defaultMemberUniqueName="[Table_1].[PROFIT].[All]" allUniqueName="[Table_1].[PROFIT].[All]" dimensionUniqueName="[Table_1]" displayFolder="" count="0" memberValueDatatype="20" unbalanced="0"/>
    <cacheHierarchy uniqueName="[Table_1].[Total Revenue]" caption="Total Revenue" attribute="1" defaultMemberUniqueName="[Table_1].[Total Revenue].[All]" allUniqueName="[Table_1].[Total Revenue].[All]" dimensionUniqueName="[Table_1]" displayFolder="" count="0" memberValueDatatype="5" unbalanced="0"/>
    <cacheHierarchy uniqueName="[Table_1].[Total COGS]" caption="Total COGS" attribute="1" defaultMemberUniqueName="[Table_1].[Total COGS].[All]" allUniqueName="[Table_1].[Total COGS].[All]" dimensionUniqueName="[Table_1]" displayFolder="" count="0" memberValueDatatype="5" unbalanced="0"/>
    <cacheHierarchy uniqueName="[Table_1].[Total profit]" caption="Total profit" attribute="1" defaultMemberUniqueName="[Table_1].[Total profit].[All]" allUniqueName="[Table_1].[Total profit].[All]" dimensionUniqueName="[Table_1]" displayFolder="" count="0" memberValueDatatype="20" unbalanced="0"/>
    <cacheHierarchy uniqueName="[Table_1].[Total Transaction]" caption="Total Transaction" attribute="1" defaultMemberUniqueName="[Table_1].[Total Transaction].[All]" allUniqueName="[Table_1].[Total Transaction].[All]" dimensionUniqueName="[Table_1]" displayFolder="" count="0" memberValueDatatype="20" unbalanced="0"/>
    <cacheHierarchy uniqueName="[Table_1].[MONTH]" caption="MONTH" attribute="1" defaultMemberUniqueName="[Table_1].[MONTH].[All]" allUniqueName="[Table_1].[MONTH].[All]" dimensionUniqueName="[Table_1]" displayFolder="" count="0" memberValueDatatype="20" unbalanced="0"/>
    <cacheHierarchy uniqueName="[Measures].[Sum of Total profit]" caption="Sum of Total profit" measure="1" displayFolder="" measureGroup="Table_1" count="0">
      <extLst>
        <ext xmlns:x15="http://schemas.microsoft.com/office/spreadsheetml/2010/11/main" uri="{B97F6D7D-B522-45F9-BDA1-12C45D357490}">
          <x15:cacheHierarchy aggregatedColumn="16"/>
        </ext>
      </extLst>
    </cacheHierarchy>
    <cacheHierarchy uniqueName="[Measures].[Sum of Total Revenue]" caption="Sum of Total Revenue" measure="1" displayFolder="" measureGroup="Table_1" count="0">
      <extLst>
        <ext xmlns:x15="http://schemas.microsoft.com/office/spreadsheetml/2010/11/main" uri="{B97F6D7D-B522-45F9-BDA1-12C45D357490}">
          <x15:cacheHierarchy aggregatedColumn="14"/>
        </ext>
      </extLst>
    </cacheHierarchy>
    <cacheHierarchy uniqueName="[Measures].[Sum of Total COGS]" caption="Sum of Total COGS" measure="1" displayFolder="" measureGroup="Table_1" count="0">
      <extLst>
        <ext xmlns:x15="http://schemas.microsoft.com/office/spreadsheetml/2010/11/main" uri="{B97F6D7D-B522-45F9-BDA1-12C45D357490}">
          <x15:cacheHierarchy aggregatedColumn="15"/>
        </ext>
      </extLst>
    </cacheHierarchy>
    <cacheHierarchy uniqueName="[Measures].[Count of Date]" caption="Count of Date" measure="1" displayFolder="" measureGroup="Table_1" count="0">
      <extLst>
        <ext xmlns:x15="http://schemas.microsoft.com/office/spreadsheetml/2010/11/main" uri="{B97F6D7D-B522-45F9-BDA1-12C45D357490}">
          <x15:cacheHierarchy aggregatedColumn="0"/>
        </ext>
      </extLst>
    </cacheHierarchy>
    <cacheHierarchy uniqueName="[Measures].[Sum of MONTH]" caption="Sum of MONTH" measure="1" displayFolder="" measureGroup="Table_1" count="0">
      <extLst>
        <ext xmlns:x15="http://schemas.microsoft.com/office/spreadsheetml/2010/11/main" uri="{B97F6D7D-B522-45F9-BDA1-12C45D357490}">
          <x15:cacheHierarchy aggregatedColumn="18"/>
        </ext>
      </extLst>
    </cacheHierarchy>
    <cacheHierarchy uniqueName="[Measures].[__XL_Count Table_1]" caption="__XL_Count Table_1" measure="1" displayFolder="" measureGroup="Table_1"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4" cacheId="63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7" rowHeaderCaption="">
  <location ref="B16:C21"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Total COGS" fld="1" baseField="0" baseItem="0"/>
  </dataFields>
  <formats count="3">
    <format dxfId="102">
      <pivotArea grandRow="1" outline="0" collapsedLevelsAreSubtotals="1" fieldPosition="0"/>
    </format>
    <format dxfId="103">
      <pivotArea outline="0" collapsedLevelsAreSubtotals="1" fieldPosition="0"/>
    </format>
    <format dxfId="104">
      <pivotArea dataOnly="0" labelOnly="1" outline="0" axis="axisValues" fieldPosition="0"/>
    </format>
  </formats>
  <chartFormats count="30">
    <chartFormat chart="32"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0" count="1" selected="0">
            <x v="0"/>
          </reference>
        </references>
      </pivotArea>
    </chartFormat>
    <chartFormat chart="37" format="3">
      <pivotArea type="data" outline="0" fieldPosition="0">
        <references count="2">
          <reference field="4294967294" count="1" selected="0">
            <x v="0"/>
          </reference>
          <reference field="0" count="1" selected="0">
            <x v="1"/>
          </reference>
        </references>
      </pivotArea>
    </chartFormat>
    <chartFormat chart="37" format="4">
      <pivotArea type="data" outline="0" fieldPosition="0">
        <references count="2">
          <reference field="4294967294" count="1" selected="0">
            <x v="0"/>
          </reference>
          <reference field="0" count="1" selected="0">
            <x v="2"/>
          </reference>
        </references>
      </pivotArea>
    </chartFormat>
    <chartFormat chart="37" format="5">
      <pivotArea type="data" outline="0" fieldPosition="0">
        <references count="2">
          <reference field="4294967294" count="1" selected="0">
            <x v="0"/>
          </reference>
          <reference field="0"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0" count="1" selected="0">
            <x v="0"/>
          </reference>
        </references>
      </pivotArea>
    </chartFormat>
    <chartFormat chart="38" format="8">
      <pivotArea type="data" outline="0" fieldPosition="0">
        <references count="2">
          <reference field="4294967294" count="1" selected="0">
            <x v="0"/>
          </reference>
          <reference field="0" count="1" selected="0">
            <x v="1"/>
          </reference>
        </references>
      </pivotArea>
    </chartFormat>
    <chartFormat chart="38" format="9">
      <pivotArea type="data" outline="0" fieldPosition="0">
        <references count="2">
          <reference field="4294967294" count="1" selected="0">
            <x v="0"/>
          </reference>
          <reference field="0" count="1" selected="0">
            <x v="2"/>
          </reference>
        </references>
      </pivotArea>
    </chartFormat>
    <chartFormat chart="38" format="10">
      <pivotArea type="data" outline="0" fieldPosition="0">
        <references count="2">
          <reference field="4294967294" count="1" selected="0">
            <x v="0"/>
          </reference>
          <reference field="0" count="1" selected="0">
            <x v="3"/>
          </reference>
        </references>
      </pivotArea>
    </chartFormat>
    <chartFormat chart="32" format="1">
      <pivotArea type="data" outline="0" fieldPosition="0">
        <references count="2">
          <reference field="4294967294" count="1" selected="0">
            <x v="0"/>
          </reference>
          <reference field="0" count="1" selected="0">
            <x v="0"/>
          </reference>
        </references>
      </pivotArea>
    </chartFormat>
    <chartFormat chart="32" format="2">
      <pivotArea type="data" outline="0" fieldPosition="0">
        <references count="2">
          <reference field="4294967294" count="1" selected="0">
            <x v="0"/>
          </reference>
          <reference field="0" count="1" selected="0">
            <x v="1"/>
          </reference>
        </references>
      </pivotArea>
    </chartFormat>
    <chartFormat chart="32" format="3">
      <pivotArea type="data" outline="0" fieldPosition="0">
        <references count="2">
          <reference field="4294967294" count="1" selected="0">
            <x v="0"/>
          </reference>
          <reference field="0" count="1" selected="0">
            <x v="2"/>
          </reference>
        </references>
      </pivotArea>
    </chartFormat>
    <chartFormat chart="32" format="4">
      <pivotArea type="data" outline="0" fieldPosition="0">
        <references count="2">
          <reference field="4294967294" count="1" selected="0">
            <x v="0"/>
          </reference>
          <reference field="0" count="1" selected="0">
            <x v="3"/>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0" count="1" selected="0">
            <x v="0"/>
          </reference>
        </references>
      </pivotArea>
    </chartFormat>
    <chartFormat chart="41" format="7">
      <pivotArea type="data" outline="0" fieldPosition="0">
        <references count="2">
          <reference field="4294967294" count="1" selected="0">
            <x v="0"/>
          </reference>
          <reference field="0" count="1" selected="0">
            <x v="1"/>
          </reference>
        </references>
      </pivotArea>
    </chartFormat>
    <chartFormat chart="41" format="8">
      <pivotArea type="data" outline="0" fieldPosition="0">
        <references count="2">
          <reference field="4294967294" count="1" selected="0">
            <x v="0"/>
          </reference>
          <reference field="0" count="1" selected="0">
            <x v="2"/>
          </reference>
        </references>
      </pivotArea>
    </chartFormat>
    <chartFormat chart="41" format="9">
      <pivotArea type="data" outline="0" fieldPosition="0">
        <references count="2">
          <reference field="4294967294" count="1" selected="0">
            <x v="0"/>
          </reference>
          <reference field="0" count="1" selected="0">
            <x v="3"/>
          </reference>
        </references>
      </pivotArea>
    </chartFormat>
    <chartFormat chart="43" format="10" series="1">
      <pivotArea type="data" outline="0" fieldPosition="0">
        <references count="1">
          <reference field="4294967294" count="1" selected="0">
            <x v="0"/>
          </reference>
        </references>
      </pivotArea>
    </chartFormat>
    <chartFormat chart="43" format="11">
      <pivotArea type="data" outline="0" fieldPosition="0">
        <references count="2">
          <reference field="4294967294" count="1" selected="0">
            <x v="0"/>
          </reference>
          <reference field="0" count="1" selected="0">
            <x v="0"/>
          </reference>
        </references>
      </pivotArea>
    </chartFormat>
    <chartFormat chart="43" format="12">
      <pivotArea type="data" outline="0" fieldPosition="0">
        <references count="2">
          <reference field="4294967294" count="1" selected="0">
            <x v="0"/>
          </reference>
          <reference field="0" count="1" selected="0">
            <x v="1"/>
          </reference>
        </references>
      </pivotArea>
    </chartFormat>
    <chartFormat chart="43" format="13">
      <pivotArea type="data" outline="0" fieldPosition="0">
        <references count="2">
          <reference field="4294967294" count="1" selected="0">
            <x v="0"/>
          </reference>
          <reference field="0" count="1" selected="0">
            <x v="2"/>
          </reference>
        </references>
      </pivotArea>
    </chartFormat>
    <chartFormat chart="43" format="14">
      <pivotArea type="data" outline="0" fieldPosition="0">
        <references count="2">
          <reference field="4294967294" count="1" selected="0">
            <x v="0"/>
          </reference>
          <reference field="0" count="1" selected="0">
            <x v="3"/>
          </reference>
        </references>
      </pivotArea>
    </chartFormat>
    <chartFormat chart="44" format="15" series="1">
      <pivotArea type="data" outline="0" fieldPosition="0">
        <references count="1">
          <reference field="4294967294" count="1" selected="0">
            <x v="0"/>
          </reference>
        </references>
      </pivotArea>
    </chartFormat>
    <chartFormat chart="44" format="16">
      <pivotArea type="data" outline="0" fieldPosition="0">
        <references count="2">
          <reference field="4294967294" count="1" selected="0">
            <x v="0"/>
          </reference>
          <reference field="0" count="1" selected="0">
            <x v="0"/>
          </reference>
        </references>
      </pivotArea>
    </chartFormat>
    <chartFormat chart="44" format="17">
      <pivotArea type="data" outline="0" fieldPosition="0">
        <references count="2">
          <reference field="4294967294" count="1" selected="0">
            <x v="0"/>
          </reference>
          <reference field="0" count="1" selected="0">
            <x v="1"/>
          </reference>
        </references>
      </pivotArea>
    </chartFormat>
    <chartFormat chart="44" format="18">
      <pivotArea type="data" outline="0" fieldPosition="0">
        <references count="2">
          <reference field="4294967294" count="1" selected="0">
            <x v="0"/>
          </reference>
          <reference field="0" count="1" selected="0">
            <x v="2"/>
          </reference>
        </references>
      </pivotArea>
    </chartFormat>
    <chartFormat chart="44" format="19">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Lst>
</pivotTableDefinition>
</file>

<file path=xl/pivotTables/pivotTable2.xml><?xml version="1.0" encoding="utf-8"?>
<pivotTableDefinition xmlns="http://schemas.openxmlformats.org/spreadsheetml/2006/main" name="PivotTable1" cacheId="62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63">
  <location ref="H5:I12" firstHeaderRow="1" firstDataRow="1" firstDataCol="1"/>
  <pivotFields count="3">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7">
    <i>
      <x v="5"/>
    </i>
    <i>
      <x v="2"/>
    </i>
    <i>
      <x v="4"/>
    </i>
    <i>
      <x/>
    </i>
    <i>
      <x v="3"/>
    </i>
    <i>
      <x v="1"/>
    </i>
    <i t="grand">
      <x/>
    </i>
  </rowItems>
  <colItems count="1">
    <i/>
  </colItems>
  <dataFields count="1">
    <dataField name="Sum of Total Revenue" fld="1" baseField="0" baseItem="0"/>
  </dataFields>
  <formats count="3">
    <format dxfId="121">
      <pivotArea grandRow="1" outline="0" collapsedLevelsAreSubtotals="1" fieldPosition="0"/>
    </format>
    <format dxfId="122">
      <pivotArea outline="0" collapsedLevelsAreSubtotals="1" fieldPosition="0"/>
    </format>
    <format dxfId="123">
      <pivotArea dataOnly="0" labelOnly="1" outline="0" axis="axisValues" fieldPosition="0"/>
    </format>
  </formats>
  <chartFormats count="7">
    <chartFormat chart="34" format="5"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0" count="1" selected="0">
            <x v="4"/>
          </reference>
        </references>
      </pivotArea>
    </chartFormat>
    <chartFormat chart="34" format="7">
      <pivotArea type="data" outline="0" fieldPosition="0">
        <references count="2">
          <reference field="4294967294" count="1" selected="0">
            <x v="0"/>
          </reference>
          <reference field="0" count="1" selected="0">
            <x v="5"/>
          </reference>
        </references>
      </pivotArea>
    </chartFormat>
    <chartFormat chart="34" format="8">
      <pivotArea type="data" outline="0" fieldPosition="0">
        <references count="2">
          <reference field="4294967294" count="1" selected="0">
            <x v="0"/>
          </reference>
          <reference field="0" count="1" selected="0">
            <x v="3"/>
          </reference>
        </references>
      </pivotArea>
    </chartFormat>
    <chartFormat chart="34" format="9">
      <pivotArea type="data" outline="0" fieldPosition="0">
        <references count="2">
          <reference field="4294967294" count="1" selected="0">
            <x v="0"/>
          </reference>
          <reference field="0" count="1" selected="0">
            <x v="2"/>
          </reference>
        </references>
      </pivotArea>
    </chartFormat>
    <chartFormat chart="47"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Lst>
</pivotTableDefinition>
</file>

<file path=xl/pivotTables/pivotTable3.xml><?xml version="1.0" encoding="utf-8"?>
<pivotTableDefinition xmlns="http://schemas.openxmlformats.org/spreadsheetml/2006/main" name="PivotTable2" cacheId="63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61">
  <location ref="A3:B14" firstHeaderRow="1" firstDataRow="1" firstDataCol="1"/>
  <pivotFields count="3">
    <pivotField axis="axisRow"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1">
    <i>
      <x v="6"/>
    </i>
    <i>
      <x/>
    </i>
    <i>
      <x v="3"/>
    </i>
    <i>
      <x v="1"/>
    </i>
    <i>
      <x v="7"/>
    </i>
    <i>
      <x v="5"/>
    </i>
    <i>
      <x v="9"/>
    </i>
    <i>
      <x v="2"/>
    </i>
    <i>
      <x v="4"/>
    </i>
    <i>
      <x v="8"/>
    </i>
    <i t="grand">
      <x/>
    </i>
  </rowItems>
  <colItems count="1">
    <i/>
  </colItems>
  <dataFields count="1">
    <dataField name="Sum of Total profit" fld="1" baseField="0" baseItem="0" numFmtId="164"/>
  </dataFields>
  <formats count="13">
    <format dxfId="108">
      <pivotArea collapsedLevelsAreSubtotals="1" fieldPosition="0">
        <references count="1">
          <reference field="0" count="1">
            <x v="0"/>
          </reference>
        </references>
      </pivotArea>
    </format>
    <format dxfId="109">
      <pivotArea collapsedLevelsAreSubtotals="1" fieldPosition="0">
        <references count="1">
          <reference field="0" count="1">
            <x v="1"/>
          </reference>
        </references>
      </pivotArea>
    </format>
    <format dxfId="110">
      <pivotArea collapsedLevelsAreSubtotals="1" fieldPosition="0">
        <references count="1">
          <reference field="0" count="1">
            <x v="2"/>
          </reference>
        </references>
      </pivotArea>
    </format>
    <format dxfId="111">
      <pivotArea collapsedLevelsAreSubtotals="1" fieldPosition="0">
        <references count="1">
          <reference field="0" count="1">
            <x v="3"/>
          </reference>
        </references>
      </pivotArea>
    </format>
    <format dxfId="112">
      <pivotArea collapsedLevelsAreSubtotals="1" fieldPosition="0">
        <references count="1">
          <reference field="0" count="1">
            <x v="4"/>
          </reference>
        </references>
      </pivotArea>
    </format>
    <format dxfId="113">
      <pivotArea collapsedLevelsAreSubtotals="1" fieldPosition="0">
        <references count="1">
          <reference field="0" count="1">
            <x v="5"/>
          </reference>
        </references>
      </pivotArea>
    </format>
    <format dxfId="114">
      <pivotArea collapsedLevelsAreSubtotals="1" fieldPosition="0">
        <references count="1">
          <reference field="0" count="1">
            <x v="6"/>
          </reference>
        </references>
      </pivotArea>
    </format>
    <format dxfId="115">
      <pivotArea collapsedLevelsAreSubtotals="1" fieldPosition="0">
        <references count="1">
          <reference field="0" count="1">
            <x v="7"/>
          </reference>
        </references>
      </pivotArea>
    </format>
    <format dxfId="116">
      <pivotArea collapsedLevelsAreSubtotals="1" fieldPosition="0">
        <references count="1">
          <reference field="0" count="1">
            <x v="8"/>
          </reference>
        </references>
      </pivotArea>
    </format>
    <format dxfId="117">
      <pivotArea collapsedLevelsAreSubtotals="1" fieldPosition="0">
        <references count="1">
          <reference field="0" count="1">
            <x v="9"/>
          </reference>
        </references>
      </pivotArea>
    </format>
    <format dxfId="118">
      <pivotArea grandRow="1" outline="0" collapsedLevelsAreSubtotals="1" fieldPosition="0"/>
    </format>
    <format dxfId="119">
      <pivotArea outline="0" collapsedLevelsAreSubtotals="1" fieldPosition="0"/>
    </format>
    <format dxfId="120">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Lst>
</pivotTableDefinition>
</file>

<file path=xl/pivotTables/pivotTable4.xml><?xml version="1.0" encoding="utf-8"?>
<pivotTableDefinition xmlns="http://schemas.openxmlformats.org/spreadsheetml/2006/main" name="PivotTable6" cacheId="62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5">
  <location ref="H16:I22" firstHeaderRow="1" firstDataRow="1" firstDataCol="1"/>
  <pivotFields count="3">
    <pivotField allDrilled="1" showAll="0" dataSourceSort="1" defaultAttributeDrillState="1"/>
    <pivotField dataField="1" showAll="0"/>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2"/>
  </rowFields>
  <rowItems count="6">
    <i>
      <x v="4"/>
    </i>
    <i>
      <x v="1"/>
    </i>
    <i>
      <x/>
    </i>
    <i>
      <x v="2"/>
    </i>
    <i>
      <x v="3"/>
    </i>
    <i t="grand">
      <x/>
    </i>
  </rowItems>
  <colItems count="1">
    <i/>
  </colItems>
  <dataFields count="1">
    <dataField name="Count of Date" fld="1" subtotal="count" baseField="0" baseItem="0"/>
  </dataFields>
  <formats count="3">
    <format dxfId="124">
      <pivotArea grandRow="1" outline="0" collapsedLevelsAreSubtotals="1" fieldPosition="0"/>
    </format>
    <format dxfId="125">
      <pivotArea outline="0" collapsedLevelsAreSubtotals="1" fieldPosition="0"/>
    </format>
    <format dxfId="126">
      <pivotArea dataOnly="0" labelOnly="1" outline="0" axis="axisValues" fieldPosition="0"/>
    </format>
  </formats>
  <chartFormats count="2">
    <chartFormat chart="38" format="3"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Lst>
</pivotTableDefinition>
</file>

<file path=xl/pivotTables/pivotTable5.xml><?xml version="1.0" encoding="utf-8"?>
<pivotTableDefinition xmlns="http://schemas.openxmlformats.org/spreadsheetml/2006/main" name="PivotTable3" cacheId="635"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7">
  <location ref="K2:L7"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Sum of Total COGS" fld="1" baseField="0" baseItem="0"/>
  </dataFields>
  <formats count="3">
    <format dxfId="105">
      <pivotArea grandRow="1" outline="0" collapsedLevelsAreSubtotals="1" fieldPosition="0"/>
    </format>
    <format dxfId="106">
      <pivotArea outline="0" collapsedLevelsAreSubtotals="1" fieldPosition="0"/>
    </format>
    <format dxfId="107">
      <pivotArea dataOnly="0" labelOnly="1" outline="0" axis="axisValues" fieldPosition="0"/>
    </format>
  </formats>
  <chartFormats count="30">
    <chartFormat chart="32"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0" count="1" selected="0">
            <x v="0"/>
          </reference>
        </references>
      </pivotArea>
    </chartFormat>
    <chartFormat chart="37" format="3">
      <pivotArea type="data" outline="0" fieldPosition="0">
        <references count="2">
          <reference field="4294967294" count="1" selected="0">
            <x v="0"/>
          </reference>
          <reference field="0" count="1" selected="0">
            <x v="1"/>
          </reference>
        </references>
      </pivotArea>
    </chartFormat>
    <chartFormat chart="37" format="4">
      <pivotArea type="data" outline="0" fieldPosition="0">
        <references count="2">
          <reference field="4294967294" count="1" selected="0">
            <x v="0"/>
          </reference>
          <reference field="0" count="1" selected="0">
            <x v="2"/>
          </reference>
        </references>
      </pivotArea>
    </chartFormat>
    <chartFormat chart="37" format="5">
      <pivotArea type="data" outline="0" fieldPosition="0">
        <references count="2">
          <reference field="4294967294" count="1" selected="0">
            <x v="0"/>
          </reference>
          <reference field="0" count="1" selected="0">
            <x v="3"/>
          </reference>
        </references>
      </pivotArea>
    </chartFormat>
    <chartFormat chart="38" format="6" series="1">
      <pivotArea type="data" outline="0" fieldPosition="0">
        <references count="1">
          <reference field="4294967294" count="1" selected="0">
            <x v="0"/>
          </reference>
        </references>
      </pivotArea>
    </chartFormat>
    <chartFormat chart="38" format="7">
      <pivotArea type="data" outline="0" fieldPosition="0">
        <references count="2">
          <reference field="4294967294" count="1" selected="0">
            <x v="0"/>
          </reference>
          <reference field="0" count="1" selected="0">
            <x v="0"/>
          </reference>
        </references>
      </pivotArea>
    </chartFormat>
    <chartFormat chart="38" format="8">
      <pivotArea type="data" outline="0" fieldPosition="0">
        <references count="2">
          <reference field="4294967294" count="1" selected="0">
            <x v="0"/>
          </reference>
          <reference field="0" count="1" selected="0">
            <x v="1"/>
          </reference>
        </references>
      </pivotArea>
    </chartFormat>
    <chartFormat chart="38" format="9">
      <pivotArea type="data" outline="0" fieldPosition="0">
        <references count="2">
          <reference field="4294967294" count="1" selected="0">
            <x v="0"/>
          </reference>
          <reference field="0" count="1" selected="0">
            <x v="2"/>
          </reference>
        </references>
      </pivotArea>
    </chartFormat>
    <chartFormat chart="38" format="10">
      <pivotArea type="data" outline="0" fieldPosition="0">
        <references count="2">
          <reference field="4294967294" count="1" selected="0">
            <x v="0"/>
          </reference>
          <reference field="0" count="1" selected="0">
            <x v="3"/>
          </reference>
        </references>
      </pivotArea>
    </chartFormat>
    <chartFormat chart="32" format="1">
      <pivotArea type="data" outline="0" fieldPosition="0">
        <references count="2">
          <reference field="4294967294" count="1" selected="0">
            <x v="0"/>
          </reference>
          <reference field="0" count="1" selected="0">
            <x v="0"/>
          </reference>
        </references>
      </pivotArea>
    </chartFormat>
    <chartFormat chart="32" format="2">
      <pivotArea type="data" outline="0" fieldPosition="0">
        <references count="2">
          <reference field="4294967294" count="1" selected="0">
            <x v="0"/>
          </reference>
          <reference field="0" count="1" selected="0">
            <x v="1"/>
          </reference>
        </references>
      </pivotArea>
    </chartFormat>
    <chartFormat chart="32" format="3">
      <pivotArea type="data" outline="0" fieldPosition="0">
        <references count="2">
          <reference field="4294967294" count="1" selected="0">
            <x v="0"/>
          </reference>
          <reference field="0" count="1" selected="0">
            <x v="2"/>
          </reference>
        </references>
      </pivotArea>
    </chartFormat>
    <chartFormat chart="32" format="4">
      <pivotArea type="data" outline="0" fieldPosition="0">
        <references count="2">
          <reference field="4294967294" count="1" selected="0">
            <x v="0"/>
          </reference>
          <reference field="0" count="1" selected="0">
            <x v="3"/>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0" count="1" selected="0">
            <x v="0"/>
          </reference>
        </references>
      </pivotArea>
    </chartFormat>
    <chartFormat chart="41" format="7">
      <pivotArea type="data" outline="0" fieldPosition="0">
        <references count="2">
          <reference field="4294967294" count="1" selected="0">
            <x v="0"/>
          </reference>
          <reference field="0" count="1" selected="0">
            <x v="1"/>
          </reference>
        </references>
      </pivotArea>
    </chartFormat>
    <chartFormat chart="41" format="8">
      <pivotArea type="data" outline="0" fieldPosition="0">
        <references count="2">
          <reference field="4294967294" count="1" selected="0">
            <x v="0"/>
          </reference>
          <reference field="0" count="1" selected="0">
            <x v="2"/>
          </reference>
        </references>
      </pivotArea>
    </chartFormat>
    <chartFormat chart="41" format="9">
      <pivotArea type="data" outline="0" fieldPosition="0">
        <references count="2">
          <reference field="4294967294" count="1" selected="0">
            <x v="0"/>
          </reference>
          <reference field="0" count="1" selected="0">
            <x v="3"/>
          </reference>
        </references>
      </pivotArea>
    </chartFormat>
    <chartFormat chart="43" format="10" series="1">
      <pivotArea type="data" outline="0" fieldPosition="0">
        <references count="1">
          <reference field="4294967294" count="1" selected="0">
            <x v="0"/>
          </reference>
        </references>
      </pivotArea>
    </chartFormat>
    <chartFormat chart="43" format="11">
      <pivotArea type="data" outline="0" fieldPosition="0">
        <references count="2">
          <reference field="4294967294" count="1" selected="0">
            <x v="0"/>
          </reference>
          <reference field="0" count="1" selected="0">
            <x v="0"/>
          </reference>
        </references>
      </pivotArea>
    </chartFormat>
    <chartFormat chart="43" format="12">
      <pivotArea type="data" outline="0" fieldPosition="0">
        <references count="2">
          <reference field="4294967294" count="1" selected="0">
            <x v="0"/>
          </reference>
          <reference field="0" count="1" selected="0">
            <x v="1"/>
          </reference>
        </references>
      </pivotArea>
    </chartFormat>
    <chartFormat chart="43" format="13">
      <pivotArea type="data" outline="0" fieldPosition="0">
        <references count="2">
          <reference field="4294967294" count="1" selected="0">
            <x v="0"/>
          </reference>
          <reference field="0" count="1" selected="0">
            <x v="2"/>
          </reference>
        </references>
      </pivotArea>
    </chartFormat>
    <chartFormat chart="43" format="14">
      <pivotArea type="data" outline="0" fieldPosition="0">
        <references count="2">
          <reference field="4294967294" count="1" selected="0">
            <x v="0"/>
          </reference>
          <reference field="0" count="1" selected="0">
            <x v="3"/>
          </reference>
        </references>
      </pivotArea>
    </chartFormat>
    <chartFormat chart="44" format="15" series="1">
      <pivotArea type="data" outline="0" fieldPosition="0">
        <references count="1">
          <reference field="4294967294" count="1" selected="0">
            <x v="0"/>
          </reference>
        </references>
      </pivotArea>
    </chartFormat>
    <chartFormat chart="44" format="16">
      <pivotArea type="data" outline="0" fieldPosition="0">
        <references count="2">
          <reference field="4294967294" count="1" selected="0">
            <x v="0"/>
          </reference>
          <reference field="0" count="1" selected="0">
            <x v="0"/>
          </reference>
        </references>
      </pivotArea>
    </chartFormat>
    <chartFormat chart="44" format="17">
      <pivotArea type="data" outline="0" fieldPosition="0">
        <references count="2">
          <reference field="4294967294" count="1" selected="0">
            <x v="0"/>
          </reference>
          <reference field="0" count="1" selected="0">
            <x v="1"/>
          </reference>
        </references>
      </pivotArea>
    </chartFormat>
    <chartFormat chart="44" format="18">
      <pivotArea type="data" outline="0" fieldPosition="0">
        <references count="2">
          <reference field="4294967294" count="1" selected="0">
            <x v="0"/>
          </reference>
          <reference field="0" count="1" selected="0">
            <x v="2"/>
          </reference>
        </references>
      </pivotArea>
    </chartFormat>
    <chartFormat chart="44" format="19">
      <pivotArea type="data" outline="0" fieldPosition="0">
        <references count="2">
          <reference field="4294967294" count="1" selected="0">
            <x v="0"/>
          </reference>
          <reference field="0" count="1" selected="0">
            <x v="3"/>
          </reference>
        </references>
      </pivotArea>
    </chartFormat>
  </chartFormats>
  <pivotHierarchies count="25">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EW5rlpLSJevfb6EV7Xh_Excel Sales_Analysis_Project (2).xlsx!Table_1">
        <x15:activeTabTopLevelEntity name="[Table_1]"/>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nextId="20">
    <queryTableFields count="19">
      <queryTableField id="1" name="[$Table_1].[Date]" tableColumnId="1"/>
      <queryTableField id="2" name="[$Table_1].[Region]" tableColumnId="2"/>
      <queryTableField id="3" name="[$Table_1].[City]" tableColumnId="3"/>
      <queryTableField id="4" name="[$Table_1].[Customer Type]" tableColumnId="4"/>
      <queryTableField id="5" name="[$Table_1].[Channel]" tableColumnId="5"/>
      <queryTableField id="6" name="[$Table_1].[Product]" tableColumnId="6"/>
      <queryTableField id="7" name="[$Table_1].[Category]" tableColumnId="7"/>
      <queryTableField id="8" name="[$Table_1].[Unit Price]" tableColumnId="8"/>
      <queryTableField id="9" name="[$Table_1].[Quantity]" tableColumnId="9"/>
      <queryTableField id="10" name="[$Table_1].[Sales Rep]" tableColumnId="10"/>
      <queryTableField id="11" name="[$Table_1].[Cost Price]" tableColumnId="11"/>
      <queryTableField id="12" name="[$Table_1].[Revenue]" tableColumnId="12"/>
      <queryTableField id="13" name="[$Table_1].[COGS]" tableColumnId="13"/>
      <queryTableField id="14" name="[$Table_1].[PROFIT]" tableColumnId="14"/>
      <queryTableField id="15" name="[$Table_1].[Total Revenue]" tableColumnId="15"/>
      <queryTableField id="16" name="[$Table_1].[Total COGS]" tableColumnId="16"/>
      <queryTableField id="17" name="[$Table_1].[Total profit]" tableColumnId="17"/>
      <queryTableField id="18" name="[$Table_1].[Total Transaction]" tableColumnId="18"/>
      <queryTableField id="19" name="[$Table_1].[MONTH]" tableColumnId="19"/>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nextId="20">
    <queryTableFields count="19">
      <queryTableField id="1" name="[$Table_1].[Date]" tableColumnId="1"/>
      <queryTableField id="2" name="[$Table_1].[Region]" tableColumnId="2"/>
      <queryTableField id="3" name="[$Table_1].[City]" tableColumnId="3"/>
      <queryTableField id="4" name="[$Table_1].[Customer Type]" tableColumnId="4"/>
      <queryTableField id="5" name="[$Table_1].[Channel]" tableColumnId="5"/>
      <queryTableField id="6" name="[$Table_1].[Product]" tableColumnId="6"/>
      <queryTableField id="7" name="[$Table_1].[Category]" tableColumnId="7"/>
      <queryTableField id="8" name="[$Table_1].[Unit Price]" tableColumnId="8"/>
      <queryTableField id="9" name="[$Table_1].[Quantity]" tableColumnId="9"/>
      <queryTableField id="10" name="[$Table_1].[Sales Rep]" tableColumnId="10"/>
      <queryTableField id="11" name="[$Table_1].[Cost Price]" tableColumnId="11"/>
      <queryTableField id="12" name="[$Table_1].[Revenue]" tableColumnId="12"/>
      <queryTableField id="13" name="[$Table_1].[COGS]" tableColumnId="13"/>
      <queryTableField id="14" name="[$Table_1].[PROFIT]" tableColumnId="14"/>
      <queryTableField id="15" name="[$Table_1].[Total Revenue]" tableColumnId="15"/>
      <queryTableField id="16" name="[$Table_1].[Total COGS]" tableColumnId="16"/>
      <queryTableField id="17" name="[$Table_1].[Total profit]" tableColumnId="17"/>
      <queryTableField id="18" name="[$Table_1].[Total Transaction]" tableColumnId="18"/>
      <queryTableField id="19" name="[$Table_1].[MONTH]"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Table_1].[Category]">
  <pivotTables>
    <pivotTable tabId="6" name="PivotTable6"/>
    <pivotTable tabId="6" name="PivotTable1"/>
    <pivotTable tabId="6" name="PivotTable2"/>
    <pivotTable tabId="6" name="PivotTable3"/>
    <pivotTable tabId="6" name="PivotTable4"/>
  </pivotTables>
  <data>
    <olap pivotCacheId="1">
      <levels count="2">
        <level uniqueName="[Table_1].[Category].[(All)]" sourceCaption="(All)" count="0"/>
        <level uniqueName="[Table_1].[Category].[Category]" sourceCaption="Category" count="3" sortOrder="descending">
          <ranges>
            <range startItem="0">
              <i n="[Table_1].[Category].&amp;[Home Appliances]" c="Home Appliances"/>
              <i n="[Table_1].[Category].&amp;[Furniture]" c="Furniture"/>
              <i n="[Table_1].[Category].&amp;[Electronics]" c="Electronics"/>
            </range>
          </ranges>
        </level>
      </levels>
      <selections count="1">
        <selection n="[Tabl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Table_1].[Region]">
  <pivotTables>
    <pivotTable tabId="6" name="PivotTable6"/>
    <pivotTable tabId="6" name="PivotTable1"/>
    <pivotTable tabId="6" name="PivotTable2"/>
    <pivotTable tabId="6" name="PivotTable3"/>
    <pivotTable tabId="6" name="PivotTable4"/>
  </pivotTables>
  <data>
    <olap pivotCacheId="1">
      <levels count="2">
        <level uniqueName="[Table_1].[Region].[(All)]" sourceCaption="(All)" count="0"/>
        <level uniqueName="[Table_1].[Region].[Region]" sourceCaption="Region" count="4" sortOrder="descending">
          <ranges>
            <range startItem="0">
              <i n="[Table_1].[Region].&amp;[West]" c="West"/>
              <i n="[Table_1].[Region].&amp;[South]" c="South"/>
              <i n="[Table_1].[Region].&amp;[North]" c="North"/>
              <i n="[Table_1].[Region].&amp;[East]" c="Ea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style="SlicerStyleLight1" rowHeight="241300"/>
  <slicer name="Region" cache="Slicer_Region" caption="Region" level="1"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howCaption="0" level="1" style="Slicer Style 2" rowHeight="241300"/>
  <slicer name="Region 1" cache="Slicer_Region" caption="Region" columnCount="2" showCaption="0" level="1" style="Slicer Style 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Table_ExternalData_1" displayName="Table_ExternalData_1" ref="A3:S489" tableType="queryTable" totalsRowShown="0">
  <autoFilter ref="A3:S489"/>
  <tableColumns count="19">
    <tableColumn id="1" uniqueName="1" name="[$Table_1].[Date]" queryTableFieldId="1"/>
    <tableColumn id="2" uniqueName="2" name="[$Table_1].[Region]" queryTableFieldId="2"/>
    <tableColumn id="3" uniqueName="3" name="[$Table_1].[City]" queryTableFieldId="3"/>
    <tableColumn id="4" uniqueName="4" name="[$Table_1].[Customer Type]" queryTableFieldId="4"/>
    <tableColumn id="5" uniqueName="5" name="[$Table_1].[Channel]" queryTableFieldId="5"/>
    <tableColumn id="6" uniqueName="6" name="[$Table_1].[Product]" queryTableFieldId="6"/>
    <tableColumn id="7" uniqueName="7" name="[$Table_1].[Category]" queryTableFieldId="7"/>
    <tableColumn id="8" uniqueName="8" name="[$Table_1].[Unit Price]" queryTableFieldId="8"/>
    <tableColumn id="9" uniqueName="9" name="[$Table_1].[Quantity]" queryTableFieldId="9"/>
    <tableColumn id="10" uniqueName="10" name="[$Table_1].[Sales Rep]" queryTableFieldId="10"/>
    <tableColumn id="11" uniqueName="11" name="[$Table_1].[Cost Price]" queryTableFieldId="11"/>
    <tableColumn id="12" uniqueName="12" name="[$Table_1].[Revenue]" queryTableFieldId="12"/>
    <tableColumn id="13" uniqueName="13" name="[$Table_1].[COGS]" queryTableFieldId="13"/>
    <tableColumn id="14" uniqueName="14" name="[$Table_1].[PROFIT]" queryTableFieldId="14"/>
    <tableColumn id="15" uniqueName="15" name="[$Table_1].[Total Revenue]" queryTableFieldId="15"/>
    <tableColumn id="16" uniqueName="16" name="[$Table_1].[Total COGS]" queryTableFieldId="16"/>
    <tableColumn id="17" uniqueName="17" name="[$Table_1].[Total profit]" queryTableFieldId="17"/>
    <tableColumn id="18" uniqueName="18" name="[$Table_1].[Total Transaction]" queryTableFieldId="18"/>
    <tableColumn id="19" uniqueName="19" name="[$Table_1].[MONTH]" queryTableFieldId="19"/>
  </tableColumns>
  <tableStyleInfo showFirstColumn="0" showLastColumn="0" showRowStripes="1" showColumnStripes="0"/>
</table>
</file>

<file path=xl/tables/table2.xml><?xml version="1.0" encoding="utf-8"?>
<table xmlns="http://schemas.openxmlformats.org/spreadsheetml/2006/main" id="3" name="Table_ExternalData_14" displayName="Table_ExternalData_14" ref="A3:S1003" tableType="queryTable" totalsRowShown="0">
  <autoFilter ref="A3:S1003"/>
  <tableColumns count="19">
    <tableColumn id="1" uniqueName="1" name="[$Table_1].[Date]" queryTableFieldId="1"/>
    <tableColumn id="2" uniqueName="2" name="[$Table_1].[Region]" queryTableFieldId="2"/>
    <tableColumn id="3" uniqueName="3" name="[$Table_1].[City]" queryTableFieldId="3"/>
    <tableColumn id="4" uniqueName="4" name="[$Table_1].[Customer Type]" queryTableFieldId="4"/>
    <tableColumn id="5" uniqueName="5" name="[$Table_1].[Channel]" queryTableFieldId="5"/>
    <tableColumn id="6" uniqueName="6" name="[$Table_1].[Product]" queryTableFieldId="6"/>
    <tableColumn id="7" uniqueName="7" name="[$Table_1].[Category]" queryTableFieldId="7"/>
    <tableColumn id="8" uniqueName="8" name="[$Table_1].[Unit Price]" queryTableFieldId="8"/>
    <tableColumn id="9" uniqueName="9" name="[$Table_1].[Quantity]" queryTableFieldId="9"/>
    <tableColumn id="10" uniqueName="10" name="[$Table_1].[Sales Rep]" queryTableFieldId="10"/>
    <tableColumn id="11" uniqueName="11" name="[$Table_1].[Cost Price]" queryTableFieldId="11"/>
    <tableColumn id="12" uniqueName="12" name="[$Table_1].[Revenue]" queryTableFieldId="12"/>
    <tableColumn id="13" uniqueName="13" name="[$Table_1].[COGS]" queryTableFieldId="13"/>
    <tableColumn id="14" uniqueName="14" name="[$Table_1].[PROFIT]" queryTableFieldId="14"/>
    <tableColumn id="15" uniqueName="15" name="[$Table_1].[Total Revenue]" queryTableFieldId="15"/>
    <tableColumn id="16" uniqueName="16" name="[$Table_1].[Total COGS]" queryTableFieldId="16"/>
    <tableColumn id="17" uniqueName="17" name="[$Table_1].[Total profit]" queryTableFieldId="17"/>
    <tableColumn id="18" uniqueName="18" name="[$Table_1].[Total Transaction]" queryTableFieldId="18"/>
    <tableColumn id="19" uniqueName="19" name="[$Table_1].[MONTH]" queryTableFieldId="19"/>
  </tableColumns>
  <tableStyleInfo showFirstColumn="0" showLastColumn="0" showRowStripes="1" showColumnStripes="0"/>
</table>
</file>

<file path=xl/tables/table3.xml><?xml version="1.0" encoding="utf-8"?>
<table xmlns="http://schemas.openxmlformats.org/spreadsheetml/2006/main" id="1" name="Table_1" displayName="Table_1" ref="A1:T2100" totalsRowCount="1">
  <tableColumns count="20">
    <tableColumn id="1" name="Date"/>
    <tableColumn id="2" name="Region"/>
    <tableColumn id="3" name="City"/>
    <tableColumn id="4" name="Customer Type" totalsRowFunction="custom">
      <totalsRowFormula>COUNT(Table_1[Customer Type])</totalsRowFormula>
    </tableColumn>
    <tableColumn id="5" name="Channel"/>
    <tableColumn id="6" name="Product"/>
    <tableColumn id="7" name="Category"/>
    <tableColumn id="8" name="Unit Price"/>
    <tableColumn id="9" name="Quantity"/>
    <tableColumn id="10" name="Sales Rep"/>
    <tableColumn id="11" name="Cost Price"/>
    <tableColumn id="12" name="Revenue" totalsRowFunction="sum" dataDxfId="139" totalsRowDxfId="138" dataCellStyle="Currency">
      <calculatedColumnFormula>Table_1[[#This Row],[Unit Price]]*Table_1[[#This Row],[Quantity]]</calculatedColumnFormula>
    </tableColumn>
    <tableColumn id="13" name="COGS" totalsRowFunction="sum" totalsRowDxfId="137" dataCellStyle="Currency">
      <calculatedColumnFormula>Table_1[[#This Row],[Cost Price]]*Table_1[[#This Row],[Quantity]]</calculatedColumnFormula>
    </tableColumn>
    <tableColumn id="14" name="PROFIT" totalsRowFunction="sum" dataDxfId="136" totalsRowDxfId="135" dataCellStyle="Currency">
      <calculatedColumnFormula>Table_1[[#This Row],[Revenue]]-Table_1[[#This Row],[COGS]]</calculatedColumnFormula>
    </tableColumn>
    <tableColumn id="15" name="Total Revenue" dataDxfId="134">
      <calculatedColumnFormula>SUM(L$2:L$1048576)</calculatedColumnFormula>
    </tableColumn>
    <tableColumn id="16" name="Total COGS" totalsRowFunction="sum" dataDxfId="133" totalsRowDxfId="132" dataCellStyle="Currency">
      <calculatedColumnFormula>SUM(M:M)</calculatedColumnFormula>
    </tableColumn>
    <tableColumn id="17" name="Total profit" dataDxfId="131">
      <calculatedColumnFormula>SUM(N:N)</calculatedColumnFormula>
    </tableColumn>
    <tableColumn id="18" name="Total Transaction" dataDxfId="130">
      <calculatedColumnFormula>COUNTA(A$2:A$1048576)</calculatedColumnFormula>
    </tableColumn>
    <tableColumn id="19" name="MONTH" dataDxfId="129">
      <calculatedColumnFormula>MONTH(A2:A1490)</calculatedColumnFormula>
    </tableColumn>
    <tableColumn id="20" name="COUNT" dataDxfId="128">
      <calculatedColumnFormula>COUNTA(A:A)-1</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89"/>
  <sheetViews>
    <sheetView workbookViewId="0">
      <selection activeCell="C13" sqref="C13"/>
    </sheetView>
  </sheetViews>
  <sheetFormatPr defaultRowHeight="14.5" x14ac:dyDescent="0.35"/>
  <cols>
    <col min="1" max="1" width="17.7265625" bestFit="1" customWidth="1"/>
    <col min="2" max="2" width="19.54296875" bestFit="1" customWidth="1"/>
    <col min="3" max="3" width="16.90625" bestFit="1" customWidth="1"/>
    <col min="4" max="4" width="26.54296875" bestFit="1" customWidth="1"/>
    <col min="5" max="5" width="20.7265625" bestFit="1" customWidth="1"/>
    <col min="6" max="6" width="20.36328125" bestFit="1" customWidth="1"/>
    <col min="7" max="7" width="21.26953125" bestFit="1" customWidth="1"/>
    <col min="8" max="8" width="21.81640625" bestFit="1" customWidth="1"/>
    <col min="9" max="9" width="21.08984375" bestFit="1" customWidth="1"/>
    <col min="10" max="10" width="21.7265625" bestFit="1" customWidth="1"/>
    <col min="11" max="11" width="22" bestFit="1" customWidth="1"/>
    <col min="12" max="12" width="21.08984375" bestFit="1" customWidth="1"/>
    <col min="13" max="13" width="18.453125" bestFit="1" customWidth="1"/>
    <col min="14" max="14" width="19.81640625" bestFit="1" customWidth="1"/>
    <col min="15" max="15" width="25.81640625" bestFit="1" customWidth="1"/>
    <col min="16" max="17" width="23.1796875" bestFit="1" customWidth="1"/>
    <col min="18" max="18" width="28.453125" bestFit="1" customWidth="1"/>
    <col min="19" max="19" width="20.54296875" customWidth="1"/>
  </cols>
  <sheetData>
    <row r="1" spans="1:19" x14ac:dyDescent="0.35">
      <c r="A1" t="s">
        <v>383</v>
      </c>
    </row>
    <row r="3" spans="1:19" x14ac:dyDescent="0.35">
      <c r="A3" t="s">
        <v>191</v>
      </c>
      <c r="B3" t="s">
        <v>192</v>
      </c>
      <c r="C3" t="s">
        <v>193</v>
      </c>
      <c r="D3" t="s">
        <v>194</v>
      </c>
      <c r="E3" t="s">
        <v>195</v>
      </c>
      <c r="F3" t="s">
        <v>196</v>
      </c>
      <c r="G3" t="s">
        <v>197</v>
      </c>
      <c r="H3" t="s">
        <v>198</v>
      </c>
      <c r="I3" t="s">
        <v>199</v>
      </c>
      <c r="J3" t="s">
        <v>200</v>
      </c>
      <c r="K3" t="s">
        <v>201</v>
      </c>
      <c r="L3" t="s">
        <v>202</v>
      </c>
      <c r="M3" t="s">
        <v>203</v>
      </c>
      <c r="N3" t="s">
        <v>204</v>
      </c>
      <c r="O3" t="s">
        <v>205</v>
      </c>
      <c r="P3" t="s">
        <v>206</v>
      </c>
      <c r="Q3" t="s">
        <v>207</v>
      </c>
      <c r="R3" t="s">
        <v>208</v>
      </c>
      <c r="S3" t="s">
        <v>386</v>
      </c>
    </row>
    <row r="4" spans="1:19" x14ac:dyDescent="0.35">
      <c r="A4" t="s">
        <v>37</v>
      </c>
      <c r="B4" t="s">
        <v>29</v>
      </c>
      <c r="C4" t="s">
        <v>38</v>
      </c>
      <c r="D4" t="s">
        <v>14</v>
      </c>
      <c r="E4" t="s">
        <v>15</v>
      </c>
      <c r="F4" t="s">
        <v>39</v>
      </c>
      <c r="G4" t="s">
        <v>24</v>
      </c>
      <c r="H4" t="s">
        <v>209</v>
      </c>
      <c r="I4" t="s">
        <v>210</v>
      </c>
      <c r="J4" t="s">
        <v>18</v>
      </c>
      <c r="K4" t="s">
        <v>211</v>
      </c>
      <c r="L4" t="s">
        <v>212</v>
      </c>
      <c r="M4" t="s">
        <v>213</v>
      </c>
      <c r="N4" t="s">
        <v>214</v>
      </c>
      <c r="O4" t="s">
        <v>215</v>
      </c>
      <c r="P4" t="s">
        <v>216</v>
      </c>
      <c r="Q4" t="s">
        <v>217</v>
      </c>
      <c r="R4" t="s">
        <v>218</v>
      </c>
      <c r="S4" t="s">
        <v>244</v>
      </c>
    </row>
    <row r="5" spans="1:19" x14ac:dyDescent="0.35">
      <c r="A5" t="s">
        <v>40</v>
      </c>
      <c r="B5" t="s">
        <v>29</v>
      </c>
      <c r="C5" t="s">
        <v>38</v>
      </c>
      <c r="D5" t="s">
        <v>26</v>
      </c>
      <c r="E5" t="s">
        <v>15</v>
      </c>
      <c r="F5" t="s">
        <v>41</v>
      </c>
      <c r="G5" t="s">
        <v>17</v>
      </c>
      <c r="H5" t="s">
        <v>219</v>
      </c>
      <c r="I5" t="s">
        <v>220</v>
      </c>
      <c r="J5" t="s">
        <v>32</v>
      </c>
      <c r="K5" t="s">
        <v>221</v>
      </c>
      <c r="L5" t="s">
        <v>222</v>
      </c>
      <c r="M5" t="s">
        <v>223</v>
      </c>
      <c r="N5" t="s">
        <v>221</v>
      </c>
      <c r="O5" t="s">
        <v>215</v>
      </c>
      <c r="P5" t="s">
        <v>216</v>
      </c>
      <c r="Q5" t="s">
        <v>217</v>
      </c>
      <c r="R5" t="s">
        <v>218</v>
      </c>
      <c r="S5" t="s">
        <v>244</v>
      </c>
    </row>
    <row r="6" spans="1:19" x14ac:dyDescent="0.35">
      <c r="A6" t="s">
        <v>60</v>
      </c>
      <c r="B6" t="s">
        <v>29</v>
      </c>
      <c r="C6" t="s">
        <v>38</v>
      </c>
      <c r="D6" t="s">
        <v>26</v>
      </c>
      <c r="E6" t="s">
        <v>22</v>
      </c>
      <c r="F6" t="s">
        <v>35</v>
      </c>
      <c r="G6" t="s">
        <v>36</v>
      </c>
      <c r="H6" t="s">
        <v>224</v>
      </c>
      <c r="I6" t="s">
        <v>225</v>
      </c>
      <c r="J6" t="s">
        <v>43</v>
      </c>
      <c r="K6" t="s">
        <v>226</v>
      </c>
      <c r="L6" t="s">
        <v>227</v>
      </c>
      <c r="M6" t="s">
        <v>228</v>
      </c>
      <c r="N6" t="s">
        <v>224</v>
      </c>
      <c r="O6" t="s">
        <v>215</v>
      </c>
      <c r="P6" t="s">
        <v>216</v>
      </c>
      <c r="Q6" t="s">
        <v>217</v>
      </c>
      <c r="R6" t="s">
        <v>218</v>
      </c>
      <c r="S6" t="s">
        <v>244</v>
      </c>
    </row>
    <row r="7" spans="1:19" x14ac:dyDescent="0.35">
      <c r="A7" t="s">
        <v>66</v>
      </c>
      <c r="B7" t="s">
        <v>12</v>
      </c>
      <c r="C7" t="s">
        <v>38</v>
      </c>
      <c r="D7" t="s">
        <v>26</v>
      </c>
      <c r="E7" t="s">
        <v>15</v>
      </c>
      <c r="F7" t="s">
        <v>47</v>
      </c>
      <c r="G7" t="s">
        <v>36</v>
      </c>
      <c r="H7" t="s">
        <v>229</v>
      </c>
      <c r="I7" t="s">
        <v>230</v>
      </c>
      <c r="J7" t="s">
        <v>32</v>
      </c>
      <c r="K7" t="s">
        <v>231</v>
      </c>
      <c r="L7" t="s">
        <v>232</v>
      </c>
      <c r="M7" t="s">
        <v>233</v>
      </c>
      <c r="N7" t="s">
        <v>234</v>
      </c>
      <c r="O7" t="s">
        <v>215</v>
      </c>
      <c r="P7" t="s">
        <v>216</v>
      </c>
      <c r="Q7" t="s">
        <v>217</v>
      </c>
      <c r="R7" t="s">
        <v>218</v>
      </c>
      <c r="S7" t="s">
        <v>244</v>
      </c>
    </row>
    <row r="8" spans="1:19" x14ac:dyDescent="0.35">
      <c r="A8" t="s">
        <v>68</v>
      </c>
      <c r="B8" t="s">
        <v>29</v>
      </c>
      <c r="C8" t="s">
        <v>38</v>
      </c>
      <c r="D8" t="s">
        <v>26</v>
      </c>
      <c r="E8" t="s">
        <v>15</v>
      </c>
      <c r="F8" t="s">
        <v>41</v>
      </c>
      <c r="G8" t="s">
        <v>17</v>
      </c>
      <c r="H8" t="s">
        <v>219</v>
      </c>
      <c r="I8" t="s">
        <v>230</v>
      </c>
      <c r="J8" t="s">
        <v>54</v>
      </c>
      <c r="K8" t="s">
        <v>221</v>
      </c>
      <c r="L8" t="s">
        <v>235</v>
      </c>
      <c r="M8" t="s">
        <v>236</v>
      </c>
      <c r="N8" t="s">
        <v>237</v>
      </c>
      <c r="O8" t="s">
        <v>215</v>
      </c>
      <c r="P8" t="s">
        <v>216</v>
      </c>
      <c r="Q8" t="s">
        <v>217</v>
      </c>
      <c r="R8" t="s">
        <v>218</v>
      </c>
      <c r="S8" t="s">
        <v>238</v>
      </c>
    </row>
    <row r="9" spans="1:19" x14ac:dyDescent="0.35">
      <c r="A9" t="s">
        <v>69</v>
      </c>
      <c r="B9" t="s">
        <v>12</v>
      </c>
      <c r="C9" t="s">
        <v>38</v>
      </c>
      <c r="D9" t="s">
        <v>14</v>
      </c>
      <c r="E9" t="s">
        <v>22</v>
      </c>
      <c r="F9" t="s">
        <v>47</v>
      </c>
      <c r="G9" t="s">
        <v>36</v>
      </c>
      <c r="H9" t="s">
        <v>229</v>
      </c>
      <c r="I9" t="s">
        <v>238</v>
      </c>
      <c r="J9" t="s">
        <v>18</v>
      </c>
      <c r="K9" t="s">
        <v>231</v>
      </c>
      <c r="L9" t="s">
        <v>229</v>
      </c>
      <c r="M9" t="s">
        <v>231</v>
      </c>
      <c r="N9" t="s">
        <v>239</v>
      </c>
      <c r="O9" t="s">
        <v>215</v>
      </c>
      <c r="P9" t="s">
        <v>216</v>
      </c>
      <c r="Q9" t="s">
        <v>217</v>
      </c>
      <c r="R9" t="s">
        <v>218</v>
      </c>
      <c r="S9" t="s">
        <v>238</v>
      </c>
    </row>
    <row r="10" spans="1:19" x14ac:dyDescent="0.35">
      <c r="A10" t="s">
        <v>72</v>
      </c>
      <c r="B10" t="s">
        <v>29</v>
      </c>
      <c r="C10" t="s">
        <v>38</v>
      </c>
      <c r="D10" t="s">
        <v>26</v>
      </c>
      <c r="E10" t="s">
        <v>15</v>
      </c>
      <c r="F10" t="s">
        <v>41</v>
      </c>
      <c r="G10" t="s">
        <v>17</v>
      </c>
      <c r="H10" t="s">
        <v>219</v>
      </c>
      <c r="I10" t="s">
        <v>240</v>
      </c>
      <c r="J10" t="s">
        <v>27</v>
      </c>
      <c r="K10" t="s">
        <v>221</v>
      </c>
      <c r="L10" t="s">
        <v>241</v>
      </c>
      <c r="M10" t="s">
        <v>242</v>
      </c>
      <c r="N10" t="s">
        <v>243</v>
      </c>
      <c r="O10" t="s">
        <v>215</v>
      </c>
      <c r="P10" t="s">
        <v>216</v>
      </c>
      <c r="Q10" t="s">
        <v>217</v>
      </c>
      <c r="R10" t="s">
        <v>218</v>
      </c>
      <c r="S10" t="s">
        <v>244</v>
      </c>
    </row>
    <row r="11" spans="1:19" x14ac:dyDescent="0.35">
      <c r="A11" t="s">
        <v>46</v>
      </c>
      <c r="B11" t="s">
        <v>12</v>
      </c>
      <c r="C11" t="s">
        <v>38</v>
      </c>
      <c r="D11" t="s">
        <v>14</v>
      </c>
      <c r="E11" t="s">
        <v>15</v>
      </c>
      <c r="F11" t="s">
        <v>47</v>
      </c>
      <c r="G11" t="s">
        <v>36</v>
      </c>
      <c r="H11" t="s">
        <v>229</v>
      </c>
      <c r="I11" t="s">
        <v>238</v>
      </c>
      <c r="J11" t="s">
        <v>27</v>
      </c>
      <c r="K11" t="s">
        <v>231</v>
      </c>
      <c r="L11" t="s">
        <v>229</v>
      </c>
      <c r="M11" t="s">
        <v>231</v>
      </c>
      <c r="N11" t="s">
        <v>239</v>
      </c>
      <c r="O11" t="s">
        <v>215</v>
      </c>
      <c r="P11" t="s">
        <v>216</v>
      </c>
      <c r="Q11" t="s">
        <v>217</v>
      </c>
      <c r="R11" t="s">
        <v>218</v>
      </c>
      <c r="S11" t="s">
        <v>238</v>
      </c>
    </row>
    <row r="12" spans="1:19" x14ac:dyDescent="0.35">
      <c r="A12" t="s">
        <v>78</v>
      </c>
      <c r="B12" t="s">
        <v>34</v>
      </c>
      <c r="C12" t="s">
        <v>38</v>
      </c>
      <c r="D12" t="s">
        <v>26</v>
      </c>
      <c r="E12" t="s">
        <v>22</v>
      </c>
      <c r="F12" t="s">
        <v>23</v>
      </c>
      <c r="G12" t="s">
        <v>24</v>
      </c>
      <c r="H12" t="s">
        <v>239</v>
      </c>
      <c r="I12" t="s">
        <v>244</v>
      </c>
      <c r="J12" t="s">
        <v>27</v>
      </c>
      <c r="K12" t="s">
        <v>245</v>
      </c>
      <c r="L12" t="s">
        <v>246</v>
      </c>
      <c r="M12" t="s">
        <v>247</v>
      </c>
      <c r="N12" t="s">
        <v>248</v>
      </c>
      <c r="O12" t="s">
        <v>215</v>
      </c>
      <c r="P12" t="s">
        <v>216</v>
      </c>
      <c r="Q12" t="s">
        <v>217</v>
      </c>
      <c r="R12" t="s">
        <v>218</v>
      </c>
      <c r="S12" t="s">
        <v>220</v>
      </c>
    </row>
    <row r="13" spans="1:19" x14ac:dyDescent="0.35">
      <c r="A13" t="s">
        <v>81</v>
      </c>
      <c r="B13" t="s">
        <v>12</v>
      </c>
      <c r="C13" t="s">
        <v>38</v>
      </c>
      <c r="D13" t="s">
        <v>26</v>
      </c>
      <c r="E13" t="s">
        <v>15</v>
      </c>
      <c r="F13" t="s">
        <v>39</v>
      </c>
      <c r="G13" t="s">
        <v>24</v>
      </c>
      <c r="H13" t="s">
        <v>209</v>
      </c>
      <c r="I13" t="s">
        <v>249</v>
      </c>
      <c r="J13" t="s">
        <v>32</v>
      </c>
      <c r="K13" t="s">
        <v>211</v>
      </c>
      <c r="L13" t="s">
        <v>213</v>
      </c>
      <c r="M13" t="s">
        <v>250</v>
      </c>
      <c r="N13" t="s">
        <v>251</v>
      </c>
      <c r="O13" t="s">
        <v>215</v>
      </c>
      <c r="P13" t="s">
        <v>216</v>
      </c>
      <c r="Q13" t="s">
        <v>217</v>
      </c>
      <c r="R13" t="s">
        <v>218</v>
      </c>
      <c r="S13" t="s">
        <v>244</v>
      </c>
    </row>
    <row r="14" spans="1:19" x14ac:dyDescent="0.35">
      <c r="A14" t="s">
        <v>75</v>
      </c>
      <c r="B14" t="s">
        <v>20</v>
      </c>
      <c r="C14" t="s">
        <v>38</v>
      </c>
      <c r="D14" t="s">
        <v>14</v>
      </c>
      <c r="E14" t="s">
        <v>22</v>
      </c>
      <c r="F14" t="s">
        <v>31</v>
      </c>
      <c r="G14" t="s">
        <v>24</v>
      </c>
      <c r="H14" t="s">
        <v>252</v>
      </c>
      <c r="I14" t="s">
        <v>244</v>
      </c>
      <c r="J14" t="s">
        <v>50</v>
      </c>
      <c r="K14" t="s">
        <v>253</v>
      </c>
      <c r="L14" t="s">
        <v>209</v>
      </c>
      <c r="M14" t="s">
        <v>211</v>
      </c>
      <c r="N14" t="s">
        <v>254</v>
      </c>
      <c r="O14" t="s">
        <v>215</v>
      </c>
      <c r="P14" t="s">
        <v>216</v>
      </c>
      <c r="Q14" t="s">
        <v>217</v>
      </c>
      <c r="R14" t="s">
        <v>218</v>
      </c>
      <c r="S14" t="s">
        <v>265</v>
      </c>
    </row>
    <row r="15" spans="1:19" x14ac:dyDescent="0.35">
      <c r="A15" t="s">
        <v>73</v>
      </c>
      <c r="B15" t="s">
        <v>12</v>
      </c>
      <c r="C15" t="s">
        <v>38</v>
      </c>
      <c r="D15" t="s">
        <v>14</v>
      </c>
      <c r="E15" t="s">
        <v>15</v>
      </c>
      <c r="F15" t="s">
        <v>31</v>
      </c>
      <c r="G15" t="s">
        <v>24</v>
      </c>
      <c r="H15" t="s">
        <v>252</v>
      </c>
      <c r="I15" t="s">
        <v>240</v>
      </c>
      <c r="J15" t="s">
        <v>18</v>
      </c>
      <c r="K15" t="s">
        <v>253</v>
      </c>
      <c r="L15" t="s">
        <v>214</v>
      </c>
      <c r="M15" t="s">
        <v>251</v>
      </c>
      <c r="N15" t="s">
        <v>247</v>
      </c>
      <c r="O15" t="s">
        <v>215</v>
      </c>
      <c r="P15" t="s">
        <v>216</v>
      </c>
      <c r="Q15" t="s">
        <v>217</v>
      </c>
      <c r="R15" t="s">
        <v>218</v>
      </c>
      <c r="S15" t="s">
        <v>265</v>
      </c>
    </row>
    <row r="16" spans="1:19" x14ac:dyDescent="0.35">
      <c r="A16" t="s">
        <v>70</v>
      </c>
      <c r="B16" t="s">
        <v>20</v>
      </c>
      <c r="C16" t="s">
        <v>38</v>
      </c>
      <c r="D16" t="s">
        <v>14</v>
      </c>
      <c r="E16" t="s">
        <v>15</v>
      </c>
      <c r="F16" t="s">
        <v>58</v>
      </c>
      <c r="G16" t="s">
        <v>24</v>
      </c>
      <c r="H16" t="s">
        <v>255</v>
      </c>
      <c r="I16" t="s">
        <v>244</v>
      </c>
      <c r="J16" t="s">
        <v>50</v>
      </c>
      <c r="K16" t="s">
        <v>256</v>
      </c>
      <c r="L16" t="s">
        <v>257</v>
      </c>
      <c r="M16" t="s">
        <v>258</v>
      </c>
      <c r="N16" t="s">
        <v>259</v>
      </c>
      <c r="O16" t="s">
        <v>215</v>
      </c>
      <c r="P16" t="s">
        <v>216</v>
      </c>
      <c r="Q16" t="s">
        <v>217</v>
      </c>
      <c r="R16" t="s">
        <v>218</v>
      </c>
      <c r="S16" t="s">
        <v>265</v>
      </c>
    </row>
    <row r="17" spans="1:19" x14ac:dyDescent="0.35">
      <c r="A17" t="s">
        <v>33</v>
      </c>
      <c r="B17" t="s">
        <v>20</v>
      </c>
      <c r="C17" t="s">
        <v>38</v>
      </c>
      <c r="D17" t="s">
        <v>14</v>
      </c>
      <c r="E17" t="s">
        <v>15</v>
      </c>
      <c r="F17" t="s">
        <v>56</v>
      </c>
      <c r="G17" t="s">
        <v>36</v>
      </c>
      <c r="H17" t="s">
        <v>260</v>
      </c>
      <c r="I17" t="s">
        <v>249</v>
      </c>
      <c r="J17" t="s">
        <v>32</v>
      </c>
      <c r="K17" t="s">
        <v>261</v>
      </c>
      <c r="L17" t="s">
        <v>262</v>
      </c>
      <c r="M17" t="s">
        <v>263</v>
      </c>
      <c r="N17" t="s">
        <v>264</v>
      </c>
      <c r="O17" t="s">
        <v>215</v>
      </c>
      <c r="P17" t="s">
        <v>216</v>
      </c>
      <c r="Q17" t="s">
        <v>217</v>
      </c>
      <c r="R17" t="s">
        <v>218</v>
      </c>
      <c r="S17" t="s">
        <v>220</v>
      </c>
    </row>
    <row r="18" spans="1:19" x14ac:dyDescent="0.35">
      <c r="A18" t="s">
        <v>103</v>
      </c>
      <c r="B18" t="s">
        <v>12</v>
      </c>
      <c r="C18" t="s">
        <v>38</v>
      </c>
      <c r="D18" t="s">
        <v>26</v>
      </c>
      <c r="E18" t="s">
        <v>22</v>
      </c>
      <c r="F18" t="s">
        <v>39</v>
      </c>
      <c r="G18" t="s">
        <v>24</v>
      </c>
      <c r="H18" t="s">
        <v>209</v>
      </c>
      <c r="I18" t="s">
        <v>265</v>
      </c>
      <c r="J18" t="s">
        <v>50</v>
      </c>
      <c r="K18" t="s">
        <v>211</v>
      </c>
      <c r="L18" t="s">
        <v>214</v>
      </c>
      <c r="M18" t="s">
        <v>251</v>
      </c>
      <c r="N18" t="s">
        <v>247</v>
      </c>
      <c r="O18" t="s">
        <v>215</v>
      </c>
      <c r="P18" t="s">
        <v>216</v>
      </c>
      <c r="Q18" t="s">
        <v>217</v>
      </c>
      <c r="R18" t="s">
        <v>218</v>
      </c>
      <c r="S18" t="s">
        <v>244</v>
      </c>
    </row>
    <row r="19" spans="1:19" x14ac:dyDescent="0.35">
      <c r="A19" t="s">
        <v>73</v>
      </c>
      <c r="B19" t="s">
        <v>12</v>
      </c>
      <c r="C19" t="s">
        <v>38</v>
      </c>
      <c r="D19" t="s">
        <v>14</v>
      </c>
      <c r="E19" t="s">
        <v>22</v>
      </c>
      <c r="F19" t="s">
        <v>39</v>
      </c>
      <c r="G19" t="s">
        <v>24</v>
      </c>
      <c r="H19" t="s">
        <v>209</v>
      </c>
      <c r="I19" t="s">
        <v>240</v>
      </c>
      <c r="J19" t="s">
        <v>32</v>
      </c>
      <c r="K19" t="s">
        <v>211</v>
      </c>
      <c r="L19" t="s">
        <v>266</v>
      </c>
      <c r="M19" t="s">
        <v>267</v>
      </c>
      <c r="N19" t="s">
        <v>268</v>
      </c>
      <c r="O19" t="s">
        <v>215</v>
      </c>
      <c r="P19" t="s">
        <v>216</v>
      </c>
      <c r="Q19" t="s">
        <v>217</v>
      </c>
      <c r="R19" t="s">
        <v>218</v>
      </c>
      <c r="S19" t="s">
        <v>265</v>
      </c>
    </row>
    <row r="20" spans="1:19" x14ac:dyDescent="0.35">
      <c r="A20" t="s">
        <v>98</v>
      </c>
      <c r="B20" t="s">
        <v>12</v>
      </c>
      <c r="C20" t="s">
        <v>38</v>
      </c>
      <c r="D20" t="s">
        <v>26</v>
      </c>
      <c r="E20" t="s">
        <v>15</v>
      </c>
      <c r="F20" t="s">
        <v>35</v>
      </c>
      <c r="G20" t="s">
        <v>36</v>
      </c>
      <c r="H20" t="s">
        <v>224</v>
      </c>
      <c r="I20" t="s">
        <v>269</v>
      </c>
      <c r="J20" t="s">
        <v>54</v>
      </c>
      <c r="K20" t="s">
        <v>226</v>
      </c>
      <c r="L20" t="s">
        <v>270</v>
      </c>
      <c r="M20" t="s">
        <v>271</v>
      </c>
      <c r="N20" t="s">
        <v>272</v>
      </c>
      <c r="O20" t="s">
        <v>215</v>
      </c>
      <c r="P20" t="s">
        <v>216</v>
      </c>
      <c r="Q20" t="s">
        <v>217</v>
      </c>
      <c r="R20" t="s">
        <v>218</v>
      </c>
      <c r="S20" t="s">
        <v>220</v>
      </c>
    </row>
    <row r="21" spans="1:19" x14ac:dyDescent="0.35">
      <c r="A21" t="s">
        <v>80</v>
      </c>
      <c r="B21" t="s">
        <v>20</v>
      </c>
      <c r="C21" t="s">
        <v>38</v>
      </c>
      <c r="D21" t="s">
        <v>26</v>
      </c>
      <c r="E21" t="s">
        <v>15</v>
      </c>
      <c r="F21" t="s">
        <v>31</v>
      </c>
      <c r="G21" t="s">
        <v>24</v>
      </c>
      <c r="H21" t="s">
        <v>252</v>
      </c>
      <c r="I21" t="s">
        <v>269</v>
      </c>
      <c r="J21" t="s">
        <v>18</v>
      </c>
      <c r="K21" t="s">
        <v>253</v>
      </c>
      <c r="L21" t="s">
        <v>272</v>
      </c>
      <c r="M21" t="s">
        <v>273</v>
      </c>
      <c r="N21" t="s">
        <v>274</v>
      </c>
      <c r="O21" t="s">
        <v>215</v>
      </c>
      <c r="P21" t="s">
        <v>216</v>
      </c>
      <c r="Q21" t="s">
        <v>217</v>
      </c>
      <c r="R21" t="s">
        <v>218</v>
      </c>
      <c r="S21" t="s">
        <v>265</v>
      </c>
    </row>
    <row r="22" spans="1:19" x14ac:dyDescent="0.35">
      <c r="A22" t="s">
        <v>79</v>
      </c>
      <c r="B22" t="s">
        <v>34</v>
      </c>
      <c r="C22" t="s">
        <v>38</v>
      </c>
      <c r="D22" t="s">
        <v>26</v>
      </c>
      <c r="E22" t="s">
        <v>22</v>
      </c>
      <c r="F22" t="s">
        <v>16</v>
      </c>
      <c r="G22" t="s">
        <v>17</v>
      </c>
      <c r="H22" t="s">
        <v>275</v>
      </c>
      <c r="I22" t="s">
        <v>238</v>
      </c>
      <c r="J22" t="s">
        <v>27</v>
      </c>
      <c r="K22" t="s">
        <v>276</v>
      </c>
      <c r="L22" t="s">
        <v>275</v>
      </c>
      <c r="M22" t="s">
        <v>276</v>
      </c>
      <c r="N22" t="s">
        <v>277</v>
      </c>
      <c r="O22" t="s">
        <v>215</v>
      </c>
      <c r="P22" t="s">
        <v>216</v>
      </c>
      <c r="Q22" t="s">
        <v>217</v>
      </c>
      <c r="R22" t="s">
        <v>218</v>
      </c>
      <c r="S22" t="s">
        <v>238</v>
      </c>
    </row>
    <row r="23" spans="1:19" x14ac:dyDescent="0.35">
      <c r="A23" t="s">
        <v>93</v>
      </c>
      <c r="B23" t="s">
        <v>20</v>
      </c>
      <c r="C23" t="s">
        <v>38</v>
      </c>
      <c r="D23" t="s">
        <v>14</v>
      </c>
      <c r="E23" t="s">
        <v>22</v>
      </c>
      <c r="F23" t="s">
        <v>47</v>
      </c>
      <c r="G23" t="s">
        <v>36</v>
      </c>
      <c r="H23" t="s">
        <v>229</v>
      </c>
      <c r="I23" t="s">
        <v>230</v>
      </c>
      <c r="J23" t="s">
        <v>54</v>
      </c>
      <c r="K23" t="s">
        <v>231</v>
      </c>
      <c r="L23" t="s">
        <v>232</v>
      </c>
      <c r="M23" t="s">
        <v>233</v>
      </c>
      <c r="N23" t="s">
        <v>234</v>
      </c>
      <c r="O23" t="s">
        <v>215</v>
      </c>
      <c r="P23" t="s">
        <v>216</v>
      </c>
      <c r="Q23" t="s">
        <v>217</v>
      </c>
      <c r="R23" t="s">
        <v>218</v>
      </c>
      <c r="S23" t="s">
        <v>220</v>
      </c>
    </row>
    <row r="24" spans="1:19" x14ac:dyDescent="0.35">
      <c r="A24" t="s">
        <v>66</v>
      </c>
      <c r="B24" t="s">
        <v>12</v>
      </c>
      <c r="C24" t="s">
        <v>38</v>
      </c>
      <c r="D24" t="s">
        <v>14</v>
      </c>
      <c r="E24" t="s">
        <v>15</v>
      </c>
      <c r="F24" t="s">
        <v>41</v>
      </c>
      <c r="G24" t="s">
        <v>17</v>
      </c>
      <c r="H24" t="s">
        <v>219</v>
      </c>
      <c r="I24" t="s">
        <v>210</v>
      </c>
      <c r="J24" t="s">
        <v>43</v>
      </c>
      <c r="K24" t="s">
        <v>221</v>
      </c>
      <c r="L24" t="s">
        <v>278</v>
      </c>
      <c r="M24" t="s">
        <v>279</v>
      </c>
      <c r="N24" t="s">
        <v>280</v>
      </c>
      <c r="O24" t="s">
        <v>215</v>
      </c>
      <c r="P24" t="s">
        <v>216</v>
      </c>
      <c r="Q24" t="s">
        <v>217</v>
      </c>
      <c r="R24" t="s">
        <v>218</v>
      </c>
      <c r="S24" t="s">
        <v>244</v>
      </c>
    </row>
    <row r="25" spans="1:19" x14ac:dyDescent="0.35">
      <c r="A25" t="s">
        <v>118</v>
      </c>
      <c r="B25" t="s">
        <v>12</v>
      </c>
      <c r="C25" t="s">
        <v>38</v>
      </c>
      <c r="D25" t="s">
        <v>26</v>
      </c>
      <c r="E25" t="s">
        <v>15</v>
      </c>
      <c r="F25" t="s">
        <v>56</v>
      </c>
      <c r="G25" t="s">
        <v>36</v>
      </c>
      <c r="H25" t="s">
        <v>260</v>
      </c>
      <c r="I25" t="s">
        <v>240</v>
      </c>
      <c r="J25" t="s">
        <v>54</v>
      </c>
      <c r="K25" t="s">
        <v>261</v>
      </c>
      <c r="L25" t="s">
        <v>227</v>
      </c>
      <c r="M25" t="s">
        <v>228</v>
      </c>
      <c r="N25" t="s">
        <v>224</v>
      </c>
      <c r="O25" t="s">
        <v>215</v>
      </c>
      <c r="P25" t="s">
        <v>216</v>
      </c>
      <c r="Q25" t="s">
        <v>217</v>
      </c>
      <c r="R25" t="s">
        <v>218</v>
      </c>
      <c r="S25" t="s">
        <v>238</v>
      </c>
    </row>
    <row r="26" spans="1:19" x14ac:dyDescent="0.35">
      <c r="A26" t="s">
        <v>33</v>
      </c>
      <c r="B26" t="s">
        <v>29</v>
      </c>
      <c r="C26" t="s">
        <v>38</v>
      </c>
      <c r="D26" t="s">
        <v>26</v>
      </c>
      <c r="E26" t="s">
        <v>15</v>
      </c>
      <c r="F26" t="s">
        <v>16</v>
      </c>
      <c r="G26" t="s">
        <v>17</v>
      </c>
      <c r="H26" t="s">
        <v>275</v>
      </c>
      <c r="I26" t="s">
        <v>240</v>
      </c>
      <c r="J26" t="s">
        <v>43</v>
      </c>
      <c r="K26" t="s">
        <v>276</v>
      </c>
      <c r="L26" t="s">
        <v>281</v>
      </c>
      <c r="M26" t="s">
        <v>282</v>
      </c>
      <c r="N26" t="s">
        <v>283</v>
      </c>
      <c r="O26" t="s">
        <v>215</v>
      </c>
      <c r="P26" t="s">
        <v>216</v>
      </c>
      <c r="Q26" t="s">
        <v>217</v>
      </c>
      <c r="R26" t="s">
        <v>218</v>
      </c>
      <c r="S26" t="s">
        <v>220</v>
      </c>
    </row>
    <row r="27" spans="1:19" x14ac:dyDescent="0.35">
      <c r="A27" t="s">
        <v>44</v>
      </c>
      <c r="B27" t="s">
        <v>12</v>
      </c>
      <c r="C27" t="s">
        <v>38</v>
      </c>
      <c r="D27" t="s">
        <v>26</v>
      </c>
      <c r="E27" t="s">
        <v>15</v>
      </c>
      <c r="F27" t="s">
        <v>23</v>
      </c>
      <c r="G27" t="s">
        <v>24</v>
      </c>
      <c r="H27" t="s">
        <v>239</v>
      </c>
      <c r="I27" t="s">
        <v>249</v>
      </c>
      <c r="J27" t="s">
        <v>50</v>
      </c>
      <c r="K27" t="s">
        <v>245</v>
      </c>
      <c r="L27" t="s">
        <v>226</v>
      </c>
      <c r="M27" t="s">
        <v>284</v>
      </c>
      <c r="N27" t="s">
        <v>253</v>
      </c>
      <c r="O27" t="s">
        <v>215</v>
      </c>
      <c r="P27" t="s">
        <v>216</v>
      </c>
      <c r="Q27" t="s">
        <v>217</v>
      </c>
      <c r="R27" t="s">
        <v>218</v>
      </c>
      <c r="S27" t="s">
        <v>244</v>
      </c>
    </row>
    <row r="28" spans="1:19" x14ac:dyDescent="0.35">
      <c r="A28" t="s">
        <v>92</v>
      </c>
      <c r="B28" t="s">
        <v>12</v>
      </c>
      <c r="C28" t="s">
        <v>38</v>
      </c>
      <c r="D28" t="s">
        <v>26</v>
      </c>
      <c r="E28" t="s">
        <v>15</v>
      </c>
      <c r="F28" t="s">
        <v>23</v>
      </c>
      <c r="G28" t="s">
        <v>24</v>
      </c>
      <c r="H28" t="s">
        <v>239</v>
      </c>
      <c r="I28" t="s">
        <v>249</v>
      </c>
      <c r="J28" t="s">
        <v>54</v>
      </c>
      <c r="K28" t="s">
        <v>245</v>
      </c>
      <c r="L28" t="s">
        <v>226</v>
      </c>
      <c r="M28" t="s">
        <v>284</v>
      </c>
      <c r="N28" t="s">
        <v>253</v>
      </c>
      <c r="O28" t="s">
        <v>215</v>
      </c>
      <c r="P28" t="s">
        <v>216</v>
      </c>
      <c r="Q28" t="s">
        <v>217</v>
      </c>
      <c r="R28" t="s">
        <v>218</v>
      </c>
      <c r="S28" t="s">
        <v>265</v>
      </c>
    </row>
    <row r="29" spans="1:19" x14ac:dyDescent="0.35">
      <c r="A29" t="s">
        <v>11</v>
      </c>
      <c r="B29" t="s">
        <v>34</v>
      </c>
      <c r="C29" t="s">
        <v>38</v>
      </c>
      <c r="D29" t="s">
        <v>26</v>
      </c>
      <c r="E29" t="s">
        <v>15</v>
      </c>
      <c r="F29" t="s">
        <v>58</v>
      </c>
      <c r="G29" t="s">
        <v>24</v>
      </c>
      <c r="H29" t="s">
        <v>255</v>
      </c>
      <c r="I29" t="s">
        <v>210</v>
      </c>
      <c r="J29" t="s">
        <v>27</v>
      </c>
      <c r="K29" t="s">
        <v>256</v>
      </c>
      <c r="L29" t="s">
        <v>285</v>
      </c>
      <c r="M29" t="s">
        <v>286</v>
      </c>
      <c r="N29" t="s">
        <v>287</v>
      </c>
      <c r="O29" t="s">
        <v>215</v>
      </c>
      <c r="P29" t="s">
        <v>216</v>
      </c>
      <c r="Q29" t="s">
        <v>217</v>
      </c>
      <c r="R29" t="s">
        <v>218</v>
      </c>
      <c r="S29" t="s">
        <v>238</v>
      </c>
    </row>
    <row r="30" spans="1:19" x14ac:dyDescent="0.35">
      <c r="A30" t="s">
        <v>121</v>
      </c>
      <c r="B30" t="s">
        <v>34</v>
      </c>
      <c r="C30" t="s">
        <v>38</v>
      </c>
      <c r="D30" t="s">
        <v>14</v>
      </c>
      <c r="E30" t="s">
        <v>15</v>
      </c>
      <c r="F30" t="s">
        <v>23</v>
      </c>
      <c r="G30" t="s">
        <v>24</v>
      </c>
      <c r="H30" t="s">
        <v>239</v>
      </c>
      <c r="I30" t="s">
        <v>240</v>
      </c>
      <c r="J30" t="s">
        <v>27</v>
      </c>
      <c r="K30" t="s">
        <v>245</v>
      </c>
      <c r="L30" t="s">
        <v>209</v>
      </c>
      <c r="M30" t="s">
        <v>211</v>
      </c>
      <c r="N30" t="s">
        <v>254</v>
      </c>
      <c r="O30" t="s">
        <v>215</v>
      </c>
      <c r="P30" t="s">
        <v>216</v>
      </c>
      <c r="Q30" t="s">
        <v>217</v>
      </c>
      <c r="R30" t="s">
        <v>218</v>
      </c>
      <c r="S30" t="s">
        <v>265</v>
      </c>
    </row>
    <row r="31" spans="1:19" x14ac:dyDescent="0.35">
      <c r="A31" t="s">
        <v>64</v>
      </c>
      <c r="B31" t="s">
        <v>34</v>
      </c>
      <c r="C31" t="s">
        <v>38</v>
      </c>
      <c r="D31" t="s">
        <v>26</v>
      </c>
      <c r="E31" t="s">
        <v>15</v>
      </c>
      <c r="F31" t="s">
        <v>56</v>
      </c>
      <c r="G31" t="s">
        <v>36</v>
      </c>
      <c r="H31" t="s">
        <v>260</v>
      </c>
      <c r="I31" t="s">
        <v>244</v>
      </c>
      <c r="J31" t="s">
        <v>18</v>
      </c>
      <c r="K31" t="s">
        <v>261</v>
      </c>
      <c r="L31" t="s">
        <v>288</v>
      </c>
      <c r="M31" t="s">
        <v>289</v>
      </c>
      <c r="N31" t="s">
        <v>229</v>
      </c>
      <c r="O31" t="s">
        <v>215</v>
      </c>
      <c r="P31" t="s">
        <v>216</v>
      </c>
      <c r="Q31" t="s">
        <v>217</v>
      </c>
      <c r="R31" t="s">
        <v>218</v>
      </c>
      <c r="S31" t="s">
        <v>265</v>
      </c>
    </row>
    <row r="32" spans="1:19" x14ac:dyDescent="0.35">
      <c r="A32" t="s">
        <v>72</v>
      </c>
      <c r="B32" t="s">
        <v>12</v>
      </c>
      <c r="C32" t="s">
        <v>38</v>
      </c>
      <c r="D32" t="s">
        <v>26</v>
      </c>
      <c r="E32" t="s">
        <v>15</v>
      </c>
      <c r="F32" t="s">
        <v>35</v>
      </c>
      <c r="G32" t="s">
        <v>36</v>
      </c>
      <c r="H32" t="s">
        <v>224</v>
      </c>
      <c r="I32" t="s">
        <v>220</v>
      </c>
      <c r="J32" t="s">
        <v>43</v>
      </c>
      <c r="K32" t="s">
        <v>226</v>
      </c>
      <c r="L32" t="s">
        <v>228</v>
      </c>
      <c r="M32" t="s">
        <v>290</v>
      </c>
      <c r="N32" t="s">
        <v>226</v>
      </c>
      <c r="O32" t="s">
        <v>215</v>
      </c>
      <c r="P32" t="s">
        <v>216</v>
      </c>
      <c r="Q32" t="s">
        <v>217</v>
      </c>
      <c r="R32" t="s">
        <v>218</v>
      </c>
      <c r="S32" t="s">
        <v>244</v>
      </c>
    </row>
    <row r="33" spans="1:19" x14ac:dyDescent="0.35">
      <c r="A33" t="s">
        <v>123</v>
      </c>
      <c r="B33" t="s">
        <v>12</v>
      </c>
      <c r="C33" t="s">
        <v>38</v>
      </c>
      <c r="D33" t="s">
        <v>14</v>
      </c>
      <c r="E33" t="s">
        <v>15</v>
      </c>
      <c r="F33" t="s">
        <v>52</v>
      </c>
      <c r="G33" t="s">
        <v>36</v>
      </c>
      <c r="H33" t="s">
        <v>291</v>
      </c>
      <c r="I33" t="s">
        <v>265</v>
      </c>
      <c r="J33" t="s">
        <v>18</v>
      </c>
      <c r="K33" t="s">
        <v>292</v>
      </c>
      <c r="L33" t="s">
        <v>233</v>
      </c>
      <c r="M33" t="s">
        <v>293</v>
      </c>
      <c r="N33" t="s">
        <v>294</v>
      </c>
      <c r="O33" t="s">
        <v>215</v>
      </c>
      <c r="P33" t="s">
        <v>216</v>
      </c>
      <c r="Q33" t="s">
        <v>217</v>
      </c>
      <c r="R33" t="s">
        <v>218</v>
      </c>
      <c r="S33" t="s">
        <v>220</v>
      </c>
    </row>
    <row r="34" spans="1:19" x14ac:dyDescent="0.35">
      <c r="A34" t="s">
        <v>125</v>
      </c>
      <c r="B34" t="s">
        <v>29</v>
      </c>
      <c r="C34" t="s">
        <v>38</v>
      </c>
      <c r="D34" t="s">
        <v>14</v>
      </c>
      <c r="E34" t="s">
        <v>22</v>
      </c>
      <c r="F34" t="s">
        <v>58</v>
      </c>
      <c r="G34" t="s">
        <v>24</v>
      </c>
      <c r="H34" t="s">
        <v>255</v>
      </c>
      <c r="I34" t="s">
        <v>249</v>
      </c>
      <c r="J34" t="s">
        <v>50</v>
      </c>
      <c r="K34" t="s">
        <v>256</v>
      </c>
      <c r="L34" t="s">
        <v>286</v>
      </c>
      <c r="M34" t="s">
        <v>295</v>
      </c>
      <c r="N34" t="s">
        <v>296</v>
      </c>
      <c r="O34" t="s">
        <v>215</v>
      </c>
      <c r="P34" t="s">
        <v>216</v>
      </c>
      <c r="Q34" t="s">
        <v>217</v>
      </c>
      <c r="R34" t="s">
        <v>218</v>
      </c>
      <c r="S34" t="s">
        <v>220</v>
      </c>
    </row>
    <row r="35" spans="1:19" x14ac:dyDescent="0.35">
      <c r="A35" t="s">
        <v>128</v>
      </c>
      <c r="B35" t="s">
        <v>12</v>
      </c>
      <c r="C35" t="s">
        <v>38</v>
      </c>
      <c r="D35" t="s">
        <v>26</v>
      </c>
      <c r="E35" t="s">
        <v>15</v>
      </c>
      <c r="F35" t="s">
        <v>35</v>
      </c>
      <c r="G35" t="s">
        <v>36</v>
      </c>
      <c r="H35" t="s">
        <v>224</v>
      </c>
      <c r="I35" t="s">
        <v>265</v>
      </c>
      <c r="J35" t="s">
        <v>54</v>
      </c>
      <c r="K35" t="s">
        <v>226</v>
      </c>
      <c r="L35" t="s">
        <v>289</v>
      </c>
      <c r="M35" t="s">
        <v>297</v>
      </c>
      <c r="N35" t="s">
        <v>231</v>
      </c>
      <c r="O35" t="s">
        <v>215</v>
      </c>
      <c r="P35" t="s">
        <v>216</v>
      </c>
      <c r="Q35" t="s">
        <v>217</v>
      </c>
      <c r="R35" t="s">
        <v>218</v>
      </c>
      <c r="S35" t="s">
        <v>220</v>
      </c>
    </row>
    <row r="36" spans="1:19" x14ac:dyDescent="0.35">
      <c r="A36" t="s">
        <v>98</v>
      </c>
      <c r="B36" t="s">
        <v>34</v>
      </c>
      <c r="C36" t="s">
        <v>38</v>
      </c>
      <c r="D36" t="s">
        <v>14</v>
      </c>
      <c r="E36" t="s">
        <v>15</v>
      </c>
      <c r="F36" t="s">
        <v>41</v>
      </c>
      <c r="G36" t="s">
        <v>17</v>
      </c>
      <c r="H36" t="s">
        <v>219</v>
      </c>
      <c r="I36" t="s">
        <v>244</v>
      </c>
      <c r="J36" t="s">
        <v>54</v>
      </c>
      <c r="K36" t="s">
        <v>221</v>
      </c>
      <c r="L36" t="s">
        <v>290</v>
      </c>
      <c r="M36" t="s">
        <v>298</v>
      </c>
      <c r="N36" t="s">
        <v>284</v>
      </c>
      <c r="O36" t="s">
        <v>215</v>
      </c>
      <c r="P36" t="s">
        <v>216</v>
      </c>
      <c r="Q36" t="s">
        <v>217</v>
      </c>
      <c r="R36" t="s">
        <v>218</v>
      </c>
      <c r="S36" t="s">
        <v>220</v>
      </c>
    </row>
    <row r="37" spans="1:19" x14ac:dyDescent="0.35">
      <c r="A37" t="s">
        <v>91</v>
      </c>
      <c r="B37" t="s">
        <v>29</v>
      </c>
      <c r="C37" t="s">
        <v>38</v>
      </c>
      <c r="D37" t="s">
        <v>14</v>
      </c>
      <c r="E37" t="s">
        <v>15</v>
      </c>
      <c r="F37" t="s">
        <v>52</v>
      </c>
      <c r="G37" t="s">
        <v>36</v>
      </c>
      <c r="H37" t="s">
        <v>291</v>
      </c>
      <c r="I37" t="s">
        <v>249</v>
      </c>
      <c r="J37" t="s">
        <v>54</v>
      </c>
      <c r="K37" t="s">
        <v>292</v>
      </c>
      <c r="L37" t="s">
        <v>299</v>
      </c>
      <c r="M37" t="s">
        <v>300</v>
      </c>
      <c r="N37" t="s">
        <v>293</v>
      </c>
      <c r="O37" t="s">
        <v>215</v>
      </c>
      <c r="P37" t="s">
        <v>216</v>
      </c>
      <c r="Q37" t="s">
        <v>217</v>
      </c>
      <c r="R37" t="s">
        <v>218</v>
      </c>
      <c r="S37" t="s">
        <v>220</v>
      </c>
    </row>
    <row r="38" spans="1:19" x14ac:dyDescent="0.35">
      <c r="A38" t="s">
        <v>28</v>
      </c>
      <c r="B38" t="s">
        <v>20</v>
      </c>
      <c r="C38" t="s">
        <v>38</v>
      </c>
      <c r="D38" t="s">
        <v>26</v>
      </c>
      <c r="E38" t="s">
        <v>22</v>
      </c>
      <c r="F38" t="s">
        <v>35</v>
      </c>
      <c r="G38" t="s">
        <v>36</v>
      </c>
      <c r="H38" t="s">
        <v>224</v>
      </c>
      <c r="I38" t="s">
        <v>244</v>
      </c>
      <c r="J38" t="s">
        <v>32</v>
      </c>
      <c r="K38" t="s">
        <v>226</v>
      </c>
      <c r="L38" t="s">
        <v>301</v>
      </c>
      <c r="M38" t="s">
        <v>302</v>
      </c>
      <c r="N38" t="s">
        <v>209</v>
      </c>
      <c r="O38" t="s">
        <v>215</v>
      </c>
      <c r="P38" t="s">
        <v>216</v>
      </c>
      <c r="Q38" t="s">
        <v>217</v>
      </c>
      <c r="R38" t="s">
        <v>218</v>
      </c>
      <c r="S38" t="s">
        <v>220</v>
      </c>
    </row>
    <row r="39" spans="1:19" x14ac:dyDescent="0.35">
      <c r="A39" t="s">
        <v>94</v>
      </c>
      <c r="B39" t="s">
        <v>29</v>
      </c>
      <c r="C39" t="s">
        <v>38</v>
      </c>
      <c r="D39" t="s">
        <v>26</v>
      </c>
      <c r="E39" t="s">
        <v>22</v>
      </c>
      <c r="F39" t="s">
        <v>58</v>
      </c>
      <c r="G39" t="s">
        <v>24</v>
      </c>
      <c r="H39" t="s">
        <v>255</v>
      </c>
      <c r="I39" t="s">
        <v>220</v>
      </c>
      <c r="J39" t="s">
        <v>27</v>
      </c>
      <c r="K39" t="s">
        <v>256</v>
      </c>
      <c r="L39" t="s">
        <v>303</v>
      </c>
      <c r="M39" t="s">
        <v>304</v>
      </c>
      <c r="N39" t="s">
        <v>256</v>
      </c>
      <c r="O39" t="s">
        <v>215</v>
      </c>
      <c r="P39" t="s">
        <v>216</v>
      </c>
      <c r="Q39" t="s">
        <v>217</v>
      </c>
      <c r="R39" t="s">
        <v>218</v>
      </c>
      <c r="S39" t="s">
        <v>244</v>
      </c>
    </row>
    <row r="40" spans="1:19" x14ac:dyDescent="0.35">
      <c r="A40" t="s">
        <v>73</v>
      </c>
      <c r="B40" t="s">
        <v>29</v>
      </c>
      <c r="C40" t="s">
        <v>38</v>
      </c>
      <c r="D40" t="s">
        <v>26</v>
      </c>
      <c r="E40" t="s">
        <v>22</v>
      </c>
      <c r="F40" t="s">
        <v>41</v>
      </c>
      <c r="G40" t="s">
        <v>17</v>
      </c>
      <c r="H40" t="s">
        <v>219</v>
      </c>
      <c r="I40" t="s">
        <v>220</v>
      </c>
      <c r="J40" t="s">
        <v>32</v>
      </c>
      <c r="K40" t="s">
        <v>221</v>
      </c>
      <c r="L40" t="s">
        <v>222</v>
      </c>
      <c r="M40" t="s">
        <v>223</v>
      </c>
      <c r="N40" t="s">
        <v>221</v>
      </c>
      <c r="O40" t="s">
        <v>215</v>
      </c>
      <c r="P40" t="s">
        <v>216</v>
      </c>
      <c r="Q40" t="s">
        <v>217</v>
      </c>
      <c r="R40" t="s">
        <v>218</v>
      </c>
      <c r="S40" t="s">
        <v>265</v>
      </c>
    </row>
    <row r="41" spans="1:19" x14ac:dyDescent="0.35">
      <c r="A41" t="s">
        <v>55</v>
      </c>
      <c r="B41" t="s">
        <v>34</v>
      </c>
      <c r="C41" t="s">
        <v>38</v>
      </c>
      <c r="D41" t="s">
        <v>26</v>
      </c>
      <c r="E41" t="s">
        <v>15</v>
      </c>
      <c r="F41" t="s">
        <v>39</v>
      </c>
      <c r="G41" t="s">
        <v>24</v>
      </c>
      <c r="H41" t="s">
        <v>209</v>
      </c>
      <c r="I41" t="s">
        <v>244</v>
      </c>
      <c r="J41" t="s">
        <v>50</v>
      </c>
      <c r="K41" t="s">
        <v>211</v>
      </c>
      <c r="L41" t="s">
        <v>272</v>
      </c>
      <c r="M41" t="s">
        <v>273</v>
      </c>
      <c r="N41" t="s">
        <v>274</v>
      </c>
      <c r="O41" t="s">
        <v>215</v>
      </c>
      <c r="P41" t="s">
        <v>216</v>
      </c>
      <c r="Q41" t="s">
        <v>217</v>
      </c>
      <c r="R41" t="s">
        <v>218</v>
      </c>
      <c r="S41" t="s">
        <v>220</v>
      </c>
    </row>
    <row r="42" spans="1:19" x14ac:dyDescent="0.35">
      <c r="A42" t="s">
        <v>49</v>
      </c>
      <c r="B42" t="s">
        <v>20</v>
      </c>
      <c r="C42" t="s">
        <v>38</v>
      </c>
      <c r="D42" t="s">
        <v>14</v>
      </c>
      <c r="E42" t="s">
        <v>15</v>
      </c>
      <c r="F42" t="s">
        <v>47</v>
      </c>
      <c r="G42" t="s">
        <v>36</v>
      </c>
      <c r="H42" t="s">
        <v>229</v>
      </c>
      <c r="I42" t="s">
        <v>230</v>
      </c>
      <c r="J42" t="s">
        <v>27</v>
      </c>
      <c r="K42" t="s">
        <v>231</v>
      </c>
      <c r="L42" t="s">
        <v>232</v>
      </c>
      <c r="M42" t="s">
        <v>233</v>
      </c>
      <c r="N42" t="s">
        <v>234</v>
      </c>
      <c r="O42" t="s">
        <v>215</v>
      </c>
      <c r="P42" t="s">
        <v>216</v>
      </c>
      <c r="Q42" t="s">
        <v>217</v>
      </c>
      <c r="R42" t="s">
        <v>218</v>
      </c>
      <c r="S42" t="s">
        <v>220</v>
      </c>
    </row>
    <row r="43" spans="1:19" x14ac:dyDescent="0.35">
      <c r="A43" t="s">
        <v>112</v>
      </c>
      <c r="B43" t="s">
        <v>20</v>
      </c>
      <c r="C43" t="s">
        <v>38</v>
      </c>
      <c r="D43" t="s">
        <v>14</v>
      </c>
      <c r="E43" t="s">
        <v>22</v>
      </c>
      <c r="F43" t="s">
        <v>58</v>
      </c>
      <c r="G43" t="s">
        <v>24</v>
      </c>
      <c r="H43" t="s">
        <v>255</v>
      </c>
      <c r="I43" t="s">
        <v>240</v>
      </c>
      <c r="J43" t="s">
        <v>54</v>
      </c>
      <c r="K43" t="s">
        <v>256</v>
      </c>
      <c r="L43" t="s">
        <v>305</v>
      </c>
      <c r="M43" t="s">
        <v>306</v>
      </c>
      <c r="N43" t="s">
        <v>307</v>
      </c>
      <c r="O43" t="s">
        <v>215</v>
      </c>
      <c r="P43" t="s">
        <v>216</v>
      </c>
      <c r="Q43" t="s">
        <v>217</v>
      </c>
      <c r="R43" t="s">
        <v>218</v>
      </c>
      <c r="S43" t="s">
        <v>238</v>
      </c>
    </row>
    <row r="44" spans="1:19" x14ac:dyDescent="0.35">
      <c r="A44" t="s">
        <v>140</v>
      </c>
      <c r="B44" t="s">
        <v>29</v>
      </c>
      <c r="C44" t="s">
        <v>38</v>
      </c>
      <c r="D44" t="s">
        <v>26</v>
      </c>
      <c r="E44" t="s">
        <v>15</v>
      </c>
      <c r="F44" t="s">
        <v>39</v>
      </c>
      <c r="G44" t="s">
        <v>24</v>
      </c>
      <c r="H44" t="s">
        <v>209</v>
      </c>
      <c r="I44" t="s">
        <v>240</v>
      </c>
      <c r="J44" t="s">
        <v>50</v>
      </c>
      <c r="K44" t="s">
        <v>211</v>
      </c>
      <c r="L44" t="s">
        <v>266</v>
      </c>
      <c r="M44" t="s">
        <v>267</v>
      </c>
      <c r="N44" t="s">
        <v>268</v>
      </c>
      <c r="O44" t="s">
        <v>215</v>
      </c>
      <c r="P44" t="s">
        <v>216</v>
      </c>
      <c r="Q44" t="s">
        <v>217</v>
      </c>
      <c r="R44" t="s">
        <v>218</v>
      </c>
      <c r="S44" t="s">
        <v>220</v>
      </c>
    </row>
    <row r="45" spans="1:19" x14ac:dyDescent="0.35">
      <c r="A45" t="s">
        <v>130</v>
      </c>
      <c r="B45" t="s">
        <v>12</v>
      </c>
      <c r="C45" t="s">
        <v>38</v>
      </c>
      <c r="D45" t="s">
        <v>26</v>
      </c>
      <c r="E45" t="s">
        <v>15</v>
      </c>
      <c r="F45" t="s">
        <v>23</v>
      </c>
      <c r="G45" t="s">
        <v>24</v>
      </c>
      <c r="H45" t="s">
        <v>239</v>
      </c>
      <c r="I45" t="s">
        <v>240</v>
      </c>
      <c r="J45" t="s">
        <v>18</v>
      </c>
      <c r="K45" t="s">
        <v>245</v>
      </c>
      <c r="L45" t="s">
        <v>209</v>
      </c>
      <c r="M45" t="s">
        <v>211</v>
      </c>
      <c r="N45" t="s">
        <v>254</v>
      </c>
      <c r="O45" t="s">
        <v>215</v>
      </c>
      <c r="P45" t="s">
        <v>216</v>
      </c>
      <c r="Q45" t="s">
        <v>217</v>
      </c>
      <c r="R45" t="s">
        <v>218</v>
      </c>
      <c r="S45" t="s">
        <v>238</v>
      </c>
    </row>
    <row r="46" spans="1:19" x14ac:dyDescent="0.35">
      <c r="A46" t="s">
        <v>108</v>
      </c>
      <c r="B46" t="s">
        <v>12</v>
      </c>
      <c r="C46" t="s">
        <v>38</v>
      </c>
      <c r="D46" t="s">
        <v>26</v>
      </c>
      <c r="E46" t="s">
        <v>15</v>
      </c>
      <c r="F46" t="s">
        <v>41</v>
      </c>
      <c r="G46" t="s">
        <v>17</v>
      </c>
      <c r="H46" t="s">
        <v>219</v>
      </c>
      <c r="I46" t="s">
        <v>238</v>
      </c>
      <c r="J46" t="s">
        <v>18</v>
      </c>
      <c r="K46" t="s">
        <v>221</v>
      </c>
      <c r="L46" t="s">
        <v>219</v>
      </c>
      <c r="M46" t="s">
        <v>221</v>
      </c>
      <c r="N46" t="s">
        <v>308</v>
      </c>
      <c r="O46" t="s">
        <v>215</v>
      </c>
      <c r="P46" t="s">
        <v>216</v>
      </c>
      <c r="Q46" t="s">
        <v>217</v>
      </c>
      <c r="R46" t="s">
        <v>218</v>
      </c>
      <c r="S46" t="s">
        <v>220</v>
      </c>
    </row>
    <row r="47" spans="1:19" x14ac:dyDescent="0.35">
      <c r="A47" t="s">
        <v>122</v>
      </c>
      <c r="B47" t="s">
        <v>12</v>
      </c>
      <c r="C47" t="s">
        <v>38</v>
      </c>
      <c r="D47" t="s">
        <v>14</v>
      </c>
      <c r="E47" t="s">
        <v>22</v>
      </c>
      <c r="F47" t="s">
        <v>23</v>
      </c>
      <c r="G47" t="s">
        <v>24</v>
      </c>
      <c r="H47" t="s">
        <v>239</v>
      </c>
      <c r="I47" t="s">
        <v>269</v>
      </c>
      <c r="J47" t="s">
        <v>54</v>
      </c>
      <c r="K47" t="s">
        <v>245</v>
      </c>
      <c r="L47" t="s">
        <v>309</v>
      </c>
      <c r="M47" t="s">
        <v>268</v>
      </c>
      <c r="N47" t="s">
        <v>310</v>
      </c>
      <c r="O47" t="s">
        <v>215</v>
      </c>
      <c r="P47" t="s">
        <v>216</v>
      </c>
      <c r="Q47" t="s">
        <v>217</v>
      </c>
      <c r="R47" t="s">
        <v>218</v>
      </c>
      <c r="S47" t="s">
        <v>220</v>
      </c>
    </row>
    <row r="48" spans="1:19" x14ac:dyDescent="0.35">
      <c r="A48" t="s">
        <v>132</v>
      </c>
      <c r="B48" t="s">
        <v>29</v>
      </c>
      <c r="C48" t="s">
        <v>38</v>
      </c>
      <c r="D48" t="s">
        <v>14</v>
      </c>
      <c r="E48" t="s">
        <v>15</v>
      </c>
      <c r="F48" t="s">
        <v>31</v>
      </c>
      <c r="G48" t="s">
        <v>24</v>
      </c>
      <c r="H48" t="s">
        <v>252</v>
      </c>
      <c r="I48" t="s">
        <v>249</v>
      </c>
      <c r="J48" t="s">
        <v>50</v>
      </c>
      <c r="K48" t="s">
        <v>253</v>
      </c>
      <c r="L48" t="s">
        <v>297</v>
      </c>
      <c r="M48" t="s">
        <v>243</v>
      </c>
      <c r="N48" t="s">
        <v>311</v>
      </c>
      <c r="O48" t="s">
        <v>215</v>
      </c>
      <c r="P48" t="s">
        <v>216</v>
      </c>
      <c r="Q48" t="s">
        <v>217</v>
      </c>
      <c r="R48" t="s">
        <v>218</v>
      </c>
      <c r="S48" t="s">
        <v>238</v>
      </c>
    </row>
    <row r="49" spans="1:19" x14ac:dyDescent="0.35">
      <c r="A49" t="s">
        <v>93</v>
      </c>
      <c r="B49" t="s">
        <v>20</v>
      </c>
      <c r="C49" t="s">
        <v>38</v>
      </c>
      <c r="D49" t="s">
        <v>26</v>
      </c>
      <c r="E49" t="s">
        <v>15</v>
      </c>
      <c r="F49" t="s">
        <v>35</v>
      </c>
      <c r="G49" t="s">
        <v>36</v>
      </c>
      <c r="H49" t="s">
        <v>224</v>
      </c>
      <c r="I49" t="s">
        <v>265</v>
      </c>
      <c r="J49" t="s">
        <v>43</v>
      </c>
      <c r="K49" t="s">
        <v>226</v>
      </c>
      <c r="L49" t="s">
        <v>289</v>
      </c>
      <c r="M49" t="s">
        <v>297</v>
      </c>
      <c r="N49" t="s">
        <v>231</v>
      </c>
      <c r="O49" t="s">
        <v>215</v>
      </c>
      <c r="P49" t="s">
        <v>216</v>
      </c>
      <c r="Q49" t="s">
        <v>217</v>
      </c>
      <c r="R49" t="s">
        <v>218</v>
      </c>
      <c r="S49" t="s">
        <v>220</v>
      </c>
    </row>
    <row r="50" spans="1:19" x14ac:dyDescent="0.35">
      <c r="A50" t="s">
        <v>109</v>
      </c>
      <c r="B50" t="s">
        <v>34</v>
      </c>
      <c r="C50" t="s">
        <v>38</v>
      </c>
      <c r="D50" t="s">
        <v>26</v>
      </c>
      <c r="E50" t="s">
        <v>15</v>
      </c>
      <c r="F50" t="s">
        <v>41</v>
      </c>
      <c r="G50" t="s">
        <v>17</v>
      </c>
      <c r="H50" t="s">
        <v>219</v>
      </c>
      <c r="I50" t="s">
        <v>210</v>
      </c>
      <c r="J50" t="s">
        <v>54</v>
      </c>
      <c r="K50" t="s">
        <v>221</v>
      </c>
      <c r="L50" t="s">
        <v>278</v>
      </c>
      <c r="M50" t="s">
        <v>279</v>
      </c>
      <c r="N50" t="s">
        <v>280</v>
      </c>
      <c r="O50" t="s">
        <v>215</v>
      </c>
      <c r="P50" t="s">
        <v>216</v>
      </c>
      <c r="Q50" t="s">
        <v>217</v>
      </c>
      <c r="R50" t="s">
        <v>218</v>
      </c>
      <c r="S50" t="s">
        <v>265</v>
      </c>
    </row>
    <row r="51" spans="1:19" x14ac:dyDescent="0.35">
      <c r="A51" t="s">
        <v>92</v>
      </c>
      <c r="B51" t="s">
        <v>12</v>
      </c>
      <c r="C51" t="s">
        <v>38</v>
      </c>
      <c r="D51" t="s">
        <v>14</v>
      </c>
      <c r="E51" t="s">
        <v>22</v>
      </c>
      <c r="F51" t="s">
        <v>39</v>
      </c>
      <c r="G51" t="s">
        <v>24</v>
      </c>
      <c r="H51" t="s">
        <v>209</v>
      </c>
      <c r="I51" t="s">
        <v>240</v>
      </c>
      <c r="J51" t="s">
        <v>54</v>
      </c>
      <c r="K51" t="s">
        <v>211</v>
      </c>
      <c r="L51" t="s">
        <v>266</v>
      </c>
      <c r="M51" t="s">
        <v>267</v>
      </c>
      <c r="N51" t="s">
        <v>268</v>
      </c>
      <c r="O51" t="s">
        <v>215</v>
      </c>
      <c r="P51" t="s">
        <v>216</v>
      </c>
      <c r="Q51" t="s">
        <v>217</v>
      </c>
      <c r="R51" t="s">
        <v>218</v>
      </c>
      <c r="S51" t="s">
        <v>265</v>
      </c>
    </row>
    <row r="52" spans="1:19" x14ac:dyDescent="0.35">
      <c r="A52" t="s">
        <v>121</v>
      </c>
      <c r="B52" t="s">
        <v>29</v>
      </c>
      <c r="C52" t="s">
        <v>38</v>
      </c>
      <c r="D52" t="s">
        <v>14</v>
      </c>
      <c r="E52" t="s">
        <v>22</v>
      </c>
      <c r="F52" t="s">
        <v>47</v>
      </c>
      <c r="G52" t="s">
        <v>36</v>
      </c>
      <c r="H52" t="s">
        <v>229</v>
      </c>
      <c r="I52" t="s">
        <v>244</v>
      </c>
      <c r="J52" t="s">
        <v>43</v>
      </c>
      <c r="K52" t="s">
        <v>231</v>
      </c>
      <c r="L52" t="s">
        <v>312</v>
      </c>
      <c r="M52" t="s">
        <v>214</v>
      </c>
      <c r="N52" t="s">
        <v>246</v>
      </c>
      <c r="O52" t="s">
        <v>215</v>
      </c>
      <c r="P52" t="s">
        <v>216</v>
      </c>
      <c r="Q52" t="s">
        <v>217</v>
      </c>
      <c r="R52" t="s">
        <v>218</v>
      </c>
      <c r="S52" t="s">
        <v>265</v>
      </c>
    </row>
    <row r="53" spans="1:19" x14ac:dyDescent="0.35">
      <c r="A53" t="s">
        <v>45</v>
      </c>
      <c r="B53" t="s">
        <v>20</v>
      </c>
      <c r="C53" t="s">
        <v>38</v>
      </c>
      <c r="D53" t="s">
        <v>14</v>
      </c>
      <c r="E53" t="s">
        <v>22</v>
      </c>
      <c r="F53" t="s">
        <v>16</v>
      </c>
      <c r="G53" t="s">
        <v>17</v>
      </c>
      <c r="H53" t="s">
        <v>275</v>
      </c>
      <c r="I53" t="s">
        <v>238</v>
      </c>
      <c r="J53" t="s">
        <v>50</v>
      </c>
      <c r="K53" t="s">
        <v>276</v>
      </c>
      <c r="L53" t="s">
        <v>275</v>
      </c>
      <c r="M53" t="s">
        <v>276</v>
      </c>
      <c r="N53" t="s">
        <v>277</v>
      </c>
      <c r="O53" t="s">
        <v>215</v>
      </c>
      <c r="P53" t="s">
        <v>216</v>
      </c>
      <c r="Q53" t="s">
        <v>217</v>
      </c>
      <c r="R53" t="s">
        <v>218</v>
      </c>
      <c r="S53" t="s">
        <v>244</v>
      </c>
    </row>
    <row r="54" spans="1:19" x14ac:dyDescent="0.35">
      <c r="A54" t="s">
        <v>111</v>
      </c>
      <c r="B54" t="s">
        <v>34</v>
      </c>
      <c r="C54" t="s">
        <v>38</v>
      </c>
      <c r="D54" t="s">
        <v>14</v>
      </c>
      <c r="E54" t="s">
        <v>22</v>
      </c>
      <c r="F54" t="s">
        <v>23</v>
      </c>
      <c r="G54" t="s">
        <v>24</v>
      </c>
      <c r="H54" t="s">
        <v>239</v>
      </c>
      <c r="I54" t="s">
        <v>269</v>
      </c>
      <c r="J54" t="s">
        <v>27</v>
      </c>
      <c r="K54" t="s">
        <v>245</v>
      </c>
      <c r="L54" t="s">
        <v>309</v>
      </c>
      <c r="M54" t="s">
        <v>268</v>
      </c>
      <c r="N54" t="s">
        <v>310</v>
      </c>
      <c r="O54" t="s">
        <v>215</v>
      </c>
      <c r="P54" t="s">
        <v>216</v>
      </c>
      <c r="Q54" t="s">
        <v>217</v>
      </c>
      <c r="R54" t="s">
        <v>218</v>
      </c>
      <c r="S54" t="s">
        <v>238</v>
      </c>
    </row>
    <row r="55" spans="1:19" x14ac:dyDescent="0.35">
      <c r="A55" t="s">
        <v>134</v>
      </c>
      <c r="B55" t="s">
        <v>34</v>
      </c>
      <c r="C55" t="s">
        <v>38</v>
      </c>
      <c r="D55" t="s">
        <v>26</v>
      </c>
      <c r="E55" t="s">
        <v>15</v>
      </c>
      <c r="F55" t="s">
        <v>23</v>
      </c>
      <c r="G55" t="s">
        <v>24</v>
      </c>
      <c r="H55" t="s">
        <v>239</v>
      </c>
      <c r="I55" t="s">
        <v>265</v>
      </c>
      <c r="J55" t="s">
        <v>50</v>
      </c>
      <c r="K55" t="s">
        <v>245</v>
      </c>
      <c r="L55" t="s">
        <v>252</v>
      </c>
      <c r="M55" t="s">
        <v>253</v>
      </c>
      <c r="N55" t="s">
        <v>313</v>
      </c>
      <c r="O55" t="s">
        <v>215</v>
      </c>
      <c r="P55" t="s">
        <v>216</v>
      </c>
      <c r="Q55" t="s">
        <v>217</v>
      </c>
      <c r="R55" t="s">
        <v>218</v>
      </c>
      <c r="S55" t="s">
        <v>220</v>
      </c>
    </row>
    <row r="56" spans="1:19" x14ac:dyDescent="0.35">
      <c r="A56" t="s">
        <v>91</v>
      </c>
      <c r="B56" t="s">
        <v>29</v>
      </c>
      <c r="C56" t="s">
        <v>38</v>
      </c>
      <c r="D56" t="s">
        <v>14</v>
      </c>
      <c r="E56" t="s">
        <v>22</v>
      </c>
      <c r="F56" t="s">
        <v>47</v>
      </c>
      <c r="G56" t="s">
        <v>36</v>
      </c>
      <c r="H56" t="s">
        <v>229</v>
      </c>
      <c r="I56" t="s">
        <v>210</v>
      </c>
      <c r="J56" t="s">
        <v>50</v>
      </c>
      <c r="K56" t="s">
        <v>231</v>
      </c>
      <c r="L56" t="s">
        <v>227</v>
      </c>
      <c r="M56" t="s">
        <v>228</v>
      </c>
      <c r="N56" t="s">
        <v>224</v>
      </c>
      <c r="O56" t="s">
        <v>215</v>
      </c>
      <c r="P56" t="s">
        <v>216</v>
      </c>
      <c r="Q56" t="s">
        <v>217</v>
      </c>
      <c r="R56" t="s">
        <v>218</v>
      </c>
      <c r="S56" t="s">
        <v>220</v>
      </c>
    </row>
    <row r="57" spans="1:19" x14ac:dyDescent="0.35">
      <c r="A57" t="s">
        <v>143</v>
      </c>
      <c r="B57" t="s">
        <v>12</v>
      </c>
      <c r="C57" t="s">
        <v>38</v>
      </c>
      <c r="D57" t="s">
        <v>26</v>
      </c>
      <c r="E57" t="s">
        <v>15</v>
      </c>
      <c r="F57" t="s">
        <v>39</v>
      </c>
      <c r="G57" t="s">
        <v>24</v>
      </c>
      <c r="H57" t="s">
        <v>209</v>
      </c>
      <c r="I57" t="s">
        <v>244</v>
      </c>
      <c r="J57" t="s">
        <v>27</v>
      </c>
      <c r="K57" t="s">
        <v>211</v>
      </c>
      <c r="L57" t="s">
        <v>272</v>
      </c>
      <c r="M57" t="s">
        <v>273</v>
      </c>
      <c r="N57" t="s">
        <v>274</v>
      </c>
      <c r="O57" t="s">
        <v>215</v>
      </c>
      <c r="P57" t="s">
        <v>216</v>
      </c>
      <c r="Q57" t="s">
        <v>217</v>
      </c>
      <c r="R57" t="s">
        <v>218</v>
      </c>
      <c r="S57" t="s">
        <v>238</v>
      </c>
    </row>
    <row r="58" spans="1:19" x14ac:dyDescent="0.35">
      <c r="A58" t="s">
        <v>87</v>
      </c>
      <c r="B58" t="s">
        <v>29</v>
      </c>
      <c r="C58" t="s">
        <v>38</v>
      </c>
      <c r="D58" t="s">
        <v>14</v>
      </c>
      <c r="E58" t="s">
        <v>15</v>
      </c>
      <c r="F58" t="s">
        <v>16</v>
      </c>
      <c r="G58" t="s">
        <v>17</v>
      </c>
      <c r="H58" t="s">
        <v>275</v>
      </c>
      <c r="I58" t="s">
        <v>210</v>
      </c>
      <c r="J58" t="s">
        <v>32</v>
      </c>
      <c r="K58" t="s">
        <v>276</v>
      </c>
      <c r="L58" t="s">
        <v>314</v>
      </c>
      <c r="M58" t="s">
        <v>315</v>
      </c>
      <c r="N58" t="s">
        <v>316</v>
      </c>
      <c r="O58" t="s">
        <v>215</v>
      </c>
      <c r="P58" t="s">
        <v>216</v>
      </c>
      <c r="Q58" t="s">
        <v>217</v>
      </c>
      <c r="R58" t="s">
        <v>218</v>
      </c>
      <c r="S58" t="s">
        <v>244</v>
      </c>
    </row>
    <row r="59" spans="1:19" x14ac:dyDescent="0.35">
      <c r="A59" t="s">
        <v>107</v>
      </c>
      <c r="B59" t="s">
        <v>29</v>
      </c>
      <c r="C59" t="s">
        <v>38</v>
      </c>
      <c r="D59" t="s">
        <v>14</v>
      </c>
      <c r="E59" t="s">
        <v>22</v>
      </c>
      <c r="F59" t="s">
        <v>31</v>
      </c>
      <c r="G59" t="s">
        <v>24</v>
      </c>
      <c r="H59" t="s">
        <v>252</v>
      </c>
      <c r="I59" t="s">
        <v>244</v>
      </c>
      <c r="J59" t="s">
        <v>18</v>
      </c>
      <c r="K59" t="s">
        <v>253</v>
      </c>
      <c r="L59" t="s">
        <v>209</v>
      </c>
      <c r="M59" t="s">
        <v>211</v>
      </c>
      <c r="N59" t="s">
        <v>254</v>
      </c>
      <c r="O59" t="s">
        <v>215</v>
      </c>
      <c r="P59" t="s">
        <v>216</v>
      </c>
      <c r="Q59" t="s">
        <v>217</v>
      </c>
      <c r="R59" t="s">
        <v>218</v>
      </c>
      <c r="S59" t="s">
        <v>244</v>
      </c>
    </row>
    <row r="60" spans="1:19" x14ac:dyDescent="0.35">
      <c r="A60" t="s">
        <v>139</v>
      </c>
      <c r="B60" t="s">
        <v>34</v>
      </c>
      <c r="C60" t="s">
        <v>38</v>
      </c>
      <c r="D60" t="s">
        <v>14</v>
      </c>
      <c r="E60" t="s">
        <v>22</v>
      </c>
      <c r="F60" t="s">
        <v>56</v>
      </c>
      <c r="G60" t="s">
        <v>36</v>
      </c>
      <c r="H60" t="s">
        <v>260</v>
      </c>
      <c r="I60" t="s">
        <v>240</v>
      </c>
      <c r="J60" t="s">
        <v>54</v>
      </c>
      <c r="K60" t="s">
        <v>261</v>
      </c>
      <c r="L60" t="s">
        <v>227</v>
      </c>
      <c r="M60" t="s">
        <v>228</v>
      </c>
      <c r="N60" t="s">
        <v>224</v>
      </c>
      <c r="O60" t="s">
        <v>215</v>
      </c>
      <c r="P60" t="s">
        <v>216</v>
      </c>
      <c r="Q60" t="s">
        <v>217</v>
      </c>
      <c r="R60" t="s">
        <v>218</v>
      </c>
      <c r="S60" t="s">
        <v>265</v>
      </c>
    </row>
    <row r="61" spans="1:19" x14ac:dyDescent="0.35">
      <c r="A61" t="s">
        <v>149</v>
      </c>
      <c r="B61" t="s">
        <v>12</v>
      </c>
      <c r="C61" t="s">
        <v>38</v>
      </c>
      <c r="D61" t="s">
        <v>26</v>
      </c>
      <c r="E61" t="s">
        <v>22</v>
      </c>
      <c r="F61" t="s">
        <v>39</v>
      </c>
      <c r="G61" t="s">
        <v>24</v>
      </c>
      <c r="H61" t="s">
        <v>209</v>
      </c>
      <c r="I61" t="s">
        <v>244</v>
      </c>
      <c r="J61" t="s">
        <v>43</v>
      </c>
      <c r="K61" t="s">
        <v>211</v>
      </c>
      <c r="L61" t="s">
        <v>272</v>
      </c>
      <c r="M61" t="s">
        <v>273</v>
      </c>
      <c r="N61" t="s">
        <v>274</v>
      </c>
      <c r="O61" t="s">
        <v>215</v>
      </c>
      <c r="P61" t="s">
        <v>216</v>
      </c>
      <c r="Q61" t="s">
        <v>217</v>
      </c>
      <c r="R61" t="s">
        <v>218</v>
      </c>
      <c r="S61" t="s">
        <v>244</v>
      </c>
    </row>
    <row r="62" spans="1:19" x14ac:dyDescent="0.35">
      <c r="A62" t="s">
        <v>130</v>
      </c>
      <c r="B62" t="s">
        <v>20</v>
      </c>
      <c r="C62" t="s">
        <v>38</v>
      </c>
      <c r="D62" t="s">
        <v>14</v>
      </c>
      <c r="E62" t="s">
        <v>15</v>
      </c>
      <c r="F62" t="s">
        <v>41</v>
      </c>
      <c r="G62" t="s">
        <v>17</v>
      </c>
      <c r="H62" t="s">
        <v>219</v>
      </c>
      <c r="I62" t="s">
        <v>230</v>
      </c>
      <c r="J62" t="s">
        <v>27</v>
      </c>
      <c r="K62" t="s">
        <v>221</v>
      </c>
      <c r="L62" t="s">
        <v>235</v>
      </c>
      <c r="M62" t="s">
        <v>236</v>
      </c>
      <c r="N62" t="s">
        <v>237</v>
      </c>
      <c r="O62" t="s">
        <v>215</v>
      </c>
      <c r="P62" t="s">
        <v>216</v>
      </c>
      <c r="Q62" t="s">
        <v>217</v>
      </c>
      <c r="R62" t="s">
        <v>218</v>
      </c>
      <c r="S62" t="s">
        <v>238</v>
      </c>
    </row>
    <row r="63" spans="1:19" x14ac:dyDescent="0.35">
      <c r="A63" t="s">
        <v>83</v>
      </c>
      <c r="B63" t="s">
        <v>12</v>
      </c>
      <c r="C63" t="s">
        <v>38</v>
      </c>
      <c r="D63" t="s">
        <v>26</v>
      </c>
      <c r="E63" t="s">
        <v>22</v>
      </c>
      <c r="F63" t="s">
        <v>31</v>
      </c>
      <c r="G63" t="s">
        <v>24</v>
      </c>
      <c r="H63" t="s">
        <v>252</v>
      </c>
      <c r="I63" t="s">
        <v>249</v>
      </c>
      <c r="J63" t="s">
        <v>27</v>
      </c>
      <c r="K63" t="s">
        <v>253</v>
      </c>
      <c r="L63" t="s">
        <v>297</v>
      </c>
      <c r="M63" t="s">
        <v>243</v>
      </c>
      <c r="N63" t="s">
        <v>311</v>
      </c>
      <c r="O63" t="s">
        <v>215</v>
      </c>
      <c r="P63" t="s">
        <v>216</v>
      </c>
      <c r="Q63" t="s">
        <v>217</v>
      </c>
      <c r="R63" t="s">
        <v>218</v>
      </c>
      <c r="S63" t="s">
        <v>238</v>
      </c>
    </row>
    <row r="64" spans="1:19" x14ac:dyDescent="0.35">
      <c r="A64" t="s">
        <v>87</v>
      </c>
      <c r="B64" t="s">
        <v>20</v>
      </c>
      <c r="C64" t="s">
        <v>38</v>
      </c>
      <c r="D64" t="s">
        <v>26</v>
      </c>
      <c r="E64" t="s">
        <v>15</v>
      </c>
      <c r="F64" t="s">
        <v>39</v>
      </c>
      <c r="G64" t="s">
        <v>24</v>
      </c>
      <c r="H64" t="s">
        <v>209</v>
      </c>
      <c r="I64" t="s">
        <v>230</v>
      </c>
      <c r="J64" t="s">
        <v>18</v>
      </c>
      <c r="K64" t="s">
        <v>211</v>
      </c>
      <c r="L64" t="s">
        <v>317</v>
      </c>
      <c r="M64" t="s">
        <v>318</v>
      </c>
      <c r="N64" t="s">
        <v>319</v>
      </c>
      <c r="O64" t="s">
        <v>215</v>
      </c>
      <c r="P64" t="s">
        <v>216</v>
      </c>
      <c r="Q64" t="s">
        <v>217</v>
      </c>
      <c r="R64" t="s">
        <v>218</v>
      </c>
      <c r="S64" t="s">
        <v>244</v>
      </c>
    </row>
    <row r="65" spans="1:19" x14ac:dyDescent="0.35">
      <c r="A65" t="s">
        <v>143</v>
      </c>
      <c r="B65" t="s">
        <v>20</v>
      </c>
      <c r="C65" t="s">
        <v>38</v>
      </c>
      <c r="D65" t="s">
        <v>14</v>
      </c>
      <c r="E65" t="s">
        <v>22</v>
      </c>
      <c r="F65" t="s">
        <v>23</v>
      </c>
      <c r="G65" t="s">
        <v>24</v>
      </c>
      <c r="H65" t="s">
        <v>239</v>
      </c>
      <c r="I65" t="s">
        <v>244</v>
      </c>
      <c r="J65" t="s">
        <v>32</v>
      </c>
      <c r="K65" t="s">
        <v>245</v>
      </c>
      <c r="L65" t="s">
        <v>246</v>
      </c>
      <c r="M65" t="s">
        <v>247</v>
      </c>
      <c r="N65" t="s">
        <v>248</v>
      </c>
      <c r="O65" t="s">
        <v>215</v>
      </c>
      <c r="P65" t="s">
        <v>216</v>
      </c>
      <c r="Q65" t="s">
        <v>217</v>
      </c>
      <c r="R65" t="s">
        <v>218</v>
      </c>
      <c r="S65" t="s">
        <v>238</v>
      </c>
    </row>
    <row r="66" spans="1:19" x14ac:dyDescent="0.35">
      <c r="A66" t="s">
        <v>11</v>
      </c>
      <c r="B66" t="s">
        <v>20</v>
      </c>
      <c r="C66" t="s">
        <v>38</v>
      </c>
      <c r="D66" t="s">
        <v>26</v>
      </c>
      <c r="E66" t="s">
        <v>15</v>
      </c>
      <c r="F66" t="s">
        <v>31</v>
      </c>
      <c r="G66" t="s">
        <v>24</v>
      </c>
      <c r="H66" t="s">
        <v>252</v>
      </c>
      <c r="I66" t="s">
        <v>265</v>
      </c>
      <c r="J66" t="s">
        <v>50</v>
      </c>
      <c r="K66" t="s">
        <v>253</v>
      </c>
      <c r="L66" t="s">
        <v>231</v>
      </c>
      <c r="M66" t="s">
        <v>311</v>
      </c>
      <c r="N66" t="s">
        <v>245</v>
      </c>
      <c r="O66" t="s">
        <v>215</v>
      </c>
      <c r="P66" t="s">
        <v>216</v>
      </c>
      <c r="Q66" t="s">
        <v>217</v>
      </c>
      <c r="R66" t="s">
        <v>218</v>
      </c>
      <c r="S66" t="s">
        <v>238</v>
      </c>
    </row>
    <row r="67" spans="1:19" x14ac:dyDescent="0.35">
      <c r="A67" t="s">
        <v>109</v>
      </c>
      <c r="B67" t="s">
        <v>12</v>
      </c>
      <c r="C67" t="s">
        <v>38</v>
      </c>
      <c r="D67" t="s">
        <v>26</v>
      </c>
      <c r="E67" t="s">
        <v>22</v>
      </c>
      <c r="F67" t="s">
        <v>39</v>
      </c>
      <c r="G67" t="s">
        <v>24</v>
      </c>
      <c r="H67" t="s">
        <v>209</v>
      </c>
      <c r="I67" t="s">
        <v>225</v>
      </c>
      <c r="J67" t="s">
        <v>27</v>
      </c>
      <c r="K67" t="s">
        <v>211</v>
      </c>
      <c r="L67" t="s">
        <v>301</v>
      </c>
      <c r="M67" t="s">
        <v>302</v>
      </c>
      <c r="N67" t="s">
        <v>209</v>
      </c>
      <c r="O67" t="s">
        <v>215</v>
      </c>
      <c r="P67" t="s">
        <v>216</v>
      </c>
      <c r="Q67" t="s">
        <v>217</v>
      </c>
      <c r="R67" t="s">
        <v>218</v>
      </c>
      <c r="S67" t="s">
        <v>265</v>
      </c>
    </row>
    <row r="68" spans="1:19" x14ac:dyDescent="0.35">
      <c r="A68" t="s">
        <v>108</v>
      </c>
      <c r="B68" t="s">
        <v>20</v>
      </c>
      <c r="C68" t="s">
        <v>38</v>
      </c>
      <c r="D68" t="s">
        <v>26</v>
      </c>
      <c r="E68" t="s">
        <v>22</v>
      </c>
      <c r="F68" t="s">
        <v>47</v>
      </c>
      <c r="G68" t="s">
        <v>36</v>
      </c>
      <c r="H68" t="s">
        <v>229</v>
      </c>
      <c r="I68" t="s">
        <v>240</v>
      </c>
      <c r="J68" t="s">
        <v>50</v>
      </c>
      <c r="K68" t="s">
        <v>231</v>
      </c>
      <c r="L68" t="s">
        <v>301</v>
      </c>
      <c r="M68" t="s">
        <v>302</v>
      </c>
      <c r="N68" t="s">
        <v>209</v>
      </c>
      <c r="O68" t="s">
        <v>215</v>
      </c>
      <c r="P68" t="s">
        <v>216</v>
      </c>
      <c r="Q68" t="s">
        <v>217</v>
      </c>
      <c r="R68" t="s">
        <v>218</v>
      </c>
      <c r="S68" t="s">
        <v>220</v>
      </c>
    </row>
    <row r="69" spans="1:19" x14ac:dyDescent="0.35">
      <c r="A69" t="s">
        <v>11</v>
      </c>
      <c r="B69" t="s">
        <v>12</v>
      </c>
      <c r="C69" t="s">
        <v>38</v>
      </c>
      <c r="D69" t="s">
        <v>26</v>
      </c>
      <c r="E69" t="s">
        <v>15</v>
      </c>
      <c r="F69" t="s">
        <v>41</v>
      </c>
      <c r="G69" t="s">
        <v>17</v>
      </c>
      <c r="H69" t="s">
        <v>219</v>
      </c>
      <c r="I69" t="s">
        <v>240</v>
      </c>
      <c r="J69" t="s">
        <v>43</v>
      </c>
      <c r="K69" t="s">
        <v>221</v>
      </c>
      <c r="L69" t="s">
        <v>241</v>
      </c>
      <c r="M69" t="s">
        <v>242</v>
      </c>
      <c r="N69" t="s">
        <v>243</v>
      </c>
      <c r="O69" t="s">
        <v>215</v>
      </c>
      <c r="P69" t="s">
        <v>216</v>
      </c>
      <c r="Q69" t="s">
        <v>217</v>
      </c>
      <c r="R69" t="s">
        <v>218</v>
      </c>
      <c r="S69" t="s">
        <v>238</v>
      </c>
    </row>
    <row r="70" spans="1:19" x14ac:dyDescent="0.35">
      <c r="A70" t="s">
        <v>46</v>
      </c>
      <c r="B70" t="s">
        <v>12</v>
      </c>
      <c r="C70" t="s">
        <v>38</v>
      </c>
      <c r="D70" t="s">
        <v>14</v>
      </c>
      <c r="E70" t="s">
        <v>22</v>
      </c>
      <c r="F70" t="s">
        <v>52</v>
      </c>
      <c r="G70" t="s">
        <v>36</v>
      </c>
      <c r="H70" t="s">
        <v>291</v>
      </c>
      <c r="I70" t="s">
        <v>265</v>
      </c>
      <c r="J70" t="s">
        <v>54</v>
      </c>
      <c r="K70" t="s">
        <v>292</v>
      </c>
      <c r="L70" t="s">
        <v>233</v>
      </c>
      <c r="M70" t="s">
        <v>293</v>
      </c>
      <c r="N70" t="s">
        <v>294</v>
      </c>
      <c r="O70" t="s">
        <v>215</v>
      </c>
      <c r="P70" t="s">
        <v>216</v>
      </c>
      <c r="Q70" t="s">
        <v>217</v>
      </c>
      <c r="R70" t="s">
        <v>218</v>
      </c>
      <c r="S70" t="s">
        <v>238</v>
      </c>
    </row>
    <row r="71" spans="1:19" x14ac:dyDescent="0.35">
      <c r="A71" t="s">
        <v>124</v>
      </c>
      <c r="B71" t="s">
        <v>29</v>
      </c>
      <c r="C71" t="s">
        <v>38</v>
      </c>
      <c r="D71" t="s">
        <v>26</v>
      </c>
      <c r="E71" t="s">
        <v>22</v>
      </c>
      <c r="F71" t="s">
        <v>47</v>
      </c>
      <c r="G71" t="s">
        <v>36</v>
      </c>
      <c r="H71" t="s">
        <v>229</v>
      </c>
      <c r="I71" t="s">
        <v>244</v>
      </c>
      <c r="J71" t="s">
        <v>27</v>
      </c>
      <c r="K71" t="s">
        <v>231</v>
      </c>
      <c r="L71" t="s">
        <v>312</v>
      </c>
      <c r="M71" t="s">
        <v>214</v>
      </c>
      <c r="N71" t="s">
        <v>246</v>
      </c>
      <c r="O71" t="s">
        <v>215</v>
      </c>
      <c r="P71" t="s">
        <v>216</v>
      </c>
      <c r="Q71" t="s">
        <v>217</v>
      </c>
      <c r="R71" t="s">
        <v>218</v>
      </c>
      <c r="S71" t="s">
        <v>238</v>
      </c>
    </row>
    <row r="72" spans="1:19" x14ac:dyDescent="0.35">
      <c r="A72" t="s">
        <v>119</v>
      </c>
      <c r="B72" t="s">
        <v>20</v>
      </c>
      <c r="C72" t="s">
        <v>38</v>
      </c>
      <c r="D72" t="s">
        <v>26</v>
      </c>
      <c r="E72" t="s">
        <v>22</v>
      </c>
      <c r="F72" t="s">
        <v>47</v>
      </c>
      <c r="G72" t="s">
        <v>36</v>
      </c>
      <c r="H72" t="s">
        <v>229</v>
      </c>
      <c r="I72" t="s">
        <v>244</v>
      </c>
      <c r="J72" t="s">
        <v>27</v>
      </c>
      <c r="K72" t="s">
        <v>231</v>
      </c>
      <c r="L72" t="s">
        <v>312</v>
      </c>
      <c r="M72" t="s">
        <v>214</v>
      </c>
      <c r="N72" t="s">
        <v>246</v>
      </c>
      <c r="O72" t="s">
        <v>215</v>
      </c>
      <c r="P72" t="s">
        <v>216</v>
      </c>
      <c r="Q72" t="s">
        <v>217</v>
      </c>
      <c r="R72" t="s">
        <v>218</v>
      </c>
      <c r="S72" t="s">
        <v>238</v>
      </c>
    </row>
    <row r="73" spans="1:19" x14ac:dyDescent="0.35">
      <c r="A73" t="s">
        <v>28</v>
      </c>
      <c r="B73" t="s">
        <v>12</v>
      </c>
      <c r="C73" t="s">
        <v>38</v>
      </c>
      <c r="D73" t="s">
        <v>26</v>
      </c>
      <c r="E73" t="s">
        <v>22</v>
      </c>
      <c r="F73" t="s">
        <v>41</v>
      </c>
      <c r="G73" t="s">
        <v>17</v>
      </c>
      <c r="H73" t="s">
        <v>219</v>
      </c>
      <c r="I73" t="s">
        <v>238</v>
      </c>
      <c r="J73" t="s">
        <v>32</v>
      </c>
      <c r="K73" t="s">
        <v>221</v>
      </c>
      <c r="L73" t="s">
        <v>219</v>
      </c>
      <c r="M73" t="s">
        <v>221</v>
      </c>
      <c r="N73" t="s">
        <v>308</v>
      </c>
      <c r="O73" t="s">
        <v>215</v>
      </c>
      <c r="P73" t="s">
        <v>216</v>
      </c>
      <c r="Q73" t="s">
        <v>217</v>
      </c>
      <c r="R73" t="s">
        <v>218</v>
      </c>
      <c r="S73" t="s">
        <v>220</v>
      </c>
    </row>
    <row r="74" spans="1:19" x14ac:dyDescent="0.35">
      <c r="A74" t="s">
        <v>65</v>
      </c>
      <c r="B74" t="s">
        <v>20</v>
      </c>
      <c r="C74" t="s">
        <v>38</v>
      </c>
      <c r="D74" t="s">
        <v>26</v>
      </c>
      <c r="E74" t="s">
        <v>15</v>
      </c>
      <c r="F74" t="s">
        <v>39</v>
      </c>
      <c r="G74" t="s">
        <v>24</v>
      </c>
      <c r="H74" t="s">
        <v>209</v>
      </c>
      <c r="I74" t="s">
        <v>225</v>
      </c>
      <c r="J74" t="s">
        <v>18</v>
      </c>
      <c r="K74" t="s">
        <v>211</v>
      </c>
      <c r="L74" t="s">
        <v>301</v>
      </c>
      <c r="M74" t="s">
        <v>302</v>
      </c>
      <c r="N74" t="s">
        <v>209</v>
      </c>
      <c r="O74" t="s">
        <v>215</v>
      </c>
      <c r="P74" t="s">
        <v>216</v>
      </c>
      <c r="Q74" t="s">
        <v>217</v>
      </c>
      <c r="R74" t="s">
        <v>218</v>
      </c>
      <c r="S74" t="s">
        <v>265</v>
      </c>
    </row>
    <row r="75" spans="1:19" x14ac:dyDescent="0.35">
      <c r="A75" t="s">
        <v>143</v>
      </c>
      <c r="B75" t="s">
        <v>12</v>
      </c>
      <c r="C75" t="s">
        <v>38</v>
      </c>
      <c r="D75" t="s">
        <v>26</v>
      </c>
      <c r="E75" t="s">
        <v>22</v>
      </c>
      <c r="F75" t="s">
        <v>41</v>
      </c>
      <c r="G75" t="s">
        <v>17</v>
      </c>
      <c r="H75" t="s">
        <v>219</v>
      </c>
      <c r="I75" t="s">
        <v>240</v>
      </c>
      <c r="J75" t="s">
        <v>54</v>
      </c>
      <c r="K75" t="s">
        <v>221</v>
      </c>
      <c r="L75" t="s">
        <v>241</v>
      </c>
      <c r="M75" t="s">
        <v>242</v>
      </c>
      <c r="N75" t="s">
        <v>243</v>
      </c>
      <c r="O75" t="s">
        <v>215</v>
      </c>
      <c r="P75" t="s">
        <v>216</v>
      </c>
      <c r="Q75" t="s">
        <v>217</v>
      </c>
      <c r="R75" t="s">
        <v>218</v>
      </c>
      <c r="S75" t="s">
        <v>238</v>
      </c>
    </row>
    <row r="76" spans="1:19" x14ac:dyDescent="0.35">
      <c r="A76" t="s">
        <v>132</v>
      </c>
      <c r="B76" t="s">
        <v>12</v>
      </c>
      <c r="C76" t="s">
        <v>38</v>
      </c>
      <c r="D76" t="s">
        <v>26</v>
      </c>
      <c r="E76" t="s">
        <v>22</v>
      </c>
      <c r="F76" t="s">
        <v>31</v>
      </c>
      <c r="G76" t="s">
        <v>24</v>
      </c>
      <c r="H76" t="s">
        <v>252</v>
      </c>
      <c r="I76" t="s">
        <v>210</v>
      </c>
      <c r="J76" t="s">
        <v>18</v>
      </c>
      <c r="K76" t="s">
        <v>253</v>
      </c>
      <c r="L76" t="s">
        <v>289</v>
      </c>
      <c r="M76" t="s">
        <v>297</v>
      </c>
      <c r="N76" t="s">
        <v>231</v>
      </c>
      <c r="O76" t="s">
        <v>215</v>
      </c>
      <c r="P76" t="s">
        <v>216</v>
      </c>
      <c r="Q76" t="s">
        <v>217</v>
      </c>
      <c r="R76" t="s">
        <v>218</v>
      </c>
      <c r="S76" t="s">
        <v>238</v>
      </c>
    </row>
    <row r="77" spans="1:19" x14ac:dyDescent="0.35">
      <c r="A77" t="s">
        <v>67</v>
      </c>
      <c r="B77" t="s">
        <v>34</v>
      </c>
      <c r="C77" t="s">
        <v>38</v>
      </c>
      <c r="D77" t="s">
        <v>26</v>
      </c>
      <c r="E77" t="s">
        <v>15</v>
      </c>
      <c r="F77" t="s">
        <v>41</v>
      </c>
      <c r="G77" t="s">
        <v>17</v>
      </c>
      <c r="H77" t="s">
        <v>219</v>
      </c>
      <c r="I77" t="s">
        <v>230</v>
      </c>
      <c r="J77" t="s">
        <v>18</v>
      </c>
      <c r="K77" t="s">
        <v>221</v>
      </c>
      <c r="L77" t="s">
        <v>235</v>
      </c>
      <c r="M77" t="s">
        <v>236</v>
      </c>
      <c r="N77" t="s">
        <v>237</v>
      </c>
      <c r="O77" t="s">
        <v>215</v>
      </c>
      <c r="P77" t="s">
        <v>216</v>
      </c>
      <c r="Q77" t="s">
        <v>217</v>
      </c>
      <c r="R77" t="s">
        <v>218</v>
      </c>
      <c r="S77" t="s">
        <v>244</v>
      </c>
    </row>
    <row r="78" spans="1:19" x14ac:dyDescent="0.35">
      <c r="A78" t="s">
        <v>62</v>
      </c>
      <c r="B78" t="s">
        <v>29</v>
      </c>
      <c r="C78" t="s">
        <v>38</v>
      </c>
      <c r="D78" t="s">
        <v>26</v>
      </c>
      <c r="E78" t="s">
        <v>22</v>
      </c>
      <c r="F78" t="s">
        <v>41</v>
      </c>
      <c r="G78" t="s">
        <v>17</v>
      </c>
      <c r="H78" t="s">
        <v>219</v>
      </c>
      <c r="I78" t="s">
        <v>249</v>
      </c>
      <c r="J78" t="s">
        <v>27</v>
      </c>
      <c r="K78" t="s">
        <v>221</v>
      </c>
      <c r="L78" t="s">
        <v>279</v>
      </c>
      <c r="M78" t="s">
        <v>320</v>
      </c>
      <c r="N78" t="s">
        <v>321</v>
      </c>
      <c r="O78" t="s">
        <v>215</v>
      </c>
      <c r="P78" t="s">
        <v>216</v>
      </c>
      <c r="Q78" t="s">
        <v>217</v>
      </c>
      <c r="R78" t="s">
        <v>218</v>
      </c>
      <c r="S78" t="s">
        <v>220</v>
      </c>
    </row>
    <row r="79" spans="1:19" x14ac:dyDescent="0.35">
      <c r="A79" t="s">
        <v>97</v>
      </c>
      <c r="B79" t="s">
        <v>20</v>
      </c>
      <c r="C79" t="s">
        <v>38</v>
      </c>
      <c r="D79" t="s">
        <v>26</v>
      </c>
      <c r="E79" t="s">
        <v>22</v>
      </c>
      <c r="F79" t="s">
        <v>16</v>
      </c>
      <c r="G79" t="s">
        <v>17</v>
      </c>
      <c r="H79" t="s">
        <v>275</v>
      </c>
      <c r="I79" t="s">
        <v>249</v>
      </c>
      <c r="J79" t="s">
        <v>54</v>
      </c>
      <c r="K79" t="s">
        <v>276</v>
      </c>
      <c r="L79" t="s">
        <v>315</v>
      </c>
      <c r="M79" t="s">
        <v>322</v>
      </c>
      <c r="N79" t="s">
        <v>323</v>
      </c>
      <c r="O79" t="s">
        <v>215</v>
      </c>
      <c r="P79" t="s">
        <v>216</v>
      </c>
      <c r="Q79" t="s">
        <v>217</v>
      </c>
      <c r="R79" t="s">
        <v>218</v>
      </c>
      <c r="S79" t="s">
        <v>265</v>
      </c>
    </row>
    <row r="80" spans="1:19" x14ac:dyDescent="0.35">
      <c r="A80" t="s">
        <v>154</v>
      </c>
      <c r="B80" t="s">
        <v>20</v>
      </c>
      <c r="C80" t="s">
        <v>38</v>
      </c>
      <c r="D80" t="s">
        <v>26</v>
      </c>
      <c r="E80" t="s">
        <v>15</v>
      </c>
      <c r="F80" t="s">
        <v>58</v>
      </c>
      <c r="G80" t="s">
        <v>24</v>
      </c>
      <c r="H80" t="s">
        <v>255</v>
      </c>
      <c r="I80" t="s">
        <v>225</v>
      </c>
      <c r="J80" t="s">
        <v>54</v>
      </c>
      <c r="K80" t="s">
        <v>256</v>
      </c>
      <c r="L80" t="s">
        <v>324</v>
      </c>
      <c r="M80" t="s">
        <v>303</v>
      </c>
      <c r="N80" t="s">
        <v>255</v>
      </c>
      <c r="O80" t="s">
        <v>215</v>
      </c>
      <c r="P80" t="s">
        <v>216</v>
      </c>
      <c r="Q80" t="s">
        <v>217</v>
      </c>
      <c r="R80" t="s">
        <v>218</v>
      </c>
      <c r="S80" t="s">
        <v>265</v>
      </c>
    </row>
    <row r="81" spans="1:19" x14ac:dyDescent="0.35">
      <c r="A81" t="s">
        <v>103</v>
      </c>
      <c r="B81" t="s">
        <v>29</v>
      </c>
      <c r="C81" t="s">
        <v>38</v>
      </c>
      <c r="D81" t="s">
        <v>14</v>
      </c>
      <c r="E81" t="s">
        <v>15</v>
      </c>
      <c r="F81" t="s">
        <v>31</v>
      </c>
      <c r="G81" t="s">
        <v>24</v>
      </c>
      <c r="H81" t="s">
        <v>252</v>
      </c>
      <c r="I81" t="s">
        <v>249</v>
      </c>
      <c r="J81" t="s">
        <v>27</v>
      </c>
      <c r="K81" t="s">
        <v>253</v>
      </c>
      <c r="L81" t="s">
        <v>297</v>
      </c>
      <c r="M81" t="s">
        <v>243</v>
      </c>
      <c r="N81" t="s">
        <v>311</v>
      </c>
      <c r="O81" t="s">
        <v>215</v>
      </c>
      <c r="P81" t="s">
        <v>216</v>
      </c>
      <c r="Q81" t="s">
        <v>217</v>
      </c>
      <c r="R81" t="s">
        <v>218</v>
      </c>
      <c r="S81" t="s">
        <v>244</v>
      </c>
    </row>
    <row r="82" spans="1:19" x14ac:dyDescent="0.35">
      <c r="A82" t="s">
        <v>120</v>
      </c>
      <c r="B82" t="s">
        <v>34</v>
      </c>
      <c r="C82" t="s">
        <v>38</v>
      </c>
      <c r="D82" t="s">
        <v>14</v>
      </c>
      <c r="E82" t="s">
        <v>15</v>
      </c>
      <c r="F82" t="s">
        <v>31</v>
      </c>
      <c r="G82" t="s">
        <v>24</v>
      </c>
      <c r="H82" t="s">
        <v>252</v>
      </c>
      <c r="I82" t="s">
        <v>238</v>
      </c>
      <c r="J82" t="s">
        <v>43</v>
      </c>
      <c r="K82" t="s">
        <v>253</v>
      </c>
      <c r="L82" t="s">
        <v>252</v>
      </c>
      <c r="M82" t="s">
        <v>253</v>
      </c>
      <c r="N82" t="s">
        <v>313</v>
      </c>
      <c r="O82" t="s">
        <v>215</v>
      </c>
      <c r="P82" t="s">
        <v>216</v>
      </c>
      <c r="Q82" t="s">
        <v>217</v>
      </c>
      <c r="R82" t="s">
        <v>218</v>
      </c>
      <c r="S82" t="s">
        <v>244</v>
      </c>
    </row>
    <row r="83" spans="1:19" x14ac:dyDescent="0.35">
      <c r="A83" t="s">
        <v>37</v>
      </c>
      <c r="B83" t="s">
        <v>34</v>
      </c>
      <c r="C83" t="s">
        <v>38</v>
      </c>
      <c r="D83" t="s">
        <v>26</v>
      </c>
      <c r="E83" t="s">
        <v>15</v>
      </c>
      <c r="F83" t="s">
        <v>35</v>
      </c>
      <c r="G83" t="s">
        <v>36</v>
      </c>
      <c r="H83" t="s">
        <v>224</v>
      </c>
      <c r="I83" t="s">
        <v>240</v>
      </c>
      <c r="J83" t="s">
        <v>18</v>
      </c>
      <c r="K83" t="s">
        <v>226</v>
      </c>
      <c r="L83" t="s">
        <v>212</v>
      </c>
      <c r="M83" t="s">
        <v>213</v>
      </c>
      <c r="N83" t="s">
        <v>214</v>
      </c>
      <c r="O83" t="s">
        <v>215</v>
      </c>
      <c r="P83" t="s">
        <v>216</v>
      </c>
      <c r="Q83" t="s">
        <v>217</v>
      </c>
      <c r="R83" t="s">
        <v>218</v>
      </c>
      <c r="S83" t="s">
        <v>244</v>
      </c>
    </row>
    <row r="84" spans="1:19" x14ac:dyDescent="0.35">
      <c r="A84" t="s">
        <v>125</v>
      </c>
      <c r="B84" t="s">
        <v>12</v>
      </c>
      <c r="C84" t="s">
        <v>38</v>
      </c>
      <c r="D84" t="s">
        <v>14</v>
      </c>
      <c r="E84" t="s">
        <v>22</v>
      </c>
      <c r="F84" t="s">
        <v>16</v>
      </c>
      <c r="G84" t="s">
        <v>17</v>
      </c>
      <c r="H84" t="s">
        <v>275</v>
      </c>
      <c r="I84" t="s">
        <v>244</v>
      </c>
      <c r="J84" t="s">
        <v>43</v>
      </c>
      <c r="K84" t="s">
        <v>276</v>
      </c>
      <c r="L84" t="s">
        <v>325</v>
      </c>
      <c r="M84" t="s">
        <v>326</v>
      </c>
      <c r="N84" t="s">
        <v>327</v>
      </c>
      <c r="O84" t="s">
        <v>215</v>
      </c>
      <c r="P84" t="s">
        <v>216</v>
      </c>
      <c r="Q84" t="s">
        <v>217</v>
      </c>
      <c r="R84" t="s">
        <v>218</v>
      </c>
      <c r="S84" t="s">
        <v>220</v>
      </c>
    </row>
    <row r="85" spans="1:19" x14ac:dyDescent="0.35">
      <c r="A85" t="s">
        <v>60</v>
      </c>
      <c r="B85" t="s">
        <v>12</v>
      </c>
      <c r="C85" t="s">
        <v>38</v>
      </c>
      <c r="D85" t="s">
        <v>26</v>
      </c>
      <c r="E85" t="s">
        <v>22</v>
      </c>
      <c r="F85" t="s">
        <v>52</v>
      </c>
      <c r="G85" t="s">
        <v>36</v>
      </c>
      <c r="H85" t="s">
        <v>291</v>
      </c>
      <c r="I85" t="s">
        <v>269</v>
      </c>
      <c r="J85" t="s">
        <v>32</v>
      </c>
      <c r="K85" t="s">
        <v>292</v>
      </c>
      <c r="L85" t="s">
        <v>328</v>
      </c>
      <c r="M85" t="s">
        <v>329</v>
      </c>
      <c r="N85" t="s">
        <v>330</v>
      </c>
      <c r="O85" t="s">
        <v>215</v>
      </c>
      <c r="P85" t="s">
        <v>216</v>
      </c>
      <c r="Q85" t="s">
        <v>217</v>
      </c>
      <c r="R85" t="s">
        <v>218</v>
      </c>
      <c r="S85" t="s">
        <v>244</v>
      </c>
    </row>
    <row r="86" spans="1:19" x14ac:dyDescent="0.35">
      <c r="A86" t="s">
        <v>70</v>
      </c>
      <c r="B86" t="s">
        <v>34</v>
      </c>
      <c r="C86" t="s">
        <v>38</v>
      </c>
      <c r="D86" t="s">
        <v>14</v>
      </c>
      <c r="E86" t="s">
        <v>15</v>
      </c>
      <c r="F86" t="s">
        <v>31</v>
      </c>
      <c r="G86" t="s">
        <v>24</v>
      </c>
      <c r="H86" t="s">
        <v>252</v>
      </c>
      <c r="I86" t="s">
        <v>249</v>
      </c>
      <c r="J86" t="s">
        <v>54</v>
      </c>
      <c r="K86" t="s">
        <v>253</v>
      </c>
      <c r="L86" t="s">
        <v>297</v>
      </c>
      <c r="M86" t="s">
        <v>243</v>
      </c>
      <c r="N86" t="s">
        <v>311</v>
      </c>
      <c r="O86" t="s">
        <v>215</v>
      </c>
      <c r="P86" t="s">
        <v>216</v>
      </c>
      <c r="Q86" t="s">
        <v>217</v>
      </c>
      <c r="R86" t="s">
        <v>218</v>
      </c>
      <c r="S86" t="s">
        <v>265</v>
      </c>
    </row>
    <row r="87" spans="1:19" x14ac:dyDescent="0.35">
      <c r="A87" t="s">
        <v>144</v>
      </c>
      <c r="B87" t="s">
        <v>12</v>
      </c>
      <c r="C87" t="s">
        <v>38</v>
      </c>
      <c r="D87" t="s">
        <v>14</v>
      </c>
      <c r="E87" t="s">
        <v>22</v>
      </c>
      <c r="F87" t="s">
        <v>23</v>
      </c>
      <c r="G87" t="s">
        <v>24</v>
      </c>
      <c r="H87" t="s">
        <v>239</v>
      </c>
      <c r="I87" t="s">
        <v>230</v>
      </c>
      <c r="J87" t="s">
        <v>43</v>
      </c>
      <c r="K87" t="s">
        <v>245</v>
      </c>
      <c r="L87" t="s">
        <v>234</v>
      </c>
      <c r="M87" t="s">
        <v>294</v>
      </c>
      <c r="N87" t="s">
        <v>331</v>
      </c>
      <c r="O87" t="s">
        <v>215</v>
      </c>
      <c r="P87" t="s">
        <v>216</v>
      </c>
      <c r="Q87" t="s">
        <v>217</v>
      </c>
      <c r="R87" t="s">
        <v>218</v>
      </c>
      <c r="S87" t="s">
        <v>265</v>
      </c>
    </row>
    <row r="88" spans="1:19" x14ac:dyDescent="0.35">
      <c r="A88" t="s">
        <v>135</v>
      </c>
      <c r="B88" t="s">
        <v>12</v>
      </c>
      <c r="C88" t="s">
        <v>38</v>
      </c>
      <c r="D88" t="s">
        <v>26</v>
      </c>
      <c r="E88" t="s">
        <v>15</v>
      </c>
      <c r="F88" t="s">
        <v>52</v>
      </c>
      <c r="G88" t="s">
        <v>36</v>
      </c>
      <c r="H88" t="s">
        <v>291</v>
      </c>
      <c r="I88" t="s">
        <v>225</v>
      </c>
      <c r="J88" t="s">
        <v>32</v>
      </c>
      <c r="K88" t="s">
        <v>292</v>
      </c>
      <c r="L88" t="s">
        <v>332</v>
      </c>
      <c r="M88" t="s">
        <v>333</v>
      </c>
      <c r="N88" t="s">
        <v>291</v>
      </c>
      <c r="O88" t="s">
        <v>215</v>
      </c>
      <c r="P88" t="s">
        <v>216</v>
      </c>
      <c r="Q88" t="s">
        <v>217</v>
      </c>
      <c r="R88" t="s">
        <v>218</v>
      </c>
      <c r="S88" t="s">
        <v>238</v>
      </c>
    </row>
    <row r="89" spans="1:19" x14ac:dyDescent="0.35">
      <c r="A89" t="s">
        <v>114</v>
      </c>
      <c r="B89" t="s">
        <v>12</v>
      </c>
      <c r="C89" t="s">
        <v>38</v>
      </c>
      <c r="D89" t="s">
        <v>26</v>
      </c>
      <c r="E89" t="s">
        <v>15</v>
      </c>
      <c r="F89" t="s">
        <v>58</v>
      </c>
      <c r="G89" t="s">
        <v>24</v>
      </c>
      <c r="H89" t="s">
        <v>255</v>
      </c>
      <c r="I89" t="s">
        <v>220</v>
      </c>
      <c r="J89" t="s">
        <v>43</v>
      </c>
      <c r="K89" t="s">
        <v>256</v>
      </c>
      <c r="L89" t="s">
        <v>303</v>
      </c>
      <c r="M89" t="s">
        <v>304</v>
      </c>
      <c r="N89" t="s">
        <v>256</v>
      </c>
      <c r="O89" t="s">
        <v>215</v>
      </c>
      <c r="P89" t="s">
        <v>216</v>
      </c>
      <c r="Q89" t="s">
        <v>217</v>
      </c>
      <c r="R89" t="s">
        <v>218</v>
      </c>
      <c r="S89" t="s">
        <v>244</v>
      </c>
    </row>
    <row r="90" spans="1:19" x14ac:dyDescent="0.35">
      <c r="A90" t="s">
        <v>110</v>
      </c>
      <c r="B90" t="s">
        <v>29</v>
      </c>
      <c r="C90" t="s">
        <v>38</v>
      </c>
      <c r="D90" t="s">
        <v>26</v>
      </c>
      <c r="E90" t="s">
        <v>15</v>
      </c>
      <c r="F90" t="s">
        <v>56</v>
      </c>
      <c r="G90" t="s">
        <v>36</v>
      </c>
      <c r="H90" t="s">
        <v>260</v>
      </c>
      <c r="I90" t="s">
        <v>244</v>
      </c>
      <c r="J90" t="s">
        <v>27</v>
      </c>
      <c r="K90" t="s">
        <v>261</v>
      </c>
      <c r="L90" t="s">
        <v>288</v>
      </c>
      <c r="M90" t="s">
        <v>289</v>
      </c>
      <c r="N90" t="s">
        <v>229</v>
      </c>
      <c r="O90" t="s">
        <v>215</v>
      </c>
      <c r="P90" t="s">
        <v>216</v>
      </c>
      <c r="Q90" t="s">
        <v>217</v>
      </c>
      <c r="R90" t="s">
        <v>218</v>
      </c>
      <c r="S90" t="s">
        <v>265</v>
      </c>
    </row>
    <row r="91" spans="1:19" x14ac:dyDescent="0.35">
      <c r="A91" t="s">
        <v>109</v>
      </c>
      <c r="B91" t="s">
        <v>34</v>
      </c>
      <c r="C91" t="s">
        <v>38</v>
      </c>
      <c r="D91" t="s">
        <v>26</v>
      </c>
      <c r="E91" t="s">
        <v>22</v>
      </c>
      <c r="F91" t="s">
        <v>58</v>
      </c>
      <c r="G91" t="s">
        <v>24</v>
      </c>
      <c r="H91" t="s">
        <v>255</v>
      </c>
      <c r="I91" t="s">
        <v>238</v>
      </c>
      <c r="J91" t="s">
        <v>27</v>
      </c>
      <c r="K91" t="s">
        <v>256</v>
      </c>
      <c r="L91" t="s">
        <v>255</v>
      </c>
      <c r="M91" t="s">
        <v>256</v>
      </c>
      <c r="N91" t="s">
        <v>334</v>
      </c>
      <c r="O91" t="s">
        <v>215</v>
      </c>
      <c r="P91" t="s">
        <v>216</v>
      </c>
      <c r="Q91" t="s">
        <v>217</v>
      </c>
      <c r="R91" t="s">
        <v>218</v>
      </c>
      <c r="S91" t="s">
        <v>265</v>
      </c>
    </row>
    <row r="92" spans="1:19" x14ac:dyDescent="0.35">
      <c r="A92" t="s">
        <v>87</v>
      </c>
      <c r="B92" t="s">
        <v>12</v>
      </c>
      <c r="C92" t="s">
        <v>38</v>
      </c>
      <c r="D92" t="s">
        <v>14</v>
      </c>
      <c r="E92" t="s">
        <v>22</v>
      </c>
      <c r="F92" t="s">
        <v>58</v>
      </c>
      <c r="G92" t="s">
        <v>24</v>
      </c>
      <c r="H92" t="s">
        <v>255</v>
      </c>
      <c r="I92" t="s">
        <v>210</v>
      </c>
      <c r="J92" t="s">
        <v>43</v>
      </c>
      <c r="K92" t="s">
        <v>256</v>
      </c>
      <c r="L92" t="s">
        <v>285</v>
      </c>
      <c r="M92" t="s">
        <v>286</v>
      </c>
      <c r="N92" t="s">
        <v>287</v>
      </c>
      <c r="O92" t="s">
        <v>215</v>
      </c>
      <c r="P92" t="s">
        <v>216</v>
      </c>
      <c r="Q92" t="s">
        <v>217</v>
      </c>
      <c r="R92" t="s">
        <v>218</v>
      </c>
      <c r="S92" t="s">
        <v>244</v>
      </c>
    </row>
    <row r="93" spans="1:19" x14ac:dyDescent="0.35">
      <c r="A93" t="s">
        <v>71</v>
      </c>
      <c r="B93" t="s">
        <v>29</v>
      </c>
      <c r="C93" t="s">
        <v>38</v>
      </c>
      <c r="D93" t="s">
        <v>26</v>
      </c>
      <c r="E93" t="s">
        <v>15</v>
      </c>
      <c r="F93" t="s">
        <v>47</v>
      </c>
      <c r="G93" t="s">
        <v>36</v>
      </c>
      <c r="H93" t="s">
        <v>229</v>
      </c>
      <c r="I93" t="s">
        <v>238</v>
      </c>
      <c r="J93" t="s">
        <v>27</v>
      </c>
      <c r="K93" t="s">
        <v>231</v>
      </c>
      <c r="L93" t="s">
        <v>229</v>
      </c>
      <c r="M93" t="s">
        <v>231</v>
      </c>
      <c r="N93" t="s">
        <v>239</v>
      </c>
      <c r="O93" t="s">
        <v>215</v>
      </c>
      <c r="P93" t="s">
        <v>216</v>
      </c>
      <c r="Q93" t="s">
        <v>217</v>
      </c>
      <c r="R93" t="s">
        <v>218</v>
      </c>
      <c r="S93" t="s">
        <v>265</v>
      </c>
    </row>
    <row r="94" spans="1:19" x14ac:dyDescent="0.35">
      <c r="A94" t="s">
        <v>55</v>
      </c>
      <c r="B94" t="s">
        <v>20</v>
      </c>
      <c r="C94" t="s">
        <v>38</v>
      </c>
      <c r="D94" t="s">
        <v>26</v>
      </c>
      <c r="E94" t="s">
        <v>22</v>
      </c>
      <c r="F94" t="s">
        <v>58</v>
      </c>
      <c r="G94" t="s">
        <v>24</v>
      </c>
      <c r="H94" t="s">
        <v>255</v>
      </c>
      <c r="I94" t="s">
        <v>249</v>
      </c>
      <c r="J94" t="s">
        <v>32</v>
      </c>
      <c r="K94" t="s">
        <v>256</v>
      </c>
      <c r="L94" t="s">
        <v>286</v>
      </c>
      <c r="M94" t="s">
        <v>295</v>
      </c>
      <c r="N94" t="s">
        <v>296</v>
      </c>
      <c r="O94" t="s">
        <v>215</v>
      </c>
      <c r="P94" t="s">
        <v>216</v>
      </c>
      <c r="Q94" t="s">
        <v>217</v>
      </c>
      <c r="R94" t="s">
        <v>218</v>
      </c>
      <c r="S94" t="s">
        <v>220</v>
      </c>
    </row>
    <row r="95" spans="1:19" x14ac:dyDescent="0.35">
      <c r="A95" t="s">
        <v>99</v>
      </c>
      <c r="B95" t="s">
        <v>20</v>
      </c>
      <c r="C95" t="s">
        <v>38</v>
      </c>
      <c r="D95" t="s">
        <v>14</v>
      </c>
      <c r="E95" t="s">
        <v>22</v>
      </c>
      <c r="F95" t="s">
        <v>41</v>
      </c>
      <c r="G95" t="s">
        <v>17</v>
      </c>
      <c r="H95" t="s">
        <v>219</v>
      </c>
      <c r="I95" t="s">
        <v>220</v>
      </c>
      <c r="J95" t="s">
        <v>18</v>
      </c>
      <c r="K95" t="s">
        <v>221</v>
      </c>
      <c r="L95" t="s">
        <v>222</v>
      </c>
      <c r="M95" t="s">
        <v>223</v>
      </c>
      <c r="N95" t="s">
        <v>221</v>
      </c>
      <c r="O95" t="s">
        <v>215</v>
      </c>
      <c r="P95" t="s">
        <v>216</v>
      </c>
      <c r="Q95" t="s">
        <v>217</v>
      </c>
      <c r="R95" t="s">
        <v>218</v>
      </c>
      <c r="S95" t="s">
        <v>220</v>
      </c>
    </row>
    <row r="96" spans="1:19" x14ac:dyDescent="0.35">
      <c r="A96" t="s">
        <v>40</v>
      </c>
      <c r="B96" t="s">
        <v>12</v>
      </c>
      <c r="C96" t="s">
        <v>38</v>
      </c>
      <c r="D96" t="s">
        <v>14</v>
      </c>
      <c r="E96" t="s">
        <v>15</v>
      </c>
      <c r="F96" t="s">
        <v>16</v>
      </c>
      <c r="G96" t="s">
        <v>17</v>
      </c>
      <c r="H96" t="s">
        <v>275</v>
      </c>
      <c r="I96" t="s">
        <v>210</v>
      </c>
      <c r="J96" t="s">
        <v>27</v>
      </c>
      <c r="K96" t="s">
        <v>276</v>
      </c>
      <c r="L96" t="s">
        <v>314</v>
      </c>
      <c r="M96" t="s">
        <v>315</v>
      </c>
      <c r="N96" t="s">
        <v>316</v>
      </c>
      <c r="O96" t="s">
        <v>215</v>
      </c>
      <c r="P96" t="s">
        <v>216</v>
      </c>
      <c r="Q96" t="s">
        <v>217</v>
      </c>
      <c r="R96" t="s">
        <v>218</v>
      </c>
      <c r="S96" t="s">
        <v>244</v>
      </c>
    </row>
    <row r="97" spans="1:19" x14ac:dyDescent="0.35">
      <c r="A97" t="s">
        <v>102</v>
      </c>
      <c r="B97" t="s">
        <v>34</v>
      </c>
      <c r="C97" t="s">
        <v>38</v>
      </c>
      <c r="D97" t="s">
        <v>14</v>
      </c>
      <c r="E97" t="s">
        <v>15</v>
      </c>
      <c r="F97" t="s">
        <v>16</v>
      </c>
      <c r="G97" t="s">
        <v>17</v>
      </c>
      <c r="H97" t="s">
        <v>275</v>
      </c>
      <c r="I97" t="s">
        <v>249</v>
      </c>
      <c r="J97" t="s">
        <v>43</v>
      </c>
      <c r="K97" t="s">
        <v>276</v>
      </c>
      <c r="L97" t="s">
        <v>315</v>
      </c>
      <c r="M97" t="s">
        <v>322</v>
      </c>
      <c r="N97" t="s">
        <v>323</v>
      </c>
      <c r="O97" t="s">
        <v>215</v>
      </c>
      <c r="P97" t="s">
        <v>216</v>
      </c>
      <c r="Q97" t="s">
        <v>217</v>
      </c>
      <c r="R97" t="s">
        <v>218</v>
      </c>
      <c r="S97" t="s">
        <v>238</v>
      </c>
    </row>
    <row r="98" spans="1:19" x14ac:dyDescent="0.35">
      <c r="A98" t="s">
        <v>88</v>
      </c>
      <c r="B98" t="s">
        <v>12</v>
      </c>
      <c r="C98" t="s">
        <v>38</v>
      </c>
      <c r="D98" t="s">
        <v>14</v>
      </c>
      <c r="E98" t="s">
        <v>15</v>
      </c>
      <c r="F98" t="s">
        <v>56</v>
      </c>
      <c r="G98" t="s">
        <v>36</v>
      </c>
      <c r="H98" t="s">
        <v>260</v>
      </c>
      <c r="I98" t="s">
        <v>220</v>
      </c>
      <c r="J98" t="s">
        <v>18</v>
      </c>
      <c r="K98" t="s">
        <v>261</v>
      </c>
      <c r="L98" t="s">
        <v>335</v>
      </c>
      <c r="M98" t="s">
        <v>336</v>
      </c>
      <c r="N98" t="s">
        <v>261</v>
      </c>
      <c r="O98" t="s">
        <v>215</v>
      </c>
      <c r="P98" t="s">
        <v>216</v>
      </c>
      <c r="Q98" t="s">
        <v>217</v>
      </c>
      <c r="R98" t="s">
        <v>218</v>
      </c>
      <c r="S98" t="s">
        <v>244</v>
      </c>
    </row>
    <row r="99" spans="1:19" x14ac:dyDescent="0.35">
      <c r="A99" t="s">
        <v>25</v>
      </c>
      <c r="B99" t="s">
        <v>29</v>
      </c>
      <c r="C99" t="s">
        <v>38</v>
      </c>
      <c r="D99" t="s">
        <v>26</v>
      </c>
      <c r="E99" t="s">
        <v>22</v>
      </c>
      <c r="F99" t="s">
        <v>39</v>
      </c>
      <c r="G99" t="s">
        <v>24</v>
      </c>
      <c r="H99" t="s">
        <v>209</v>
      </c>
      <c r="I99" t="s">
        <v>210</v>
      </c>
      <c r="J99" t="s">
        <v>50</v>
      </c>
      <c r="K99" t="s">
        <v>211</v>
      </c>
      <c r="L99" t="s">
        <v>212</v>
      </c>
      <c r="M99" t="s">
        <v>213</v>
      </c>
      <c r="N99" t="s">
        <v>214</v>
      </c>
      <c r="O99" t="s">
        <v>215</v>
      </c>
      <c r="P99" t="s">
        <v>216</v>
      </c>
      <c r="Q99" t="s">
        <v>217</v>
      </c>
      <c r="R99" t="s">
        <v>218</v>
      </c>
      <c r="S99" t="s">
        <v>265</v>
      </c>
    </row>
    <row r="100" spans="1:19" x14ac:dyDescent="0.35">
      <c r="A100" t="s">
        <v>149</v>
      </c>
      <c r="B100" t="s">
        <v>29</v>
      </c>
      <c r="C100" t="s">
        <v>38</v>
      </c>
      <c r="D100" t="s">
        <v>14</v>
      </c>
      <c r="E100" t="s">
        <v>15</v>
      </c>
      <c r="F100" t="s">
        <v>47</v>
      </c>
      <c r="G100" t="s">
        <v>36</v>
      </c>
      <c r="H100" t="s">
        <v>229</v>
      </c>
      <c r="I100" t="s">
        <v>249</v>
      </c>
      <c r="J100" t="s">
        <v>18</v>
      </c>
      <c r="K100" t="s">
        <v>231</v>
      </c>
      <c r="L100" t="s">
        <v>228</v>
      </c>
      <c r="M100" t="s">
        <v>290</v>
      </c>
      <c r="N100" t="s">
        <v>226</v>
      </c>
      <c r="O100" t="s">
        <v>215</v>
      </c>
      <c r="P100" t="s">
        <v>216</v>
      </c>
      <c r="Q100" t="s">
        <v>217</v>
      </c>
      <c r="R100" t="s">
        <v>218</v>
      </c>
      <c r="S100" t="s">
        <v>244</v>
      </c>
    </row>
    <row r="101" spans="1:19" x14ac:dyDescent="0.35">
      <c r="A101" t="s">
        <v>99</v>
      </c>
      <c r="B101" t="s">
        <v>29</v>
      </c>
      <c r="C101" t="s">
        <v>38</v>
      </c>
      <c r="D101" t="s">
        <v>26</v>
      </c>
      <c r="E101" t="s">
        <v>22</v>
      </c>
      <c r="F101" t="s">
        <v>47</v>
      </c>
      <c r="G101" t="s">
        <v>36</v>
      </c>
      <c r="H101" t="s">
        <v>229</v>
      </c>
      <c r="I101" t="s">
        <v>220</v>
      </c>
      <c r="J101" t="s">
        <v>54</v>
      </c>
      <c r="K101" t="s">
        <v>231</v>
      </c>
      <c r="L101" t="s">
        <v>289</v>
      </c>
      <c r="M101" t="s">
        <v>297</v>
      </c>
      <c r="N101" t="s">
        <v>231</v>
      </c>
      <c r="O101" t="s">
        <v>215</v>
      </c>
      <c r="P101" t="s">
        <v>216</v>
      </c>
      <c r="Q101" t="s">
        <v>217</v>
      </c>
      <c r="R101" t="s">
        <v>218</v>
      </c>
      <c r="S101" t="s">
        <v>220</v>
      </c>
    </row>
    <row r="102" spans="1:19" x14ac:dyDescent="0.35">
      <c r="A102" t="s">
        <v>82</v>
      </c>
      <c r="B102" t="s">
        <v>34</v>
      </c>
      <c r="C102" t="s">
        <v>38</v>
      </c>
      <c r="D102" t="s">
        <v>26</v>
      </c>
      <c r="E102" t="s">
        <v>22</v>
      </c>
      <c r="F102" t="s">
        <v>47</v>
      </c>
      <c r="G102" t="s">
        <v>36</v>
      </c>
      <c r="H102" t="s">
        <v>229</v>
      </c>
      <c r="I102" t="s">
        <v>265</v>
      </c>
      <c r="J102" t="s">
        <v>27</v>
      </c>
      <c r="K102" t="s">
        <v>231</v>
      </c>
      <c r="L102" t="s">
        <v>224</v>
      </c>
      <c r="M102" t="s">
        <v>226</v>
      </c>
      <c r="N102" t="s">
        <v>252</v>
      </c>
      <c r="O102" t="s">
        <v>215</v>
      </c>
      <c r="P102" t="s">
        <v>216</v>
      </c>
      <c r="Q102" t="s">
        <v>217</v>
      </c>
      <c r="R102" t="s">
        <v>218</v>
      </c>
      <c r="S102" t="s">
        <v>238</v>
      </c>
    </row>
    <row r="103" spans="1:19" x14ac:dyDescent="0.35">
      <c r="A103" t="s">
        <v>68</v>
      </c>
      <c r="B103" t="s">
        <v>12</v>
      </c>
      <c r="C103" t="s">
        <v>38</v>
      </c>
      <c r="D103" t="s">
        <v>26</v>
      </c>
      <c r="E103" t="s">
        <v>15</v>
      </c>
      <c r="F103" t="s">
        <v>39</v>
      </c>
      <c r="G103" t="s">
        <v>24</v>
      </c>
      <c r="H103" t="s">
        <v>209</v>
      </c>
      <c r="I103" t="s">
        <v>240</v>
      </c>
      <c r="J103" t="s">
        <v>27</v>
      </c>
      <c r="K103" t="s">
        <v>211</v>
      </c>
      <c r="L103" t="s">
        <v>266</v>
      </c>
      <c r="M103" t="s">
        <v>267</v>
      </c>
      <c r="N103" t="s">
        <v>268</v>
      </c>
      <c r="O103" t="s">
        <v>215</v>
      </c>
      <c r="P103" t="s">
        <v>216</v>
      </c>
      <c r="Q103" t="s">
        <v>217</v>
      </c>
      <c r="R103" t="s">
        <v>218</v>
      </c>
      <c r="S103" t="s">
        <v>238</v>
      </c>
    </row>
    <row r="104" spans="1:19" x14ac:dyDescent="0.35">
      <c r="A104" t="s">
        <v>37</v>
      </c>
      <c r="B104" t="s">
        <v>20</v>
      </c>
      <c r="C104" t="s">
        <v>38</v>
      </c>
      <c r="D104" t="s">
        <v>14</v>
      </c>
      <c r="E104" t="s">
        <v>22</v>
      </c>
      <c r="F104" t="s">
        <v>16</v>
      </c>
      <c r="G104" t="s">
        <v>17</v>
      </c>
      <c r="H104" t="s">
        <v>275</v>
      </c>
      <c r="I104" t="s">
        <v>220</v>
      </c>
      <c r="J104" t="s">
        <v>43</v>
      </c>
      <c r="K104" t="s">
        <v>276</v>
      </c>
      <c r="L104" t="s">
        <v>337</v>
      </c>
      <c r="M104" t="s">
        <v>338</v>
      </c>
      <c r="N104" t="s">
        <v>276</v>
      </c>
      <c r="O104" t="s">
        <v>215</v>
      </c>
      <c r="P104" t="s">
        <v>216</v>
      </c>
      <c r="Q104" t="s">
        <v>217</v>
      </c>
      <c r="R104" t="s">
        <v>218</v>
      </c>
      <c r="S104" t="s">
        <v>244</v>
      </c>
    </row>
    <row r="105" spans="1:19" x14ac:dyDescent="0.35">
      <c r="A105" t="s">
        <v>77</v>
      </c>
      <c r="B105" t="s">
        <v>29</v>
      </c>
      <c r="C105" t="s">
        <v>38</v>
      </c>
      <c r="D105" t="s">
        <v>14</v>
      </c>
      <c r="E105" t="s">
        <v>15</v>
      </c>
      <c r="F105" t="s">
        <v>16</v>
      </c>
      <c r="G105" t="s">
        <v>17</v>
      </c>
      <c r="H105" t="s">
        <v>275</v>
      </c>
      <c r="I105" t="s">
        <v>244</v>
      </c>
      <c r="J105" t="s">
        <v>43</v>
      </c>
      <c r="K105" t="s">
        <v>276</v>
      </c>
      <c r="L105" t="s">
        <v>325</v>
      </c>
      <c r="M105" t="s">
        <v>326</v>
      </c>
      <c r="N105" t="s">
        <v>327</v>
      </c>
      <c r="O105" t="s">
        <v>215</v>
      </c>
      <c r="P105" t="s">
        <v>216</v>
      </c>
      <c r="Q105" t="s">
        <v>217</v>
      </c>
      <c r="R105" t="s">
        <v>218</v>
      </c>
      <c r="S105" t="s">
        <v>238</v>
      </c>
    </row>
    <row r="106" spans="1:19" x14ac:dyDescent="0.35">
      <c r="A106" t="s">
        <v>77</v>
      </c>
      <c r="B106" t="s">
        <v>20</v>
      </c>
      <c r="C106" t="s">
        <v>38</v>
      </c>
      <c r="D106" t="s">
        <v>26</v>
      </c>
      <c r="E106" t="s">
        <v>22</v>
      </c>
      <c r="F106" t="s">
        <v>41</v>
      </c>
      <c r="G106" t="s">
        <v>17</v>
      </c>
      <c r="H106" t="s">
        <v>219</v>
      </c>
      <c r="I106" t="s">
        <v>249</v>
      </c>
      <c r="J106" t="s">
        <v>50</v>
      </c>
      <c r="K106" t="s">
        <v>221</v>
      </c>
      <c r="L106" t="s">
        <v>279</v>
      </c>
      <c r="M106" t="s">
        <v>320</v>
      </c>
      <c r="N106" t="s">
        <v>321</v>
      </c>
      <c r="O106" t="s">
        <v>215</v>
      </c>
      <c r="P106" t="s">
        <v>216</v>
      </c>
      <c r="Q106" t="s">
        <v>217</v>
      </c>
      <c r="R106" t="s">
        <v>218</v>
      </c>
      <c r="S106" t="s">
        <v>238</v>
      </c>
    </row>
    <row r="107" spans="1:19" x14ac:dyDescent="0.35">
      <c r="A107" t="s">
        <v>130</v>
      </c>
      <c r="B107" t="s">
        <v>34</v>
      </c>
      <c r="C107" t="s">
        <v>38</v>
      </c>
      <c r="D107" t="s">
        <v>14</v>
      </c>
      <c r="E107" t="s">
        <v>15</v>
      </c>
      <c r="F107" t="s">
        <v>41</v>
      </c>
      <c r="G107" t="s">
        <v>17</v>
      </c>
      <c r="H107" t="s">
        <v>219</v>
      </c>
      <c r="I107" t="s">
        <v>230</v>
      </c>
      <c r="J107" t="s">
        <v>54</v>
      </c>
      <c r="K107" t="s">
        <v>221</v>
      </c>
      <c r="L107" t="s">
        <v>235</v>
      </c>
      <c r="M107" t="s">
        <v>236</v>
      </c>
      <c r="N107" t="s">
        <v>237</v>
      </c>
      <c r="O107" t="s">
        <v>215</v>
      </c>
      <c r="P107" t="s">
        <v>216</v>
      </c>
      <c r="Q107" t="s">
        <v>217</v>
      </c>
      <c r="R107" t="s">
        <v>218</v>
      </c>
      <c r="S107" t="s">
        <v>238</v>
      </c>
    </row>
    <row r="108" spans="1:19" x14ac:dyDescent="0.35">
      <c r="A108" t="s">
        <v>53</v>
      </c>
      <c r="B108" t="s">
        <v>20</v>
      </c>
      <c r="C108" t="s">
        <v>38</v>
      </c>
      <c r="D108" t="s">
        <v>14</v>
      </c>
      <c r="E108" t="s">
        <v>22</v>
      </c>
      <c r="F108" t="s">
        <v>58</v>
      </c>
      <c r="G108" t="s">
        <v>24</v>
      </c>
      <c r="H108" t="s">
        <v>255</v>
      </c>
      <c r="I108" t="s">
        <v>210</v>
      </c>
      <c r="J108" t="s">
        <v>32</v>
      </c>
      <c r="K108" t="s">
        <v>256</v>
      </c>
      <c r="L108" t="s">
        <v>285</v>
      </c>
      <c r="M108" t="s">
        <v>286</v>
      </c>
      <c r="N108" t="s">
        <v>287</v>
      </c>
      <c r="O108" t="s">
        <v>215</v>
      </c>
      <c r="P108" t="s">
        <v>216</v>
      </c>
      <c r="Q108" t="s">
        <v>217</v>
      </c>
      <c r="R108" t="s">
        <v>218</v>
      </c>
      <c r="S108" t="s">
        <v>244</v>
      </c>
    </row>
    <row r="109" spans="1:19" x14ac:dyDescent="0.35">
      <c r="A109" t="s">
        <v>57</v>
      </c>
      <c r="B109" t="s">
        <v>29</v>
      </c>
      <c r="C109" t="s">
        <v>38</v>
      </c>
      <c r="D109" t="s">
        <v>14</v>
      </c>
      <c r="E109" t="s">
        <v>22</v>
      </c>
      <c r="F109" t="s">
        <v>47</v>
      </c>
      <c r="G109" t="s">
        <v>36</v>
      </c>
      <c r="H109" t="s">
        <v>229</v>
      </c>
      <c r="I109" t="s">
        <v>210</v>
      </c>
      <c r="J109" t="s">
        <v>32</v>
      </c>
      <c r="K109" t="s">
        <v>231</v>
      </c>
      <c r="L109" t="s">
        <v>227</v>
      </c>
      <c r="M109" t="s">
        <v>228</v>
      </c>
      <c r="N109" t="s">
        <v>224</v>
      </c>
      <c r="O109" t="s">
        <v>215</v>
      </c>
      <c r="P109" t="s">
        <v>216</v>
      </c>
      <c r="Q109" t="s">
        <v>217</v>
      </c>
      <c r="R109" t="s">
        <v>218</v>
      </c>
      <c r="S109" t="s">
        <v>265</v>
      </c>
    </row>
    <row r="110" spans="1:19" x14ac:dyDescent="0.35">
      <c r="A110" t="s">
        <v>126</v>
      </c>
      <c r="B110" t="s">
        <v>20</v>
      </c>
      <c r="C110" t="s">
        <v>38</v>
      </c>
      <c r="D110" t="s">
        <v>14</v>
      </c>
      <c r="E110" t="s">
        <v>15</v>
      </c>
      <c r="F110" t="s">
        <v>52</v>
      </c>
      <c r="G110" t="s">
        <v>36</v>
      </c>
      <c r="H110" t="s">
        <v>291</v>
      </c>
      <c r="I110" t="s">
        <v>210</v>
      </c>
      <c r="J110" t="s">
        <v>43</v>
      </c>
      <c r="K110" t="s">
        <v>292</v>
      </c>
      <c r="L110" t="s">
        <v>339</v>
      </c>
      <c r="M110" t="s">
        <v>299</v>
      </c>
      <c r="N110" t="s">
        <v>233</v>
      </c>
      <c r="O110" t="s">
        <v>215</v>
      </c>
      <c r="P110" t="s">
        <v>216</v>
      </c>
      <c r="Q110" t="s">
        <v>217</v>
      </c>
      <c r="R110" t="s">
        <v>218</v>
      </c>
      <c r="S110" t="s">
        <v>244</v>
      </c>
    </row>
    <row r="111" spans="1:19" x14ac:dyDescent="0.35">
      <c r="A111" t="s">
        <v>156</v>
      </c>
      <c r="B111" t="s">
        <v>29</v>
      </c>
      <c r="C111" t="s">
        <v>38</v>
      </c>
      <c r="D111" t="s">
        <v>14</v>
      </c>
      <c r="E111" t="s">
        <v>15</v>
      </c>
      <c r="F111" t="s">
        <v>31</v>
      </c>
      <c r="G111" t="s">
        <v>24</v>
      </c>
      <c r="H111" t="s">
        <v>252</v>
      </c>
      <c r="I111" t="s">
        <v>269</v>
      </c>
      <c r="J111" t="s">
        <v>54</v>
      </c>
      <c r="K111" t="s">
        <v>253</v>
      </c>
      <c r="L111" t="s">
        <v>272</v>
      </c>
      <c r="M111" t="s">
        <v>273</v>
      </c>
      <c r="N111" t="s">
        <v>274</v>
      </c>
      <c r="O111" t="s">
        <v>215</v>
      </c>
      <c r="P111" t="s">
        <v>216</v>
      </c>
      <c r="Q111" t="s">
        <v>217</v>
      </c>
      <c r="R111" t="s">
        <v>218</v>
      </c>
      <c r="S111" t="s">
        <v>244</v>
      </c>
    </row>
    <row r="112" spans="1:19" x14ac:dyDescent="0.35">
      <c r="A112" t="s">
        <v>120</v>
      </c>
      <c r="B112" t="s">
        <v>29</v>
      </c>
      <c r="C112" t="s">
        <v>38</v>
      </c>
      <c r="D112" t="s">
        <v>26</v>
      </c>
      <c r="E112" t="s">
        <v>15</v>
      </c>
      <c r="F112" t="s">
        <v>41</v>
      </c>
      <c r="G112" t="s">
        <v>17</v>
      </c>
      <c r="H112" t="s">
        <v>219</v>
      </c>
      <c r="I112" t="s">
        <v>265</v>
      </c>
      <c r="J112" t="s">
        <v>32</v>
      </c>
      <c r="K112" t="s">
        <v>221</v>
      </c>
      <c r="L112" t="s">
        <v>280</v>
      </c>
      <c r="M112" t="s">
        <v>321</v>
      </c>
      <c r="N112" t="s">
        <v>340</v>
      </c>
      <c r="O112" t="s">
        <v>215</v>
      </c>
      <c r="P112" t="s">
        <v>216</v>
      </c>
      <c r="Q112" t="s">
        <v>217</v>
      </c>
      <c r="R112" t="s">
        <v>218</v>
      </c>
      <c r="S112" t="s">
        <v>244</v>
      </c>
    </row>
    <row r="113" spans="1:19" x14ac:dyDescent="0.35">
      <c r="A113" t="s">
        <v>144</v>
      </c>
      <c r="B113" t="s">
        <v>20</v>
      </c>
      <c r="C113" t="s">
        <v>38</v>
      </c>
      <c r="D113" t="s">
        <v>26</v>
      </c>
      <c r="E113" t="s">
        <v>22</v>
      </c>
      <c r="F113" t="s">
        <v>58</v>
      </c>
      <c r="G113" t="s">
        <v>24</v>
      </c>
      <c r="H113" t="s">
        <v>255</v>
      </c>
      <c r="I113" t="s">
        <v>249</v>
      </c>
      <c r="J113" t="s">
        <v>50</v>
      </c>
      <c r="K113" t="s">
        <v>256</v>
      </c>
      <c r="L113" t="s">
        <v>286</v>
      </c>
      <c r="M113" t="s">
        <v>295</v>
      </c>
      <c r="N113" t="s">
        <v>296</v>
      </c>
      <c r="O113" t="s">
        <v>215</v>
      </c>
      <c r="P113" t="s">
        <v>216</v>
      </c>
      <c r="Q113" t="s">
        <v>217</v>
      </c>
      <c r="R113" t="s">
        <v>218</v>
      </c>
      <c r="S113" t="s">
        <v>265</v>
      </c>
    </row>
    <row r="114" spans="1:19" x14ac:dyDescent="0.35">
      <c r="A114" t="s">
        <v>124</v>
      </c>
      <c r="B114" t="s">
        <v>34</v>
      </c>
      <c r="C114" t="s">
        <v>38</v>
      </c>
      <c r="D114" t="s">
        <v>14</v>
      </c>
      <c r="E114" t="s">
        <v>22</v>
      </c>
      <c r="F114" t="s">
        <v>39</v>
      </c>
      <c r="G114" t="s">
        <v>24</v>
      </c>
      <c r="H114" t="s">
        <v>209</v>
      </c>
      <c r="I114" t="s">
        <v>230</v>
      </c>
      <c r="J114" t="s">
        <v>18</v>
      </c>
      <c r="K114" t="s">
        <v>211</v>
      </c>
      <c r="L114" t="s">
        <v>317</v>
      </c>
      <c r="M114" t="s">
        <v>318</v>
      </c>
      <c r="N114" t="s">
        <v>319</v>
      </c>
      <c r="O114" t="s">
        <v>215</v>
      </c>
      <c r="P114" t="s">
        <v>216</v>
      </c>
      <c r="Q114" t="s">
        <v>217</v>
      </c>
      <c r="R114" t="s">
        <v>218</v>
      </c>
      <c r="S114" t="s">
        <v>238</v>
      </c>
    </row>
    <row r="115" spans="1:19" x14ac:dyDescent="0.35">
      <c r="A115" t="s">
        <v>149</v>
      </c>
      <c r="B115" t="s">
        <v>34</v>
      </c>
      <c r="C115" t="s">
        <v>38</v>
      </c>
      <c r="D115" t="s">
        <v>26</v>
      </c>
      <c r="E115" t="s">
        <v>15</v>
      </c>
      <c r="F115" t="s">
        <v>58</v>
      </c>
      <c r="G115" t="s">
        <v>24</v>
      </c>
      <c r="H115" t="s">
        <v>255</v>
      </c>
      <c r="I115" t="s">
        <v>265</v>
      </c>
      <c r="J115" t="s">
        <v>43</v>
      </c>
      <c r="K115" t="s">
        <v>256</v>
      </c>
      <c r="L115" t="s">
        <v>287</v>
      </c>
      <c r="M115" t="s">
        <v>296</v>
      </c>
      <c r="N115" t="s">
        <v>341</v>
      </c>
      <c r="O115" t="s">
        <v>215</v>
      </c>
      <c r="P115" t="s">
        <v>216</v>
      </c>
      <c r="Q115" t="s">
        <v>217</v>
      </c>
      <c r="R115" t="s">
        <v>218</v>
      </c>
      <c r="S115" t="s">
        <v>244</v>
      </c>
    </row>
    <row r="116" spans="1:19" x14ac:dyDescent="0.35">
      <c r="A116" t="s">
        <v>77</v>
      </c>
      <c r="B116" t="s">
        <v>34</v>
      </c>
      <c r="C116" t="s">
        <v>38</v>
      </c>
      <c r="D116" t="s">
        <v>26</v>
      </c>
      <c r="E116" t="s">
        <v>22</v>
      </c>
      <c r="F116" t="s">
        <v>39</v>
      </c>
      <c r="G116" t="s">
        <v>24</v>
      </c>
      <c r="H116" t="s">
        <v>209</v>
      </c>
      <c r="I116" t="s">
        <v>220</v>
      </c>
      <c r="J116" t="s">
        <v>18</v>
      </c>
      <c r="K116" t="s">
        <v>211</v>
      </c>
      <c r="L116" t="s">
        <v>302</v>
      </c>
      <c r="M116" t="s">
        <v>342</v>
      </c>
      <c r="N116" t="s">
        <v>211</v>
      </c>
      <c r="O116" t="s">
        <v>215</v>
      </c>
      <c r="P116" t="s">
        <v>216</v>
      </c>
      <c r="Q116" t="s">
        <v>217</v>
      </c>
      <c r="R116" t="s">
        <v>218</v>
      </c>
      <c r="S116" t="s">
        <v>238</v>
      </c>
    </row>
    <row r="117" spans="1:19" x14ac:dyDescent="0.35">
      <c r="A117" t="s">
        <v>88</v>
      </c>
      <c r="B117" t="s">
        <v>12</v>
      </c>
      <c r="C117" t="s">
        <v>38</v>
      </c>
      <c r="D117" t="s">
        <v>26</v>
      </c>
      <c r="E117" t="s">
        <v>22</v>
      </c>
      <c r="F117" t="s">
        <v>41</v>
      </c>
      <c r="G117" t="s">
        <v>17</v>
      </c>
      <c r="H117" t="s">
        <v>219</v>
      </c>
      <c r="I117" t="s">
        <v>249</v>
      </c>
      <c r="J117" t="s">
        <v>18</v>
      </c>
      <c r="K117" t="s">
        <v>221</v>
      </c>
      <c r="L117" t="s">
        <v>279</v>
      </c>
      <c r="M117" t="s">
        <v>320</v>
      </c>
      <c r="N117" t="s">
        <v>321</v>
      </c>
      <c r="O117" t="s">
        <v>215</v>
      </c>
      <c r="P117" t="s">
        <v>216</v>
      </c>
      <c r="Q117" t="s">
        <v>217</v>
      </c>
      <c r="R117" t="s">
        <v>218</v>
      </c>
      <c r="S117" t="s">
        <v>244</v>
      </c>
    </row>
    <row r="118" spans="1:19" x14ac:dyDescent="0.35">
      <c r="A118" t="s">
        <v>152</v>
      </c>
      <c r="B118" t="s">
        <v>34</v>
      </c>
      <c r="C118" t="s">
        <v>38</v>
      </c>
      <c r="D118" t="s">
        <v>14</v>
      </c>
      <c r="E118" t="s">
        <v>15</v>
      </c>
      <c r="F118" t="s">
        <v>31</v>
      </c>
      <c r="G118" t="s">
        <v>24</v>
      </c>
      <c r="H118" t="s">
        <v>252</v>
      </c>
      <c r="I118" t="s">
        <v>269</v>
      </c>
      <c r="J118" t="s">
        <v>18</v>
      </c>
      <c r="K118" t="s">
        <v>253</v>
      </c>
      <c r="L118" t="s">
        <v>272</v>
      </c>
      <c r="M118" t="s">
        <v>273</v>
      </c>
      <c r="N118" t="s">
        <v>274</v>
      </c>
      <c r="O118" t="s">
        <v>215</v>
      </c>
      <c r="P118" t="s">
        <v>216</v>
      </c>
      <c r="Q118" t="s">
        <v>217</v>
      </c>
      <c r="R118" t="s">
        <v>218</v>
      </c>
      <c r="S118" t="s">
        <v>220</v>
      </c>
    </row>
    <row r="119" spans="1:19" x14ac:dyDescent="0.35">
      <c r="A119" t="s">
        <v>85</v>
      </c>
      <c r="B119" t="s">
        <v>12</v>
      </c>
      <c r="C119" t="s">
        <v>38</v>
      </c>
      <c r="D119" t="s">
        <v>14</v>
      </c>
      <c r="E119" t="s">
        <v>22</v>
      </c>
      <c r="F119" t="s">
        <v>39</v>
      </c>
      <c r="G119" t="s">
        <v>24</v>
      </c>
      <c r="H119" t="s">
        <v>209</v>
      </c>
      <c r="I119" t="s">
        <v>238</v>
      </c>
      <c r="J119" t="s">
        <v>50</v>
      </c>
      <c r="K119" t="s">
        <v>211</v>
      </c>
      <c r="L119" t="s">
        <v>209</v>
      </c>
      <c r="M119" t="s">
        <v>211</v>
      </c>
      <c r="N119" t="s">
        <v>254</v>
      </c>
      <c r="O119" t="s">
        <v>215</v>
      </c>
      <c r="P119" t="s">
        <v>216</v>
      </c>
      <c r="Q119" t="s">
        <v>217</v>
      </c>
      <c r="R119" t="s">
        <v>218</v>
      </c>
      <c r="S119" t="s">
        <v>238</v>
      </c>
    </row>
    <row r="120" spans="1:19" x14ac:dyDescent="0.35">
      <c r="A120" t="s">
        <v>90</v>
      </c>
      <c r="B120" t="s">
        <v>12</v>
      </c>
      <c r="C120" t="s">
        <v>38</v>
      </c>
      <c r="D120" t="s">
        <v>14</v>
      </c>
      <c r="E120" t="s">
        <v>15</v>
      </c>
      <c r="F120" t="s">
        <v>31</v>
      </c>
      <c r="G120" t="s">
        <v>24</v>
      </c>
      <c r="H120" t="s">
        <v>252</v>
      </c>
      <c r="I120" t="s">
        <v>240</v>
      </c>
      <c r="J120" t="s">
        <v>18</v>
      </c>
      <c r="K120" t="s">
        <v>253</v>
      </c>
      <c r="L120" t="s">
        <v>214</v>
      </c>
      <c r="M120" t="s">
        <v>251</v>
      </c>
      <c r="N120" t="s">
        <v>247</v>
      </c>
      <c r="O120" t="s">
        <v>215</v>
      </c>
      <c r="P120" t="s">
        <v>216</v>
      </c>
      <c r="Q120" t="s">
        <v>217</v>
      </c>
      <c r="R120" t="s">
        <v>218</v>
      </c>
      <c r="S120" t="s">
        <v>244</v>
      </c>
    </row>
    <row r="121" spans="1:19" x14ac:dyDescent="0.35">
      <c r="A121" t="s">
        <v>128</v>
      </c>
      <c r="B121" t="s">
        <v>12</v>
      </c>
      <c r="C121" t="s">
        <v>38</v>
      </c>
      <c r="D121" t="s">
        <v>14</v>
      </c>
      <c r="E121" t="s">
        <v>22</v>
      </c>
      <c r="F121" t="s">
        <v>31</v>
      </c>
      <c r="G121" t="s">
        <v>24</v>
      </c>
      <c r="H121" t="s">
        <v>252</v>
      </c>
      <c r="I121" t="s">
        <v>249</v>
      </c>
      <c r="J121" t="s">
        <v>54</v>
      </c>
      <c r="K121" t="s">
        <v>253</v>
      </c>
      <c r="L121" t="s">
        <v>297</v>
      </c>
      <c r="M121" t="s">
        <v>243</v>
      </c>
      <c r="N121" t="s">
        <v>311</v>
      </c>
      <c r="O121" t="s">
        <v>215</v>
      </c>
      <c r="P121" t="s">
        <v>216</v>
      </c>
      <c r="Q121" t="s">
        <v>217</v>
      </c>
      <c r="R121" t="s">
        <v>218</v>
      </c>
      <c r="S121" t="s">
        <v>220</v>
      </c>
    </row>
    <row r="122" spans="1:19" x14ac:dyDescent="0.35">
      <c r="A122" t="s">
        <v>120</v>
      </c>
      <c r="B122" t="s">
        <v>20</v>
      </c>
      <c r="C122" t="s">
        <v>38</v>
      </c>
      <c r="D122" t="s">
        <v>14</v>
      </c>
      <c r="E122" t="s">
        <v>22</v>
      </c>
      <c r="F122" t="s">
        <v>56</v>
      </c>
      <c r="G122" t="s">
        <v>36</v>
      </c>
      <c r="H122" t="s">
        <v>260</v>
      </c>
      <c r="I122" t="s">
        <v>249</v>
      </c>
      <c r="J122" t="s">
        <v>18</v>
      </c>
      <c r="K122" t="s">
        <v>261</v>
      </c>
      <c r="L122" t="s">
        <v>262</v>
      </c>
      <c r="M122" t="s">
        <v>263</v>
      </c>
      <c r="N122" t="s">
        <v>264</v>
      </c>
      <c r="O122" t="s">
        <v>215</v>
      </c>
      <c r="P122" t="s">
        <v>216</v>
      </c>
      <c r="Q122" t="s">
        <v>217</v>
      </c>
      <c r="R122" t="s">
        <v>218</v>
      </c>
      <c r="S122" t="s">
        <v>244</v>
      </c>
    </row>
    <row r="123" spans="1:19" x14ac:dyDescent="0.35">
      <c r="A123" t="s">
        <v>63</v>
      </c>
      <c r="B123" t="s">
        <v>34</v>
      </c>
      <c r="C123" t="s">
        <v>38</v>
      </c>
      <c r="D123" t="s">
        <v>14</v>
      </c>
      <c r="E123" t="s">
        <v>22</v>
      </c>
      <c r="F123" t="s">
        <v>52</v>
      </c>
      <c r="G123" t="s">
        <v>36</v>
      </c>
      <c r="H123" t="s">
        <v>291</v>
      </c>
      <c r="I123" t="s">
        <v>210</v>
      </c>
      <c r="J123" t="s">
        <v>32</v>
      </c>
      <c r="K123" t="s">
        <v>292</v>
      </c>
      <c r="L123" t="s">
        <v>339</v>
      </c>
      <c r="M123" t="s">
        <v>299</v>
      </c>
      <c r="N123" t="s">
        <v>233</v>
      </c>
      <c r="O123" t="s">
        <v>215</v>
      </c>
      <c r="P123" t="s">
        <v>216</v>
      </c>
      <c r="Q123" t="s">
        <v>217</v>
      </c>
      <c r="R123" t="s">
        <v>218</v>
      </c>
      <c r="S123" t="s">
        <v>220</v>
      </c>
    </row>
    <row r="124" spans="1:19" x14ac:dyDescent="0.35">
      <c r="A124" t="s">
        <v>142</v>
      </c>
      <c r="B124" t="s">
        <v>20</v>
      </c>
      <c r="C124" t="s">
        <v>38</v>
      </c>
      <c r="D124" t="s">
        <v>26</v>
      </c>
      <c r="E124" t="s">
        <v>22</v>
      </c>
      <c r="F124" t="s">
        <v>35</v>
      </c>
      <c r="G124" t="s">
        <v>36</v>
      </c>
      <c r="H124" t="s">
        <v>224</v>
      </c>
      <c r="I124" t="s">
        <v>238</v>
      </c>
      <c r="J124" t="s">
        <v>32</v>
      </c>
      <c r="K124" t="s">
        <v>226</v>
      </c>
      <c r="L124" t="s">
        <v>224</v>
      </c>
      <c r="M124" t="s">
        <v>226</v>
      </c>
      <c r="N124" t="s">
        <v>252</v>
      </c>
      <c r="O124" t="s">
        <v>215</v>
      </c>
      <c r="P124" t="s">
        <v>216</v>
      </c>
      <c r="Q124" t="s">
        <v>217</v>
      </c>
      <c r="R124" t="s">
        <v>218</v>
      </c>
      <c r="S124" t="s">
        <v>220</v>
      </c>
    </row>
    <row r="125" spans="1:19" x14ac:dyDescent="0.35">
      <c r="A125" t="s">
        <v>128</v>
      </c>
      <c r="B125" t="s">
        <v>29</v>
      </c>
      <c r="C125" t="s">
        <v>38</v>
      </c>
      <c r="D125" t="s">
        <v>14</v>
      </c>
      <c r="E125" t="s">
        <v>15</v>
      </c>
      <c r="F125" t="s">
        <v>47</v>
      </c>
      <c r="G125" t="s">
        <v>36</v>
      </c>
      <c r="H125" t="s">
        <v>229</v>
      </c>
      <c r="I125" t="s">
        <v>249</v>
      </c>
      <c r="J125" t="s">
        <v>18</v>
      </c>
      <c r="K125" t="s">
        <v>231</v>
      </c>
      <c r="L125" t="s">
        <v>228</v>
      </c>
      <c r="M125" t="s">
        <v>290</v>
      </c>
      <c r="N125" t="s">
        <v>226</v>
      </c>
      <c r="O125" t="s">
        <v>215</v>
      </c>
      <c r="P125" t="s">
        <v>216</v>
      </c>
      <c r="Q125" t="s">
        <v>217</v>
      </c>
      <c r="R125" t="s">
        <v>218</v>
      </c>
      <c r="S125" t="s">
        <v>220</v>
      </c>
    </row>
    <row r="126" spans="1:19" x14ac:dyDescent="0.35">
      <c r="A126" t="s">
        <v>44</v>
      </c>
      <c r="B126" t="s">
        <v>12</v>
      </c>
      <c r="C126" t="s">
        <v>38</v>
      </c>
      <c r="D126" t="s">
        <v>14</v>
      </c>
      <c r="E126" t="s">
        <v>22</v>
      </c>
      <c r="F126" t="s">
        <v>47</v>
      </c>
      <c r="G126" t="s">
        <v>36</v>
      </c>
      <c r="H126" t="s">
        <v>229</v>
      </c>
      <c r="I126" t="s">
        <v>244</v>
      </c>
      <c r="J126" t="s">
        <v>43</v>
      </c>
      <c r="K126" t="s">
        <v>231</v>
      </c>
      <c r="L126" t="s">
        <v>312</v>
      </c>
      <c r="M126" t="s">
        <v>214</v>
      </c>
      <c r="N126" t="s">
        <v>246</v>
      </c>
      <c r="O126" t="s">
        <v>215</v>
      </c>
      <c r="P126" t="s">
        <v>216</v>
      </c>
      <c r="Q126" t="s">
        <v>217</v>
      </c>
      <c r="R126" t="s">
        <v>218</v>
      </c>
      <c r="S126" t="s">
        <v>244</v>
      </c>
    </row>
    <row r="127" spans="1:19" x14ac:dyDescent="0.35">
      <c r="A127" t="s">
        <v>116</v>
      </c>
      <c r="B127" t="s">
        <v>34</v>
      </c>
      <c r="C127" t="s">
        <v>38</v>
      </c>
      <c r="D127" t="s">
        <v>14</v>
      </c>
      <c r="E127" t="s">
        <v>22</v>
      </c>
      <c r="F127" t="s">
        <v>41</v>
      </c>
      <c r="G127" t="s">
        <v>17</v>
      </c>
      <c r="H127" t="s">
        <v>219</v>
      </c>
      <c r="I127" t="s">
        <v>244</v>
      </c>
      <c r="J127" t="s">
        <v>18</v>
      </c>
      <c r="K127" t="s">
        <v>221</v>
      </c>
      <c r="L127" t="s">
        <v>290</v>
      </c>
      <c r="M127" t="s">
        <v>298</v>
      </c>
      <c r="N127" t="s">
        <v>284</v>
      </c>
      <c r="O127" t="s">
        <v>215</v>
      </c>
      <c r="P127" t="s">
        <v>216</v>
      </c>
      <c r="Q127" t="s">
        <v>217</v>
      </c>
      <c r="R127" t="s">
        <v>218</v>
      </c>
      <c r="S127" t="s">
        <v>244</v>
      </c>
    </row>
    <row r="128" spans="1:19" x14ac:dyDescent="0.35">
      <c r="A128" t="s">
        <v>69</v>
      </c>
      <c r="B128" t="s">
        <v>29</v>
      </c>
      <c r="C128" t="s">
        <v>38</v>
      </c>
      <c r="D128" t="s">
        <v>14</v>
      </c>
      <c r="E128" t="s">
        <v>15</v>
      </c>
      <c r="F128" t="s">
        <v>58</v>
      </c>
      <c r="G128" t="s">
        <v>24</v>
      </c>
      <c r="H128" t="s">
        <v>255</v>
      </c>
      <c r="I128" t="s">
        <v>220</v>
      </c>
      <c r="J128" t="s">
        <v>50</v>
      </c>
      <c r="K128" t="s">
        <v>256</v>
      </c>
      <c r="L128" t="s">
        <v>303</v>
      </c>
      <c r="M128" t="s">
        <v>304</v>
      </c>
      <c r="N128" t="s">
        <v>256</v>
      </c>
      <c r="O128" t="s">
        <v>215</v>
      </c>
      <c r="P128" t="s">
        <v>216</v>
      </c>
      <c r="Q128" t="s">
        <v>217</v>
      </c>
      <c r="R128" t="s">
        <v>218</v>
      </c>
      <c r="S128" t="s">
        <v>238</v>
      </c>
    </row>
    <row r="129" spans="1:19" x14ac:dyDescent="0.35">
      <c r="A129" t="s">
        <v>71</v>
      </c>
      <c r="B129" t="s">
        <v>12</v>
      </c>
      <c r="C129" t="s">
        <v>38</v>
      </c>
      <c r="D129" t="s">
        <v>26</v>
      </c>
      <c r="E129" t="s">
        <v>22</v>
      </c>
      <c r="F129" t="s">
        <v>16</v>
      </c>
      <c r="G129" t="s">
        <v>17</v>
      </c>
      <c r="H129" t="s">
        <v>275</v>
      </c>
      <c r="I129" t="s">
        <v>220</v>
      </c>
      <c r="J129" t="s">
        <v>32</v>
      </c>
      <c r="K129" t="s">
        <v>276</v>
      </c>
      <c r="L129" t="s">
        <v>337</v>
      </c>
      <c r="M129" t="s">
        <v>338</v>
      </c>
      <c r="N129" t="s">
        <v>276</v>
      </c>
      <c r="O129" t="s">
        <v>215</v>
      </c>
      <c r="P129" t="s">
        <v>216</v>
      </c>
      <c r="Q129" t="s">
        <v>217</v>
      </c>
      <c r="R129" t="s">
        <v>218</v>
      </c>
      <c r="S129" t="s">
        <v>265</v>
      </c>
    </row>
    <row r="130" spans="1:19" x14ac:dyDescent="0.35">
      <c r="A130" t="s">
        <v>48</v>
      </c>
      <c r="B130" t="s">
        <v>20</v>
      </c>
      <c r="C130" t="s">
        <v>38</v>
      </c>
      <c r="D130" t="s">
        <v>26</v>
      </c>
      <c r="E130" t="s">
        <v>22</v>
      </c>
      <c r="F130" t="s">
        <v>52</v>
      </c>
      <c r="G130" t="s">
        <v>36</v>
      </c>
      <c r="H130" t="s">
        <v>291</v>
      </c>
      <c r="I130" t="s">
        <v>238</v>
      </c>
      <c r="J130" t="s">
        <v>43</v>
      </c>
      <c r="K130" t="s">
        <v>292</v>
      </c>
      <c r="L130" t="s">
        <v>291</v>
      </c>
      <c r="M130" t="s">
        <v>292</v>
      </c>
      <c r="N130" t="s">
        <v>343</v>
      </c>
      <c r="O130" t="s">
        <v>215</v>
      </c>
      <c r="P130" t="s">
        <v>216</v>
      </c>
      <c r="Q130" t="s">
        <v>217</v>
      </c>
      <c r="R130" t="s">
        <v>218</v>
      </c>
      <c r="S130" t="s">
        <v>238</v>
      </c>
    </row>
    <row r="131" spans="1:19" x14ac:dyDescent="0.35">
      <c r="A131" t="s">
        <v>80</v>
      </c>
      <c r="B131" t="s">
        <v>12</v>
      </c>
      <c r="C131" t="s">
        <v>38</v>
      </c>
      <c r="D131" t="s">
        <v>26</v>
      </c>
      <c r="E131" t="s">
        <v>22</v>
      </c>
      <c r="F131" t="s">
        <v>35</v>
      </c>
      <c r="G131" t="s">
        <v>36</v>
      </c>
      <c r="H131" t="s">
        <v>224</v>
      </c>
      <c r="I131" t="s">
        <v>265</v>
      </c>
      <c r="J131" t="s">
        <v>50</v>
      </c>
      <c r="K131" t="s">
        <v>226</v>
      </c>
      <c r="L131" t="s">
        <v>289</v>
      </c>
      <c r="M131" t="s">
        <v>297</v>
      </c>
      <c r="N131" t="s">
        <v>231</v>
      </c>
      <c r="O131" t="s">
        <v>215</v>
      </c>
      <c r="P131" t="s">
        <v>216</v>
      </c>
      <c r="Q131" t="s">
        <v>217</v>
      </c>
      <c r="R131" t="s">
        <v>218</v>
      </c>
      <c r="S131" t="s">
        <v>265</v>
      </c>
    </row>
    <row r="132" spans="1:19" x14ac:dyDescent="0.35">
      <c r="A132" t="s">
        <v>37</v>
      </c>
      <c r="B132" t="s">
        <v>34</v>
      </c>
      <c r="C132" t="s">
        <v>38</v>
      </c>
      <c r="D132" t="s">
        <v>14</v>
      </c>
      <c r="E132" t="s">
        <v>22</v>
      </c>
      <c r="F132" t="s">
        <v>35</v>
      </c>
      <c r="G132" t="s">
        <v>36</v>
      </c>
      <c r="H132" t="s">
        <v>224</v>
      </c>
      <c r="I132" t="s">
        <v>265</v>
      </c>
      <c r="J132" t="s">
        <v>50</v>
      </c>
      <c r="K132" t="s">
        <v>226</v>
      </c>
      <c r="L132" t="s">
        <v>289</v>
      </c>
      <c r="M132" t="s">
        <v>297</v>
      </c>
      <c r="N132" t="s">
        <v>231</v>
      </c>
      <c r="O132" t="s">
        <v>215</v>
      </c>
      <c r="P132" t="s">
        <v>216</v>
      </c>
      <c r="Q132" t="s">
        <v>217</v>
      </c>
      <c r="R132" t="s">
        <v>218</v>
      </c>
      <c r="S132" t="s">
        <v>244</v>
      </c>
    </row>
    <row r="133" spans="1:19" x14ac:dyDescent="0.35">
      <c r="A133" t="s">
        <v>158</v>
      </c>
      <c r="B133" t="s">
        <v>20</v>
      </c>
      <c r="C133" t="s">
        <v>38</v>
      </c>
      <c r="D133" t="s">
        <v>26</v>
      </c>
      <c r="E133" t="s">
        <v>15</v>
      </c>
      <c r="F133" t="s">
        <v>31</v>
      </c>
      <c r="G133" t="s">
        <v>24</v>
      </c>
      <c r="H133" t="s">
        <v>252</v>
      </c>
      <c r="I133" t="s">
        <v>225</v>
      </c>
      <c r="J133" t="s">
        <v>32</v>
      </c>
      <c r="K133" t="s">
        <v>253</v>
      </c>
      <c r="L133" t="s">
        <v>224</v>
      </c>
      <c r="M133" t="s">
        <v>226</v>
      </c>
      <c r="N133" t="s">
        <v>252</v>
      </c>
      <c r="O133" t="s">
        <v>215</v>
      </c>
      <c r="P133" t="s">
        <v>216</v>
      </c>
      <c r="Q133" t="s">
        <v>217</v>
      </c>
      <c r="R133" t="s">
        <v>218</v>
      </c>
      <c r="S133" t="s">
        <v>244</v>
      </c>
    </row>
    <row r="134" spans="1:19" x14ac:dyDescent="0.35">
      <c r="A134" t="s">
        <v>19</v>
      </c>
      <c r="B134" t="s">
        <v>34</v>
      </c>
      <c r="C134" t="s">
        <v>38</v>
      </c>
      <c r="D134" t="s">
        <v>26</v>
      </c>
      <c r="E134" t="s">
        <v>22</v>
      </c>
      <c r="F134" t="s">
        <v>58</v>
      </c>
      <c r="G134" t="s">
        <v>24</v>
      </c>
      <c r="H134" t="s">
        <v>255</v>
      </c>
      <c r="I134" t="s">
        <v>225</v>
      </c>
      <c r="J134" t="s">
        <v>43</v>
      </c>
      <c r="K134" t="s">
        <v>256</v>
      </c>
      <c r="L134" t="s">
        <v>324</v>
      </c>
      <c r="M134" t="s">
        <v>303</v>
      </c>
      <c r="N134" t="s">
        <v>255</v>
      </c>
      <c r="O134" t="s">
        <v>215</v>
      </c>
      <c r="P134" t="s">
        <v>216</v>
      </c>
      <c r="Q134" t="s">
        <v>217</v>
      </c>
      <c r="R134" t="s">
        <v>218</v>
      </c>
      <c r="S134" t="s">
        <v>220</v>
      </c>
    </row>
    <row r="135" spans="1:19" x14ac:dyDescent="0.35">
      <c r="A135" t="s">
        <v>64</v>
      </c>
      <c r="B135" t="s">
        <v>34</v>
      </c>
      <c r="C135" t="s">
        <v>38</v>
      </c>
      <c r="D135" t="s">
        <v>26</v>
      </c>
      <c r="E135" t="s">
        <v>15</v>
      </c>
      <c r="F135" t="s">
        <v>39</v>
      </c>
      <c r="G135" t="s">
        <v>24</v>
      </c>
      <c r="H135" t="s">
        <v>209</v>
      </c>
      <c r="I135" t="s">
        <v>220</v>
      </c>
      <c r="J135" t="s">
        <v>54</v>
      </c>
      <c r="K135" t="s">
        <v>211</v>
      </c>
      <c r="L135" t="s">
        <v>302</v>
      </c>
      <c r="M135" t="s">
        <v>342</v>
      </c>
      <c r="N135" t="s">
        <v>211</v>
      </c>
      <c r="O135" t="s">
        <v>215</v>
      </c>
      <c r="P135" t="s">
        <v>216</v>
      </c>
      <c r="Q135" t="s">
        <v>217</v>
      </c>
      <c r="R135" t="s">
        <v>218</v>
      </c>
      <c r="S135" t="s">
        <v>265</v>
      </c>
    </row>
    <row r="136" spans="1:19" x14ac:dyDescent="0.35">
      <c r="A136" t="s">
        <v>137</v>
      </c>
      <c r="B136" t="s">
        <v>20</v>
      </c>
      <c r="C136" t="s">
        <v>38</v>
      </c>
      <c r="D136" t="s">
        <v>26</v>
      </c>
      <c r="E136" t="s">
        <v>22</v>
      </c>
      <c r="F136" t="s">
        <v>39</v>
      </c>
      <c r="G136" t="s">
        <v>24</v>
      </c>
      <c r="H136" t="s">
        <v>209</v>
      </c>
      <c r="I136" t="s">
        <v>240</v>
      </c>
      <c r="J136" t="s">
        <v>18</v>
      </c>
      <c r="K136" t="s">
        <v>211</v>
      </c>
      <c r="L136" t="s">
        <v>266</v>
      </c>
      <c r="M136" t="s">
        <v>267</v>
      </c>
      <c r="N136" t="s">
        <v>268</v>
      </c>
      <c r="O136" t="s">
        <v>215</v>
      </c>
      <c r="P136" t="s">
        <v>216</v>
      </c>
      <c r="Q136" t="s">
        <v>217</v>
      </c>
      <c r="R136" t="s">
        <v>218</v>
      </c>
      <c r="S136" t="s">
        <v>238</v>
      </c>
    </row>
    <row r="137" spans="1:19" x14ac:dyDescent="0.35">
      <c r="A137" t="s">
        <v>66</v>
      </c>
      <c r="B137" t="s">
        <v>12</v>
      </c>
      <c r="C137" t="s">
        <v>38</v>
      </c>
      <c r="D137" t="s">
        <v>14</v>
      </c>
      <c r="E137" t="s">
        <v>15</v>
      </c>
      <c r="F137" t="s">
        <v>39</v>
      </c>
      <c r="G137" t="s">
        <v>24</v>
      </c>
      <c r="H137" t="s">
        <v>209</v>
      </c>
      <c r="I137" t="s">
        <v>265</v>
      </c>
      <c r="J137" t="s">
        <v>54</v>
      </c>
      <c r="K137" t="s">
        <v>211</v>
      </c>
      <c r="L137" t="s">
        <v>214</v>
      </c>
      <c r="M137" t="s">
        <v>251</v>
      </c>
      <c r="N137" t="s">
        <v>247</v>
      </c>
      <c r="O137" t="s">
        <v>215</v>
      </c>
      <c r="P137" t="s">
        <v>216</v>
      </c>
      <c r="Q137" t="s">
        <v>217</v>
      </c>
      <c r="R137" t="s">
        <v>218</v>
      </c>
      <c r="S137" t="s">
        <v>244</v>
      </c>
    </row>
    <row r="138" spans="1:19" x14ac:dyDescent="0.35">
      <c r="A138" t="s">
        <v>69</v>
      </c>
      <c r="B138" t="s">
        <v>34</v>
      </c>
      <c r="C138" t="s">
        <v>38</v>
      </c>
      <c r="D138" t="s">
        <v>14</v>
      </c>
      <c r="E138" t="s">
        <v>15</v>
      </c>
      <c r="F138" t="s">
        <v>41</v>
      </c>
      <c r="G138" t="s">
        <v>17</v>
      </c>
      <c r="H138" t="s">
        <v>219</v>
      </c>
      <c r="I138" t="s">
        <v>220</v>
      </c>
      <c r="J138" t="s">
        <v>43</v>
      </c>
      <c r="K138" t="s">
        <v>221</v>
      </c>
      <c r="L138" t="s">
        <v>222</v>
      </c>
      <c r="M138" t="s">
        <v>223</v>
      </c>
      <c r="N138" t="s">
        <v>221</v>
      </c>
      <c r="O138" t="s">
        <v>215</v>
      </c>
      <c r="P138" t="s">
        <v>216</v>
      </c>
      <c r="Q138" t="s">
        <v>217</v>
      </c>
      <c r="R138" t="s">
        <v>218</v>
      </c>
      <c r="S138" t="s">
        <v>238</v>
      </c>
    </row>
    <row r="139" spans="1:19" x14ac:dyDescent="0.35">
      <c r="A139" t="s">
        <v>159</v>
      </c>
      <c r="B139" t="s">
        <v>12</v>
      </c>
      <c r="C139" t="s">
        <v>38</v>
      </c>
      <c r="D139" t="s">
        <v>14</v>
      </c>
      <c r="E139" t="s">
        <v>22</v>
      </c>
      <c r="F139" t="s">
        <v>16</v>
      </c>
      <c r="G139" t="s">
        <v>17</v>
      </c>
      <c r="H139" t="s">
        <v>275</v>
      </c>
      <c r="I139" t="s">
        <v>265</v>
      </c>
      <c r="J139" t="s">
        <v>43</v>
      </c>
      <c r="K139" t="s">
        <v>276</v>
      </c>
      <c r="L139" t="s">
        <v>316</v>
      </c>
      <c r="M139" t="s">
        <v>323</v>
      </c>
      <c r="N139" t="s">
        <v>344</v>
      </c>
      <c r="O139" t="s">
        <v>215</v>
      </c>
      <c r="P139" t="s">
        <v>216</v>
      </c>
      <c r="Q139" t="s">
        <v>217</v>
      </c>
      <c r="R139" t="s">
        <v>218</v>
      </c>
      <c r="S139" t="s">
        <v>265</v>
      </c>
    </row>
    <row r="140" spans="1:19" x14ac:dyDescent="0.35">
      <c r="A140" t="s">
        <v>72</v>
      </c>
      <c r="B140" t="s">
        <v>29</v>
      </c>
      <c r="C140" t="s">
        <v>38</v>
      </c>
      <c r="D140" t="s">
        <v>26</v>
      </c>
      <c r="E140" t="s">
        <v>22</v>
      </c>
      <c r="F140" t="s">
        <v>47</v>
      </c>
      <c r="G140" t="s">
        <v>36</v>
      </c>
      <c r="H140" t="s">
        <v>229</v>
      </c>
      <c r="I140" t="s">
        <v>244</v>
      </c>
      <c r="J140" t="s">
        <v>27</v>
      </c>
      <c r="K140" t="s">
        <v>231</v>
      </c>
      <c r="L140" t="s">
        <v>312</v>
      </c>
      <c r="M140" t="s">
        <v>214</v>
      </c>
      <c r="N140" t="s">
        <v>246</v>
      </c>
      <c r="O140" t="s">
        <v>215</v>
      </c>
      <c r="P140" t="s">
        <v>216</v>
      </c>
      <c r="Q140" t="s">
        <v>217</v>
      </c>
      <c r="R140" t="s">
        <v>218</v>
      </c>
      <c r="S140" t="s">
        <v>244</v>
      </c>
    </row>
    <row r="141" spans="1:19" x14ac:dyDescent="0.35">
      <c r="A141" t="s">
        <v>42</v>
      </c>
      <c r="B141" t="s">
        <v>34</v>
      </c>
      <c r="C141" t="s">
        <v>38</v>
      </c>
      <c r="D141" t="s">
        <v>26</v>
      </c>
      <c r="E141" t="s">
        <v>22</v>
      </c>
      <c r="F141" t="s">
        <v>39</v>
      </c>
      <c r="G141" t="s">
        <v>24</v>
      </c>
      <c r="H141" t="s">
        <v>209</v>
      </c>
      <c r="I141" t="s">
        <v>220</v>
      </c>
      <c r="J141" t="s">
        <v>27</v>
      </c>
      <c r="K141" t="s">
        <v>211</v>
      </c>
      <c r="L141" t="s">
        <v>302</v>
      </c>
      <c r="M141" t="s">
        <v>342</v>
      </c>
      <c r="N141" t="s">
        <v>211</v>
      </c>
      <c r="O141" t="s">
        <v>215</v>
      </c>
      <c r="P141" t="s">
        <v>216</v>
      </c>
      <c r="Q141" t="s">
        <v>217</v>
      </c>
      <c r="R141" t="s">
        <v>218</v>
      </c>
      <c r="S141" t="s">
        <v>265</v>
      </c>
    </row>
    <row r="142" spans="1:19" x14ac:dyDescent="0.35">
      <c r="A142" t="s">
        <v>64</v>
      </c>
      <c r="B142" t="s">
        <v>20</v>
      </c>
      <c r="C142" t="s">
        <v>38</v>
      </c>
      <c r="D142" t="s">
        <v>26</v>
      </c>
      <c r="E142" t="s">
        <v>15</v>
      </c>
      <c r="F142" t="s">
        <v>16</v>
      </c>
      <c r="G142" t="s">
        <v>17</v>
      </c>
      <c r="H142" t="s">
        <v>275</v>
      </c>
      <c r="I142" t="s">
        <v>249</v>
      </c>
      <c r="J142" t="s">
        <v>27</v>
      </c>
      <c r="K142" t="s">
        <v>276</v>
      </c>
      <c r="L142" t="s">
        <v>315</v>
      </c>
      <c r="M142" t="s">
        <v>322</v>
      </c>
      <c r="N142" t="s">
        <v>323</v>
      </c>
      <c r="O142" t="s">
        <v>215</v>
      </c>
      <c r="P142" t="s">
        <v>216</v>
      </c>
      <c r="Q142" t="s">
        <v>217</v>
      </c>
      <c r="R142" t="s">
        <v>218</v>
      </c>
      <c r="S142" t="s">
        <v>265</v>
      </c>
    </row>
    <row r="143" spans="1:19" x14ac:dyDescent="0.35">
      <c r="A143" t="s">
        <v>125</v>
      </c>
      <c r="B143" t="s">
        <v>12</v>
      </c>
      <c r="C143" t="s">
        <v>38</v>
      </c>
      <c r="D143" t="s">
        <v>14</v>
      </c>
      <c r="E143" t="s">
        <v>22</v>
      </c>
      <c r="F143" t="s">
        <v>52</v>
      </c>
      <c r="G143" t="s">
        <v>36</v>
      </c>
      <c r="H143" t="s">
        <v>291</v>
      </c>
      <c r="I143" t="s">
        <v>220</v>
      </c>
      <c r="J143" t="s">
        <v>50</v>
      </c>
      <c r="K143" t="s">
        <v>292</v>
      </c>
      <c r="L143" t="s">
        <v>333</v>
      </c>
      <c r="M143" t="s">
        <v>345</v>
      </c>
      <c r="N143" t="s">
        <v>292</v>
      </c>
      <c r="O143" t="s">
        <v>215</v>
      </c>
      <c r="P143" t="s">
        <v>216</v>
      </c>
      <c r="Q143" t="s">
        <v>217</v>
      </c>
      <c r="R143" t="s">
        <v>218</v>
      </c>
      <c r="S143" t="s">
        <v>220</v>
      </c>
    </row>
    <row r="144" spans="1:19" x14ac:dyDescent="0.35">
      <c r="A144" t="s">
        <v>87</v>
      </c>
      <c r="B144" t="s">
        <v>20</v>
      </c>
      <c r="C144" t="s">
        <v>38</v>
      </c>
      <c r="D144" t="s">
        <v>26</v>
      </c>
      <c r="E144" t="s">
        <v>22</v>
      </c>
      <c r="F144" t="s">
        <v>39</v>
      </c>
      <c r="G144" t="s">
        <v>24</v>
      </c>
      <c r="H144" t="s">
        <v>209</v>
      </c>
      <c r="I144" t="s">
        <v>244</v>
      </c>
      <c r="J144" t="s">
        <v>27</v>
      </c>
      <c r="K144" t="s">
        <v>211</v>
      </c>
      <c r="L144" t="s">
        <v>272</v>
      </c>
      <c r="M144" t="s">
        <v>273</v>
      </c>
      <c r="N144" t="s">
        <v>274</v>
      </c>
      <c r="O144" t="s">
        <v>215</v>
      </c>
      <c r="P144" t="s">
        <v>216</v>
      </c>
      <c r="Q144" t="s">
        <v>217</v>
      </c>
      <c r="R144" t="s">
        <v>218</v>
      </c>
      <c r="S144" t="s">
        <v>244</v>
      </c>
    </row>
    <row r="145" spans="1:19" x14ac:dyDescent="0.35">
      <c r="A145" t="s">
        <v>83</v>
      </c>
      <c r="B145" t="s">
        <v>20</v>
      </c>
      <c r="C145" t="s">
        <v>38</v>
      </c>
      <c r="D145" t="s">
        <v>14</v>
      </c>
      <c r="E145" t="s">
        <v>22</v>
      </c>
      <c r="F145" t="s">
        <v>47</v>
      </c>
      <c r="G145" t="s">
        <v>36</v>
      </c>
      <c r="H145" t="s">
        <v>229</v>
      </c>
      <c r="I145" t="s">
        <v>238</v>
      </c>
      <c r="J145" t="s">
        <v>32</v>
      </c>
      <c r="K145" t="s">
        <v>231</v>
      </c>
      <c r="L145" t="s">
        <v>229</v>
      </c>
      <c r="M145" t="s">
        <v>231</v>
      </c>
      <c r="N145" t="s">
        <v>239</v>
      </c>
      <c r="O145" t="s">
        <v>215</v>
      </c>
      <c r="P145" t="s">
        <v>216</v>
      </c>
      <c r="Q145" t="s">
        <v>217</v>
      </c>
      <c r="R145" t="s">
        <v>218</v>
      </c>
      <c r="S145" t="s">
        <v>238</v>
      </c>
    </row>
    <row r="146" spans="1:19" x14ac:dyDescent="0.35">
      <c r="A146" t="s">
        <v>100</v>
      </c>
      <c r="B146" t="s">
        <v>34</v>
      </c>
      <c r="C146" t="s">
        <v>38</v>
      </c>
      <c r="D146" t="s">
        <v>26</v>
      </c>
      <c r="E146" t="s">
        <v>22</v>
      </c>
      <c r="F146" t="s">
        <v>58</v>
      </c>
      <c r="G146" t="s">
        <v>24</v>
      </c>
      <c r="H146" t="s">
        <v>255</v>
      </c>
      <c r="I146" t="s">
        <v>210</v>
      </c>
      <c r="J146" t="s">
        <v>54</v>
      </c>
      <c r="K146" t="s">
        <v>256</v>
      </c>
      <c r="L146" t="s">
        <v>285</v>
      </c>
      <c r="M146" t="s">
        <v>286</v>
      </c>
      <c r="N146" t="s">
        <v>287</v>
      </c>
      <c r="O146" t="s">
        <v>215</v>
      </c>
      <c r="P146" t="s">
        <v>216</v>
      </c>
      <c r="Q146" t="s">
        <v>217</v>
      </c>
      <c r="R146" t="s">
        <v>218</v>
      </c>
      <c r="S146" t="s">
        <v>238</v>
      </c>
    </row>
    <row r="147" spans="1:19" x14ac:dyDescent="0.35">
      <c r="A147" t="s">
        <v>89</v>
      </c>
      <c r="B147" t="s">
        <v>12</v>
      </c>
      <c r="C147" t="s">
        <v>38</v>
      </c>
      <c r="D147" t="s">
        <v>14</v>
      </c>
      <c r="E147" t="s">
        <v>15</v>
      </c>
      <c r="F147" t="s">
        <v>52</v>
      </c>
      <c r="G147" t="s">
        <v>36</v>
      </c>
      <c r="H147" t="s">
        <v>291</v>
      </c>
      <c r="I147" t="s">
        <v>238</v>
      </c>
      <c r="J147" t="s">
        <v>32</v>
      </c>
      <c r="K147" t="s">
        <v>292</v>
      </c>
      <c r="L147" t="s">
        <v>291</v>
      </c>
      <c r="M147" t="s">
        <v>292</v>
      </c>
      <c r="N147" t="s">
        <v>343</v>
      </c>
      <c r="O147" t="s">
        <v>215</v>
      </c>
      <c r="P147" t="s">
        <v>216</v>
      </c>
      <c r="Q147" t="s">
        <v>217</v>
      </c>
      <c r="R147" t="s">
        <v>218</v>
      </c>
      <c r="S147" t="s">
        <v>244</v>
      </c>
    </row>
    <row r="148" spans="1:19" x14ac:dyDescent="0.35">
      <c r="A148" t="s">
        <v>123</v>
      </c>
      <c r="B148" t="s">
        <v>34</v>
      </c>
      <c r="C148" t="s">
        <v>38</v>
      </c>
      <c r="D148" t="s">
        <v>14</v>
      </c>
      <c r="E148" t="s">
        <v>15</v>
      </c>
      <c r="F148" t="s">
        <v>41</v>
      </c>
      <c r="G148" t="s">
        <v>17</v>
      </c>
      <c r="H148" t="s">
        <v>219</v>
      </c>
      <c r="I148" t="s">
        <v>265</v>
      </c>
      <c r="J148" t="s">
        <v>18</v>
      </c>
      <c r="K148" t="s">
        <v>221</v>
      </c>
      <c r="L148" t="s">
        <v>280</v>
      </c>
      <c r="M148" t="s">
        <v>321</v>
      </c>
      <c r="N148" t="s">
        <v>340</v>
      </c>
      <c r="O148" t="s">
        <v>215</v>
      </c>
      <c r="P148" t="s">
        <v>216</v>
      </c>
      <c r="Q148" t="s">
        <v>217</v>
      </c>
      <c r="R148" t="s">
        <v>218</v>
      </c>
      <c r="S148" t="s">
        <v>220</v>
      </c>
    </row>
    <row r="149" spans="1:19" x14ac:dyDescent="0.35">
      <c r="A149" t="s">
        <v>128</v>
      </c>
      <c r="B149" t="s">
        <v>29</v>
      </c>
      <c r="C149" t="s">
        <v>38</v>
      </c>
      <c r="D149" t="s">
        <v>26</v>
      </c>
      <c r="E149" t="s">
        <v>22</v>
      </c>
      <c r="F149" t="s">
        <v>23</v>
      </c>
      <c r="G149" t="s">
        <v>24</v>
      </c>
      <c r="H149" t="s">
        <v>239</v>
      </c>
      <c r="I149" t="s">
        <v>269</v>
      </c>
      <c r="J149" t="s">
        <v>27</v>
      </c>
      <c r="K149" t="s">
        <v>245</v>
      </c>
      <c r="L149" t="s">
        <v>309</v>
      </c>
      <c r="M149" t="s">
        <v>268</v>
      </c>
      <c r="N149" t="s">
        <v>310</v>
      </c>
      <c r="O149" t="s">
        <v>215</v>
      </c>
      <c r="P149" t="s">
        <v>216</v>
      </c>
      <c r="Q149" t="s">
        <v>217</v>
      </c>
      <c r="R149" t="s">
        <v>218</v>
      </c>
      <c r="S149" t="s">
        <v>220</v>
      </c>
    </row>
    <row r="150" spans="1:19" x14ac:dyDescent="0.35">
      <c r="A150" t="s">
        <v>102</v>
      </c>
      <c r="B150" t="s">
        <v>20</v>
      </c>
      <c r="C150" t="s">
        <v>38</v>
      </c>
      <c r="D150" t="s">
        <v>26</v>
      </c>
      <c r="E150" t="s">
        <v>15</v>
      </c>
      <c r="F150" t="s">
        <v>58</v>
      </c>
      <c r="G150" t="s">
        <v>24</v>
      </c>
      <c r="H150" t="s">
        <v>255</v>
      </c>
      <c r="I150" t="s">
        <v>269</v>
      </c>
      <c r="J150" t="s">
        <v>32</v>
      </c>
      <c r="K150" t="s">
        <v>256</v>
      </c>
      <c r="L150" t="s">
        <v>346</v>
      </c>
      <c r="M150" t="s">
        <v>347</v>
      </c>
      <c r="N150" t="s">
        <v>348</v>
      </c>
      <c r="O150" t="s">
        <v>215</v>
      </c>
      <c r="P150" t="s">
        <v>216</v>
      </c>
      <c r="Q150" t="s">
        <v>217</v>
      </c>
      <c r="R150" t="s">
        <v>218</v>
      </c>
      <c r="S150" t="s">
        <v>238</v>
      </c>
    </row>
    <row r="151" spans="1:19" x14ac:dyDescent="0.35">
      <c r="A151" t="s">
        <v>79</v>
      </c>
      <c r="B151" t="s">
        <v>34</v>
      </c>
      <c r="C151" t="s">
        <v>38</v>
      </c>
      <c r="D151" t="s">
        <v>26</v>
      </c>
      <c r="E151" t="s">
        <v>22</v>
      </c>
      <c r="F151" t="s">
        <v>56</v>
      </c>
      <c r="G151" t="s">
        <v>36</v>
      </c>
      <c r="H151" t="s">
        <v>260</v>
      </c>
      <c r="I151" t="s">
        <v>220</v>
      </c>
      <c r="J151" t="s">
        <v>32</v>
      </c>
      <c r="K151" t="s">
        <v>261</v>
      </c>
      <c r="L151" t="s">
        <v>335</v>
      </c>
      <c r="M151" t="s">
        <v>336</v>
      </c>
      <c r="N151" t="s">
        <v>261</v>
      </c>
      <c r="O151" t="s">
        <v>215</v>
      </c>
      <c r="P151" t="s">
        <v>216</v>
      </c>
      <c r="Q151" t="s">
        <v>217</v>
      </c>
      <c r="R151" t="s">
        <v>218</v>
      </c>
      <c r="S151" t="s">
        <v>238</v>
      </c>
    </row>
    <row r="152" spans="1:19" x14ac:dyDescent="0.35">
      <c r="A152" t="s">
        <v>46</v>
      </c>
      <c r="B152" t="s">
        <v>29</v>
      </c>
      <c r="C152" t="s">
        <v>38</v>
      </c>
      <c r="D152" t="s">
        <v>26</v>
      </c>
      <c r="E152" t="s">
        <v>22</v>
      </c>
      <c r="F152" t="s">
        <v>23</v>
      </c>
      <c r="G152" t="s">
        <v>24</v>
      </c>
      <c r="H152" t="s">
        <v>239</v>
      </c>
      <c r="I152" t="s">
        <v>210</v>
      </c>
      <c r="J152" t="s">
        <v>18</v>
      </c>
      <c r="K152" t="s">
        <v>245</v>
      </c>
      <c r="L152" t="s">
        <v>224</v>
      </c>
      <c r="M152" t="s">
        <v>226</v>
      </c>
      <c r="N152" t="s">
        <v>252</v>
      </c>
      <c r="O152" t="s">
        <v>215</v>
      </c>
      <c r="P152" t="s">
        <v>216</v>
      </c>
      <c r="Q152" t="s">
        <v>217</v>
      </c>
      <c r="R152" t="s">
        <v>218</v>
      </c>
      <c r="S152" t="s">
        <v>238</v>
      </c>
    </row>
    <row r="153" spans="1:19" x14ac:dyDescent="0.35">
      <c r="A153" t="s">
        <v>85</v>
      </c>
      <c r="B153" t="s">
        <v>29</v>
      </c>
      <c r="C153" t="s">
        <v>38</v>
      </c>
      <c r="D153" t="s">
        <v>26</v>
      </c>
      <c r="E153" t="s">
        <v>22</v>
      </c>
      <c r="F153" t="s">
        <v>52</v>
      </c>
      <c r="G153" t="s">
        <v>36</v>
      </c>
      <c r="H153" t="s">
        <v>291</v>
      </c>
      <c r="I153" t="s">
        <v>249</v>
      </c>
      <c r="J153" t="s">
        <v>54</v>
      </c>
      <c r="K153" t="s">
        <v>292</v>
      </c>
      <c r="L153" t="s">
        <v>299</v>
      </c>
      <c r="M153" t="s">
        <v>300</v>
      </c>
      <c r="N153" t="s">
        <v>293</v>
      </c>
      <c r="O153" t="s">
        <v>215</v>
      </c>
      <c r="P153" t="s">
        <v>216</v>
      </c>
      <c r="Q153" t="s">
        <v>217</v>
      </c>
      <c r="R153" t="s">
        <v>218</v>
      </c>
      <c r="S153" t="s">
        <v>238</v>
      </c>
    </row>
    <row r="154" spans="1:19" x14ac:dyDescent="0.35">
      <c r="A154" t="s">
        <v>109</v>
      </c>
      <c r="B154" t="s">
        <v>29</v>
      </c>
      <c r="C154" t="s">
        <v>38</v>
      </c>
      <c r="D154" t="s">
        <v>26</v>
      </c>
      <c r="E154" t="s">
        <v>22</v>
      </c>
      <c r="F154" t="s">
        <v>23</v>
      </c>
      <c r="G154" t="s">
        <v>24</v>
      </c>
      <c r="H154" t="s">
        <v>239</v>
      </c>
      <c r="I154" t="s">
        <v>265</v>
      </c>
      <c r="J154" t="s">
        <v>27</v>
      </c>
      <c r="K154" t="s">
        <v>245</v>
      </c>
      <c r="L154" t="s">
        <v>252</v>
      </c>
      <c r="M154" t="s">
        <v>253</v>
      </c>
      <c r="N154" t="s">
        <v>313</v>
      </c>
      <c r="O154" t="s">
        <v>215</v>
      </c>
      <c r="P154" t="s">
        <v>216</v>
      </c>
      <c r="Q154" t="s">
        <v>217</v>
      </c>
      <c r="R154" t="s">
        <v>218</v>
      </c>
      <c r="S154" t="s">
        <v>265</v>
      </c>
    </row>
    <row r="155" spans="1:19" x14ac:dyDescent="0.35">
      <c r="A155" t="s">
        <v>73</v>
      </c>
      <c r="B155" t="s">
        <v>34</v>
      </c>
      <c r="C155" t="s">
        <v>38</v>
      </c>
      <c r="D155" t="s">
        <v>26</v>
      </c>
      <c r="E155" t="s">
        <v>22</v>
      </c>
      <c r="F155" t="s">
        <v>47</v>
      </c>
      <c r="G155" t="s">
        <v>36</v>
      </c>
      <c r="H155" t="s">
        <v>229</v>
      </c>
      <c r="I155" t="s">
        <v>244</v>
      </c>
      <c r="J155" t="s">
        <v>18</v>
      </c>
      <c r="K155" t="s">
        <v>231</v>
      </c>
      <c r="L155" t="s">
        <v>312</v>
      </c>
      <c r="M155" t="s">
        <v>214</v>
      </c>
      <c r="N155" t="s">
        <v>246</v>
      </c>
      <c r="O155" t="s">
        <v>215</v>
      </c>
      <c r="P155" t="s">
        <v>216</v>
      </c>
      <c r="Q155" t="s">
        <v>217</v>
      </c>
      <c r="R155" t="s">
        <v>218</v>
      </c>
      <c r="S155" t="s">
        <v>265</v>
      </c>
    </row>
    <row r="156" spans="1:19" x14ac:dyDescent="0.35">
      <c r="A156" t="s">
        <v>161</v>
      </c>
      <c r="B156" t="s">
        <v>34</v>
      </c>
      <c r="C156" t="s">
        <v>38</v>
      </c>
      <c r="D156" t="s">
        <v>14</v>
      </c>
      <c r="E156" t="s">
        <v>15</v>
      </c>
      <c r="F156" t="s">
        <v>58</v>
      </c>
      <c r="G156" t="s">
        <v>24</v>
      </c>
      <c r="H156" t="s">
        <v>255</v>
      </c>
      <c r="I156" t="s">
        <v>210</v>
      </c>
      <c r="J156" t="s">
        <v>18</v>
      </c>
      <c r="K156" t="s">
        <v>256</v>
      </c>
      <c r="L156" t="s">
        <v>285</v>
      </c>
      <c r="M156" t="s">
        <v>286</v>
      </c>
      <c r="N156" t="s">
        <v>287</v>
      </c>
      <c r="O156" t="s">
        <v>215</v>
      </c>
      <c r="P156" t="s">
        <v>216</v>
      </c>
      <c r="Q156" t="s">
        <v>217</v>
      </c>
      <c r="R156" t="s">
        <v>218</v>
      </c>
      <c r="S156" t="s">
        <v>238</v>
      </c>
    </row>
    <row r="157" spans="1:19" x14ac:dyDescent="0.35">
      <c r="A157" t="s">
        <v>124</v>
      </c>
      <c r="B157" t="s">
        <v>29</v>
      </c>
      <c r="C157" t="s">
        <v>38</v>
      </c>
      <c r="D157" t="s">
        <v>14</v>
      </c>
      <c r="E157" t="s">
        <v>22</v>
      </c>
      <c r="F157" t="s">
        <v>47</v>
      </c>
      <c r="G157" t="s">
        <v>36</v>
      </c>
      <c r="H157" t="s">
        <v>229</v>
      </c>
      <c r="I157" t="s">
        <v>240</v>
      </c>
      <c r="J157" t="s">
        <v>54</v>
      </c>
      <c r="K157" t="s">
        <v>231</v>
      </c>
      <c r="L157" t="s">
        <v>301</v>
      </c>
      <c r="M157" t="s">
        <v>302</v>
      </c>
      <c r="N157" t="s">
        <v>209</v>
      </c>
      <c r="O157" t="s">
        <v>215</v>
      </c>
      <c r="P157" t="s">
        <v>216</v>
      </c>
      <c r="Q157" t="s">
        <v>217</v>
      </c>
      <c r="R157" t="s">
        <v>218</v>
      </c>
      <c r="S157" t="s">
        <v>238</v>
      </c>
    </row>
    <row r="158" spans="1:19" x14ac:dyDescent="0.35">
      <c r="A158" t="s">
        <v>98</v>
      </c>
      <c r="B158" t="s">
        <v>20</v>
      </c>
      <c r="C158" t="s">
        <v>38</v>
      </c>
      <c r="D158" t="s">
        <v>26</v>
      </c>
      <c r="E158" t="s">
        <v>22</v>
      </c>
      <c r="F158" t="s">
        <v>52</v>
      </c>
      <c r="G158" t="s">
        <v>36</v>
      </c>
      <c r="H158" t="s">
        <v>291</v>
      </c>
      <c r="I158" t="s">
        <v>265</v>
      </c>
      <c r="J158" t="s">
        <v>54</v>
      </c>
      <c r="K158" t="s">
        <v>292</v>
      </c>
      <c r="L158" t="s">
        <v>233</v>
      </c>
      <c r="M158" t="s">
        <v>293</v>
      </c>
      <c r="N158" t="s">
        <v>294</v>
      </c>
      <c r="O158" t="s">
        <v>215</v>
      </c>
      <c r="P158" t="s">
        <v>216</v>
      </c>
      <c r="Q158" t="s">
        <v>217</v>
      </c>
      <c r="R158" t="s">
        <v>218</v>
      </c>
      <c r="S158" t="s">
        <v>220</v>
      </c>
    </row>
    <row r="159" spans="1:19" x14ac:dyDescent="0.35">
      <c r="A159" t="s">
        <v>100</v>
      </c>
      <c r="B159" t="s">
        <v>20</v>
      </c>
      <c r="C159" t="s">
        <v>38</v>
      </c>
      <c r="D159" t="s">
        <v>14</v>
      </c>
      <c r="E159" t="s">
        <v>22</v>
      </c>
      <c r="F159" t="s">
        <v>39</v>
      </c>
      <c r="G159" t="s">
        <v>24</v>
      </c>
      <c r="H159" t="s">
        <v>209</v>
      </c>
      <c r="I159" t="s">
        <v>240</v>
      </c>
      <c r="J159" t="s">
        <v>54</v>
      </c>
      <c r="K159" t="s">
        <v>211</v>
      </c>
      <c r="L159" t="s">
        <v>266</v>
      </c>
      <c r="M159" t="s">
        <v>267</v>
      </c>
      <c r="N159" t="s">
        <v>268</v>
      </c>
      <c r="O159" t="s">
        <v>215</v>
      </c>
      <c r="P159" t="s">
        <v>216</v>
      </c>
      <c r="Q159" t="s">
        <v>217</v>
      </c>
      <c r="R159" t="s">
        <v>218</v>
      </c>
      <c r="S159" t="s">
        <v>238</v>
      </c>
    </row>
    <row r="160" spans="1:19" x14ac:dyDescent="0.35">
      <c r="A160" t="s">
        <v>100</v>
      </c>
      <c r="B160" t="s">
        <v>12</v>
      </c>
      <c r="C160" t="s">
        <v>38</v>
      </c>
      <c r="D160" t="s">
        <v>26</v>
      </c>
      <c r="E160" t="s">
        <v>15</v>
      </c>
      <c r="F160" t="s">
        <v>35</v>
      </c>
      <c r="G160" t="s">
        <v>36</v>
      </c>
      <c r="H160" t="s">
        <v>224</v>
      </c>
      <c r="I160" t="s">
        <v>238</v>
      </c>
      <c r="J160" t="s">
        <v>27</v>
      </c>
      <c r="K160" t="s">
        <v>226</v>
      </c>
      <c r="L160" t="s">
        <v>224</v>
      </c>
      <c r="M160" t="s">
        <v>226</v>
      </c>
      <c r="N160" t="s">
        <v>252</v>
      </c>
      <c r="O160" t="s">
        <v>215</v>
      </c>
      <c r="P160" t="s">
        <v>216</v>
      </c>
      <c r="Q160" t="s">
        <v>217</v>
      </c>
      <c r="R160" t="s">
        <v>218</v>
      </c>
      <c r="S160" t="s">
        <v>238</v>
      </c>
    </row>
    <row r="161" spans="1:19" x14ac:dyDescent="0.35">
      <c r="A161" t="s">
        <v>63</v>
      </c>
      <c r="B161" t="s">
        <v>12</v>
      </c>
      <c r="C161" t="s">
        <v>38</v>
      </c>
      <c r="D161" t="s">
        <v>14</v>
      </c>
      <c r="E161" t="s">
        <v>22</v>
      </c>
      <c r="F161" t="s">
        <v>47</v>
      </c>
      <c r="G161" t="s">
        <v>36</v>
      </c>
      <c r="H161" t="s">
        <v>229</v>
      </c>
      <c r="I161" t="s">
        <v>244</v>
      </c>
      <c r="J161" t="s">
        <v>27</v>
      </c>
      <c r="K161" t="s">
        <v>231</v>
      </c>
      <c r="L161" t="s">
        <v>312</v>
      </c>
      <c r="M161" t="s">
        <v>214</v>
      </c>
      <c r="N161" t="s">
        <v>246</v>
      </c>
      <c r="O161" t="s">
        <v>215</v>
      </c>
      <c r="P161" t="s">
        <v>216</v>
      </c>
      <c r="Q161" t="s">
        <v>217</v>
      </c>
      <c r="R161" t="s">
        <v>218</v>
      </c>
      <c r="S161" t="s">
        <v>220</v>
      </c>
    </row>
    <row r="162" spans="1:19" x14ac:dyDescent="0.35">
      <c r="A162" t="s">
        <v>133</v>
      </c>
      <c r="B162" t="s">
        <v>12</v>
      </c>
      <c r="C162" t="s">
        <v>38</v>
      </c>
      <c r="D162" t="s">
        <v>14</v>
      </c>
      <c r="E162" t="s">
        <v>15</v>
      </c>
      <c r="F162" t="s">
        <v>47</v>
      </c>
      <c r="G162" t="s">
        <v>36</v>
      </c>
      <c r="H162" t="s">
        <v>229</v>
      </c>
      <c r="I162" t="s">
        <v>220</v>
      </c>
      <c r="J162" t="s">
        <v>18</v>
      </c>
      <c r="K162" t="s">
        <v>231</v>
      </c>
      <c r="L162" t="s">
        <v>289</v>
      </c>
      <c r="M162" t="s">
        <v>297</v>
      </c>
      <c r="N162" t="s">
        <v>231</v>
      </c>
      <c r="O162" t="s">
        <v>215</v>
      </c>
      <c r="P162" t="s">
        <v>216</v>
      </c>
      <c r="Q162" t="s">
        <v>217</v>
      </c>
      <c r="R162" t="s">
        <v>218</v>
      </c>
      <c r="S162" t="s">
        <v>265</v>
      </c>
    </row>
    <row r="163" spans="1:19" x14ac:dyDescent="0.35">
      <c r="A163" t="s">
        <v>88</v>
      </c>
      <c r="B163" t="s">
        <v>20</v>
      </c>
      <c r="C163" t="s">
        <v>38</v>
      </c>
      <c r="D163" t="s">
        <v>26</v>
      </c>
      <c r="E163" t="s">
        <v>15</v>
      </c>
      <c r="F163" t="s">
        <v>16</v>
      </c>
      <c r="G163" t="s">
        <v>17</v>
      </c>
      <c r="H163" t="s">
        <v>275</v>
      </c>
      <c r="I163" t="s">
        <v>210</v>
      </c>
      <c r="J163" t="s">
        <v>27</v>
      </c>
      <c r="K163" t="s">
        <v>276</v>
      </c>
      <c r="L163" t="s">
        <v>314</v>
      </c>
      <c r="M163" t="s">
        <v>315</v>
      </c>
      <c r="N163" t="s">
        <v>316</v>
      </c>
      <c r="O163" t="s">
        <v>215</v>
      </c>
      <c r="P163" t="s">
        <v>216</v>
      </c>
      <c r="Q163" t="s">
        <v>217</v>
      </c>
      <c r="R163" t="s">
        <v>218</v>
      </c>
      <c r="S163" t="s">
        <v>244</v>
      </c>
    </row>
    <row r="164" spans="1:19" x14ac:dyDescent="0.35">
      <c r="A164" t="s">
        <v>122</v>
      </c>
      <c r="B164" t="s">
        <v>12</v>
      </c>
      <c r="C164" t="s">
        <v>38</v>
      </c>
      <c r="D164" t="s">
        <v>26</v>
      </c>
      <c r="E164" t="s">
        <v>22</v>
      </c>
      <c r="F164" t="s">
        <v>47</v>
      </c>
      <c r="G164" t="s">
        <v>36</v>
      </c>
      <c r="H164" t="s">
        <v>229</v>
      </c>
      <c r="I164" t="s">
        <v>244</v>
      </c>
      <c r="J164" t="s">
        <v>50</v>
      </c>
      <c r="K164" t="s">
        <v>231</v>
      </c>
      <c r="L164" t="s">
        <v>312</v>
      </c>
      <c r="M164" t="s">
        <v>214</v>
      </c>
      <c r="N164" t="s">
        <v>246</v>
      </c>
      <c r="O164" t="s">
        <v>215</v>
      </c>
      <c r="P164" t="s">
        <v>216</v>
      </c>
      <c r="Q164" t="s">
        <v>217</v>
      </c>
      <c r="R164" t="s">
        <v>218</v>
      </c>
      <c r="S164" t="s">
        <v>220</v>
      </c>
    </row>
    <row r="165" spans="1:19" x14ac:dyDescent="0.35">
      <c r="A165" t="s">
        <v>55</v>
      </c>
      <c r="B165" t="s">
        <v>29</v>
      </c>
      <c r="C165" t="s">
        <v>38</v>
      </c>
      <c r="D165" t="s">
        <v>14</v>
      </c>
      <c r="E165" t="s">
        <v>22</v>
      </c>
      <c r="F165" t="s">
        <v>58</v>
      </c>
      <c r="G165" t="s">
        <v>24</v>
      </c>
      <c r="H165" t="s">
        <v>255</v>
      </c>
      <c r="I165" t="s">
        <v>238</v>
      </c>
      <c r="J165" t="s">
        <v>43</v>
      </c>
      <c r="K165" t="s">
        <v>256</v>
      </c>
      <c r="L165" t="s">
        <v>255</v>
      </c>
      <c r="M165" t="s">
        <v>256</v>
      </c>
      <c r="N165" t="s">
        <v>334</v>
      </c>
      <c r="O165" t="s">
        <v>215</v>
      </c>
      <c r="P165" t="s">
        <v>216</v>
      </c>
      <c r="Q165" t="s">
        <v>217</v>
      </c>
      <c r="R165" t="s">
        <v>218</v>
      </c>
      <c r="S165" t="s">
        <v>220</v>
      </c>
    </row>
    <row r="166" spans="1:19" x14ac:dyDescent="0.35">
      <c r="A166" t="s">
        <v>129</v>
      </c>
      <c r="B166" t="s">
        <v>20</v>
      </c>
      <c r="C166" t="s">
        <v>38</v>
      </c>
      <c r="D166" t="s">
        <v>26</v>
      </c>
      <c r="E166" t="s">
        <v>15</v>
      </c>
      <c r="F166" t="s">
        <v>16</v>
      </c>
      <c r="G166" t="s">
        <v>17</v>
      </c>
      <c r="H166" t="s">
        <v>275</v>
      </c>
      <c r="I166" t="s">
        <v>220</v>
      </c>
      <c r="J166" t="s">
        <v>27</v>
      </c>
      <c r="K166" t="s">
        <v>276</v>
      </c>
      <c r="L166" t="s">
        <v>337</v>
      </c>
      <c r="M166" t="s">
        <v>338</v>
      </c>
      <c r="N166" t="s">
        <v>276</v>
      </c>
      <c r="O166" t="s">
        <v>215</v>
      </c>
      <c r="P166" t="s">
        <v>216</v>
      </c>
      <c r="Q166" t="s">
        <v>217</v>
      </c>
      <c r="R166" t="s">
        <v>218</v>
      </c>
      <c r="S166" t="s">
        <v>265</v>
      </c>
    </row>
    <row r="167" spans="1:19" x14ac:dyDescent="0.35">
      <c r="A167" t="s">
        <v>117</v>
      </c>
      <c r="B167" t="s">
        <v>34</v>
      </c>
      <c r="C167" t="s">
        <v>38</v>
      </c>
      <c r="D167" t="s">
        <v>26</v>
      </c>
      <c r="E167" t="s">
        <v>15</v>
      </c>
      <c r="F167" t="s">
        <v>52</v>
      </c>
      <c r="G167" t="s">
        <v>36</v>
      </c>
      <c r="H167" t="s">
        <v>291</v>
      </c>
      <c r="I167" t="s">
        <v>240</v>
      </c>
      <c r="J167" t="s">
        <v>32</v>
      </c>
      <c r="K167" t="s">
        <v>292</v>
      </c>
      <c r="L167" t="s">
        <v>349</v>
      </c>
      <c r="M167" t="s">
        <v>350</v>
      </c>
      <c r="N167" t="s">
        <v>351</v>
      </c>
      <c r="O167" t="s">
        <v>215</v>
      </c>
      <c r="P167" t="s">
        <v>216</v>
      </c>
      <c r="Q167" t="s">
        <v>217</v>
      </c>
      <c r="R167" t="s">
        <v>218</v>
      </c>
      <c r="S167" t="s">
        <v>220</v>
      </c>
    </row>
    <row r="168" spans="1:19" x14ac:dyDescent="0.35">
      <c r="A168" t="s">
        <v>87</v>
      </c>
      <c r="B168" t="s">
        <v>12</v>
      </c>
      <c r="C168" t="s">
        <v>38</v>
      </c>
      <c r="D168" t="s">
        <v>14</v>
      </c>
      <c r="E168" t="s">
        <v>22</v>
      </c>
      <c r="F168" t="s">
        <v>39</v>
      </c>
      <c r="G168" t="s">
        <v>24</v>
      </c>
      <c r="H168" t="s">
        <v>209</v>
      </c>
      <c r="I168" t="s">
        <v>249</v>
      </c>
      <c r="J168" t="s">
        <v>50</v>
      </c>
      <c r="K168" t="s">
        <v>211</v>
      </c>
      <c r="L168" t="s">
        <v>213</v>
      </c>
      <c r="M168" t="s">
        <v>250</v>
      </c>
      <c r="N168" t="s">
        <v>251</v>
      </c>
      <c r="O168" t="s">
        <v>215</v>
      </c>
      <c r="P168" t="s">
        <v>216</v>
      </c>
      <c r="Q168" t="s">
        <v>217</v>
      </c>
      <c r="R168" t="s">
        <v>218</v>
      </c>
      <c r="S168" t="s">
        <v>244</v>
      </c>
    </row>
    <row r="169" spans="1:19" x14ac:dyDescent="0.35">
      <c r="A169" t="s">
        <v>93</v>
      </c>
      <c r="B169" t="s">
        <v>12</v>
      </c>
      <c r="C169" t="s">
        <v>38</v>
      </c>
      <c r="D169" t="s">
        <v>14</v>
      </c>
      <c r="E169" t="s">
        <v>15</v>
      </c>
      <c r="F169" t="s">
        <v>56</v>
      </c>
      <c r="G169" t="s">
        <v>36</v>
      </c>
      <c r="H169" t="s">
        <v>260</v>
      </c>
      <c r="I169" t="s">
        <v>244</v>
      </c>
      <c r="J169" t="s">
        <v>18</v>
      </c>
      <c r="K169" t="s">
        <v>261</v>
      </c>
      <c r="L169" t="s">
        <v>288</v>
      </c>
      <c r="M169" t="s">
        <v>289</v>
      </c>
      <c r="N169" t="s">
        <v>229</v>
      </c>
      <c r="O169" t="s">
        <v>215</v>
      </c>
      <c r="P169" t="s">
        <v>216</v>
      </c>
      <c r="Q169" t="s">
        <v>217</v>
      </c>
      <c r="R169" t="s">
        <v>218</v>
      </c>
      <c r="S169" t="s">
        <v>220</v>
      </c>
    </row>
    <row r="170" spans="1:19" x14ac:dyDescent="0.35">
      <c r="A170" t="s">
        <v>155</v>
      </c>
      <c r="B170" t="s">
        <v>34</v>
      </c>
      <c r="C170" t="s">
        <v>38</v>
      </c>
      <c r="D170" t="s">
        <v>14</v>
      </c>
      <c r="E170" t="s">
        <v>22</v>
      </c>
      <c r="F170" t="s">
        <v>35</v>
      </c>
      <c r="G170" t="s">
        <v>36</v>
      </c>
      <c r="H170" t="s">
        <v>224</v>
      </c>
      <c r="I170" t="s">
        <v>230</v>
      </c>
      <c r="J170" t="s">
        <v>54</v>
      </c>
      <c r="K170" t="s">
        <v>226</v>
      </c>
      <c r="L170" t="s">
        <v>332</v>
      </c>
      <c r="M170" t="s">
        <v>333</v>
      </c>
      <c r="N170" t="s">
        <v>291</v>
      </c>
      <c r="O170" t="s">
        <v>215</v>
      </c>
      <c r="P170" t="s">
        <v>216</v>
      </c>
      <c r="Q170" t="s">
        <v>217</v>
      </c>
      <c r="R170" t="s">
        <v>218</v>
      </c>
      <c r="S170" t="s">
        <v>238</v>
      </c>
    </row>
    <row r="171" spans="1:19" x14ac:dyDescent="0.35">
      <c r="A171" t="s">
        <v>134</v>
      </c>
      <c r="B171" t="s">
        <v>34</v>
      </c>
      <c r="C171" t="s">
        <v>38</v>
      </c>
      <c r="D171" t="s">
        <v>26</v>
      </c>
      <c r="E171" t="s">
        <v>22</v>
      </c>
      <c r="F171" t="s">
        <v>56</v>
      </c>
      <c r="G171" t="s">
        <v>36</v>
      </c>
      <c r="H171" t="s">
        <v>260</v>
      </c>
      <c r="I171" t="s">
        <v>238</v>
      </c>
      <c r="J171" t="s">
        <v>50</v>
      </c>
      <c r="K171" t="s">
        <v>261</v>
      </c>
      <c r="L171" t="s">
        <v>260</v>
      </c>
      <c r="M171" t="s">
        <v>261</v>
      </c>
      <c r="N171" t="s">
        <v>352</v>
      </c>
      <c r="O171" t="s">
        <v>215</v>
      </c>
      <c r="P171" t="s">
        <v>216</v>
      </c>
      <c r="Q171" t="s">
        <v>217</v>
      </c>
      <c r="R171" t="s">
        <v>218</v>
      </c>
      <c r="S171" t="s">
        <v>220</v>
      </c>
    </row>
    <row r="172" spans="1:19" x14ac:dyDescent="0.35">
      <c r="A172" t="s">
        <v>104</v>
      </c>
      <c r="B172" t="s">
        <v>12</v>
      </c>
      <c r="C172" t="s">
        <v>38</v>
      </c>
      <c r="D172" t="s">
        <v>14</v>
      </c>
      <c r="E172" t="s">
        <v>22</v>
      </c>
      <c r="F172" t="s">
        <v>31</v>
      </c>
      <c r="G172" t="s">
        <v>24</v>
      </c>
      <c r="H172" t="s">
        <v>252</v>
      </c>
      <c r="I172" t="s">
        <v>244</v>
      </c>
      <c r="J172" t="s">
        <v>18</v>
      </c>
      <c r="K172" t="s">
        <v>253</v>
      </c>
      <c r="L172" t="s">
        <v>209</v>
      </c>
      <c r="M172" t="s">
        <v>211</v>
      </c>
      <c r="N172" t="s">
        <v>254</v>
      </c>
      <c r="O172" t="s">
        <v>215</v>
      </c>
      <c r="P172" t="s">
        <v>216</v>
      </c>
      <c r="Q172" t="s">
        <v>217</v>
      </c>
      <c r="R172" t="s">
        <v>218</v>
      </c>
      <c r="S172" t="s">
        <v>265</v>
      </c>
    </row>
    <row r="173" spans="1:19" x14ac:dyDescent="0.35">
      <c r="A173" t="s">
        <v>121</v>
      </c>
      <c r="B173" t="s">
        <v>34</v>
      </c>
      <c r="C173" t="s">
        <v>38</v>
      </c>
      <c r="D173" t="s">
        <v>26</v>
      </c>
      <c r="E173" t="s">
        <v>22</v>
      </c>
      <c r="F173" t="s">
        <v>31</v>
      </c>
      <c r="G173" t="s">
        <v>24</v>
      </c>
      <c r="H173" t="s">
        <v>252</v>
      </c>
      <c r="I173" t="s">
        <v>249</v>
      </c>
      <c r="J173" t="s">
        <v>27</v>
      </c>
      <c r="K173" t="s">
        <v>253</v>
      </c>
      <c r="L173" t="s">
        <v>297</v>
      </c>
      <c r="M173" t="s">
        <v>243</v>
      </c>
      <c r="N173" t="s">
        <v>311</v>
      </c>
      <c r="O173" t="s">
        <v>215</v>
      </c>
      <c r="P173" t="s">
        <v>216</v>
      </c>
      <c r="Q173" t="s">
        <v>217</v>
      </c>
      <c r="R173" t="s">
        <v>218</v>
      </c>
      <c r="S173" t="s">
        <v>265</v>
      </c>
    </row>
    <row r="174" spans="1:19" x14ac:dyDescent="0.35">
      <c r="A174" t="s">
        <v>134</v>
      </c>
      <c r="B174" t="s">
        <v>34</v>
      </c>
      <c r="C174" t="s">
        <v>38</v>
      </c>
      <c r="D174" t="s">
        <v>26</v>
      </c>
      <c r="E174" t="s">
        <v>15</v>
      </c>
      <c r="F174" t="s">
        <v>23</v>
      </c>
      <c r="G174" t="s">
        <v>24</v>
      </c>
      <c r="H174" t="s">
        <v>239</v>
      </c>
      <c r="I174" t="s">
        <v>238</v>
      </c>
      <c r="J174" t="s">
        <v>43</v>
      </c>
      <c r="K174" t="s">
        <v>245</v>
      </c>
      <c r="L174" t="s">
        <v>239</v>
      </c>
      <c r="M174" t="s">
        <v>245</v>
      </c>
      <c r="N174" t="s">
        <v>353</v>
      </c>
      <c r="O174" t="s">
        <v>215</v>
      </c>
      <c r="P174" t="s">
        <v>216</v>
      </c>
      <c r="Q174" t="s">
        <v>217</v>
      </c>
      <c r="R174" t="s">
        <v>218</v>
      </c>
      <c r="S174" t="s">
        <v>220</v>
      </c>
    </row>
    <row r="175" spans="1:19" x14ac:dyDescent="0.35">
      <c r="A175" t="s">
        <v>72</v>
      </c>
      <c r="B175" t="s">
        <v>29</v>
      </c>
      <c r="C175" t="s">
        <v>38</v>
      </c>
      <c r="D175" t="s">
        <v>26</v>
      </c>
      <c r="E175" t="s">
        <v>22</v>
      </c>
      <c r="F175" t="s">
        <v>56</v>
      </c>
      <c r="G175" t="s">
        <v>36</v>
      </c>
      <c r="H175" t="s">
        <v>260</v>
      </c>
      <c r="I175" t="s">
        <v>220</v>
      </c>
      <c r="J175" t="s">
        <v>43</v>
      </c>
      <c r="K175" t="s">
        <v>261</v>
      </c>
      <c r="L175" t="s">
        <v>335</v>
      </c>
      <c r="M175" t="s">
        <v>336</v>
      </c>
      <c r="N175" t="s">
        <v>261</v>
      </c>
      <c r="O175" t="s">
        <v>215</v>
      </c>
      <c r="P175" t="s">
        <v>216</v>
      </c>
      <c r="Q175" t="s">
        <v>217</v>
      </c>
      <c r="R175" t="s">
        <v>218</v>
      </c>
      <c r="S175" t="s">
        <v>244</v>
      </c>
    </row>
    <row r="176" spans="1:19" x14ac:dyDescent="0.35">
      <c r="A176" t="s">
        <v>131</v>
      </c>
      <c r="B176" t="s">
        <v>29</v>
      </c>
      <c r="C176" t="s">
        <v>38</v>
      </c>
      <c r="D176" t="s">
        <v>26</v>
      </c>
      <c r="E176" t="s">
        <v>22</v>
      </c>
      <c r="F176" t="s">
        <v>39</v>
      </c>
      <c r="G176" t="s">
        <v>24</v>
      </c>
      <c r="H176" t="s">
        <v>209</v>
      </c>
      <c r="I176" t="s">
        <v>249</v>
      </c>
      <c r="J176" t="s">
        <v>54</v>
      </c>
      <c r="K176" t="s">
        <v>211</v>
      </c>
      <c r="L176" t="s">
        <v>213</v>
      </c>
      <c r="M176" t="s">
        <v>250</v>
      </c>
      <c r="N176" t="s">
        <v>251</v>
      </c>
      <c r="O176" t="s">
        <v>215</v>
      </c>
      <c r="P176" t="s">
        <v>216</v>
      </c>
      <c r="Q176" t="s">
        <v>217</v>
      </c>
      <c r="R176" t="s">
        <v>218</v>
      </c>
      <c r="S176" t="s">
        <v>238</v>
      </c>
    </row>
    <row r="177" spans="1:19" x14ac:dyDescent="0.35">
      <c r="A177" t="s">
        <v>55</v>
      </c>
      <c r="B177" t="s">
        <v>29</v>
      </c>
      <c r="C177" t="s">
        <v>38</v>
      </c>
      <c r="D177" t="s">
        <v>26</v>
      </c>
      <c r="E177" t="s">
        <v>22</v>
      </c>
      <c r="F177" t="s">
        <v>58</v>
      </c>
      <c r="G177" t="s">
        <v>24</v>
      </c>
      <c r="H177" t="s">
        <v>255</v>
      </c>
      <c r="I177" t="s">
        <v>230</v>
      </c>
      <c r="J177" t="s">
        <v>27</v>
      </c>
      <c r="K177" t="s">
        <v>256</v>
      </c>
      <c r="L177" t="s">
        <v>354</v>
      </c>
      <c r="M177" t="s">
        <v>355</v>
      </c>
      <c r="N177" t="s">
        <v>356</v>
      </c>
      <c r="O177" t="s">
        <v>215</v>
      </c>
      <c r="P177" t="s">
        <v>216</v>
      </c>
      <c r="Q177" t="s">
        <v>217</v>
      </c>
      <c r="R177" t="s">
        <v>218</v>
      </c>
      <c r="S177" t="s">
        <v>220</v>
      </c>
    </row>
    <row r="178" spans="1:19" x14ac:dyDescent="0.35">
      <c r="A178" t="s">
        <v>154</v>
      </c>
      <c r="B178" t="s">
        <v>20</v>
      </c>
      <c r="C178" t="s">
        <v>38</v>
      </c>
      <c r="D178" t="s">
        <v>26</v>
      </c>
      <c r="E178" t="s">
        <v>15</v>
      </c>
      <c r="F178" t="s">
        <v>47</v>
      </c>
      <c r="G178" t="s">
        <v>36</v>
      </c>
      <c r="H178" t="s">
        <v>229</v>
      </c>
      <c r="I178" t="s">
        <v>225</v>
      </c>
      <c r="J178" t="s">
        <v>43</v>
      </c>
      <c r="K178" t="s">
        <v>231</v>
      </c>
      <c r="L178" t="s">
        <v>288</v>
      </c>
      <c r="M178" t="s">
        <v>289</v>
      </c>
      <c r="N178" t="s">
        <v>229</v>
      </c>
      <c r="O178" t="s">
        <v>215</v>
      </c>
      <c r="P178" t="s">
        <v>216</v>
      </c>
      <c r="Q178" t="s">
        <v>217</v>
      </c>
      <c r="R178" t="s">
        <v>218</v>
      </c>
      <c r="S178" t="s">
        <v>265</v>
      </c>
    </row>
    <row r="179" spans="1:19" x14ac:dyDescent="0.35">
      <c r="A179" t="s">
        <v>89</v>
      </c>
      <c r="B179" t="s">
        <v>20</v>
      </c>
      <c r="C179" t="s">
        <v>38</v>
      </c>
      <c r="D179" t="s">
        <v>26</v>
      </c>
      <c r="E179" t="s">
        <v>15</v>
      </c>
      <c r="F179" t="s">
        <v>52</v>
      </c>
      <c r="G179" t="s">
        <v>36</v>
      </c>
      <c r="H179" t="s">
        <v>291</v>
      </c>
      <c r="I179" t="s">
        <v>230</v>
      </c>
      <c r="J179" t="s">
        <v>18</v>
      </c>
      <c r="K179" t="s">
        <v>292</v>
      </c>
      <c r="L179" t="s">
        <v>357</v>
      </c>
      <c r="M179" t="s">
        <v>358</v>
      </c>
      <c r="N179" t="s">
        <v>359</v>
      </c>
      <c r="O179" t="s">
        <v>215</v>
      </c>
      <c r="P179" t="s">
        <v>216</v>
      </c>
      <c r="Q179" t="s">
        <v>217</v>
      </c>
      <c r="R179" t="s">
        <v>218</v>
      </c>
      <c r="S179" t="s">
        <v>244</v>
      </c>
    </row>
    <row r="180" spans="1:19" x14ac:dyDescent="0.35">
      <c r="A180" t="s">
        <v>123</v>
      </c>
      <c r="B180" t="s">
        <v>12</v>
      </c>
      <c r="C180" t="s">
        <v>38</v>
      </c>
      <c r="D180" t="s">
        <v>26</v>
      </c>
      <c r="E180" t="s">
        <v>22</v>
      </c>
      <c r="F180" t="s">
        <v>58</v>
      </c>
      <c r="G180" t="s">
        <v>24</v>
      </c>
      <c r="H180" t="s">
        <v>255</v>
      </c>
      <c r="I180" t="s">
        <v>244</v>
      </c>
      <c r="J180" t="s">
        <v>32</v>
      </c>
      <c r="K180" t="s">
        <v>256</v>
      </c>
      <c r="L180" t="s">
        <v>257</v>
      </c>
      <c r="M180" t="s">
        <v>258</v>
      </c>
      <c r="N180" t="s">
        <v>259</v>
      </c>
      <c r="O180" t="s">
        <v>215</v>
      </c>
      <c r="P180" t="s">
        <v>216</v>
      </c>
      <c r="Q180" t="s">
        <v>217</v>
      </c>
      <c r="R180" t="s">
        <v>218</v>
      </c>
      <c r="S180" t="s">
        <v>220</v>
      </c>
    </row>
    <row r="181" spans="1:19" x14ac:dyDescent="0.35">
      <c r="A181" t="s">
        <v>69</v>
      </c>
      <c r="B181" t="s">
        <v>20</v>
      </c>
      <c r="C181" t="s">
        <v>38</v>
      </c>
      <c r="D181" t="s">
        <v>14</v>
      </c>
      <c r="E181" t="s">
        <v>15</v>
      </c>
      <c r="F181" t="s">
        <v>52</v>
      </c>
      <c r="G181" t="s">
        <v>36</v>
      </c>
      <c r="H181" t="s">
        <v>291</v>
      </c>
      <c r="I181" t="s">
        <v>244</v>
      </c>
      <c r="J181" t="s">
        <v>18</v>
      </c>
      <c r="K181" t="s">
        <v>292</v>
      </c>
      <c r="L181" t="s">
        <v>317</v>
      </c>
      <c r="M181" t="s">
        <v>318</v>
      </c>
      <c r="N181" t="s">
        <v>319</v>
      </c>
      <c r="O181" t="s">
        <v>215</v>
      </c>
      <c r="P181" t="s">
        <v>216</v>
      </c>
      <c r="Q181" t="s">
        <v>217</v>
      </c>
      <c r="R181" t="s">
        <v>218</v>
      </c>
      <c r="S181" t="s">
        <v>238</v>
      </c>
    </row>
    <row r="182" spans="1:19" x14ac:dyDescent="0.35">
      <c r="A182" t="s">
        <v>73</v>
      </c>
      <c r="B182" t="s">
        <v>34</v>
      </c>
      <c r="C182" t="s">
        <v>38</v>
      </c>
      <c r="D182" t="s">
        <v>26</v>
      </c>
      <c r="E182" t="s">
        <v>15</v>
      </c>
      <c r="F182" t="s">
        <v>56</v>
      </c>
      <c r="G182" t="s">
        <v>36</v>
      </c>
      <c r="H182" t="s">
        <v>260</v>
      </c>
      <c r="I182" t="s">
        <v>265</v>
      </c>
      <c r="J182" t="s">
        <v>43</v>
      </c>
      <c r="K182" t="s">
        <v>261</v>
      </c>
      <c r="L182" t="s">
        <v>360</v>
      </c>
      <c r="M182" t="s">
        <v>264</v>
      </c>
      <c r="N182" t="s">
        <v>361</v>
      </c>
      <c r="O182" t="s">
        <v>215</v>
      </c>
      <c r="P182" t="s">
        <v>216</v>
      </c>
      <c r="Q182" t="s">
        <v>217</v>
      </c>
      <c r="R182" t="s">
        <v>218</v>
      </c>
      <c r="S182" t="s">
        <v>265</v>
      </c>
    </row>
    <row r="183" spans="1:19" x14ac:dyDescent="0.35">
      <c r="A183" t="s">
        <v>143</v>
      </c>
      <c r="B183" t="s">
        <v>12</v>
      </c>
      <c r="C183" t="s">
        <v>38</v>
      </c>
      <c r="D183" t="s">
        <v>26</v>
      </c>
      <c r="E183" t="s">
        <v>22</v>
      </c>
      <c r="F183" t="s">
        <v>52</v>
      </c>
      <c r="G183" t="s">
        <v>36</v>
      </c>
      <c r="H183" t="s">
        <v>291</v>
      </c>
      <c r="I183" t="s">
        <v>238</v>
      </c>
      <c r="J183" t="s">
        <v>50</v>
      </c>
      <c r="K183" t="s">
        <v>292</v>
      </c>
      <c r="L183" t="s">
        <v>291</v>
      </c>
      <c r="M183" t="s">
        <v>292</v>
      </c>
      <c r="N183" t="s">
        <v>343</v>
      </c>
      <c r="O183" t="s">
        <v>215</v>
      </c>
      <c r="P183" t="s">
        <v>216</v>
      </c>
      <c r="Q183" t="s">
        <v>217</v>
      </c>
      <c r="R183" t="s">
        <v>218</v>
      </c>
      <c r="S183" t="s">
        <v>238</v>
      </c>
    </row>
    <row r="184" spans="1:19" x14ac:dyDescent="0.35">
      <c r="A184" t="s">
        <v>117</v>
      </c>
      <c r="B184" t="s">
        <v>20</v>
      </c>
      <c r="C184" t="s">
        <v>38</v>
      </c>
      <c r="D184" t="s">
        <v>14</v>
      </c>
      <c r="E184" t="s">
        <v>15</v>
      </c>
      <c r="F184" t="s">
        <v>58</v>
      </c>
      <c r="G184" t="s">
        <v>24</v>
      </c>
      <c r="H184" t="s">
        <v>255</v>
      </c>
      <c r="I184" t="s">
        <v>240</v>
      </c>
      <c r="J184" t="s">
        <v>50</v>
      </c>
      <c r="K184" t="s">
        <v>256</v>
      </c>
      <c r="L184" t="s">
        <v>305</v>
      </c>
      <c r="M184" t="s">
        <v>306</v>
      </c>
      <c r="N184" t="s">
        <v>307</v>
      </c>
      <c r="O184" t="s">
        <v>215</v>
      </c>
      <c r="P184" t="s">
        <v>216</v>
      </c>
      <c r="Q184" t="s">
        <v>217</v>
      </c>
      <c r="R184" t="s">
        <v>218</v>
      </c>
      <c r="S184" t="s">
        <v>220</v>
      </c>
    </row>
    <row r="185" spans="1:19" x14ac:dyDescent="0.35">
      <c r="A185" t="s">
        <v>75</v>
      </c>
      <c r="B185" t="s">
        <v>34</v>
      </c>
      <c r="C185" t="s">
        <v>38</v>
      </c>
      <c r="D185" t="s">
        <v>26</v>
      </c>
      <c r="E185" t="s">
        <v>15</v>
      </c>
      <c r="F185" t="s">
        <v>41</v>
      </c>
      <c r="G185" t="s">
        <v>17</v>
      </c>
      <c r="H185" t="s">
        <v>219</v>
      </c>
      <c r="I185" t="s">
        <v>244</v>
      </c>
      <c r="J185" t="s">
        <v>50</v>
      </c>
      <c r="K185" t="s">
        <v>221</v>
      </c>
      <c r="L185" t="s">
        <v>290</v>
      </c>
      <c r="M185" t="s">
        <v>298</v>
      </c>
      <c r="N185" t="s">
        <v>284</v>
      </c>
      <c r="O185" t="s">
        <v>215</v>
      </c>
      <c r="P185" t="s">
        <v>216</v>
      </c>
      <c r="Q185" t="s">
        <v>217</v>
      </c>
      <c r="R185" t="s">
        <v>218</v>
      </c>
      <c r="S185" t="s">
        <v>265</v>
      </c>
    </row>
    <row r="186" spans="1:19" x14ac:dyDescent="0.35">
      <c r="A186" t="s">
        <v>37</v>
      </c>
      <c r="B186" t="s">
        <v>20</v>
      </c>
      <c r="C186" t="s">
        <v>38</v>
      </c>
      <c r="D186" t="s">
        <v>26</v>
      </c>
      <c r="E186" t="s">
        <v>22</v>
      </c>
      <c r="F186" t="s">
        <v>23</v>
      </c>
      <c r="G186" t="s">
        <v>24</v>
      </c>
      <c r="H186" t="s">
        <v>239</v>
      </c>
      <c r="I186" t="s">
        <v>225</v>
      </c>
      <c r="J186" t="s">
        <v>18</v>
      </c>
      <c r="K186" t="s">
        <v>245</v>
      </c>
      <c r="L186" t="s">
        <v>229</v>
      </c>
      <c r="M186" t="s">
        <v>231</v>
      </c>
      <c r="N186" t="s">
        <v>239</v>
      </c>
      <c r="O186" t="s">
        <v>215</v>
      </c>
      <c r="P186" t="s">
        <v>216</v>
      </c>
      <c r="Q186" t="s">
        <v>217</v>
      </c>
      <c r="R186" t="s">
        <v>218</v>
      </c>
      <c r="S186" t="s">
        <v>244</v>
      </c>
    </row>
    <row r="187" spans="1:19" x14ac:dyDescent="0.35">
      <c r="A187" t="s">
        <v>45</v>
      </c>
      <c r="B187" t="s">
        <v>34</v>
      </c>
      <c r="C187" t="s">
        <v>38</v>
      </c>
      <c r="D187" t="s">
        <v>14</v>
      </c>
      <c r="E187" t="s">
        <v>15</v>
      </c>
      <c r="F187" t="s">
        <v>23</v>
      </c>
      <c r="G187" t="s">
        <v>24</v>
      </c>
      <c r="H187" t="s">
        <v>239</v>
      </c>
      <c r="I187" t="s">
        <v>220</v>
      </c>
      <c r="J187" t="s">
        <v>43</v>
      </c>
      <c r="K187" t="s">
        <v>245</v>
      </c>
      <c r="L187" t="s">
        <v>231</v>
      </c>
      <c r="M187" t="s">
        <v>311</v>
      </c>
      <c r="N187" t="s">
        <v>245</v>
      </c>
      <c r="O187" t="s">
        <v>215</v>
      </c>
      <c r="P187" t="s">
        <v>216</v>
      </c>
      <c r="Q187" t="s">
        <v>217</v>
      </c>
      <c r="R187" t="s">
        <v>218</v>
      </c>
      <c r="S187" t="s">
        <v>244</v>
      </c>
    </row>
    <row r="188" spans="1:19" x14ac:dyDescent="0.35">
      <c r="A188" t="s">
        <v>40</v>
      </c>
      <c r="B188" t="s">
        <v>12</v>
      </c>
      <c r="C188" t="s">
        <v>38</v>
      </c>
      <c r="D188" t="s">
        <v>14</v>
      </c>
      <c r="E188" t="s">
        <v>22</v>
      </c>
      <c r="F188" t="s">
        <v>52</v>
      </c>
      <c r="G188" t="s">
        <v>36</v>
      </c>
      <c r="H188" t="s">
        <v>291</v>
      </c>
      <c r="I188" t="s">
        <v>230</v>
      </c>
      <c r="J188" t="s">
        <v>54</v>
      </c>
      <c r="K188" t="s">
        <v>292</v>
      </c>
      <c r="L188" t="s">
        <v>357</v>
      </c>
      <c r="M188" t="s">
        <v>358</v>
      </c>
      <c r="N188" t="s">
        <v>359</v>
      </c>
      <c r="O188" t="s">
        <v>215</v>
      </c>
      <c r="P188" t="s">
        <v>216</v>
      </c>
      <c r="Q188" t="s">
        <v>217</v>
      </c>
      <c r="R188" t="s">
        <v>218</v>
      </c>
      <c r="S188" t="s">
        <v>244</v>
      </c>
    </row>
    <row r="189" spans="1:19" x14ac:dyDescent="0.35">
      <c r="A189" t="s">
        <v>93</v>
      </c>
      <c r="B189" t="s">
        <v>29</v>
      </c>
      <c r="C189" t="s">
        <v>38</v>
      </c>
      <c r="D189" t="s">
        <v>14</v>
      </c>
      <c r="E189" t="s">
        <v>15</v>
      </c>
      <c r="F189" t="s">
        <v>16</v>
      </c>
      <c r="G189" t="s">
        <v>17</v>
      </c>
      <c r="H189" t="s">
        <v>275</v>
      </c>
      <c r="I189" t="s">
        <v>265</v>
      </c>
      <c r="J189" t="s">
        <v>54</v>
      </c>
      <c r="K189" t="s">
        <v>276</v>
      </c>
      <c r="L189" t="s">
        <v>316</v>
      </c>
      <c r="M189" t="s">
        <v>323</v>
      </c>
      <c r="N189" t="s">
        <v>344</v>
      </c>
      <c r="O189" t="s">
        <v>215</v>
      </c>
      <c r="P189" t="s">
        <v>216</v>
      </c>
      <c r="Q189" t="s">
        <v>217</v>
      </c>
      <c r="R189" t="s">
        <v>218</v>
      </c>
      <c r="S189" t="s">
        <v>220</v>
      </c>
    </row>
    <row r="190" spans="1:19" x14ac:dyDescent="0.35">
      <c r="A190" t="s">
        <v>28</v>
      </c>
      <c r="B190" t="s">
        <v>12</v>
      </c>
      <c r="C190" t="s">
        <v>38</v>
      </c>
      <c r="D190" t="s">
        <v>26</v>
      </c>
      <c r="E190" t="s">
        <v>15</v>
      </c>
      <c r="F190" t="s">
        <v>16</v>
      </c>
      <c r="G190" t="s">
        <v>17</v>
      </c>
      <c r="H190" t="s">
        <v>275</v>
      </c>
      <c r="I190" t="s">
        <v>238</v>
      </c>
      <c r="J190" t="s">
        <v>32</v>
      </c>
      <c r="K190" t="s">
        <v>276</v>
      </c>
      <c r="L190" t="s">
        <v>275</v>
      </c>
      <c r="M190" t="s">
        <v>276</v>
      </c>
      <c r="N190" t="s">
        <v>277</v>
      </c>
      <c r="O190" t="s">
        <v>215</v>
      </c>
      <c r="P190" t="s">
        <v>216</v>
      </c>
      <c r="Q190" t="s">
        <v>217</v>
      </c>
      <c r="R190" t="s">
        <v>218</v>
      </c>
      <c r="S190" t="s">
        <v>220</v>
      </c>
    </row>
    <row r="191" spans="1:19" x14ac:dyDescent="0.35">
      <c r="A191" t="s">
        <v>48</v>
      </c>
      <c r="B191" t="s">
        <v>29</v>
      </c>
      <c r="C191" t="s">
        <v>38</v>
      </c>
      <c r="D191" t="s">
        <v>14</v>
      </c>
      <c r="E191" t="s">
        <v>22</v>
      </c>
      <c r="F191" t="s">
        <v>41</v>
      </c>
      <c r="G191" t="s">
        <v>17</v>
      </c>
      <c r="H191" t="s">
        <v>219</v>
      </c>
      <c r="I191" t="s">
        <v>269</v>
      </c>
      <c r="J191" t="s">
        <v>27</v>
      </c>
      <c r="K191" t="s">
        <v>221</v>
      </c>
      <c r="L191" t="s">
        <v>362</v>
      </c>
      <c r="M191" t="s">
        <v>363</v>
      </c>
      <c r="N191" t="s">
        <v>342</v>
      </c>
      <c r="O191" t="s">
        <v>215</v>
      </c>
      <c r="P191" t="s">
        <v>216</v>
      </c>
      <c r="Q191" t="s">
        <v>217</v>
      </c>
      <c r="R191" t="s">
        <v>218</v>
      </c>
      <c r="S191" t="s">
        <v>238</v>
      </c>
    </row>
    <row r="192" spans="1:19" x14ac:dyDescent="0.35">
      <c r="A192" t="s">
        <v>19</v>
      </c>
      <c r="B192" t="s">
        <v>12</v>
      </c>
      <c r="C192" t="s">
        <v>38</v>
      </c>
      <c r="D192" t="s">
        <v>14</v>
      </c>
      <c r="E192" t="s">
        <v>22</v>
      </c>
      <c r="F192" t="s">
        <v>39</v>
      </c>
      <c r="G192" t="s">
        <v>24</v>
      </c>
      <c r="H192" t="s">
        <v>209</v>
      </c>
      <c r="I192" t="s">
        <v>244</v>
      </c>
      <c r="J192" t="s">
        <v>43</v>
      </c>
      <c r="K192" t="s">
        <v>211</v>
      </c>
      <c r="L192" t="s">
        <v>272</v>
      </c>
      <c r="M192" t="s">
        <v>273</v>
      </c>
      <c r="N192" t="s">
        <v>274</v>
      </c>
      <c r="O192" t="s">
        <v>215</v>
      </c>
      <c r="P192" t="s">
        <v>216</v>
      </c>
      <c r="Q192" t="s">
        <v>217</v>
      </c>
      <c r="R192" t="s">
        <v>218</v>
      </c>
      <c r="S192" t="s">
        <v>220</v>
      </c>
    </row>
    <row r="193" spans="1:19" x14ac:dyDescent="0.35">
      <c r="A193" t="s">
        <v>104</v>
      </c>
      <c r="B193" t="s">
        <v>12</v>
      </c>
      <c r="C193" t="s">
        <v>38</v>
      </c>
      <c r="D193" t="s">
        <v>26</v>
      </c>
      <c r="E193" t="s">
        <v>15</v>
      </c>
      <c r="F193" t="s">
        <v>58</v>
      </c>
      <c r="G193" t="s">
        <v>24</v>
      </c>
      <c r="H193" t="s">
        <v>255</v>
      </c>
      <c r="I193" t="s">
        <v>240</v>
      </c>
      <c r="J193" t="s">
        <v>27</v>
      </c>
      <c r="K193" t="s">
        <v>256</v>
      </c>
      <c r="L193" t="s">
        <v>305</v>
      </c>
      <c r="M193" t="s">
        <v>306</v>
      </c>
      <c r="N193" t="s">
        <v>307</v>
      </c>
      <c r="O193" t="s">
        <v>215</v>
      </c>
      <c r="P193" t="s">
        <v>216</v>
      </c>
      <c r="Q193" t="s">
        <v>217</v>
      </c>
      <c r="R193" t="s">
        <v>218</v>
      </c>
      <c r="S193" t="s">
        <v>265</v>
      </c>
    </row>
    <row r="194" spans="1:19" x14ac:dyDescent="0.35">
      <c r="A194" t="s">
        <v>37</v>
      </c>
      <c r="B194" t="s">
        <v>12</v>
      </c>
      <c r="C194" t="s">
        <v>38</v>
      </c>
      <c r="D194" t="s">
        <v>26</v>
      </c>
      <c r="E194" t="s">
        <v>15</v>
      </c>
      <c r="F194" t="s">
        <v>56</v>
      </c>
      <c r="G194" t="s">
        <v>36</v>
      </c>
      <c r="H194" t="s">
        <v>260</v>
      </c>
      <c r="I194" t="s">
        <v>210</v>
      </c>
      <c r="J194" t="s">
        <v>43</v>
      </c>
      <c r="K194" t="s">
        <v>261</v>
      </c>
      <c r="L194" t="s">
        <v>364</v>
      </c>
      <c r="M194" t="s">
        <v>262</v>
      </c>
      <c r="N194" t="s">
        <v>360</v>
      </c>
      <c r="O194" t="s">
        <v>215</v>
      </c>
      <c r="P194" t="s">
        <v>216</v>
      </c>
      <c r="Q194" t="s">
        <v>217</v>
      </c>
      <c r="R194" t="s">
        <v>218</v>
      </c>
      <c r="S194" t="s">
        <v>244</v>
      </c>
    </row>
    <row r="195" spans="1:19" x14ac:dyDescent="0.35">
      <c r="A195" t="s">
        <v>136</v>
      </c>
      <c r="B195" t="s">
        <v>34</v>
      </c>
      <c r="C195" t="s">
        <v>38</v>
      </c>
      <c r="D195" t="s">
        <v>14</v>
      </c>
      <c r="E195" t="s">
        <v>22</v>
      </c>
      <c r="F195" t="s">
        <v>41</v>
      </c>
      <c r="G195" t="s">
        <v>17</v>
      </c>
      <c r="H195" t="s">
        <v>219</v>
      </c>
      <c r="I195" t="s">
        <v>238</v>
      </c>
      <c r="J195" t="s">
        <v>50</v>
      </c>
      <c r="K195" t="s">
        <v>221</v>
      </c>
      <c r="L195" t="s">
        <v>219</v>
      </c>
      <c r="M195" t="s">
        <v>221</v>
      </c>
      <c r="N195" t="s">
        <v>308</v>
      </c>
      <c r="O195" t="s">
        <v>215</v>
      </c>
      <c r="P195" t="s">
        <v>216</v>
      </c>
      <c r="Q195" t="s">
        <v>217</v>
      </c>
      <c r="R195" t="s">
        <v>218</v>
      </c>
      <c r="S195" t="s">
        <v>265</v>
      </c>
    </row>
    <row r="196" spans="1:19" x14ac:dyDescent="0.35">
      <c r="A196" t="s">
        <v>127</v>
      </c>
      <c r="B196" t="s">
        <v>34</v>
      </c>
      <c r="C196" t="s">
        <v>38</v>
      </c>
      <c r="D196" t="s">
        <v>14</v>
      </c>
      <c r="E196" t="s">
        <v>22</v>
      </c>
      <c r="F196" t="s">
        <v>52</v>
      </c>
      <c r="G196" t="s">
        <v>36</v>
      </c>
      <c r="H196" t="s">
        <v>291</v>
      </c>
      <c r="I196" t="s">
        <v>265</v>
      </c>
      <c r="J196" t="s">
        <v>50</v>
      </c>
      <c r="K196" t="s">
        <v>292</v>
      </c>
      <c r="L196" t="s">
        <v>233</v>
      </c>
      <c r="M196" t="s">
        <v>293</v>
      </c>
      <c r="N196" t="s">
        <v>294</v>
      </c>
      <c r="O196" t="s">
        <v>215</v>
      </c>
      <c r="P196" t="s">
        <v>216</v>
      </c>
      <c r="Q196" t="s">
        <v>217</v>
      </c>
      <c r="R196" t="s">
        <v>218</v>
      </c>
      <c r="S196" t="s">
        <v>220</v>
      </c>
    </row>
    <row r="197" spans="1:19" x14ac:dyDescent="0.35">
      <c r="A197" t="s">
        <v>80</v>
      </c>
      <c r="B197" t="s">
        <v>29</v>
      </c>
      <c r="C197" t="s">
        <v>38</v>
      </c>
      <c r="D197" t="s">
        <v>14</v>
      </c>
      <c r="E197" t="s">
        <v>15</v>
      </c>
      <c r="F197" t="s">
        <v>41</v>
      </c>
      <c r="G197" t="s">
        <v>17</v>
      </c>
      <c r="H197" t="s">
        <v>219</v>
      </c>
      <c r="I197" t="s">
        <v>220</v>
      </c>
      <c r="J197" t="s">
        <v>32</v>
      </c>
      <c r="K197" t="s">
        <v>221</v>
      </c>
      <c r="L197" t="s">
        <v>222</v>
      </c>
      <c r="M197" t="s">
        <v>223</v>
      </c>
      <c r="N197" t="s">
        <v>221</v>
      </c>
      <c r="O197" t="s">
        <v>215</v>
      </c>
      <c r="P197" t="s">
        <v>216</v>
      </c>
      <c r="Q197" t="s">
        <v>217</v>
      </c>
      <c r="R197" t="s">
        <v>218</v>
      </c>
      <c r="S197" t="s">
        <v>265</v>
      </c>
    </row>
    <row r="198" spans="1:19" x14ac:dyDescent="0.35">
      <c r="A198" t="s">
        <v>63</v>
      </c>
      <c r="B198" t="s">
        <v>29</v>
      </c>
      <c r="C198" t="s">
        <v>38</v>
      </c>
      <c r="D198" t="s">
        <v>26</v>
      </c>
      <c r="E198" t="s">
        <v>15</v>
      </c>
      <c r="F198" t="s">
        <v>56</v>
      </c>
      <c r="G198" t="s">
        <v>36</v>
      </c>
      <c r="H198" t="s">
        <v>260</v>
      </c>
      <c r="I198" t="s">
        <v>220</v>
      </c>
      <c r="J198" t="s">
        <v>43</v>
      </c>
      <c r="K198" t="s">
        <v>261</v>
      </c>
      <c r="L198" t="s">
        <v>335</v>
      </c>
      <c r="M198" t="s">
        <v>336</v>
      </c>
      <c r="N198" t="s">
        <v>261</v>
      </c>
      <c r="O198" t="s">
        <v>215</v>
      </c>
      <c r="P198" t="s">
        <v>216</v>
      </c>
      <c r="Q198" t="s">
        <v>217</v>
      </c>
      <c r="R198" t="s">
        <v>218</v>
      </c>
      <c r="S198" t="s">
        <v>220</v>
      </c>
    </row>
    <row r="199" spans="1:19" x14ac:dyDescent="0.35">
      <c r="A199" t="s">
        <v>145</v>
      </c>
      <c r="B199" t="s">
        <v>20</v>
      </c>
      <c r="C199" t="s">
        <v>38</v>
      </c>
      <c r="D199" t="s">
        <v>26</v>
      </c>
      <c r="E199" t="s">
        <v>22</v>
      </c>
      <c r="F199" t="s">
        <v>47</v>
      </c>
      <c r="G199" t="s">
        <v>36</v>
      </c>
      <c r="H199" t="s">
        <v>229</v>
      </c>
      <c r="I199" t="s">
        <v>238</v>
      </c>
      <c r="J199" t="s">
        <v>43</v>
      </c>
      <c r="K199" t="s">
        <v>231</v>
      </c>
      <c r="L199" t="s">
        <v>229</v>
      </c>
      <c r="M199" t="s">
        <v>231</v>
      </c>
      <c r="N199" t="s">
        <v>239</v>
      </c>
      <c r="O199" t="s">
        <v>215</v>
      </c>
      <c r="P199" t="s">
        <v>216</v>
      </c>
      <c r="Q199" t="s">
        <v>217</v>
      </c>
      <c r="R199" t="s">
        <v>218</v>
      </c>
      <c r="S199" t="s">
        <v>238</v>
      </c>
    </row>
    <row r="200" spans="1:19" x14ac:dyDescent="0.35">
      <c r="A200" t="s">
        <v>140</v>
      </c>
      <c r="B200" t="s">
        <v>12</v>
      </c>
      <c r="C200" t="s">
        <v>38</v>
      </c>
      <c r="D200" t="s">
        <v>14</v>
      </c>
      <c r="E200" t="s">
        <v>15</v>
      </c>
      <c r="F200" t="s">
        <v>35</v>
      </c>
      <c r="G200" t="s">
        <v>36</v>
      </c>
      <c r="H200" t="s">
        <v>224</v>
      </c>
      <c r="I200" t="s">
        <v>210</v>
      </c>
      <c r="J200" t="s">
        <v>54</v>
      </c>
      <c r="K200" t="s">
        <v>226</v>
      </c>
      <c r="L200" t="s">
        <v>365</v>
      </c>
      <c r="M200" t="s">
        <v>366</v>
      </c>
      <c r="N200" t="s">
        <v>289</v>
      </c>
      <c r="O200" t="s">
        <v>215</v>
      </c>
      <c r="P200" t="s">
        <v>216</v>
      </c>
      <c r="Q200" t="s">
        <v>217</v>
      </c>
      <c r="R200" t="s">
        <v>218</v>
      </c>
      <c r="S200" t="s">
        <v>220</v>
      </c>
    </row>
    <row r="201" spans="1:19" x14ac:dyDescent="0.35">
      <c r="A201" t="s">
        <v>137</v>
      </c>
      <c r="B201" t="s">
        <v>12</v>
      </c>
      <c r="C201" t="s">
        <v>38</v>
      </c>
      <c r="D201" t="s">
        <v>26</v>
      </c>
      <c r="E201" t="s">
        <v>15</v>
      </c>
      <c r="F201" t="s">
        <v>16</v>
      </c>
      <c r="G201" t="s">
        <v>17</v>
      </c>
      <c r="H201" t="s">
        <v>275</v>
      </c>
      <c r="I201" t="s">
        <v>238</v>
      </c>
      <c r="J201" t="s">
        <v>27</v>
      </c>
      <c r="K201" t="s">
        <v>276</v>
      </c>
      <c r="L201" t="s">
        <v>275</v>
      </c>
      <c r="M201" t="s">
        <v>276</v>
      </c>
      <c r="N201" t="s">
        <v>277</v>
      </c>
      <c r="O201" t="s">
        <v>215</v>
      </c>
      <c r="P201" t="s">
        <v>216</v>
      </c>
      <c r="Q201" t="s">
        <v>217</v>
      </c>
      <c r="R201" t="s">
        <v>218</v>
      </c>
      <c r="S201" t="s">
        <v>238</v>
      </c>
    </row>
    <row r="202" spans="1:19" x14ac:dyDescent="0.35">
      <c r="A202" t="s">
        <v>133</v>
      </c>
      <c r="B202" t="s">
        <v>34</v>
      </c>
      <c r="C202" t="s">
        <v>38</v>
      </c>
      <c r="D202" t="s">
        <v>26</v>
      </c>
      <c r="E202" t="s">
        <v>22</v>
      </c>
      <c r="F202" t="s">
        <v>52</v>
      </c>
      <c r="G202" t="s">
        <v>36</v>
      </c>
      <c r="H202" t="s">
        <v>291</v>
      </c>
      <c r="I202" t="s">
        <v>244</v>
      </c>
      <c r="J202" t="s">
        <v>43</v>
      </c>
      <c r="K202" t="s">
        <v>292</v>
      </c>
      <c r="L202" t="s">
        <v>317</v>
      </c>
      <c r="M202" t="s">
        <v>318</v>
      </c>
      <c r="N202" t="s">
        <v>319</v>
      </c>
      <c r="O202" t="s">
        <v>215</v>
      </c>
      <c r="P202" t="s">
        <v>216</v>
      </c>
      <c r="Q202" t="s">
        <v>217</v>
      </c>
      <c r="R202" t="s">
        <v>218</v>
      </c>
      <c r="S202" t="s">
        <v>265</v>
      </c>
    </row>
    <row r="203" spans="1:19" x14ac:dyDescent="0.35">
      <c r="A203" t="s">
        <v>71</v>
      </c>
      <c r="B203" t="s">
        <v>20</v>
      </c>
      <c r="C203" t="s">
        <v>38</v>
      </c>
      <c r="D203" t="s">
        <v>26</v>
      </c>
      <c r="E203" t="s">
        <v>22</v>
      </c>
      <c r="F203" t="s">
        <v>47</v>
      </c>
      <c r="G203" t="s">
        <v>36</v>
      </c>
      <c r="H203" t="s">
        <v>229</v>
      </c>
      <c r="I203" t="s">
        <v>269</v>
      </c>
      <c r="J203" t="s">
        <v>54</v>
      </c>
      <c r="K203" t="s">
        <v>231</v>
      </c>
      <c r="L203" t="s">
        <v>367</v>
      </c>
      <c r="M203" t="s">
        <v>266</v>
      </c>
      <c r="N203" t="s">
        <v>309</v>
      </c>
      <c r="O203" t="s">
        <v>215</v>
      </c>
      <c r="P203" t="s">
        <v>216</v>
      </c>
      <c r="Q203" t="s">
        <v>217</v>
      </c>
      <c r="R203" t="s">
        <v>218</v>
      </c>
      <c r="S203" t="s">
        <v>265</v>
      </c>
    </row>
    <row r="204" spans="1:19" x14ac:dyDescent="0.35">
      <c r="A204" t="s">
        <v>28</v>
      </c>
      <c r="B204" t="s">
        <v>20</v>
      </c>
      <c r="C204" t="s">
        <v>38</v>
      </c>
      <c r="D204" t="s">
        <v>26</v>
      </c>
      <c r="E204" t="s">
        <v>15</v>
      </c>
      <c r="F204" t="s">
        <v>56</v>
      </c>
      <c r="G204" t="s">
        <v>36</v>
      </c>
      <c r="H204" t="s">
        <v>260</v>
      </c>
      <c r="I204" t="s">
        <v>244</v>
      </c>
      <c r="J204" t="s">
        <v>18</v>
      </c>
      <c r="K204" t="s">
        <v>261</v>
      </c>
      <c r="L204" t="s">
        <v>288</v>
      </c>
      <c r="M204" t="s">
        <v>289</v>
      </c>
      <c r="N204" t="s">
        <v>229</v>
      </c>
      <c r="O204" t="s">
        <v>215</v>
      </c>
      <c r="P204" t="s">
        <v>216</v>
      </c>
      <c r="Q204" t="s">
        <v>217</v>
      </c>
      <c r="R204" t="s">
        <v>218</v>
      </c>
      <c r="S204" t="s">
        <v>220</v>
      </c>
    </row>
    <row r="205" spans="1:19" x14ac:dyDescent="0.35">
      <c r="A205" t="s">
        <v>116</v>
      </c>
      <c r="B205" t="s">
        <v>20</v>
      </c>
      <c r="C205" t="s">
        <v>38</v>
      </c>
      <c r="D205" t="s">
        <v>26</v>
      </c>
      <c r="E205" t="s">
        <v>22</v>
      </c>
      <c r="F205" t="s">
        <v>52</v>
      </c>
      <c r="G205" t="s">
        <v>36</v>
      </c>
      <c r="H205" t="s">
        <v>291</v>
      </c>
      <c r="I205" t="s">
        <v>220</v>
      </c>
      <c r="J205" t="s">
        <v>43</v>
      </c>
      <c r="K205" t="s">
        <v>292</v>
      </c>
      <c r="L205" t="s">
        <v>333</v>
      </c>
      <c r="M205" t="s">
        <v>345</v>
      </c>
      <c r="N205" t="s">
        <v>292</v>
      </c>
      <c r="O205" t="s">
        <v>215</v>
      </c>
      <c r="P205" t="s">
        <v>216</v>
      </c>
      <c r="Q205" t="s">
        <v>217</v>
      </c>
      <c r="R205" t="s">
        <v>218</v>
      </c>
      <c r="S205" t="s">
        <v>244</v>
      </c>
    </row>
    <row r="206" spans="1:19" x14ac:dyDescent="0.35">
      <c r="A206" t="s">
        <v>94</v>
      </c>
      <c r="B206" t="s">
        <v>29</v>
      </c>
      <c r="C206" t="s">
        <v>38</v>
      </c>
      <c r="D206" t="s">
        <v>14</v>
      </c>
      <c r="E206" t="s">
        <v>22</v>
      </c>
      <c r="F206" t="s">
        <v>35</v>
      </c>
      <c r="G206" t="s">
        <v>36</v>
      </c>
      <c r="H206" t="s">
        <v>224</v>
      </c>
      <c r="I206" t="s">
        <v>265</v>
      </c>
      <c r="J206" t="s">
        <v>18</v>
      </c>
      <c r="K206" t="s">
        <v>226</v>
      </c>
      <c r="L206" t="s">
        <v>289</v>
      </c>
      <c r="M206" t="s">
        <v>297</v>
      </c>
      <c r="N206" t="s">
        <v>231</v>
      </c>
      <c r="O206" t="s">
        <v>215</v>
      </c>
      <c r="P206" t="s">
        <v>216</v>
      </c>
      <c r="Q206" t="s">
        <v>217</v>
      </c>
      <c r="R206" t="s">
        <v>218</v>
      </c>
      <c r="S206" t="s">
        <v>244</v>
      </c>
    </row>
    <row r="207" spans="1:19" x14ac:dyDescent="0.35">
      <c r="A207" t="s">
        <v>97</v>
      </c>
      <c r="B207" t="s">
        <v>20</v>
      </c>
      <c r="C207" t="s">
        <v>38</v>
      </c>
      <c r="D207" t="s">
        <v>14</v>
      </c>
      <c r="E207" t="s">
        <v>22</v>
      </c>
      <c r="F207" t="s">
        <v>52</v>
      </c>
      <c r="G207" t="s">
        <v>36</v>
      </c>
      <c r="H207" t="s">
        <v>291</v>
      </c>
      <c r="I207" t="s">
        <v>210</v>
      </c>
      <c r="J207" t="s">
        <v>32</v>
      </c>
      <c r="K207" t="s">
        <v>292</v>
      </c>
      <c r="L207" t="s">
        <v>339</v>
      </c>
      <c r="M207" t="s">
        <v>299</v>
      </c>
      <c r="N207" t="s">
        <v>233</v>
      </c>
      <c r="O207" t="s">
        <v>215</v>
      </c>
      <c r="P207" t="s">
        <v>216</v>
      </c>
      <c r="Q207" t="s">
        <v>217</v>
      </c>
      <c r="R207" t="s">
        <v>218</v>
      </c>
      <c r="S207" t="s">
        <v>265</v>
      </c>
    </row>
    <row r="208" spans="1:19" x14ac:dyDescent="0.35">
      <c r="A208" t="s">
        <v>37</v>
      </c>
      <c r="B208" t="s">
        <v>34</v>
      </c>
      <c r="C208" t="s">
        <v>38</v>
      </c>
      <c r="D208" t="s">
        <v>26</v>
      </c>
      <c r="E208" t="s">
        <v>22</v>
      </c>
      <c r="F208" t="s">
        <v>39</v>
      </c>
      <c r="G208" t="s">
        <v>24</v>
      </c>
      <c r="H208" t="s">
        <v>209</v>
      </c>
      <c r="I208" t="s">
        <v>225</v>
      </c>
      <c r="J208" t="s">
        <v>50</v>
      </c>
      <c r="K208" t="s">
        <v>211</v>
      </c>
      <c r="L208" t="s">
        <v>301</v>
      </c>
      <c r="M208" t="s">
        <v>302</v>
      </c>
      <c r="N208" t="s">
        <v>209</v>
      </c>
      <c r="O208" t="s">
        <v>215</v>
      </c>
      <c r="P208" t="s">
        <v>216</v>
      </c>
      <c r="Q208" t="s">
        <v>217</v>
      </c>
      <c r="R208" t="s">
        <v>218</v>
      </c>
      <c r="S208" t="s">
        <v>244</v>
      </c>
    </row>
    <row r="209" spans="1:19" x14ac:dyDescent="0.35">
      <c r="A209" t="s">
        <v>118</v>
      </c>
      <c r="B209" t="s">
        <v>20</v>
      </c>
      <c r="C209" t="s">
        <v>38</v>
      </c>
      <c r="D209" t="s">
        <v>26</v>
      </c>
      <c r="E209" t="s">
        <v>22</v>
      </c>
      <c r="F209" t="s">
        <v>56</v>
      </c>
      <c r="G209" t="s">
        <v>36</v>
      </c>
      <c r="H209" t="s">
        <v>260</v>
      </c>
      <c r="I209" t="s">
        <v>230</v>
      </c>
      <c r="J209" t="s">
        <v>32</v>
      </c>
      <c r="K209" t="s">
        <v>261</v>
      </c>
      <c r="L209" t="s">
        <v>368</v>
      </c>
      <c r="M209" t="s">
        <v>369</v>
      </c>
      <c r="N209" t="s">
        <v>370</v>
      </c>
      <c r="O209" t="s">
        <v>215</v>
      </c>
      <c r="P209" t="s">
        <v>216</v>
      </c>
      <c r="Q209" t="s">
        <v>217</v>
      </c>
      <c r="R209" t="s">
        <v>218</v>
      </c>
      <c r="S209" t="s">
        <v>238</v>
      </c>
    </row>
    <row r="210" spans="1:19" x14ac:dyDescent="0.35">
      <c r="A210" t="s">
        <v>48</v>
      </c>
      <c r="B210" t="s">
        <v>34</v>
      </c>
      <c r="C210" t="s">
        <v>38</v>
      </c>
      <c r="D210" t="s">
        <v>14</v>
      </c>
      <c r="E210" t="s">
        <v>15</v>
      </c>
      <c r="F210" t="s">
        <v>47</v>
      </c>
      <c r="G210" t="s">
        <v>36</v>
      </c>
      <c r="H210" t="s">
        <v>229</v>
      </c>
      <c r="I210" t="s">
        <v>220</v>
      </c>
      <c r="J210" t="s">
        <v>18</v>
      </c>
      <c r="K210" t="s">
        <v>231</v>
      </c>
      <c r="L210" t="s">
        <v>289</v>
      </c>
      <c r="M210" t="s">
        <v>297</v>
      </c>
      <c r="N210" t="s">
        <v>231</v>
      </c>
      <c r="O210" t="s">
        <v>215</v>
      </c>
      <c r="P210" t="s">
        <v>216</v>
      </c>
      <c r="Q210" t="s">
        <v>217</v>
      </c>
      <c r="R210" t="s">
        <v>218</v>
      </c>
      <c r="S210" t="s">
        <v>238</v>
      </c>
    </row>
    <row r="211" spans="1:19" x14ac:dyDescent="0.35">
      <c r="A211" t="s">
        <v>145</v>
      </c>
      <c r="B211" t="s">
        <v>20</v>
      </c>
      <c r="C211" t="s">
        <v>38</v>
      </c>
      <c r="D211" t="s">
        <v>14</v>
      </c>
      <c r="E211" t="s">
        <v>22</v>
      </c>
      <c r="F211" t="s">
        <v>41</v>
      </c>
      <c r="G211" t="s">
        <v>17</v>
      </c>
      <c r="H211" t="s">
        <v>219</v>
      </c>
      <c r="I211" t="s">
        <v>220</v>
      </c>
      <c r="J211" t="s">
        <v>50</v>
      </c>
      <c r="K211" t="s">
        <v>221</v>
      </c>
      <c r="L211" t="s">
        <v>222</v>
      </c>
      <c r="M211" t="s">
        <v>223</v>
      </c>
      <c r="N211" t="s">
        <v>221</v>
      </c>
      <c r="O211" t="s">
        <v>215</v>
      </c>
      <c r="P211" t="s">
        <v>216</v>
      </c>
      <c r="Q211" t="s">
        <v>217</v>
      </c>
      <c r="R211" t="s">
        <v>218</v>
      </c>
      <c r="S211" t="s">
        <v>238</v>
      </c>
    </row>
    <row r="212" spans="1:19" x14ac:dyDescent="0.35">
      <c r="A212" t="s">
        <v>73</v>
      </c>
      <c r="B212" t="s">
        <v>29</v>
      </c>
      <c r="C212" t="s">
        <v>38</v>
      </c>
      <c r="D212" t="s">
        <v>26</v>
      </c>
      <c r="E212" t="s">
        <v>22</v>
      </c>
      <c r="F212" t="s">
        <v>56</v>
      </c>
      <c r="G212" t="s">
        <v>36</v>
      </c>
      <c r="H212" t="s">
        <v>260</v>
      </c>
      <c r="I212" t="s">
        <v>249</v>
      </c>
      <c r="J212" t="s">
        <v>18</v>
      </c>
      <c r="K212" t="s">
        <v>261</v>
      </c>
      <c r="L212" t="s">
        <v>262</v>
      </c>
      <c r="M212" t="s">
        <v>263</v>
      </c>
      <c r="N212" t="s">
        <v>264</v>
      </c>
      <c r="O212" t="s">
        <v>215</v>
      </c>
      <c r="P212" t="s">
        <v>216</v>
      </c>
      <c r="Q212" t="s">
        <v>217</v>
      </c>
      <c r="R212" t="s">
        <v>218</v>
      </c>
      <c r="S212" t="s">
        <v>265</v>
      </c>
    </row>
    <row r="213" spans="1:19" x14ac:dyDescent="0.35">
      <c r="A213" t="s">
        <v>70</v>
      </c>
      <c r="B213" t="s">
        <v>20</v>
      </c>
      <c r="C213" t="s">
        <v>38</v>
      </c>
      <c r="D213" t="s">
        <v>14</v>
      </c>
      <c r="E213" t="s">
        <v>15</v>
      </c>
      <c r="F213" t="s">
        <v>31</v>
      </c>
      <c r="G213" t="s">
        <v>24</v>
      </c>
      <c r="H213" t="s">
        <v>252</v>
      </c>
      <c r="I213" t="s">
        <v>240</v>
      </c>
      <c r="J213" t="s">
        <v>32</v>
      </c>
      <c r="K213" t="s">
        <v>253</v>
      </c>
      <c r="L213" t="s">
        <v>214</v>
      </c>
      <c r="M213" t="s">
        <v>251</v>
      </c>
      <c r="N213" t="s">
        <v>247</v>
      </c>
      <c r="O213" t="s">
        <v>215</v>
      </c>
      <c r="P213" t="s">
        <v>216</v>
      </c>
      <c r="Q213" t="s">
        <v>217</v>
      </c>
      <c r="R213" t="s">
        <v>218</v>
      </c>
      <c r="S213" t="s">
        <v>265</v>
      </c>
    </row>
    <row r="214" spans="1:19" x14ac:dyDescent="0.35">
      <c r="A214" t="s">
        <v>161</v>
      </c>
      <c r="B214" t="s">
        <v>29</v>
      </c>
      <c r="C214" t="s">
        <v>38</v>
      </c>
      <c r="D214" t="s">
        <v>14</v>
      </c>
      <c r="E214" t="s">
        <v>15</v>
      </c>
      <c r="F214" t="s">
        <v>39</v>
      </c>
      <c r="G214" t="s">
        <v>24</v>
      </c>
      <c r="H214" t="s">
        <v>209</v>
      </c>
      <c r="I214" t="s">
        <v>269</v>
      </c>
      <c r="J214" t="s">
        <v>27</v>
      </c>
      <c r="K214" t="s">
        <v>211</v>
      </c>
      <c r="L214" t="s">
        <v>371</v>
      </c>
      <c r="M214" t="s">
        <v>372</v>
      </c>
      <c r="N214" t="s">
        <v>373</v>
      </c>
      <c r="O214" t="s">
        <v>215</v>
      </c>
      <c r="P214" t="s">
        <v>216</v>
      </c>
      <c r="Q214" t="s">
        <v>217</v>
      </c>
      <c r="R214" t="s">
        <v>218</v>
      </c>
      <c r="S214" t="s">
        <v>238</v>
      </c>
    </row>
    <row r="215" spans="1:19" x14ac:dyDescent="0.35">
      <c r="A215" t="s">
        <v>115</v>
      </c>
      <c r="B215" t="s">
        <v>29</v>
      </c>
      <c r="C215" t="s">
        <v>38</v>
      </c>
      <c r="D215" t="s">
        <v>26</v>
      </c>
      <c r="E215" t="s">
        <v>15</v>
      </c>
      <c r="F215" t="s">
        <v>23</v>
      </c>
      <c r="G215" t="s">
        <v>24</v>
      </c>
      <c r="H215" t="s">
        <v>239</v>
      </c>
      <c r="I215" t="s">
        <v>265</v>
      </c>
      <c r="J215" t="s">
        <v>32</v>
      </c>
      <c r="K215" t="s">
        <v>245</v>
      </c>
      <c r="L215" t="s">
        <v>252</v>
      </c>
      <c r="M215" t="s">
        <v>253</v>
      </c>
      <c r="N215" t="s">
        <v>313</v>
      </c>
      <c r="O215" t="s">
        <v>215</v>
      </c>
      <c r="P215" t="s">
        <v>216</v>
      </c>
      <c r="Q215" t="s">
        <v>217</v>
      </c>
      <c r="R215" t="s">
        <v>218</v>
      </c>
      <c r="S215" t="s">
        <v>238</v>
      </c>
    </row>
    <row r="216" spans="1:19" x14ac:dyDescent="0.35">
      <c r="A216" t="s">
        <v>28</v>
      </c>
      <c r="B216" t="s">
        <v>29</v>
      </c>
      <c r="C216" t="s">
        <v>38</v>
      </c>
      <c r="D216" t="s">
        <v>14</v>
      </c>
      <c r="E216" t="s">
        <v>22</v>
      </c>
      <c r="F216" t="s">
        <v>16</v>
      </c>
      <c r="G216" t="s">
        <v>17</v>
      </c>
      <c r="H216" t="s">
        <v>275</v>
      </c>
      <c r="I216" t="s">
        <v>244</v>
      </c>
      <c r="J216" t="s">
        <v>27</v>
      </c>
      <c r="K216" t="s">
        <v>276</v>
      </c>
      <c r="L216" t="s">
        <v>325</v>
      </c>
      <c r="M216" t="s">
        <v>326</v>
      </c>
      <c r="N216" t="s">
        <v>327</v>
      </c>
      <c r="O216" t="s">
        <v>215</v>
      </c>
      <c r="P216" t="s">
        <v>216</v>
      </c>
      <c r="Q216" t="s">
        <v>217</v>
      </c>
      <c r="R216" t="s">
        <v>218</v>
      </c>
      <c r="S216" t="s">
        <v>220</v>
      </c>
    </row>
    <row r="217" spans="1:19" x14ac:dyDescent="0.35">
      <c r="A217" t="s">
        <v>74</v>
      </c>
      <c r="B217" t="s">
        <v>20</v>
      </c>
      <c r="C217" t="s">
        <v>38</v>
      </c>
      <c r="D217" t="s">
        <v>26</v>
      </c>
      <c r="E217" t="s">
        <v>22</v>
      </c>
      <c r="F217" t="s">
        <v>52</v>
      </c>
      <c r="G217" t="s">
        <v>36</v>
      </c>
      <c r="H217" t="s">
        <v>291</v>
      </c>
      <c r="I217" t="s">
        <v>238</v>
      </c>
      <c r="J217" t="s">
        <v>54</v>
      </c>
      <c r="K217" t="s">
        <v>292</v>
      </c>
      <c r="L217" t="s">
        <v>291</v>
      </c>
      <c r="M217" t="s">
        <v>292</v>
      </c>
      <c r="N217" t="s">
        <v>343</v>
      </c>
      <c r="O217" t="s">
        <v>215</v>
      </c>
      <c r="P217" t="s">
        <v>216</v>
      </c>
      <c r="Q217" t="s">
        <v>217</v>
      </c>
      <c r="R217" t="s">
        <v>218</v>
      </c>
      <c r="S217" t="s">
        <v>265</v>
      </c>
    </row>
    <row r="218" spans="1:19" x14ac:dyDescent="0.35">
      <c r="A218" t="s">
        <v>79</v>
      </c>
      <c r="B218" t="s">
        <v>12</v>
      </c>
      <c r="C218" t="s">
        <v>38</v>
      </c>
      <c r="D218" t="s">
        <v>26</v>
      </c>
      <c r="E218" t="s">
        <v>15</v>
      </c>
      <c r="F218" t="s">
        <v>16</v>
      </c>
      <c r="G218" t="s">
        <v>17</v>
      </c>
      <c r="H218" t="s">
        <v>275</v>
      </c>
      <c r="I218" t="s">
        <v>220</v>
      </c>
      <c r="J218" t="s">
        <v>32</v>
      </c>
      <c r="K218" t="s">
        <v>276</v>
      </c>
      <c r="L218" t="s">
        <v>337</v>
      </c>
      <c r="M218" t="s">
        <v>338</v>
      </c>
      <c r="N218" t="s">
        <v>276</v>
      </c>
      <c r="O218" t="s">
        <v>215</v>
      </c>
      <c r="P218" t="s">
        <v>216</v>
      </c>
      <c r="Q218" t="s">
        <v>217</v>
      </c>
      <c r="R218" t="s">
        <v>218</v>
      </c>
      <c r="S218" t="s">
        <v>238</v>
      </c>
    </row>
    <row r="219" spans="1:19" x14ac:dyDescent="0.35">
      <c r="A219" t="s">
        <v>160</v>
      </c>
      <c r="B219" t="s">
        <v>12</v>
      </c>
      <c r="C219" t="s">
        <v>38</v>
      </c>
      <c r="D219" t="s">
        <v>14</v>
      </c>
      <c r="E219" t="s">
        <v>22</v>
      </c>
      <c r="F219" t="s">
        <v>58</v>
      </c>
      <c r="G219" t="s">
        <v>24</v>
      </c>
      <c r="H219" t="s">
        <v>255</v>
      </c>
      <c r="I219" t="s">
        <v>238</v>
      </c>
      <c r="J219" t="s">
        <v>50</v>
      </c>
      <c r="K219" t="s">
        <v>256</v>
      </c>
      <c r="L219" t="s">
        <v>255</v>
      </c>
      <c r="M219" t="s">
        <v>256</v>
      </c>
      <c r="N219" t="s">
        <v>334</v>
      </c>
      <c r="O219" t="s">
        <v>215</v>
      </c>
      <c r="P219" t="s">
        <v>216</v>
      </c>
      <c r="Q219" t="s">
        <v>217</v>
      </c>
      <c r="R219" t="s">
        <v>218</v>
      </c>
      <c r="S219" t="s">
        <v>238</v>
      </c>
    </row>
    <row r="220" spans="1:19" x14ac:dyDescent="0.35">
      <c r="A220" t="s">
        <v>130</v>
      </c>
      <c r="B220" t="s">
        <v>12</v>
      </c>
      <c r="C220" t="s">
        <v>38</v>
      </c>
      <c r="D220" t="s">
        <v>14</v>
      </c>
      <c r="E220" t="s">
        <v>15</v>
      </c>
      <c r="F220" t="s">
        <v>47</v>
      </c>
      <c r="G220" t="s">
        <v>36</v>
      </c>
      <c r="H220" t="s">
        <v>229</v>
      </c>
      <c r="I220" t="s">
        <v>249</v>
      </c>
      <c r="J220" t="s">
        <v>54</v>
      </c>
      <c r="K220" t="s">
        <v>231</v>
      </c>
      <c r="L220" t="s">
        <v>228</v>
      </c>
      <c r="M220" t="s">
        <v>290</v>
      </c>
      <c r="N220" t="s">
        <v>226</v>
      </c>
      <c r="O220" t="s">
        <v>215</v>
      </c>
      <c r="P220" t="s">
        <v>216</v>
      </c>
      <c r="Q220" t="s">
        <v>217</v>
      </c>
      <c r="R220" t="s">
        <v>218</v>
      </c>
      <c r="S220" t="s">
        <v>238</v>
      </c>
    </row>
    <row r="221" spans="1:19" x14ac:dyDescent="0.35">
      <c r="A221" t="s">
        <v>128</v>
      </c>
      <c r="B221" t="s">
        <v>34</v>
      </c>
      <c r="C221" t="s">
        <v>38</v>
      </c>
      <c r="D221" t="s">
        <v>26</v>
      </c>
      <c r="E221" t="s">
        <v>15</v>
      </c>
      <c r="F221" t="s">
        <v>47</v>
      </c>
      <c r="G221" t="s">
        <v>36</v>
      </c>
      <c r="H221" t="s">
        <v>229</v>
      </c>
      <c r="I221" t="s">
        <v>210</v>
      </c>
      <c r="J221" t="s">
        <v>43</v>
      </c>
      <c r="K221" t="s">
        <v>231</v>
      </c>
      <c r="L221" t="s">
        <v>227</v>
      </c>
      <c r="M221" t="s">
        <v>228</v>
      </c>
      <c r="N221" t="s">
        <v>224</v>
      </c>
      <c r="O221" t="s">
        <v>215</v>
      </c>
      <c r="P221" t="s">
        <v>216</v>
      </c>
      <c r="Q221" t="s">
        <v>217</v>
      </c>
      <c r="R221" t="s">
        <v>218</v>
      </c>
      <c r="S221" t="s">
        <v>220</v>
      </c>
    </row>
    <row r="222" spans="1:19" x14ac:dyDescent="0.35">
      <c r="A222" t="s">
        <v>28</v>
      </c>
      <c r="B222" t="s">
        <v>12</v>
      </c>
      <c r="C222" t="s">
        <v>38</v>
      </c>
      <c r="D222" t="s">
        <v>14</v>
      </c>
      <c r="E222" t="s">
        <v>22</v>
      </c>
      <c r="F222" t="s">
        <v>16</v>
      </c>
      <c r="G222" t="s">
        <v>17</v>
      </c>
      <c r="H222" t="s">
        <v>275</v>
      </c>
      <c r="I222" t="s">
        <v>265</v>
      </c>
      <c r="J222" t="s">
        <v>43</v>
      </c>
      <c r="K222" t="s">
        <v>276</v>
      </c>
      <c r="L222" t="s">
        <v>316</v>
      </c>
      <c r="M222" t="s">
        <v>323</v>
      </c>
      <c r="N222" t="s">
        <v>344</v>
      </c>
      <c r="O222" t="s">
        <v>215</v>
      </c>
      <c r="P222" t="s">
        <v>216</v>
      </c>
      <c r="Q222" t="s">
        <v>217</v>
      </c>
      <c r="R222" t="s">
        <v>218</v>
      </c>
      <c r="S222" t="s">
        <v>220</v>
      </c>
    </row>
    <row r="223" spans="1:19" x14ac:dyDescent="0.35">
      <c r="A223" t="s">
        <v>86</v>
      </c>
      <c r="B223" t="s">
        <v>34</v>
      </c>
      <c r="C223" t="s">
        <v>38</v>
      </c>
      <c r="D223" t="s">
        <v>26</v>
      </c>
      <c r="E223" t="s">
        <v>15</v>
      </c>
      <c r="F223" t="s">
        <v>23</v>
      </c>
      <c r="G223" t="s">
        <v>24</v>
      </c>
      <c r="H223" t="s">
        <v>239</v>
      </c>
      <c r="I223" t="s">
        <v>210</v>
      </c>
      <c r="J223" t="s">
        <v>50</v>
      </c>
      <c r="K223" t="s">
        <v>245</v>
      </c>
      <c r="L223" t="s">
        <v>224</v>
      </c>
      <c r="M223" t="s">
        <v>226</v>
      </c>
      <c r="N223" t="s">
        <v>252</v>
      </c>
      <c r="O223" t="s">
        <v>215</v>
      </c>
      <c r="P223" t="s">
        <v>216</v>
      </c>
      <c r="Q223" t="s">
        <v>217</v>
      </c>
      <c r="R223" t="s">
        <v>218</v>
      </c>
      <c r="S223" t="s">
        <v>238</v>
      </c>
    </row>
    <row r="224" spans="1:19" x14ac:dyDescent="0.35">
      <c r="A224" t="s">
        <v>25</v>
      </c>
      <c r="B224" t="s">
        <v>29</v>
      </c>
      <c r="C224" t="s">
        <v>38</v>
      </c>
      <c r="D224" t="s">
        <v>14</v>
      </c>
      <c r="E224" t="s">
        <v>15</v>
      </c>
      <c r="F224" t="s">
        <v>41</v>
      </c>
      <c r="G224" t="s">
        <v>17</v>
      </c>
      <c r="H224" t="s">
        <v>219</v>
      </c>
      <c r="I224" t="s">
        <v>249</v>
      </c>
      <c r="J224" t="s">
        <v>50</v>
      </c>
      <c r="K224" t="s">
        <v>221</v>
      </c>
      <c r="L224" t="s">
        <v>279</v>
      </c>
      <c r="M224" t="s">
        <v>320</v>
      </c>
      <c r="N224" t="s">
        <v>321</v>
      </c>
      <c r="O224" t="s">
        <v>215</v>
      </c>
      <c r="P224" t="s">
        <v>216</v>
      </c>
      <c r="Q224" t="s">
        <v>217</v>
      </c>
      <c r="R224" t="s">
        <v>218</v>
      </c>
      <c r="S224" t="s">
        <v>265</v>
      </c>
    </row>
    <row r="225" spans="1:19" x14ac:dyDescent="0.35">
      <c r="A225" t="s">
        <v>121</v>
      </c>
      <c r="B225" t="s">
        <v>12</v>
      </c>
      <c r="C225" t="s">
        <v>38</v>
      </c>
      <c r="D225" t="s">
        <v>26</v>
      </c>
      <c r="E225" t="s">
        <v>15</v>
      </c>
      <c r="F225" t="s">
        <v>52</v>
      </c>
      <c r="G225" t="s">
        <v>36</v>
      </c>
      <c r="H225" t="s">
        <v>291</v>
      </c>
      <c r="I225" t="s">
        <v>225</v>
      </c>
      <c r="J225" t="s">
        <v>54</v>
      </c>
      <c r="K225" t="s">
        <v>292</v>
      </c>
      <c r="L225" t="s">
        <v>332</v>
      </c>
      <c r="M225" t="s">
        <v>333</v>
      </c>
      <c r="N225" t="s">
        <v>291</v>
      </c>
      <c r="O225" t="s">
        <v>215</v>
      </c>
      <c r="P225" t="s">
        <v>216</v>
      </c>
      <c r="Q225" t="s">
        <v>217</v>
      </c>
      <c r="R225" t="s">
        <v>218</v>
      </c>
      <c r="S225" t="s">
        <v>265</v>
      </c>
    </row>
    <row r="226" spans="1:19" x14ac:dyDescent="0.35">
      <c r="A226" t="s">
        <v>132</v>
      </c>
      <c r="B226" t="s">
        <v>29</v>
      </c>
      <c r="C226" t="s">
        <v>38</v>
      </c>
      <c r="D226" t="s">
        <v>26</v>
      </c>
      <c r="E226" t="s">
        <v>22</v>
      </c>
      <c r="F226" t="s">
        <v>47</v>
      </c>
      <c r="G226" t="s">
        <v>36</v>
      </c>
      <c r="H226" t="s">
        <v>229</v>
      </c>
      <c r="I226" t="s">
        <v>244</v>
      </c>
      <c r="J226" t="s">
        <v>50</v>
      </c>
      <c r="K226" t="s">
        <v>231</v>
      </c>
      <c r="L226" t="s">
        <v>312</v>
      </c>
      <c r="M226" t="s">
        <v>214</v>
      </c>
      <c r="N226" t="s">
        <v>246</v>
      </c>
      <c r="O226" t="s">
        <v>215</v>
      </c>
      <c r="P226" t="s">
        <v>216</v>
      </c>
      <c r="Q226" t="s">
        <v>217</v>
      </c>
      <c r="R226" t="s">
        <v>218</v>
      </c>
      <c r="S226" t="s">
        <v>238</v>
      </c>
    </row>
    <row r="227" spans="1:19" x14ac:dyDescent="0.35">
      <c r="A227" t="s">
        <v>138</v>
      </c>
      <c r="B227" t="s">
        <v>12</v>
      </c>
      <c r="C227" t="s">
        <v>38</v>
      </c>
      <c r="D227" t="s">
        <v>26</v>
      </c>
      <c r="E227" t="s">
        <v>15</v>
      </c>
      <c r="F227" t="s">
        <v>16</v>
      </c>
      <c r="G227" t="s">
        <v>17</v>
      </c>
      <c r="H227" t="s">
        <v>275</v>
      </c>
      <c r="I227" t="s">
        <v>230</v>
      </c>
      <c r="J227" t="s">
        <v>27</v>
      </c>
      <c r="K227" t="s">
        <v>276</v>
      </c>
      <c r="L227" t="s">
        <v>374</v>
      </c>
      <c r="M227" t="s">
        <v>375</v>
      </c>
      <c r="N227" t="s">
        <v>376</v>
      </c>
      <c r="O227" t="s">
        <v>215</v>
      </c>
      <c r="P227" t="s">
        <v>216</v>
      </c>
      <c r="Q227" t="s">
        <v>217</v>
      </c>
      <c r="R227" t="s">
        <v>218</v>
      </c>
      <c r="S227" t="s">
        <v>244</v>
      </c>
    </row>
    <row r="228" spans="1:19" x14ac:dyDescent="0.35">
      <c r="A228" t="s">
        <v>33</v>
      </c>
      <c r="B228" t="s">
        <v>12</v>
      </c>
      <c r="C228" t="s">
        <v>38</v>
      </c>
      <c r="D228" t="s">
        <v>26</v>
      </c>
      <c r="E228" t="s">
        <v>15</v>
      </c>
      <c r="F228" t="s">
        <v>39</v>
      </c>
      <c r="G228" t="s">
        <v>24</v>
      </c>
      <c r="H228" t="s">
        <v>209</v>
      </c>
      <c r="I228" t="s">
        <v>249</v>
      </c>
      <c r="J228" t="s">
        <v>54</v>
      </c>
      <c r="K228" t="s">
        <v>211</v>
      </c>
      <c r="L228" t="s">
        <v>213</v>
      </c>
      <c r="M228" t="s">
        <v>250</v>
      </c>
      <c r="N228" t="s">
        <v>251</v>
      </c>
      <c r="O228" t="s">
        <v>215</v>
      </c>
      <c r="P228" t="s">
        <v>216</v>
      </c>
      <c r="Q228" t="s">
        <v>217</v>
      </c>
      <c r="R228" t="s">
        <v>218</v>
      </c>
      <c r="S228" t="s">
        <v>220</v>
      </c>
    </row>
    <row r="229" spans="1:19" x14ac:dyDescent="0.35">
      <c r="A229" t="s">
        <v>127</v>
      </c>
      <c r="B229" t="s">
        <v>34</v>
      </c>
      <c r="C229" t="s">
        <v>38</v>
      </c>
      <c r="D229" t="s">
        <v>14</v>
      </c>
      <c r="E229" t="s">
        <v>22</v>
      </c>
      <c r="F229" t="s">
        <v>56</v>
      </c>
      <c r="G229" t="s">
        <v>36</v>
      </c>
      <c r="H229" t="s">
        <v>260</v>
      </c>
      <c r="I229" t="s">
        <v>230</v>
      </c>
      <c r="J229" t="s">
        <v>18</v>
      </c>
      <c r="K229" t="s">
        <v>261</v>
      </c>
      <c r="L229" t="s">
        <v>368</v>
      </c>
      <c r="M229" t="s">
        <v>369</v>
      </c>
      <c r="N229" t="s">
        <v>370</v>
      </c>
      <c r="O229" t="s">
        <v>215</v>
      </c>
      <c r="P229" t="s">
        <v>216</v>
      </c>
      <c r="Q229" t="s">
        <v>217</v>
      </c>
      <c r="R229" t="s">
        <v>218</v>
      </c>
      <c r="S229" t="s">
        <v>220</v>
      </c>
    </row>
    <row r="230" spans="1:19" x14ac:dyDescent="0.35">
      <c r="A230" t="s">
        <v>85</v>
      </c>
      <c r="B230" t="s">
        <v>12</v>
      </c>
      <c r="C230" t="s">
        <v>38</v>
      </c>
      <c r="D230" t="s">
        <v>26</v>
      </c>
      <c r="E230" t="s">
        <v>22</v>
      </c>
      <c r="F230" t="s">
        <v>31</v>
      </c>
      <c r="G230" t="s">
        <v>24</v>
      </c>
      <c r="H230" t="s">
        <v>252</v>
      </c>
      <c r="I230" t="s">
        <v>230</v>
      </c>
      <c r="J230" t="s">
        <v>50</v>
      </c>
      <c r="K230" t="s">
        <v>253</v>
      </c>
      <c r="L230" t="s">
        <v>291</v>
      </c>
      <c r="M230" t="s">
        <v>292</v>
      </c>
      <c r="N230" t="s">
        <v>343</v>
      </c>
      <c r="O230" t="s">
        <v>215</v>
      </c>
      <c r="P230" t="s">
        <v>216</v>
      </c>
      <c r="Q230" t="s">
        <v>217</v>
      </c>
      <c r="R230" t="s">
        <v>218</v>
      </c>
      <c r="S230" t="s">
        <v>238</v>
      </c>
    </row>
    <row r="231" spans="1:19" x14ac:dyDescent="0.35">
      <c r="A231" t="s">
        <v>130</v>
      </c>
      <c r="B231" t="s">
        <v>20</v>
      </c>
      <c r="C231" t="s">
        <v>38</v>
      </c>
      <c r="D231" t="s">
        <v>26</v>
      </c>
      <c r="E231" t="s">
        <v>15</v>
      </c>
      <c r="F231" t="s">
        <v>23</v>
      </c>
      <c r="G231" t="s">
        <v>24</v>
      </c>
      <c r="H231" t="s">
        <v>239</v>
      </c>
      <c r="I231" t="s">
        <v>210</v>
      </c>
      <c r="J231" t="s">
        <v>54</v>
      </c>
      <c r="K231" t="s">
        <v>245</v>
      </c>
      <c r="L231" t="s">
        <v>224</v>
      </c>
      <c r="M231" t="s">
        <v>226</v>
      </c>
      <c r="N231" t="s">
        <v>252</v>
      </c>
      <c r="O231" t="s">
        <v>215</v>
      </c>
      <c r="P231" t="s">
        <v>216</v>
      </c>
      <c r="Q231" t="s">
        <v>217</v>
      </c>
      <c r="R231" t="s">
        <v>218</v>
      </c>
      <c r="S231" t="s">
        <v>238</v>
      </c>
    </row>
    <row r="232" spans="1:19" x14ac:dyDescent="0.35">
      <c r="A232" t="s">
        <v>133</v>
      </c>
      <c r="B232" t="s">
        <v>20</v>
      </c>
      <c r="C232" t="s">
        <v>38</v>
      </c>
      <c r="D232" t="s">
        <v>14</v>
      </c>
      <c r="E232" t="s">
        <v>22</v>
      </c>
      <c r="F232" t="s">
        <v>35</v>
      </c>
      <c r="G232" t="s">
        <v>36</v>
      </c>
      <c r="H232" t="s">
        <v>224</v>
      </c>
      <c r="I232" t="s">
        <v>240</v>
      </c>
      <c r="J232" t="s">
        <v>54</v>
      </c>
      <c r="K232" t="s">
        <v>226</v>
      </c>
      <c r="L232" t="s">
        <v>212</v>
      </c>
      <c r="M232" t="s">
        <v>213</v>
      </c>
      <c r="N232" t="s">
        <v>214</v>
      </c>
      <c r="O232" t="s">
        <v>215</v>
      </c>
      <c r="P232" t="s">
        <v>216</v>
      </c>
      <c r="Q232" t="s">
        <v>217</v>
      </c>
      <c r="R232" t="s">
        <v>218</v>
      </c>
      <c r="S232" t="s">
        <v>265</v>
      </c>
    </row>
    <row r="233" spans="1:19" x14ac:dyDescent="0.35">
      <c r="A233" t="s">
        <v>76</v>
      </c>
      <c r="B233" t="s">
        <v>20</v>
      </c>
      <c r="C233" t="s">
        <v>38</v>
      </c>
      <c r="D233" t="s">
        <v>26</v>
      </c>
      <c r="E233" t="s">
        <v>22</v>
      </c>
      <c r="F233" t="s">
        <v>52</v>
      </c>
      <c r="G233" t="s">
        <v>36</v>
      </c>
      <c r="H233" t="s">
        <v>291</v>
      </c>
      <c r="I233" t="s">
        <v>225</v>
      </c>
      <c r="J233" t="s">
        <v>43</v>
      </c>
      <c r="K233" t="s">
        <v>292</v>
      </c>
      <c r="L233" t="s">
        <v>332</v>
      </c>
      <c r="M233" t="s">
        <v>333</v>
      </c>
      <c r="N233" t="s">
        <v>291</v>
      </c>
      <c r="O233" t="s">
        <v>215</v>
      </c>
      <c r="P233" t="s">
        <v>216</v>
      </c>
      <c r="Q233" t="s">
        <v>217</v>
      </c>
      <c r="R233" t="s">
        <v>218</v>
      </c>
      <c r="S233" t="s">
        <v>265</v>
      </c>
    </row>
    <row r="234" spans="1:19" x14ac:dyDescent="0.35">
      <c r="A234" t="s">
        <v>64</v>
      </c>
      <c r="B234" t="s">
        <v>29</v>
      </c>
      <c r="C234" t="s">
        <v>38</v>
      </c>
      <c r="D234" t="s">
        <v>14</v>
      </c>
      <c r="E234" t="s">
        <v>15</v>
      </c>
      <c r="F234" t="s">
        <v>41</v>
      </c>
      <c r="G234" t="s">
        <v>17</v>
      </c>
      <c r="H234" t="s">
        <v>219</v>
      </c>
      <c r="I234" t="s">
        <v>238</v>
      </c>
      <c r="J234" t="s">
        <v>43</v>
      </c>
      <c r="K234" t="s">
        <v>221</v>
      </c>
      <c r="L234" t="s">
        <v>219</v>
      </c>
      <c r="M234" t="s">
        <v>221</v>
      </c>
      <c r="N234" t="s">
        <v>308</v>
      </c>
      <c r="O234" t="s">
        <v>215</v>
      </c>
      <c r="P234" t="s">
        <v>216</v>
      </c>
      <c r="Q234" t="s">
        <v>217</v>
      </c>
      <c r="R234" t="s">
        <v>218</v>
      </c>
      <c r="S234" t="s">
        <v>265</v>
      </c>
    </row>
    <row r="235" spans="1:19" x14ac:dyDescent="0.35">
      <c r="A235" t="s">
        <v>67</v>
      </c>
      <c r="B235" t="s">
        <v>34</v>
      </c>
      <c r="C235" t="s">
        <v>38</v>
      </c>
      <c r="D235" t="s">
        <v>14</v>
      </c>
      <c r="E235" t="s">
        <v>15</v>
      </c>
      <c r="F235" t="s">
        <v>58</v>
      </c>
      <c r="G235" t="s">
        <v>24</v>
      </c>
      <c r="H235" t="s">
        <v>255</v>
      </c>
      <c r="I235" t="s">
        <v>210</v>
      </c>
      <c r="J235" t="s">
        <v>54</v>
      </c>
      <c r="K235" t="s">
        <v>256</v>
      </c>
      <c r="L235" t="s">
        <v>285</v>
      </c>
      <c r="M235" t="s">
        <v>286</v>
      </c>
      <c r="N235" t="s">
        <v>287</v>
      </c>
      <c r="O235" t="s">
        <v>215</v>
      </c>
      <c r="P235" t="s">
        <v>216</v>
      </c>
      <c r="Q235" t="s">
        <v>217</v>
      </c>
      <c r="R235" t="s">
        <v>218</v>
      </c>
      <c r="S235" t="s">
        <v>244</v>
      </c>
    </row>
    <row r="236" spans="1:19" x14ac:dyDescent="0.35">
      <c r="A236" t="s">
        <v>146</v>
      </c>
      <c r="B236" t="s">
        <v>20</v>
      </c>
      <c r="C236" t="s">
        <v>38</v>
      </c>
      <c r="D236" t="s">
        <v>26</v>
      </c>
      <c r="E236" t="s">
        <v>22</v>
      </c>
      <c r="F236" t="s">
        <v>52</v>
      </c>
      <c r="G236" t="s">
        <v>36</v>
      </c>
      <c r="H236" t="s">
        <v>291</v>
      </c>
      <c r="I236" t="s">
        <v>269</v>
      </c>
      <c r="J236" t="s">
        <v>43</v>
      </c>
      <c r="K236" t="s">
        <v>292</v>
      </c>
      <c r="L236" t="s">
        <v>328</v>
      </c>
      <c r="M236" t="s">
        <v>329</v>
      </c>
      <c r="N236" t="s">
        <v>330</v>
      </c>
      <c r="O236" t="s">
        <v>215</v>
      </c>
      <c r="P236" t="s">
        <v>216</v>
      </c>
      <c r="Q236" t="s">
        <v>217</v>
      </c>
      <c r="R236" t="s">
        <v>218</v>
      </c>
      <c r="S236" t="s">
        <v>244</v>
      </c>
    </row>
    <row r="237" spans="1:19" x14ac:dyDescent="0.35">
      <c r="A237" t="s">
        <v>76</v>
      </c>
      <c r="B237" t="s">
        <v>12</v>
      </c>
      <c r="C237" t="s">
        <v>38</v>
      </c>
      <c r="D237" t="s">
        <v>14</v>
      </c>
      <c r="E237" t="s">
        <v>22</v>
      </c>
      <c r="F237" t="s">
        <v>23</v>
      </c>
      <c r="G237" t="s">
        <v>24</v>
      </c>
      <c r="H237" t="s">
        <v>239</v>
      </c>
      <c r="I237" t="s">
        <v>240</v>
      </c>
      <c r="J237" t="s">
        <v>54</v>
      </c>
      <c r="K237" t="s">
        <v>245</v>
      </c>
      <c r="L237" t="s">
        <v>209</v>
      </c>
      <c r="M237" t="s">
        <v>211</v>
      </c>
      <c r="N237" t="s">
        <v>254</v>
      </c>
      <c r="O237" t="s">
        <v>215</v>
      </c>
      <c r="P237" t="s">
        <v>216</v>
      </c>
      <c r="Q237" t="s">
        <v>217</v>
      </c>
      <c r="R237" t="s">
        <v>218</v>
      </c>
      <c r="S237" t="s">
        <v>265</v>
      </c>
    </row>
    <row r="238" spans="1:19" x14ac:dyDescent="0.35">
      <c r="A238" t="s">
        <v>139</v>
      </c>
      <c r="B238" t="s">
        <v>20</v>
      </c>
      <c r="C238" t="s">
        <v>38</v>
      </c>
      <c r="D238" t="s">
        <v>14</v>
      </c>
      <c r="E238" t="s">
        <v>15</v>
      </c>
      <c r="F238" t="s">
        <v>47</v>
      </c>
      <c r="G238" t="s">
        <v>36</v>
      </c>
      <c r="H238" t="s">
        <v>229</v>
      </c>
      <c r="I238" t="s">
        <v>249</v>
      </c>
      <c r="J238" t="s">
        <v>18</v>
      </c>
      <c r="K238" t="s">
        <v>231</v>
      </c>
      <c r="L238" t="s">
        <v>228</v>
      </c>
      <c r="M238" t="s">
        <v>290</v>
      </c>
      <c r="N238" t="s">
        <v>226</v>
      </c>
      <c r="O238" t="s">
        <v>215</v>
      </c>
      <c r="P238" t="s">
        <v>216</v>
      </c>
      <c r="Q238" t="s">
        <v>217</v>
      </c>
      <c r="R238" t="s">
        <v>218</v>
      </c>
      <c r="S238" t="s">
        <v>265</v>
      </c>
    </row>
    <row r="239" spans="1:19" x14ac:dyDescent="0.35">
      <c r="A239" t="s">
        <v>130</v>
      </c>
      <c r="B239" t="s">
        <v>20</v>
      </c>
      <c r="C239" t="s">
        <v>38</v>
      </c>
      <c r="D239" t="s">
        <v>14</v>
      </c>
      <c r="E239" t="s">
        <v>15</v>
      </c>
      <c r="F239" t="s">
        <v>47</v>
      </c>
      <c r="G239" t="s">
        <v>36</v>
      </c>
      <c r="H239" t="s">
        <v>229</v>
      </c>
      <c r="I239" t="s">
        <v>269</v>
      </c>
      <c r="J239" t="s">
        <v>50</v>
      </c>
      <c r="K239" t="s">
        <v>231</v>
      </c>
      <c r="L239" t="s">
        <v>367</v>
      </c>
      <c r="M239" t="s">
        <v>266</v>
      </c>
      <c r="N239" t="s">
        <v>309</v>
      </c>
      <c r="O239" t="s">
        <v>215</v>
      </c>
      <c r="P239" t="s">
        <v>216</v>
      </c>
      <c r="Q239" t="s">
        <v>217</v>
      </c>
      <c r="R239" t="s">
        <v>218</v>
      </c>
      <c r="S239" t="s">
        <v>238</v>
      </c>
    </row>
    <row r="240" spans="1:19" x14ac:dyDescent="0.35">
      <c r="A240" t="s">
        <v>33</v>
      </c>
      <c r="B240" t="s">
        <v>29</v>
      </c>
      <c r="C240" t="s">
        <v>38</v>
      </c>
      <c r="D240" t="s">
        <v>26</v>
      </c>
      <c r="E240" t="s">
        <v>22</v>
      </c>
      <c r="F240" t="s">
        <v>58</v>
      </c>
      <c r="G240" t="s">
        <v>24</v>
      </c>
      <c r="H240" t="s">
        <v>255</v>
      </c>
      <c r="I240" t="s">
        <v>230</v>
      </c>
      <c r="J240" t="s">
        <v>18</v>
      </c>
      <c r="K240" t="s">
        <v>256</v>
      </c>
      <c r="L240" t="s">
        <v>354</v>
      </c>
      <c r="M240" t="s">
        <v>355</v>
      </c>
      <c r="N240" t="s">
        <v>356</v>
      </c>
      <c r="O240" t="s">
        <v>215</v>
      </c>
      <c r="P240" t="s">
        <v>216</v>
      </c>
      <c r="Q240" t="s">
        <v>217</v>
      </c>
      <c r="R240" t="s">
        <v>218</v>
      </c>
      <c r="S240" t="s">
        <v>220</v>
      </c>
    </row>
    <row r="241" spans="1:19" x14ac:dyDescent="0.35">
      <c r="A241" t="s">
        <v>142</v>
      </c>
      <c r="B241" t="s">
        <v>12</v>
      </c>
      <c r="C241" t="s">
        <v>38</v>
      </c>
      <c r="D241" t="s">
        <v>14</v>
      </c>
      <c r="E241" t="s">
        <v>15</v>
      </c>
      <c r="F241" t="s">
        <v>56</v>
      </c>
      <c r="G241" t="s">
        <v>36</v>
      </c>
      <c r="H241" t="s">
        <v>260</v>
      </c>
      <c r="I241" t="s">
        <v>269</v>
      </c>
      <c r="J241" t="s">
        <v>18</v>
      </c>
      <c r="K241" t="s">
        <v>261</v>
      </c>
      <c r="L241" t="s">
        <v>377</v>
      </c>
      <c r="M241" t="s">
        <v>212</v>
      </c>
      <c r="N241" t="s">
        <v>312</v>
      </c>
      <c r="O241" t="s">
        <v>215</v>
      </c>
      <c r="P241" t="s">
        <v>216</v>
      </c>
      <c r="Q241" t="s">
        <v>217</v>
      </c>
      <c r="R241" t="s">
        <v>218</v>
      </c>
      <c r="S241" t="s">
        <v>220</v>
      </c>
    </row>
    <row r="242" spans="1:19" x14ac:dyDescent="0.35">
      <c r="A242" t="s">
        <v>110</v>
      </c>
      <c r="B242" t="s">
        <v>20</v>
      </c>
      <c r="C242" t="s">
        <v>38</v>
      </c>
      <c r="D242" t="s">
        <v>26</v>
      </c>
      <c r="E242" t="s">
        <v>15</v>
      </c>
      <c r="F242" t="s">
        <v>16</v>
      </c>
      <c r="G242" t="s">
        <v>17</v>
      </c>
      <c r="H242" t="s">
        <v>275</v>
      </c>
      <c r="I242" t="s">
        <v>249</v>
      </c>
      <c r="J242" t="s">
        <v>32</v>
      </c>
      <c r="K242" t="s">
        <v>276</v>
      </c>
      <c r="L242" t="s">
        <v>315</v>
      </c>
      <c r="M242" t="s">
        <v>322</v>
      </c>
      <c r="N242" t="s">
        <v>323</v>
      </c>
      <c r="O242" t="s">
        <v>215</v>
      </c>
      <c r="P242" t="s">
        <v>216</v>
      </c>
      <c r="Q242" t="s">
        <v>217</v>
      </c>
      <c r="R242" t="s">
        <v>218</v>
      </c>
      <c r="S242" t="s">
        <v>265</v>
      </c>
    </row>
    <row r="243" spans="1:19" x14ac:dyDescent="0.35">
      <c r="A243" t="s">
        <v>62</v>
      </c>
      <c r="B243" t="s">
        <v>29</v>
      </c>
      <c r="C243" t="s">
        <v>38</v>
      </c>
      <c r="D243" t="s">
        <v>14</v>
      </c>
      <c r="E243" t="s">
        <v>22</v>
      </c>
      <c r="F243" t="s">
        <v>56</v>
      </c>
      <c r="G243" t="s">
        <v>36</v>
      </c>
      <c r="H243" t="s">
        <v>260</v>
      </c>
      <c r="I243" t="s">
        <v>240</v>
      </c>
      <c r="J243" t="s">
        <v>54</v>
      </c>
      <c r="K243" t="s">
        <v>261</v>
      </c>
      <c r="L243" t="s">
        <v>227</v>
      </c>
      <c r="M243" t="s">
        <v>228</v>
      </c>
      <c r="N243" t="s">
        <v>224</v>
      </c>
      <c r="O243" t="s">
        <v>215</v>
      </c>
      <c r="P243" t="s">
        <v>216</v>
      </c>
      <c r="Q243" t="s">
        <v>217</v>
      </c>
      <c r="R243" t="s">
        <v>218</v>
      </c>
      <c r="S243" t="s">
        <v>220</v>
      </c>
    </row>
    <row r="244" spans="1:19" x14ac:dyDescent="0.35">
      <c r="A244" t="s">
        <v>114</v>
      </c>
      <c r="B244" t="s">
        <v>20</v>
      </c>
      <c r="C244" t="s">
        <v>38</v>
      </c>
      <c r="D244" t="s">
        <v>14</v>
      </c>
      <c r="E244" t="s">
        <v>22</v>
      </c>
      <c r="F244" t="s">
        <v>23</v>
      </c>
      <c r="G244" t="s">
        <v>24</v>
      </c>
      <c r="H244" t="s">
        <v>239</v>
      </c>
      <c r="I244" t="s">
        <v>220</v>
      </c>
      <c r="J244" t="s">
        <v>43</v>
      </c>
      <c r="K244" t="s">
        <v>245</v>
      </c>
      <c r="L244" t="s">
        <v>231</v>
      </c>
      <c r="M244" t="s">
        <v>311</v>
      </c>
      <c r="N244" t="s">
        <v>245</v>
      </c>
      <c r="O244" t="s">
        <v>215</v>
      </c>
      <c r="P244" t="s">
        <v>216</v>
      </c>
      <c r="Q244" t="s">
        <v>217</v>
      </c>
      <c r="R244" t="s">
        <v>218</v>
      </c>
      <c r="S244" t="s">
        <v>244</v>
      </c>
    </row>
    <row r="245" spans="1:19" x14ac:dyDescent="0.35">
      <c r="A245" t="s">
        <v>80</v>
      </c>
      <c r="B245" t="s">
        <v>29</v>
      </c>
      <c r="C245" t="s">
        <v>38</v>
      </c>
      <c r="D245" t="s">
        <v>14</v>
      </c>
      <c r="E245" t="s">
        <v>22</v>
      </c>
      <c r="F245" t="s">
        <v>16</v>
      </c>
      <c r="G245" t="s">
        <v>17</v>
      </c>
      <c r="H245" t="s">
        <v>275</v>
      </c>
      <c r="I245" t="s">
        <v>210</v>
      </c>
      <c r="J245" t="s">
        <v>18</v>
      </c>
      <c r="K245" t="s">
        <v>276</v>
      </c>
      <c r="L245" t="s">
        <v>314</v>
      </c>
      <c r="M245" t="s">
        <v>315</v>
      </c>
      <c r="N245" t="s">
        <v>316</v>
      </c>
      <c r="O245" t="s">
        <v>215</v>
      </c>
      <c r="P245" t="s">
        <v>216</v>
      </c>
      <c r="Q245" t="s">
        <v>217</v>
      </c>
      <c r="R245" t="s">
        <v>218</v>
      </c>
      <c r="S245" t="s">
        <v>265</v>
      </c>
    </row>
    <row r="246" spans="1:19" x14ac:dyDescent="0.35">
      <c r="A246" t="s">
        <v>63</v>
      </c>
      <c r="B246" t="s">
        <v>34</v>
      </c>
      <c r="C246" t="s">
        <v>38</v>
      </c>
      <c r="D246" t="s">
        <v>26</v>
      </c>
      <c r="E246" t="s">
        <v>22</v>
      </c>
      <c r="F246" t="s">
        <v>56</v>
      </c>
      <c r="G246" t="s">
        <v>36</v>
      </c>
      <c r="H246" t="s">
        <v>260</v>
      </c>
      <c r="I246" t="s">
        <v>240</v>
      </c>
      <c r="J246" t="s">
        <v>32</v>
      </c>
      <c r="K246" t="s">
        <v>261</v>
      </c>
      <c r="L246" t="s">
        <v>227</v>
      </c>
      <c r="M246" t="s">
        <v>228</v>
      </c>
      <c r="N246" t="s">
        <v>224</v>
      </c>
      <c r="O246" t="s">
        <v>215</v>
      </c>
      <c r="P246" t="s">
        <v>216</v>
      </c>
      <c r="Q246" t="s">
        <v>217</v>
      </c>
      <c r="R246" t="s">
        <v>218</v>
      </c>
      <c r="S246" t="s">
        <v>220</v>
      </c>
    </row>
    <row r="247" spans="1:19" x14ac:dyDescent="0.35">
      <c r="A247" t="s">
        <v>83</v>
      </c>
      <c r="B247" t="s">
        <v>12</v>
      </c>
      <c r="C247" t="s">
        <v>38</v>
      </c>
      <c r="D247" t="s">
        <v>14</v>
      </c>
      <c r="E247" t="s">
        <v>22</v>
      </c>
      <c r="F247" t="s">
        <v>47</v>
      </c>
      <c r="G247" t="s">
        <v>36</v>
      </c>
      <c r="H247" t="s">
        <v>229</v>
      </c>
      <c r="I247" t="s">
        <v>210</v>
      </c>
      <c r="J247" t="s">
        <v>54</v>
      </c>
      <c r="K247" t="s">
        <v>231</v>
      </c>
      <c r="L247" t="s">
        <v>227</v>
      </c>
      <c r="M247" t="s">
        <v>228</v>
      </c>
      <c r="N247" t="s">
        <v>224</v>
      </c>
      <c r="O247" t="s">
        <v>215</v>
      </c>
      <c r="P247" t="s">
        <v>216</v>
      </c>
      <c r="Q247" t="s">
        <v>217</v>
      </c>
      <c r="R247" t="s">
        <v>218</v>
      </c>
      <c r="S247" t="s">
        <v>238</v>
      </c>
    </row>
    <row r="248" spans="1:19" x14ac:dyDescent="0.35">
      <c r="A248" t="s">
        <v>79</v>
      </c>
      <c r="B248" t="s">
        <v>34</v>
      </c>
      <c r="C248" t="s">
        <v>38</v>
      </c>
      <c r="D248" t="s">
        <v>26</v>
      </c>
      <c r="E248" t="s">
        <v>22</v>
      </c>
      <c r="F248" t="s">
        <v>58</v>
      </c>
      <c r="G248" t="s">
        <v>24</v>
      </c>
      <c r="H248" t="s">
        <v>255</v>
      </c>
      <c r="I248" t="s">
        <v>220</v>
      </c>
      <c r="J248" t="s">
        <v>32</v>
      </c>
      <c r="K248" t="s">
        <v>256</v>
      </c>
      <c r="L248" t="s">
        <v>303</v>
      </c>
      <c r="M248" t="s">
        <v>304</v>
      </c>
      <c r="N248" t="s">
        <v>256</v>
      </c>
      <c r="O248" t="s">
        <v>215</v>
      </c>
      <c r="P248" t="s">
        <v>216</v>
      </c>
      <c r="Q248" t="s">
        <v>217</v>
      </c>
      <c r="R248" t="s">
        <v>218</v>
      </c>
      <c r="S248" t="s">
        <v>238</v>
      </c>
    </row>
    <row r="249" spans="1:19" x14ac:dyDescent="0.35">
      <c r="A249" t="s">
        <v>134</v>
      </c>
      <c r="B249" t="s">
        <v>29</v>
      </c>
      <c r="C249" t="s">
        <v>38</v>
      </c>
      <c r="D249" t="s">
        <v>14</v>
      </c>
      <c r="E249" t="s">
        <v>22</v>
      </c>
      <c r="F249" t="s">
        <v>35</v>
      </c>
      <c r="G249" t="s">
        <v>36</v>
      </c>
      <c r="H249" t="s">
        <v>224</v>
      </c>
      <c r="I249" t="s">
        <v>269</v>
      </c>
      <c r="J249" t="s">
        <v>32</v>
      </c>
      <c r="K249" t="s">
        <v>226</v>
      </c>
      <c r="L249" t="s">
        <v>270</v>
      </c>
      <c r="M249" t="s">
        <v>271</v>
      </c>
      <c r="N249" t="s">
        <v>272</v>
      </c>
      <c r="O249" t="s">
        <v>215</v>
      </c>
      <c r="P249" t="s">
        <v>216</v>
      </c>
      <c r="Q249" t="s">
        <v>217</v>
      </c>
      <c r="R249" t="s">
        <v>218</v>
      </c>
      <c r="S249" t="s">
        <v>220</v>
      </c>
    </row>
    <row r="250" spans="1:19" x14ac:dyDescent="0.35">
      <c r="A250" t="s">
        <v>45</v>
      </c>
      <c r="B250" t="s">
        <v>34</v>
      </c>
      <c r="C250" t="s">
        <v>38</v>
      </c>
      <c r="D250" t="s">
        <v>14</v>
      </c>
      <c r="E250" t="s">
        <v>22</v>
      </c>
      <c r="F250" t="s">
        <v>31</v>
      </c>
      <c r="G250" t="s">
        <v>24</v>
      </c>
      <c r="H250" t="s">
        <v>252</v>
      </c>
      <c r="I250" t="s">
        <v>225</v>
      </c>
      <c r="J250" t="s">
        <v>18</v>
      </c>
      <c r="K250" t="s">
        <v>253</v>
      </c>
      <c r="L250" t="s">
        <v>224</v>
      </c>
      <c r="M250" t="s">
        <v>226</v>
      </c>
      <c r="N250" t="s">
        <v>252</v>
      </c>
      <c r="O250" t="s">
        <v>215</v>
      </c>
      <c r="P250" t="s">
        <v>216</v>
      </c>
      <c r="Q250" t="s">
        <v>217</v>
      </c>
      <c r="R250" t="s">
        <v>218</v>
      </c>
      <c r="S250" t="s">
        <v>244</v>
      </c>
    </row>
    <row r="251" spans="1:19" x14ac:dyDescent="0.35">
      <c r="A251" t="s">
        <v>146</v>
      </c>
      <c r="B251" t="s">
        <v>20</v>
      </c>
      <c r="C251" t="s">
        <v>38</v>
      </c>
      <c r="D251" t="s">
        <v>14</v>
      </c>
      <c r="E251" t="s">
        <v>22</v>
      </c>
      <c r="F251" t="s">
        <v>16</v>
      </c>
      <c r="G251" t="s">
        <v>17</v>
      </c>
      <c r="H251" t="s">
        <v>275</v>
      </c>
      <c r="I251" t="s">
        <v>238</v>
      </c>
      <c r="J251" t="s">
        <v>50</v>
      </c>
      <c r="K251" t="s">
        <v>276</v>
      </c>
      <c r="L251" t="s">
        <v>275</v>
      </c>
      <c r="M251" t="s">
        <v>276</v>
      </c>
      <c r="N251" t="s">
        <v>277</v>
      </c>
      <c r="O251" t="s">
        <v>215</v>
      </c>
      <c r="P251" t="s">
        <v>216</v>
      </c>
      <c r="Q251" t="s">
        <v>217</v>
      </c>
      <c r="R251" t="s">
        <v>218</v>
      </c>
      <c r="S251" t="s">
        <v>244</v>
      </c>
    </row>
    <row r="252" spans="1:19" x14ac:dyDescent="0.35">
      <c r="A252" t="s">
        <v>94</v>
      </c>
      <c r="B252" t="s">
        <v>29</v>
      </c>
      <c r="C252" t="s">
        <v>38</v>
      </c>
      <c r="D252" t="s">
        <v>26</v>
      </c>
      <c r="E252" t="s">
        <v>15</v>
      </c>
      <c r="F252" t="s">
        <v>16</v>
      </c>
      <c r="G252" t="s">
        <v>17</v>
      </c>
      <c r="H252" t="s">
        <v>275</v>
      </c>
      <c r="I252" t="s">
        <v>230</v>
      </c>
      <c r="J252" t="s">
        <v>54</v>
      </c>
      <c r="K252" t="s">
        <v>276</v>
      </c>
      <c r="L252" t="s">
        <v>374</v>
      </c>
      <c r="M252" t="s">
        <v>375</v>
      </c>
      <c r="N252" t="s">
        <v>376</v>
      </c>
      <c r="O252" t="s">
        <v>215</v>
      </c>
      <c r="P252" t="s">
        <v>216</v>
      </c>
      <c r="Q252" t="s">
        <v>217</v>
      </c>
      <c r="R252" t="s">
        <v>218</v>
      </c>
      <c r="S252" t="s">
        <v>244</v>
      </c>
    </row>
    <row r="253" spans="1:19" x14ac:dyDescent="0.35">
      <c r="A253" t="s">
        <v>161</v>
      </c>
      <c r="B253" t="s">
        <v>12</v>
      </c>
      <c r="C253" t="s">
        <v>38</v>
      </c>
      <c r="D253" t="s">
        <v>14</v>
      </c>
      <c r="E253" t="s">
        <v>22</v>
      </c>
      <c r="F253" t="s">
        <v>31</v>
      </c>
      <c r="G253" t="s">
        <v>24</v>
      </c>
      <c r="H253" t="s">
        <v>252</v>
      </c>
      <c r="I253" t="s">
        <v>240</v>
      </c>
      <c r="J253" t="s">
        <v>27</v>
      </c>
      <c r="K253" t="s">
        <v>253</v>
      </c>
      <c r="L253" t="s">
        <v>214</v>
      </c>
      <c r="M253" t="s">
        <v>251</v>
      </c>
      <c r="N253" t="s">
        <v>247</v>
      </c>
      <c r="O253" t="s">
        <v>215</v>
      </c>
      <c r="P253" t="s">
        <v>216</v>
      </c>
      <c r="Q253" t="s">
        <v>217</v>
      </c>
      <c r="R253" t="s">
        <v>218</v>
      </c>
      <c r="S253" t="s">
        <v>238</v>
      </c>
    </row>
    <row r="254" spans="1:19" x14ac:dyDescent="0.35">
      <c r="A254" t="s">
        <v>93</v>
      </c>
      <c r="B254" t="s">
        <v>12</v>
      </c>
      <c r="C254" t="s">
        <v>38</v>
      </c>
      <c r="D254" t="s">
        <v>14</v>
      </c>
      <c r="E254" t="s">
        <v>15</v>
      </c>
      <c r="F254" t="s">
        <v>31</v>
      </c>
      <c r="G254" t="s">
        <v>24</v>
      </c>
      <c r="H254" t="s">
        <v>252</v>
      </c>
      <c r="I254" t="s">
        <v>240</v>
      </c>
      <c r="J254" t="s">
        <v>54</v>
      </c>
      <c r="K254" t="s">
        <v>253</v>
      </c>
      <c r="L254" t="s">
        <v>214</v>
      </c>
      <c r="M254" t="s">
        <v>251</v>
      </c>
      <c r="N254" t="s">
        <v>247</v>
      </c>
      <c r="O254" t="s">
        <v>215</v>
      </c>
      <c r="P254" t="s">
        <v>216</v>
      </c>
      <c r="Q254" t="s">
        <v>217</v>
      </c>
      <c r="R254" t="s">
        <v>218</v>
      </c>
      <c r="S254" t="s">
        <v>220</v>
      </c>
    </row>
    <row r="255" spans="1:19" x14ac:dyDescent="0.35">
      <c r="A255" t="s">
        <v>159</v>
      </c>
      <c r="B255" t="s">
        <v>34</v>
      </c>
      <c r="C255" t="s">
        <v>38</v>
      </c>
      <c r="D255" t="s">
        <v>14</v>
      </c>
      <c r="E255" t="s">
        <v>15</v>
      </c>
      <c r="F255" t="s">
        <v>23</v>
      </c>
      <c r="G255" t="s">
        <v>24</v>
      </c>
      <c r="H255" t="s">
        <v>239</v>
      </c>
      <c r="I255" t="s">
        <v>244</v>
      </c>
      <c r="J255" t="s">
        <v>27</v>
      </c>
      <c r="K255" t="s">
        <v>245</v>
      </c>
      <c r="L255" t="s">
        <v>246</v>
      </c>
      <c r="M255" t="s">
        <v>247</v>
      </c>
      <c r="N255" t="s">
        <v>248</v>
      </c>
      <c r="O255" t="s">
        <v>215</v>
      </c>
      <c r="P255" t="s">
        <v>216</v>
      </c>
      <c r="Q255" t="s">
        <v>217</v>
      </c>
      <c r="R255" t="s">
        <v>218</v>
      </c>
      <c r="S255" t="s">
        <v>265</v>
      </c>
    </row>
    <row r="256" spans="1:19" x14ac:dyDescent="0.35">
      <c r="A256" t="s">
        <v>144</v>
      </c>
      <c r="B256" t="s">
        <v>12</v>
      </c>
      <c r="C256" t="s">
        <v>38</v>
      </c>
      <c r="D256" t="s">
        <v>26</v>
      </c>
      <c r="E256" t="s">
        <v>15</v>
      </c>
      <c r="F256" t="s">
        <v>41</v>
      </c>
      <c r="G256" t="s">
        <v>17</v>
      </c>
      <c r="H256" t="s">
        <v>219</v>
      </c>
      <c r="I256" t="s">
        <v>210</v>
      </c>
      <c r="J256" t="s">
        <v>32</v>
      </c>
      <c r="K256" t="s">
        <v>221</v>
      </c>
      <c r="L256" t="s">
        <v>278</v>
      </c>
      <c r="M256" t="s">
        <v>279</v>
      </c>
      <c r="N256" t="s">
        <v>280</v>
      </c>
      <c r="O256" t="s">
        <v>215</v>
      </c>
      <c r="P256" t="s">
        <v>216</v>
      </c>
      <c r="Q256" t="s">
        <v>217</v>
      </c>
      <c r="R256" t="s">
        <v>218</v>
      </c>
      <c r="S256" t="s">
        <v>265</v>
      </c>
    </row>
    <row r="257" spans="1:19" x14ac:dyDescent="0.35">
      <c r="A257" t="s">
        <v>87</v>
      </c>
      <c r="B257" t="s">
        <v>34</v>
      </c>
      <c r="C257" t="s">
        <v>38</v>
      </c>
      <c r="D257" t="s">
        <v>14</v>
      </c>
      <c r="E257" t="s">
        <v>15</v>
      </c>
      <c r="F257" t="s">
        <v>31</v>
      </c>
      <c r="G257" t="s">
        <v>24</v>
      </c>
      <c r="H257" t="s">
        <v>252</v>
      </c>
      <c r="I257" t="s">
        <v>225</v>
      </c>
      <c r="J257" t="s">
        <v>27</v>
      </c>
      <c r="K257" t="s">
        <v>253</v>
      </c>
      <c r="L257" t="s">
        <v>224</v>
      </c>
      <c r="M257" t="s">
        <v>226</v>
      </c>
      <c r="N257" t="s">
        <v>252</v>
      </c>
      <c r="O257" t="s">
        <v>215</v>
      </c>
      <c r="P257" t="s">
        <v>216</v>
      </c>
      <c r="Q257" t="s">
        <v>217</v>
      </c>
      <c r="R257" t="s">
        <v>218</v>
      </c>
      <c r="S257" t="s">
        <v>244</v>
      </c>
    </row>
    <row r="258" spans="1:19" x14ac:dyDescent="0.35">
      <c r="A258" t="s">
        <v>59</v>
      </c>
      <c r="B258" t="s">
        <v>34</v>
      </c>
      <c r="C258" t="s">
        <v>38</v>
      </c>
      <c r="D258" t="s">
        <v>14</v>
      </c>
      <c r="E258" t="s">
        <v>22</v>
      </c>
      <c r="F258" t="s">
        <v>31</v>
      </c>
      <c r="G258" t="s">
        <v>24</v>
      </c>
      <c r="H258" t="s">
        <v>252</v>
      </c>
      <c r="I258" t="s">
        <v>269</v>
      </c>
      <c r="J258" t="s">
        <v>50</v>
      </c>
      <c r="K258" t="s">
        <v>253</v>
      </c>
      <c r="L258" t="s">
        <v>272</v>
      </c>
      <c r="M258" t="s">
        <v>273</v>
      </c>
      <c r="N258" t="s">
        <v>274</v>
      </c>
      <c r="O258" t="s">
        <v>215</v>
      </c>
      <c r="P258" t="s">
        <v>216</v>
      </c>
      <c r="Q258" t="s">
        <v>217</v>
      </c>
      <c r="R258" t="s">
        <v>218</v>
      </c>
      <c r="S258" t="s">
        <v>265</v>
      </c>
    </row>
    <row r="259" spans="1:19" x14ac:dyDescent="0.35">
      <c r="A259" t="s">
        <v>108</v>
      </c>
      <c r="B259" t="s">
        <v>29</v>
      </c>
      <c r="C259" t="s">
        <v>38</v>
      </c>
      <c r="D259" t="s">
        <v>14</v>
      </c>
      <c r="E259" t="s">
        <v>22</v>
      </c>
      <c r="F259" t="s">
        <v>52</v>
      </c>
      <c r="G259" t="s">
        <v>36</v>
      </c>
      <c r="H259" t="s">
        <v>291</v>
      </c>
      <c r="I259" t="s">
        <v>249</v>
      </c>
      <c r="J259" t="s">
        <v>54</v>
      </c>
      <c r="K259" t="s">
        <v>292</v>
      </c>
      <c r="L259" t="s">
        <v>299</v>
      </c>
      <c r="M259" t="s">
        <v>300</v>
      </c>
      <c r="N259" t="s">
        <v>293</v>
      </c>
      <c r="O259" t="s">
        <v>215</v>
      </c>
      <c r="P259" t="s">
        <v>216</v>
      </c>
      <c r="Q259" t="s">
        <v>217</v>
      </c>
      <c r="R259" t="s">
        <v>218</v>
      </c>
      <c r="S259" t="s">
        <v>220</v>
      </c>
    </row>
    <row r="260" spans="1:19" x14ac:dyDescent="0.35">
      <c r="A260" t="s">
        <v>71</v>
      </c>
      <c r="B260" t="s">
        <v>34</v>
      </c>
      <c r="C260" t="s">
        <v>38</v>
      </c>
      <c r="D260" t="s">
        <v>26</v>
      </c>
      <c r="E260" t="s">
        <v>15</v>
      </c>
      <c r="F260" t="s">
        <v>52</v>
      </c>
      <c r="G260" t="s">
        <v>36</v>
      </c>
      <c r="H260" t="s">
        <v>291</v>
      </c>
      <c r="I260" t="s">
        <v>230</v>
      </c>
      <c r="J260" t="s">
        <v>18</v>
      </c>
      <c r="K260" t="s">
        <v>292</v>
      </c>
      <c r="L260" t="s">
        <v>357</v>
      </c>
      <c r="M260" t="s">
        <v>358</v>
      </c>
      <c r="N260" t="s">
        <v>359</v>
      </c>
      <c r="O260" t="s">
        <v>215</v>
      </c>
      <c r="P260" t="s">
        <v>216</v>
      </c>
      <c r="Q260" t="s">
        <v>217</v>
      </c>
      <c r="R260" t="s">
        <v>218</v>
      </c>
      <c r="S260" t="s">
        <v>265</v>
      </c>
    </row>
    <row r="261" spans="1:19" x14ac:dyDescent="0.35">
      <c r="A261" t="s">
        <v>66</v>
      </c>
      <c r="B261" t="s">
        <v>20</v>
      </c>
      <c r="C261" t="s">
        <v>38</v>
      </c>
      <c r="D261" t="s">
        <v>14</v>
      </c>
      <c r="E261" t="s">
        <v>22</v>
      </c>
      <c r="F261" t="s">
        <v>31</v>
      </c>
      <c r="G261" t="s">
        <v>24</v>
      </c>
      <c r="H261" t="s">
        <v>252</v>
      </c>
      <c r="I261" t="s">
        <v>249</v>
      </c>
      <c r="J261" t="s">
        <v>32</v>
      </c>
      <c r="K261" t="s">
        <v>253</v>
      </c>
      <c r="L261" t="s">
        <v>297</v>
      </c>
      <c r="M261" t="s">
        <v>243</v>
      </c>
      <c r="N261" t="s">
        <v>311</v>
      </c>
      <c r="O261" t="s">
        <v>215</v>
      </c>
      <c r="P261" t="s">
        <v>216</v>
      </c>
      <c r="Q261" t="s">
        <v>217</v>
      </c>
      <c r="R261" t="s">
        <v>218</v>
      </c>
      <c r="S261" t="s">
        <v>244</v>
      </c>
    </row>
    <row r="262" spans="1:19" x14ac:dyDescent="0.35">
      <c r="A262" t="s">
        <v>138</v>
      </c>
      <c r="B262" t="s">
        <v>12</v>
      </c>
      <c r="C262" t="s">
        <v>38</v>
      </c>
      <c r="D262" t="s">
        <v>14</v>
      </c>
      <c r="E262" t="s">
        <v>22</v>
      </c>
      <c r="F262" t="s">
        <v>56</v>
      </c>
      <c r="G262" t="s">
        <v>36</v>
      </c>
      <c r="H262" t="s">
        <v>260</v>
      </c>
      <c r="I262" t="s">
        <v>249</v>
      </c>
      <c r="J262" t="s">
        <v>32</v>
      </c>
      <c r="K262" t="s">
        <v>261</v>
      </c>
      <c r="L262" t="s">
        <v>262</v>
      </c>
      <c r="M262" t="s">
        <v>263</v>
      </c>
      <c r="N262" t="s">
        <v>264</v>
      </c>
      <c r="O262" t="s">
        <v>215</v>
      </c>
      <c r="P262" t="s">
        <v>216</v>
      </c>
      <c r="Q262" t="s">
        <v>217</v>
      </c>
      <c r="R262" t="s">
        <v>218</v>
      </c>
      <c r="S262" t="s">
        <v>244</v>
      </c>
    </row>
    <row r="263" spans="1:19" x14ac:dyDescent="0.35">
      <c r="A263" t="s">
        <v>146</v>
      </c>
      <c r="B263" t="s">
        <v>34</v>
      </c>
      <c r="C263" t="s">
        <v>38</v>
      </c>
      <c r="D263" t="s">
        <v>26</v>
      </c>
      <c r="E263" t="s">
        <v>15</v>
      </c>
      <c r="F263" t="s">
        <v>23</v>
      </c>
      <c r="G263" t="s">
        <v>24</v>
      </c>
      <c r="H263" t="s">
        <v>239</v>
      </c>
      <c r="I263" t="s">
        <v>230</v>
      </c>
      <c r="J263" t="s">
        <v>32</v>
      </c>
      <c r="K263" t="s">
        <v>245</v>
      </c>
      <c r="L263" t="s">
        <v>234</v>
      </c>
      <c r="M263" t="s">
        <v>294</v>
      </c>
      <c r="N263" t="s">
        <v>331</v>
      </c>
      <c r="O263" t="s">
        <v>215</v>
      </c>
      <c r="P263" t="s">
        <v>216</v>
      </c>
      <c r="Q263" t="s">
        <v>217</v>
      </c>
      <c r="R263" t="s">
        <v>218</v>
      </c>
      <c r="S263" t="s">
        <v>244</v>
      </c>
    </row>
    <row r="264" spans="1:19" x14ac:dyDescent="0.35">
      <c r="A264" t="s">
        <v>153</v>
      </c>
      <c r="B264" t="s">
        <v>29</v>
      </c>
      <c r="C264" t="s">
        <v>38</v>
      </c>
      <c r="D264" t="s">
        <v>14</v>
      </c>
      <c r="E264" t="s">
        <v>15</v>
      </c>
      <c r="F264" t="s">
        <v>16</v>
      </c>
      <c r="G264" t="s">
        <v>17</v>
      </c>
      <c r="H264" t="s">
        <v>275</v>
      </c>
      <c r="I264" t="s">
        <v>230</v>
      </c>
      <c r="J264" t="s">
        <v>54</v>
      </c>
      <c r="K264" t="s">
        <v>276</v>
      </c>
      <c r="L264" t="s">
        <v>374</v>
      </c>
      <c r="M264" t="s">
        <v>375</v>
      </c>
      <c r="N264" t="s">
        <v>376</v>
      </c>
      <c r="O264" t="s">
        <v>215</v>
      </c>
      <c r="P264" t="s">
        <v>216</v>
      </c>
      <c r="Q264" t="s">
        <v>217</v>
      </c>
      <c r="R264" t="s">
        <v>218</v>
      </c>
      <c r="S264" t="s">
        <v>220</v>
      </c>
    </row>
    <row r="265" spans="1:19" x14ac:dyDescent="0.35">
      <c r="A265" t="s">
        <v>122</v>
      </c>
      <c r="B265" t="s">
        <v>29</v>
      </c>
      <c r="C265" t="s">
        <v>38</v>
      </c>
      <c r="D265" t="s">
        <v>14</v>
      </c>
      <c r="E265" t="s">
        <v>15</v>
      </c>
      <c r="F265" t="s">
        <v>52</v>
      </c>
      <c r="G265" t="s">
        <v>36</v>
      </c>
      <c r="H265" t="s">
        <v>291</v>
      </c>
      <c r="I265" t="s">
        <v>225</v>
      </c>
      <c r="J265" t="s">
        <v>27</v>
      </c>
      <c r="K265" t="s">
        <v>292</v>
      </c>
      <c r="L265" t="s">
        <v>332</v>
      </c>
      <c r="M265" t="s">
        <v>333</v>
      </c>
      <c r="N265" t="s">
        <v>291</v>
      </c>
      <c r="O265" t="s">
        <v>215</v>
      </c>
      <c r="P265" t="s">
        <v>216</v>
      </c>
      <c r="Q265" t="s">
        <v>217</v>
      </c>
      <c r="R265" t="s">
        <v>218</v>
      </c>
      <c r="S265" t="s">
        <v>220</v>
      </c>
    </row>
    <row r="266" spans="1:19" x14ac:dyDescent="0.35">
      <c r="A266" t="s">
        <v>135</v>
      </c>
      <c r="B266" t="s">
        <v>12</v>
      </c>
      <c r="C266" t="s">
        <v>38</v>
      </c>
      <c r="D266" t="s">
        <v>26</v>
      </c>
      <c r="E266" t="s">
        <v>15</v>
      </c>
      <c r="F266" t="s">
        <v>58</v>
      </c>
      <c r="G266" t="s">
        <v>24</v>
      </c>
      <c r="H266" t="s">
        <v>255</v>
      </c>
      <c r="I266" t="s">
        <v>225</v>
      </c>
      <c r="J266" t="s">
        <v>50</v>
      </c>
      <c r="K266" t="s">
        <v>256</v>
      </c>
      <c r="L266" t="s">
        <v>324</v>
      </c>
      <c r="M266" t="s">
        <v>303</v>
      </c>
      <c r="N266" t="s">
        <v>255</v>
      </c>
      <c r="O266" t="s">
        <v>215</v>
      </c>
      <c r="P266" t="s">
        <v>216</v>
      </c>
      <c r="Q266" t="s">
        <v>217</v>
      </c>
      <c r="R266" t="s">
        <v>218</v>
      </c>
      <c r="S266" t="s">
        <v>238</v>
      </c>
    </row>
    <row r="267" spans="1:19" x14ac:dyDescent="0.35">
      <c r="A267" t="s">
        <v>61</v>
      </c>
      <c r="B267" t="s">
        <v>12</v>
      </c>
      <c r="C267" t="s">
        <v>38</v>
      </c>
      <c r="D267" t="s">
        <v>26</v>
      </c>
      <c r="E267" t="s">
        <v>22</v>
      </c>
      <c r="F267" t="s">
        <v>56</v>
      </c>
      <c r="G267" t="s">
        <v>36</v>
      </c>
      <c r="H267" t="s">
        <v>260</v>
      </c>
      <c r="I267" t="s">
        <v>240</v>
      </c>
      <c r="J267" t="s">
        <v>50</v>
      </c>
      <c r="K267" t="s">
        <v>261</v>
      </c>
      <c r="L267" t="s">
        <v>227</v>
      </c>
      <c r="M267" t="s">
        <v>228</v>
      </c>
      <c r="N267" t="s">
        <v>224</v>
      </c>
      <c r="O267" t="s">
        <v>215</v>
      </c>
      <c r="P267" t="s">
        <v>216</v>
      </c>
      <c r="Q267" t="s">
        <v>217</v>
      </c>
      <c r="R267" t="s">
        <v>218</v>
      </c>
      <c r="S267" t="s">
        <v>225</v>
      </c>
    </row>
    <row r="268" spans="1:19" x14ac:dyDescent="0.35">
      <c r="A268" t="s">
        <v>145</v>
      </c>
      <c r="B268" t="s">
        <v>12</v>
      </c>
      <c r="C268" t="s">
        <v>38</v>
      </c>
      <c r="D268" t="s">
        <v>26</v>
      </c>
      <c r="E268" t="s">
        <v>15</v>
      </c>
      <c r="F268" t="s">
        <v>47</v>
      </c>
      <c r="G268" t="s">
        <v>36</v>
      </c>
      <c r="H268" t="s">
        <v>229</v>
      </c>
      <c r="I268" t="s">
        <v>225</v>
      </c>
      <c r="J268" t="s">
        <v>43</v>
      </c>
      <c r="K268" t="s">
        <v>231</v>
      </c>
      <c r="L268" t="s">
        <v>288</v>
      </c>
      <c r="M268" t="s">
        <v>289</v>
      </c>
      <c r="N268" t="s">
        <v>229</v>
      </c>
      <c r="O268" t="s">
        <v>215</v>
      </c>
      <c r="P268" t="s">
        <v>216</v>
      </c>
      <c r="Q268" t="s">
        <v>217</v>
      </c>
      <c r="R268" t="s">
        <v>218</v>
      </c>
      <c r="S268" t="s">
        <v>238</v>
      </c>
    </row>
    <row r="269" spans="1:19" x14ac:dyDescent="0.35">
      <c r="A269" t="s">
        <v>48</v>
      </c>
      <c r="B269" t="s">
        <v>34</v>
      </c>
      <c r="C269" t="s">
        <v>38</v>
      </c>
      <c r="D269" t="s">
        <v>26</v>
      </c>
      <c r="E269" t="s">
        <v>15</v>
      </c>
      <c r="F269" t="s">
        <v>16</v>
      </c>
      <c r="G269" t="s">
        <v>17</v>
      </c>
      <c r="H269" t="s">
        <v>275</v>
      </c>
      <c r="I269" t="s">
        <v>225</v>
      </c>
      <c r="J269" t="s">
        <v>43</v>
      </c>
      <c r="K269" t="s">
        <v>276</v>
      </c>
      <c r="L269" t="s">
        <v>378</v>
      </c>
      <c r="M269" t="s">
        <v>337</v>
      </c>
      <c r="N269" t="s">
        <v>275</v>
      </c>
      <c r="O269" t="s">
        <v>215</v>
      </c>
      <c r="P269" t="s">
        <v>216</v>
      </c>
      <c r="Q269" t="s">
        <v>217</v>
      </c>
      <c r="R269" t="s">
        <v>218</v>
      </c>
      <c r="S269" t="s">
        <v>238</v>
      </c>
    </row>
    <row r="270" spans="1:19" x14ac:dyDescent="0.35">
      <c r="A270" t="s">
        <v>152</v>
      </c>
      <c r="B270" t="s">
        <v>12</v>
      </c>
      <c r="C270" t="s">
        <v>38</v>
      </c>
      <c r="D270" t="s">
        <v>14</v>
      </c>
      <c r="E270" t="s">
        <v>22</v>
      </c>
      <c r="F270" t="s">
        <v>31</v>
      </c>
      <c r="G270" t="s">
        <v>24</v>
      </c>
      <c r="H270" t="s">
        <v>252</v>
      </c>
      <c r="I270" t="s">
        <v>244</v>
      </c>
      <c r="J270" t="s">
        <v>27</v>
      </c>
      <c r="K270" t="s">
        <v>253</v>
      </c>
      <c r="L270" t="s">
        <v>209</v>
      </c>
      <c r="M270" t="s">
        <v>211</v>
      </c>
      <c r="N270" t="s">
        <v>254</v>
      </c>
      <c r="O270" t="s">
        <v>215</v>
      </c>
      <c r="P270" t="s">
        <v>216</v>
      </c>
      <c r="Q270" t="s">
        <v>217</v>
      </c>
      <c r="R270" t="s">
        <v>218</v>
      </c>
      <c r="S270" t="s">
        <v>220</v>
      </c>
    </row>
    <row r="271" spans="1:19" x14ac:dyDescent="0.35">
      <c r="A271" t="s">
        <v>57</v>
      </c>
      <c r="B271" t="s">
        <v>34</v>
      </c>
      <c r="C271" t="s">
        <v>38</v>
      </c>
      <c r="D271" t="s">
        <v>26</v>
      </c>
      <c r="E271" t="s">
        <v>15</v>
      </c>
      <c r="F271" t="s">
        <v>16</v>
      </c>
      <c r="G271" t="s">
        <v>17</v>
      </c>
      <c r="H271" t="s">
        <v>275</v>
      </c>
      <c r="I271" t="s">
        <v>230</v>
      </c>
      <c r="J271" t="s">
        <v>43</v>
      </c>
      <c r="K271" t="s">
        <v>276</v>
      </c>
      <c r="L271" t="s">
        <v>374</v>
      </c>
      <c r="M271" t="s">
        <v>375</v>
      </c>
      <c r="N271" t="s">
        <v>376</v>
      </c>
      <c r="O271" t="s">
        <v>215</v>
      </c>
      <c r="P271" t="s">
        <v>216</v>
      </c>
      <c r="Q271" t="s">
        <v>217</v>
      </c>
      <c r="R271" t="s">
        <v>218</v>
      </c>
      <c r="S271" t="s">
        <v>265</v>
      </c>
    </row>
    <row r="272" spans="1:19" x14ac:dyDescent="0.35">
      <c r="A272" t="s">
        <v>93</v>
      </c>
      <c r="B272" t="s">
        <v>20</v>
      </c>
      <c r="C272" t="s">
        <v>38</v>
      </c>
      <c r="D272" t="s">
        <v>26</v>
      </c>
      <c r="E272" t="s">
        <v>22</v>
      </c>
      <c r="F272" t="s">
        <v>16</v>
      </c>
      <c r="G272" t="s">
        <v>17</v>
      </c>
      <c r="H272" t="s">
        <v>275</v>
      </c>
      <c r="I272" t="s">
        <v>240</v>
      </c>
      <c r="J272" t="s">
        <v>32</v>
      </c>
      <c r="K272" t="s">
        <v>276</v>
      </c>
      <c r="L272" t="s">
        <v>281</v>
      </c>
      <c r="M272" t="s">
        <v>282</v>
      </c>
      <c r="N272" t="s">
        <v>283</v>
      </c>
      <c r="O272" t="s">
        <v>215</v>
      </c>
      <c r="P272" t="s">
        <v>216</v>
      </c>
      <c r="Q272" t="s">
        <v>217</v>
      </c>
      <c r="R272" t="s">
        <v>218</v>
      </c>
      <c r="S272" t="s">
        <v>220</v>
      </c>
    </row>
    <row r="273" spans="1:19" x14ac:dyDescent="0.35">
      <c r="A273" t="s">
        <v>144</v>
      </c>
      <c r="B273" t="s">
        <v>29</v>
      </c>
      <c r="C273" t="s">
        <v>38</v>
      </c>
      <c r="D273" t="s">
        <v>26</v>
      </c>
      <c r="E273" t="s">
        <v>15</v>
      </c>
      <c r="F273" t="s">
        <v>52</v>
      </c>
      <c r="G273" t="s">
        <v>36</v>
      </c>
      <c r="H273" t="s">
        <v>291</v>
      </c>
      <c r="I273" t="s">
        <v>269</v>
      </c>
      <c r="J273" t="s">
        <v>54</v>
      </c>
      <c r="K273" t="s">
        <v>292</v>
      </c>
      <c r="L273" t="s">
        <v>328</v>
      </c>
      <c r="M273" t="s">
        <v>329</v>
      </c>
      <c r="N273" t="s">
        <v>330</v>
      </c>
      <c r="O273" t="s">
        <v>215</v>
      </c>
      <c r="P273" t="s">
        <v>216</v>
      </c>
      <c r="Q273" t="s">
        <v>217</v>
      </c>
      <c r="R273" t="s">
        <v>218</v>
      </c>
      <c r="S273" t="s">
        <v>265</v>
      </c>
    </row>
    <row r="274" spans="1:19" x14ac:dyDescent="0.35">
      <c r="A274" t="s">
        <v>157</v>
      </c>
      <c r="B274" t="s">
        <v>29</v>
      </c>
      <c r="C274" t="s">
        <v>38</v>
      </c>
      <c r="D274" t="s">
        <v>14</v>
      </c>
      <c r="E274" t="s">
        <v>15</v>
      </c>
      <c r="F274" t="s">
        <v>23</v>
      </c>
      <c r="G274" t="s">
        <v>24</v>
      </c>
      <c r="H274" t="s">
        <v>239</v>
      </c>
      <c r="I274" t="s">
        <v>238</v>
      </c>
      <c r="J274" t="s">
        <v>32</v>
      </c>
      <c r="K274" t="s">
        <v>245</v>
      </c>
      <c r="L274" t="s">
        <v>239</v>
      </c>
      <c r="M274" t="s">
        <v>245</v>
      </c>
      <c r="N274" t="s">
        <v>353</v>
      </c>
      <c r="O274" t="s">
        <v>215</v>
      </c>
      <c r="P274" t="s">
        <v>216</v>
      </c>
      <c r="Q274" t="s">
        <v>217</v>
      </c>
      <c r="R274" t="s">
        <v>218</v>
      </c>
      <c r="S274" t="s">
        <v>244</v>
      </c>
    </row>
    <row r="275" spans="1:19" x14ac:dyDescent="0.35">
      <c r="A275" t="s">
        <v>156</v>
      </c>
      <c r="B275" t="s">
        <v>34</v>
      </c>
      <c r="C275" t="s">
        <v>38</v>
      </c>
      <c r="D275" t="s">
        <v>14</v>
      </c>
      <c r="E275" t="s">
        <v>22</v>
      </c>
      <c r="F275" t="s">
        <v>31</v>
      </c>
      <c r="G275" t="s">
        <v>24</v>
      </c>
      <c r="H275" t="s">
        <v>252</v>
      </c>
      <c r="I275" t="s">
        <v>244</v>
      </c>
      <c r="J275" t="s">
        <v>32</v>
      </c>
      <c r="K275" t="s">
        <v>253</v>
      </c>
      <c r="L275" t="s">
        <v>209</v>
      </c>
      <c r="M275" t="s">
        <v>211</v>
      </c>
      <c r="N275" t="s">
        <v>254</v>
      </c>
      <c r="O275" t="s">
        <v>215</v>
      </c>
      <c r="P275" t="s">
        <v>216</v>
      </c>
      <c r="Q275" t="s">
        <v>217</v>
      </c>
      <c r="R275" t="s">
        <v>218</v>
      </c>
      <c r="S275" t="s">
        <v>244</v>
      </c>
    </row>
    <row r="276" spans="1:19" x14ac:dyDescent="0.35">
      <c r="A276" t="s">
        <v>121</v>
      </c>
      <c r="B276" t="s">
        <v>34</v>
      </c>
      <c r="C276" t="s">
        <v>38</v>
      </c>
      <c r="D276" t="s">
        <v>14</v>
      </c>
      <c r="E276" t="s">
        <v>22</v>
      </c>
      <c r="F276" t="s">
        <v>16</v>
      </c>
      <c r="G276" t="s">
        <v>17</v>
      </c>
      <c r="H276" t="s">
        <v>275</v>
      </c>
      <c r="I276" t="s">
        <v>225</v>
      </c>
      <c r="J276" t="s">
        <v>18</v>
      </c>
      <c r="K276" t="s">
        <v>276</v>
      </c>
      <c r="L276" t="s">
        <v>378</v>
      </c>
      <c r="M276" t="s">
        <v>337</v>
      </c>
      <c r="N276" t="s">
        <v>275</v>
      </c>
      <c r="O276" t="s">
        <v>215</v>
      </c>
      <c r="P276" t="s">
        <v>216</v>
      </c>
      <c r="Q276" t="s">
        <v>217</v>
      </c>
      <c r="R276" t="s">
        <v>218</v>
      </c>
      <c r="S276" t="s">
        <v>265</v>
      </c>
    </row>
    <row r="277" spans="1:19" x14ac:dyDescent="0.35">
      <c r="A277" t="s">
        <v>139</v>
      </c>
      <c r="B277" t="s">
        <v>20</v>
      </c>
      <c r="C277" t="s">
        <v>38</v>
      </c>
      <c r="D277" t="s">
        <v>26</v>
      </c>
      <c r="E277" t="s">
        <v>15</v>
      </c>
      <c r="F277" t="s">
        <v>52</v>
      </c>
      <c r="G277" t="s">
        <v>36</v>
      </c>
      <c r="H277" t="s">
        <v>291</v>
      </c>
      <c r="I277" t="s">
        <v>238</v>
      </c>
      <c r="J277" t="s">
        <v>18</v>
      </c>
      <c r="K277" t="s">
        <v>292</v>
      </c>
      <c r="L277" t="s">
        <v>291</v>
      </c>
      <c r="M277" t="s">
        <v>292</v>
      </c>
      <c r="N277" t="s">
        <v>343</v>
      </c>
      <c r="O277" t="s">
        <v>215</v>
      </c>
      <c r="P277" t="s">
        <v>216</v>
      </c>
      <c r="Q277" t="s">
        <v>217</v>
      </c>
      <c r="R277" t="s">
        <v>218</v>
      </c>
      <c r="S277" t="s">
        <v>265</v>
      </c>
    </row>
    <row r="278" spans="1:19" x14ac:dyDescent="0.35">
      <c r="A278" t="s">
        <v>86</v>
      </c>
      <c r="B278" t="s">
        <v>12</v>
      </c>
      <c r="C278" t="s">
        <v>38</v>
      </c>
      <c r="D278" t="s">
        <v>26</v>
      </c>
      <c r="E278" t="s">
        <v>22</v>
      </c>
      <c r="F278" t="s">
        <v>16</v>
      </c>
      <c r="G278" t="s">
        <v>17</v>
      </c>
      <c r="H278" t="s">
        <v>275</v>
      </c>
      <c r="I278" t="s">
        <v>210</v>
      </c>
      <c r="J278" t="s">
        <v>50</v>
      </c>
      <c r="K278" t="s">
        <v>276</v>
      </c>
      <c r="L278" t="s">
        <v>314</v>
      </c>
      <c r="M278" t="s">
        <v>315</v>
      </c>
      <c r="N278" t="s">
        <v>316</v>
      </c>
      <c r="O278" t="s">
        <v>215</v>
      </c>
      <c r="P278" t="s">
        <v>216</v>
      </c>
      <c r="Q278" t="s">
        <v>217</v>
      </c>
      <c r="R278" t="s">
        <v>218</v>
      </c>
      <c r="S278" t="s">
        <v>238</v>
      </c>
    </row>
    <row r="279" spans="1:19" x14ac:dyDescent="0.35">
      <c r="A279" t="s">
        <v>126</v>
      </c>
      <c r="B279" t="s">
        <v>20</v>
      </c>
      <c r="C279" t="s">
        <v>38</v>
      </c>
      <c r="D279" t="s">
        <v>26</v>
      </c>
      <c r="E279" t="s">
        <v>22</v>
      </c>
      <c r="F279" t="s">
        <v>23</v>
      </c>
      <c r="G279" t="s">
        <v>24</v>
      </c>
      <c r="H279" t="s">
        <v>239</v>
      </c>
      <c r="I279" t="s">
        <v>244</v>
      </c>
      <c r="J279" t="s">
        <v>54</v>
      </c>
      <c r="K279" t="s">
        <v>245</v>
      </c>
      <c r="L279" t="s">
        <v>246</v>
      </c>
      <c r="M279" t="s">
        <v>247</v>
      </c>
      <c r="N279" t="s">
        <v>248</v>
      </c>
      <c r="O279" t="s">
        <v>215</v>
      </c>
      <c r="P279" t="s">
        <v>216</v>
      </c>
      <c r="Q279" t="s">
        <v>217</v>
      </c>
      <c r="R279" t="s">
        <v>218</v>
      </c>
      <c r="S279" t="s">
        <v>244</v>
      </c>
    </row>
    <row r="280" spans="1:19" x14ac:dyDescent="0.35">
      <c r="A280" t="s">
        <v>133</v>
      </c>
      <c r="B280" t="s">
        <v>34</v>
      </c>
      <c r="C280" t="s">
        <v>38</v>
      </c>
      <c r="D280" t="s">
        <v>14</v>
      </c>
      <c r="E280" t="s">
        <v>15</v>
      </c>
      <c r="F280" t="s">
        <v>23</v>
      </c>
      <c r="G280" t="s">
        <v>24</v>
      </c>
      <c r="H280" t="s">
        <v>239</v>
      </c>
      <c r="I280" t="s">
        <v>220</v>
      </c>
      <c r="J280" t="s">
        <v>50</v>
      </c>
      <c r="K280" t="s">
        <v>245</v>
      </c>
      <c r="L280" t="s">
        <v>231</v>
      </c>
      <c r="M280" t="s">
        <v>311</v>
      </c>
      <c r="N280" t="s">
        <v>245</v>
      </c>
      <c r="O280" t="s">
        <v>215</v>
      </c>
      <c r="P280" t="s">
        <v>216</v>
      </c>
      <c r="Q280" t="s">
        <v>217</v>
      </c>
      <c r="R280" t="s">
        <v>218</v>
      </c>
      <c r="S280" t="s">
        <v>265</v>
      </c>
    </row>
    <row r="281" spans="1:19" x14ac:dyDescent="0.35">
      <c r="A281" t="s">
        <v>124</v>
      </c>
      <c r="B281" t="s">
        <v>29</v>
      </c>
      <c r="C281" t="s">
        <v>38</v>
      </c>
      <c r="D281" t="s">
        <v>26</v>
      </c>
      <c r="E281" t="s">
        <v>15</v>
      </c>
      <c r="F281" t="s">
        <v>31</v>
      </c>
      <c r="G281" t="s">
        <v>24</v>
      </c>
      <c r="H281" t="s">
        <v>252</v>
      </c>
      <c r="I281" t="s">
        <v>269</v>
      </c>
      <c r="J281" t="s">
        <v>43</v>
      </c>
      <c r="K281" t="s">
        <v>253</v>
      </c>
      <c r="L281" t="s">
        <v>272</v>
      </c>
      <c r="M281" t="s">
        <v>273</v>
      </c>
      <c r="N281" t="s">
        <v>274</v>
      </c>
      <c r="O281" t="s">
        <v>215</v>
      </c>
      <c r="P281" t="s">
        <v>216</v>
      </c>
      <c r="Q281" t="s">
        <v>217</v>
      </c>
      <c r="R281" t="s">
        <v>218</v>
      </c>
      <c r="S281" t="s">
        <v>238</v>
      </c>
    </row>
    <row r="282" spans="1:19" x14ac:dyDescent="0.35">
      <c r="A282" t="s">
        <v>150</v>
      </c>
      <c r="B282" t="s">
        <v>12</v>
      </c>
      <c r="C282" t="s">
        <v>38</v>
      </c>
      <c r="D282" t="s">
        <v>26</v>
      </c>
      <c r="E282" t="s">
        <v>15</v>
      </c>
      <c r="F282" t="s">
        <v>39</v>
      </c>
      <c r="G282" t="s">
        <v>24</v>
      </c>
      <c r="H282" t="s">
        <v>209</v>
      </c>
      <c r="I282" t="s">
        <v>230</v>
      </c>
      <c r="J282" t="s">
        <v>50</v>
      </c>
      <c r="K282" t="s">
        <v>211</v>
      </c>
      <c r="L282" t="s">
        <v>317</v>
      </c>
      <c r="M282" t="s">
        <v>318</v>
      </c>
      <c r="N282" t="s">
        <v>319</v>
      </c>
      <c r="O282" t="s">
        <v>215</v>
      </c>
      <c r="P282" t="s">
        <v>216</v>
      </c>
      <c r="Q282" t="s">
        <v>217</v>
      </c>
      <c r="R282" t="s">
        <v>218</v>
      </c>
      <c r="S282" t="s">
        <v>220</v>
      </c>
    </row>
    <row r="283" spans="1:19" x14ac:dyDescent="0.35">
      <c r="A283" t="s">
        <v>28</v>
      </c>
      <c r="B283" t="s">
        <v>34</v>
      </c>
      <c r="C283" t="s">
        <v>38</v>
      </c>
      <c r="D283" t="s">
        <v>26</v>
      </c>
      <c r="E283" t="s">
        <v>15</v>
      </c>
      <c r="F283" t="s">
        <v>41</v>
      </c>
      <c r="G283" t="s">
        <v>17</v>
      </c>
      <c r="H283" t="s">
        <v>219</v>
      </c>
      <c r="I283" t="s">
        <v>230</v>
      </c>
      <c r="J283" t="s">
        <v>50</v>
      </c>
      <c r="K283" t="s">
        <v>221</v>
      </c>
      <c r="L283" t="s">
        <v>235</v>
      </c>
      <c r="M283" t="s">
        <v>236</v>
      </c>
      <c r="N283" t="s">
        <v>237</v>
      </c>
      <c r="O283" t="s">
        <v>215</v>
      </c>
      <c r="P283" t="s">
        <v>216</v>
      </c>
      <c r="Q283" t="s">
        <v>217</v>
      </c>
      <c r="R283" t="s">
        <v>218</v>
      </c>
      <c r="S283" t="s">
        <v>220</v>
      </c>
    </row>
    <row r="284" spans="1:19" x14ac:dyDescent="0.35">
      <c r="A284" t="s">
        <v>98</v>
      </c>
      <c r="B284" t="s">
        <v>20</v>
      </c>
      <c r="C284" t="s">
        <v>38</v>
      </c>
      <c r="D284" t="s">
        <v>26</v>
      </c>
      <c r="E284" t="s">
        <v>22</v>
      </c>
      <c r="F284" t="s">
        <v>35</v>
      </c>
      <c r="G284" t="s">
        <v>36</v>
      </c>
      <c r="H284" t="s">
        <v>224</v>
      </c>
      <c r="I284" t="s">
        <v>269</v>
      </c>
      <c r="J284" t="s">
        <v>32</v>
      </c>
      <c r="K284" t="s">
        <v>226</v>
      </c>
      <c r="L284" t="s">
        <v>270</v>
      </c>
      <c r="M284" t="s">
        <v>271</v>
      </c>
      <c r="N284" t="s">
        <v>272</v>
      </c>
      <c r="O284" t="s">
        <v>215</v>
      </c>
      <c r="P284" t="s">
        <v>216</v>
      </c>
      <c r="Q284" t="s">
        <v>217</v>
      </c>
      <c r="R284" t="s">
        <v>218</v>
      </c>
      <c r="S284" t="s">
        <v>220</v>
      </c>
    </row>
    <row r="285" spans="1:19" x14ac:dyDescent="0.35">
      <c r="A285" t="s">
        <v>158</v>
      </c>
      <c r="B285" t="s">
        <v>29</v>
      </c>
      <c r="C285" t="s">
        <v>38</v>
      </c>
      <c r="D285" t="s">
        <v>26</v>
      </c>
      <c r="E285" t="s">
        <v>15</v>
      </c>
      <c r="F285" t="s">
        <v>35</v>
      </c>
      <c r="G285" t="s">
        <v>36</v>
      </c>
      <c r="H285" t="s">
        <v>224</v>
      </c>
      <c r="I285" t="s">
        <v>220</v>
      </c>
      <c r="J285" t="s">
        <v>18</v>
      </c>
      <c r="K285" t="s">
        <v>226</v>
      </c>
      <c r="L285" t="s">
        <v>228</v>
      </c>
      <c r="M285" t="s">
        <v>290</v>
      </c>
      <c r="N285" t="s">
        <v>226</v>
      </c>
      <c r="O285" t="s">
        <v>215</v>
      </c>
      <c r="P285" t="s">
        <v>216</v>
      </c>
      <c r="Q285" t="s">
        <v>217</v>
      </c>
      <c r="R285" t="s">
        <v>218</v>
      </c>
      <c r="S285" t="s">
        <v>244</v>
      </c>
    </row>
    <row r="286" spans="1:19" x14ac:dyDescent="0.35">
      <c r="A286" t="s">
        <v>65</v>
      </c>
      <c r="B286" t="s">
        <v>29</v>
      </c>
      <c r="C286" t="s">
        <v>38</v>
      </c>
      <c r="D286" t="s">
        <v>26</v>
      </c>
      <c r="E286" t="s">
        <v>22</v>
      </c>
      <c r="F286" t="s">
        <v>58</v>
      </c>
      <c r="G286" t="s">
        <v>24</v>
      </c>
      <c r="H286" t="s">
        <v>255</v>
      </c>
      <c r="I286" t="s">
        <v>225</v>
      </c>
      <c r="J286" t="s">
        <v>43</v>
      </c>
      <c r="K286" t="s">
        <v>256</v>
      </c>
      <c r="L286" t="s">
        <v>324</v>
      </c>
      <c r="M286" t="s">
        <v>303</v>
      </c>
      <c r="N286" t="s">
        <v>255</v>
      </c>
      <c r="O286" t="s">
        <v>215</v>
      </c>
      <c r="P286" t="s">
        <v>216</v>
      </c>
      <c r="Q286" t="s">
        <v>217</v>
      </c>
      <c r="R286" t="s">
        <v>218</v>
      </c>
      <c r="S286" t="s">
        <v>265</v>
      </c>
    </row>
    <row r="287" spans="1:19" x14ac:dyDescent="0.35">
      <c r="A287" t="s">
        <v>119</v>
      </c>
      <c r="B287" t="s">
        <v>20</v>
      </c>
      <c r="C287" t="s">
        <v>38</v>
      </c>
      <c r="D287" t="s">
        <v>26</v>
      </c>
      <c r="E287" t="s">
        <v>22</v>
      </c>
      <c r="F287" t="s">
        <v>58</v>
      </c>
      <c r="G287" t="s">
        <v>24</v>
      </c>
      <c r="H287" t="s">
        <v>255</v>
      </c>
      <c r="I287" t="s">
        <v>220</v>
      </c>
      <c r="J287" t="s">
        <v>43</v>
      </c>
      <c r="K287" t="s">
        <v>256</v>
      </c>
      <c r="L287" t="s">
        <v>303</v>
      </c>
      <c r="M287" t="s">
        <v>304</v>
      </c>
      <c r="N287" t="s">
        <v>256</v>
      </c>
      <c r="O287" t="s">
        <v>215</v>
      </c>
      <c r="P287" t="s">
        <v>216</v>
      </c>
      <c r="Q287" t="s">
        <v>217</v>
      </c>
      <c r="R287" t="s">
        <v>218</v>
      </c>
      <c r="S287" t="s">
        <v>238</v>
      </c>
    </row>
    <row r="288" spans="1:19" x14ac:dyDescent="0.35">
      <c r="A288" t="s">
        <v>100</v>
      </c>
      <c r="B288" t="s">
        <v>20</v>
      </c>
      <c r="C288" t="s">
        <v>38</v>
      </c>
      <c r="D288" t="s">
        <v>26</v>
      </c>
      <c r="E288" t="s">
        <v>15</v>
      </c>
      <c r="F288" t="s">
        <v>23</v>
      </c>
      <c r="G288" t="s">
        <v>24</v>
      </c>
      <c r="H288" t="s">
        <v>239</v>
      </c>
      <c r="I288" t="s">
        <v>238</v>
      </c>
      <c r="J288" t="s">
        <v>54</v>
      </c>
      <c r="K288" t="s">
        <v>245</v>
      </c>
      <c r="L288" t="s">
        <v>239</v>
      </c>
      <c r="M288" t="s">
        <v>245</v>
      </c>
      <c r="N288" t="s">
        <v>353</v>
      </c>
      <c r="O288" t="s">
        <v>215</v>
      </c>
      <c r="P288" t="s">
        <v>216</v>
      </c>
      <c r="Q288" t="s">
        <v>217</v>
      </c>
      <c r="R288" t="s">
        <v>218</v>
      </c>
      <c r="S288" t="s">
        <v>238</v>
      </c>
    </row>
    <row r="289" spans="1:19" x14ac:dyDescent="0.35">
      <c r="A289" t="s">
        <v>124</v>
      </c>
      <c r="B289" t="s">
        <v>12</v>
      </c>
      <c r="C289" t="s">
        <v>38</v>
      </c>
      <c r="D289" t="s">
        <v>14</v>
      </c>
      <c r="E289" t="s">
        <v>15</v>
      </c>
      <c r="F289" t="s">
        <v>39</v>
      </c>
      <c r="G289" t="s">
        <v>24</v>
      </c>
      <c r="H289" t="s">
        <v>209</v>
      </c>
      <c r="I289" t="s">
        <v>265</v>
      </c>
      <c r="J289" t="s">
        <v>32</v>
      </c>
      <c r="K289" t="s">
        <v>211</v>
      </c>
      <c r="L289" t="s">
        <v>214</v>
      </c>
      <c r="M289" t="s">
        <v>251</v>
      </c>
      <c r="N289" t="s">
        <v>247</v>
      </c>
      <c r="O289" t="s">
        <v>215</v>
      </c>
      <c r="P289" t="s">
        <v>216</v>
      </c>
      <c r="Q289" t="s">
        <v>217</v>
      </c>
      <c r="R289" t="s">
        <v>218</v>
      </c>
      <c r="S289" t="s">
        <v>238</v>
      </c>
    </row>
    <row r="290" spans="1:19" x14ac:dyDescent="0.35">
      <c r="A290" t="s">
        <v>115</v>
      </c>
      <c r="B290" t="s">
        <v>34</v>
      </c>
      <c r="C290" t="s">
        <v>38</v>
      </c>
      <c r="D290" t="s">
        <v>14</v>
      </c>
      <c r="E290" t="s">
        <v>22</v>
      </c>
      <c r="F290" t="s">
        <v>23</v>
      </c>
      <c r="G290" t="s">
        <v>24</v>
      </c>
      <c r="H290" t="s">
        <v>239</v>
      </c>
      <c r="I290" t="s">
        <v>230</v>
      </c>
      <c r="J290" t="s">
        <v>43</v>
      </c>
      <c r="K290" t="s">
        <v>245</v>
      </c>
      <c r="L290" t="s">
        <v>234</v>
      </c>
      <c r="M290" t="s">
        <v>294</v>
      </c>
      <c r="N290" t="s">
        <v>331</v>
      </c>
      <c r="O290" t="s">
        <v>215</v>
      </c>
      <c r="P290" t="s">
        <v>216</v>
      </c>
      <c r="Q290" t="s">
        <v>217</v>
      </c>
      <c r="R290" t="s">
        <v>218</v>
      </c>
      <c r="S290" t="s">
        <v>238</v>
      </c>
    </row>
    <row r="291" spans="1:19" x14ac:dyDescent="0.35">
      <c r="A291" t="s">
        <v>11</v>
      </c>
      <c r="B291" t="s">
        <v>29</v>
      </c>
      <c r="C291" t="s">
        <v>38</v>
      </c>
      <c r="D291" t="s">
        <v>14</v>
      </c>
      <c r="E291" t="s">
        <v>15</v>
      </c>
      <c r="F291" t="s">
        <v>31</v>
      </c>
      <c r="G291" t="s">
        <v>24</v>
      </c>
      <c r="H291" t="s">
        <v>252</v>
      </c>
      <c r="I291" t="s">
        <v>230</v>
      </c>
      <c r="J291" t="s">
        <v>27</v>
      </c>
      <c r="K291" t="s">
        <v>253</v>
      </c>
      <c r="L291" t="s">
        <v>291</v>
      </c>
      <c r="M291" t="s">
        <v>292</v>
      </c>
      <c r="N291" t="s">
        <v>343</v>
      </c>
      <c r="O291" t="s">
        <v>215</v>
      </c>
      <c r="P291" t="s">
        <v>216</v>
      </c>
      <c r="Q291" t="s">
        <v>217</v>
      </c>
      <c r="R291" t="s">
        <v>218</v>
      </c>
      <c r="S291" t="s">
        <v>238</v>
      </c>
    </row>
    <row r="292" spans="1:19" x14ac:dyDescent="0.35">
      <c r="A292" t="s">
        <v>113</v>
      </c>
      <c r="B292" t="s">
        <v>29</v>
      </c>
      <c r="C292" t="s">
        <v>38</v>
      </c>
      <c r="D292" t="s">
        <v>26</v>
      </c>
      <c r="E292" t="s">
        <v>15</v>
      </c>
      <c r="F292" t="s">
        <v>39</v>
      </c>
      <c r="G292" t="s">
        <v>24</v>
      </c>
      <c r="H292" t="s">
        <v>209</v>
      </c>
      <c r="I292" t="s">
        <v>240</v>
      </c>
      <c r="J292" t="s">
        <v>27</v>
      </c>
      <c r="K292" t="s">
        <v>211</v>
      </c>
      <c r="L292" t="s">
        <v>266</v>
      </c>
      <c r="M292" t="s">
        <v>267</v>
      </c>
      <c r="N292" t="s">
        <v>268</v>
      </c>
      <c r="O292" t="s">
        <v>215</v>
      </c>
      <c r="P292" t="s">
        <v>216</v>
      </c>
      <c r="Q292" t="s">
        <v>217</v>
      </c>
      <c r="R292" t="s">
        <v>218</v>
      </c>
      <c r="S292" t="s">
        <v>244</v>
      </c>
    </row>
    <row r="293" spans="1:19" x14ac:dyDescent="0.35">
      <c r="A293" t="s">
        <v>114</v>
      </c>
      <c r="B293" t="s">
        <v>20</v>
      </c>
      <c r="C293" t="s">
        <v>38</v>
      </c>
      <c r="D293" t="s">
        <v>14</v>
      </c>
      <c r="E293" t="s">
        <v>15</v>
      </c>
      <c r="F293" t="s">
        <v>31</v>
      </c>
      <c r="G293" t="s">
        <v>24</v>
      </c>
      <c r="H293" t="s">
        <v>252</v>
      </c>
      <c r="I293" t="s">
        <v>249</v>
      </c>
      <c r="J293" t="s">
        <v>50</v>
      </c>
      <c r="K293" t="s">
        <v>253</v>
      </c>
      <c r="L293" t="s">
        <v>297</v>
      </c>
      <c r="M293" t="s">
        <v>243</v>
      </c>
      <c r="N293" t="s">
        <v>311</v>
      </c>
      <c r="O293" t="s">
        <v>215</v>
      </c>
      <c r="P293" t="s">
        <v>216</v>
      </c>
      <c r="Q293" t="s">
        <v>217</v>
      </c>
      <c r="R293" t="s">
        <v>218</v>
      </c>
      <c r="S293" t="s">
        <v>244</v>
      </c>
    </row>
    <row r="294" spans="1:19" x14ac:dyDescent="0.35">
      <c r="A294" t="s">
        <v>85</v>
      </c>
      <c r="B294" t="s">
        <v>20</v>
      </c>
      <c r="C294" t="s">
        <v>38</v>
      </c>
      <c r="D294" t="s">
        <v>26</v>
      </c>
      <c r="E294" t="s">
        <v>22</v>
      </c>
      <c r="F294" t="s">
        <v>16</v>
      </c>
      <c r="G294" t="s">
        <v>17</v>
      </c>
      <c r="H294" t="s">
        <v>275</v>
      </c>
      <c r="I294" t="s">
        <v>210</v>
      </c>
      <c r="J294" t="s">
        <v>43</v>
      </c>
      <c r="K294" t="s">
        <v>276</v>
      </c>
      <c r="L294" t="s">
        <v>314</v>
      </c>
      <c r="M294" t="s">
        <v>315</v>
      </c>
      <c r="N294" t="s">
        <v>316</v>
      </c>
      <c r="O294" t="s">
        <v>215</v>
      </c>
      <c r="P294" t="s">
        <v>216</v>
      </c>
      <c r="Q294" t="s">
        <v>217</v>
      </c>
      <c r="R294" t="s">
        <v>218</v>
      </c>
      <c r="S294" t="s">
        <v>238</v>
      </c>
    </row>
    <row r="295" spans="1:19" x14ac:dyDescent="0.35">
      <c r="A295" t="s">
        <v>101</v>
      </c>
      <c r="B295" t="s">
        <v>29</v>
      </c>
      <c r="C295" t="s">
        <v>38</v>
      </c>
      <c r="D295" t="s">
        <v>26</v>
      </c>
      <c r="E295" t="s">
        <v>22</v>
      </c>
      <c r="F295" t="s">
        <v>31</v>
      </c>
      <c r="G295" t="s">
        <v>24</v>
      </c>
      <c r="H295" t="s">
        <v>252</v>
      </c>
      <c r="I295" t="s">
        <v>265</v>
      </c>
      <c r="J295" t="s">
        <v>27</v>
      </c>
      <c r="K295" t="s">
        <v>253</v>
      </c>
      <c r="L295" t="s">
        <v>231</v>
      </c>
      <c r="M295" t="s">
        <v>311</v>
      </c>
      <c r="N295" t="s">
        <v>245</v>
      </c>
      <c r="O295" t="s">
        <v>215</v>
      </c>
      <c r="P295" t="s">
        <v>216</v>
      </c>
      <c r="Q295" t="s">
        <v>217</v>
      </c>
      <c r="R295" t="s">
        <v>218</v>
      </c>
      <c r="S295" t="s">
        <v>220</v>
      </c>
    </row>
    <row r="296" spans="1:19" x14ac:dyDescent="0.35">
      <c r="A296" t="s">
        <v>149</v>
      </c>
      <c r="B296" t="s">
        <v>12</v>
      </c>
      <c r="C296" t="s">
        <v>38</v>
      </c>
      <c r="D296" t="s">
        <v>26</v>
      </c>
      <c r="E296" t="s">
        <v>22</v>
      </c>
      <c r="F296" t="s">
        <v>41</v>
      </c>
      <c r="G296" t="s">
        <v>17</v>
      </c>
      <c r="H296" t="s">
        <v>219</v>
      </c>
      <c r="I296" t="s">
        <v>225</v>
      </c>
      <c r="J296" t="s">
        <v>54</v>
      </c>
      <c r="K296" t="s">
        <v>221</v>
      </c>
      <c r="L296" t="s">
        <v>263</v>
      </c>
      <c r="M296" t="s">
        <v>222</v>
      </c>
      <c r="N296" t="s">
        <v>219</v>
      </c>
      <c r="O296" t="s">
        <v>215</v>
      </c>
      <c r="P296" t="s">
        <v>216</v>
      </c>
      <c r="Q296" t="s">
        <v>217</v>
      </c>
      <c r="R296" t="s">
        <v>218</v>
      </c>
      <c r="S296" t="s">
        <v>244</v>
      </c>
    </row>
    <row r="297" spans="1:19" x14ac:dyDescent="0.35">
      <c r="A297" t="s">
        <v>139</v>
      </c>
      <c r="B297" t="s">
        <v>12</v>
      </c>
      <c r="C297" t="s">
        <v>38</v>
      </c>
      <c r="D297" t="s">
        <v>26</v>
      </c>
      <c r="E297" t="s">
        <v>22</v>
      </c>
      <c r="F297" t="s">
        <v>16</v>
      </c>
      <c r="G297" t="s">
        <v>17</v>
      </c>
      <c r="H297" t="s">
        <v>275</v>
      </c>
      <c r="I297" t="s">
        <v>244</v>
      </c>
      <c r="J297" t="s">
        <v>50</v>
      </c>
      <c r="K297" t="s">
        <v>276</v>
      </c>
      <c r="L297" t="s">
        <v>325</v>
      </c>
      <c r="M297" t="s">
        <v>326</v>
      </c>
      <c r="N297" t="s">
        <v>327</v>
      </c>
      <c r="O297" t="s">
        <v>215</v>
      </c>
      <c r="P297" t="s">
        <v>216</v>
      </c>
      <c r="Q297" t="s">
        <v>217</v>
      </c>
      <c r="R297" t="s">
        <v>218</v>
      </c>
      <c r="S297" t="s">
        <v>265</v>
      </c>
    </row>
    <row r="298" spans="1:19" x14ac:dyDescent="0.35">
      <c r="A298" t="s">
        <v>157</v>
      </c>
      <c r="B298" t="s">
        <v>34</v>
      </c>
      <c r="C298" t="s">
        <v>38</v>
      </c>
      <c r="D298" t="s">
        <v>14</v>
      </c>
      <c r="E298" t="s">
        <v>15</v>
      </c>
      <c r="F298" t="s">
        <v>23</v>
      </c>
      <c r="G298" t="s">
        <v>24</v>
      </c>
      <c r="H298" t="s">
        <v>239</v>
      </c>
      <c r="I298" t="s">
        <v>244</v>
      </c>
      <c r="J298" t="s">
        <v>18</v>
      </c>
      <c r="K298" t="s">
        <v>245</v>
      </c>
      <c r="L298" t="s">
        <v>246</v>
      </c>
      <c r="M298" t="s">
        <v>247</v>
      </c>
      <c r="N298" t="s">
        <v>248</v>
      </c>
      <c r="O298" t="s">
        <v>215</v>
      </c>
      <c r="P298" t="s">
        <v>216</v>
      </c>
      <c r="Q298" t="s">
        <v>217</v>
      </c>
      <c r="R298" t="s">
        <v>218</v>
      </c>
      <c r="S298" t="s">
        <v>244</v>
      </c>
    </row>
    <row r="299" spans="1:19" x14ac:dyDescent="0.35">
      <c r="A299" t="s">
        <v>93</v>
      </c>
      <c r="B299" t="s">
        <v>12</v>
      </c>
      <c r="C299" t="s">
        <v>38</v>
      </c>
      <c r="D299" t="s">
        <v>26</v>
      </c>
      <c r="E299" t="s">
        <v>15</v>
      </c>
      <c r="F299" t="s">
        <v>23</v>
      </c>
      <c r="G299" t="s">
        <v>24</v>
      </c>
      <c r="H299" t="s">
        <v>239</v>
      </c>
      <c r="I299" t="s">
        <v>238</v>
      </c>
      <c r="J299" t="s">
        <v>54</v>
      </c>
      <c r="K299" t="s">
        <v>245</v>
      </c>
      <c r="L299" t="s">
        <v>239</v>
      </c>
      <c r="M299" t="s">
        <v>245</v>
      </c>
      <c r="N299" t="s">
        <v>353</v>
      </c>
      <c r="O299" t="s">
        <v>215</v>
      </c>
      <c r="P299" t="s">
        <v>216</v>
      </c>
      <c r="Q299" t="s">
        <v>217</v>
      </c>
      <c r="R299" t="s">
        <v>218</v>
      </c>
      <c r="S299" t="s">
        <v>220</v>
      </c>
    </row>
    <row r="300" spans="1:19" x14ac:dyDescent="0.35">
      <c r="A300" t="s">
        <v>77</v>
      </c>
      <c r="B300" t="s">
        <v>20</v>
      </c>
      <c r="C300" t="s">
        <v>38</v>
      </c>
      <c r="D300" t="s">
        <v>14</v>
      </c>
      <c r="E300" t="s">
        <v>22</v>
      </c>
      <c r="F300" t="s">
        <v>41</v>
      </c>
      <c r="G300" t="s">
        <v>17</v>
      </c>
      <c r="H300" t="s">
        <v>219</v>
      </c>
      <c r="I300" t="s">
        <v>269</v>
      </c>
      <c r="J300" t="s">
        <v>43</v>
      </c>
      <c r="K300" t="s">
        <v>221</v>
      </c>
      <c r="L300" t="s">
        <v>362</v>
      </c>
      <c r="M300" t="s">
        <v>363</v>
      </c>
      <c r="N300" t="s">
        <v>342</v>
      </c>
      <c r="O300" t="s">
        <v>215</v>
      </c>
      <c r="P300" t="s">
        <v>216</v>
      </c>
      <c r="Q300" t="s">
        <v>217</v>
      </c>
      <c r="R300" t="s">
        <v>218</v>
      </c>
      <c r="S300" t="s">
        <v>238</v>
      </c>
    </row>
    <row r="301" spans="1:19" x14ac:dyDescent="0.35">
      <c r="A301" t="s">
        <v>115</v>
      </c>
      <c r="B301" t="s">
        <v>12</v>
      </c>
      <c r="C301" t="s">
        <v>38</v>
      </c>
      <c r="D301" t="s">
        <v>14</v>
      </c>
      <c r="E301" t="s">
        <v>15</v>
      </c>
      <c r="F301" t="s">
        <v>41</v>
      </c>
      <c r="G301" t="s">
        <v>17</v>
      </c>
      <c r="H301" t="s">
        <v>219</v>
      </c>
      <c r="I301" t="s">
        <v>225</v>
      </c>
      <c r="J301" t="s">
        <v>54</v>
      </c>
      <c r="K301" t="s">
        <v>221</v>
      </c>
      <c r="L301" t="s">
        <v>263</v>
      </c>
      <c r="M301" t="s">
        <v>222</v>
      </c>
      <c r="N301" t="s">
        <v>219</v>
      </c>
      <c r="O301" t="s">
        <v>215</v>
      </c>
      <c r="P301" t="s">
        <v>216</v>
      </c>
      <c r="Q301" t="s">
        <v>217</v>
      </c>
      <c r="R301" t="s">
        <v>218</v>
      </c>
      <c r="S301" t="s">
        <v>238</v>
      </c>
    </row>
    <row r="302" spans="1:19" x14ac:dyDescent="0.35">
      <c r="A302" t="s">
        <v>102</v>
      </c>
      <c r="B302" t="s">
        <v>20</v>
      </c>
      <c r="C302" t="s">
        <v>38</v>
      </c>
      <c r="D302" t="s">
        <v>14</v>
      </c>
      <c r="E302" t="s">
        <v>15</v>
      </c>
      <c r="F302" t="s">
        <v>39</v>
      </c>
      <c r="G302" t="s">
        <v>24</v>
      </c>
      <c r="H302" t="s">
        <v>209</v>
      </c>
      <c r="I302" t="s">
        <v>244</v>
      </c>
      <c r="J302" t="s">
        <v>18</v>
      </c>
      <c r="K302" t="s">
        <v>211</v>
      </c>
      <c r="L302" t="s">
        <v>272</v>
      </c>
      <c r="M302" t="s">
        <v>273</v>
      </c>
      <c r="N302" t="s">
        <v>274</v>
      </c>
      <c r="O302" t="s">
        <v>215</v>
      </c>
      <c r="P302" t="s">
        <v>216</v>
      </c>
      <c r="Q302" t="s">
        <v>217</v>
      </c>
      <c r="R302" t="s">
        <v>218</v>
      </c>
      <c r="S302" t="s">
        <v>238</v>
      </c>
    </row>
    <row r="303" spans="1:19" x14ac:dyDescent="0.35">
      <c r="A303" t="s">
        <v>113</v>
      </c>
      <c r="B303" t="s">
        <v>12</v>
      </c>
      <c r="C303" t="s">
        <v>38</v>
      </c>
      <c r="D303" t="s">
        <v>26</v>
      </c>
      <c r="E303" t="s">
        <v>22</v>
      </c>
      <c r="F303" t="s">
        <v>41</v>
      </c>
      <c r="G303" t="s">
        <v>17</v>
      </c>
      <c r="H303" t="s">
        <v>219</v>
      </c>
      <c r="I303" t="s">
        <v>230</v>
      </c>
      <c r="J303" t="s">
        <v>54</v>
      </c>
      <c r="K303" t="s">
        <v>221</v>
      </c>
      <c r="L303" t="s">
        <v>235</v>
      </c>
      <c r="M303" t="s">
        <v>236</v>
      </c>
      <c r="N303" t="s">
        <v>237</v>
      </c>
      <c r="O303" t="s">
        <v>215</v>
      </c>
      <c r="P303" t="s">
        <v>216</v>
      </c>
      <c r="Q303" t="s">
        <v>217</v>
      </c>
      <c r="R303" t="s">
        <v>218</v>
      </c>
      <c r="S303" t="s">
        <v>244</v>
      </c>
    </row>
    <row r="304" spans="1:19" x14ac:dyDescent="0.35">
      <c r="A304" t="s">
        <v>131</v>
      </c>
      <c r="B304" t="s">
        <v>20</v>
      </c>
      <c r="C304" t="s">
        <v>38</v>
      </c>
      <c r="D304" t="s">
        <v>14</v>
      </c>
      <c r="E304" t="s">
        <v>15</v>
      </c>
      <c r="F304" t="s">
        <v>58</v>
      </c>
      <c r="G304" t="s">
        <v>24</v>
      </c>
      <c r="H304" t="s">
        <v>255</v>
      </c>
      <c r="I304" t="s">
        <v>269</v>
      </c>
      <c r="J304" t="s">
        <v>27</v>
      </c>
      <c r="K304" t="s">
        <v>256</v>
      </c>
      <c r="L304" t="s">
        <v>346</v>
      </c>
      <c r="M304" t="s">
        <v>347</v>
      </c>
      <c r="N304" t="s">
        <v>348</v>
      </c>
      <c r="O304" t="s">
        <v>215</v>
      </c>
      <c r="P304" t="s">
        <v>216</v>
      </c>
      <c r="Q304" t="s">
        <v>217</v>
      </c>
      <c r="R304" t="s">
        <v>218</v>
      </c>
      <c r="S304" t="s">
        <v>238</v>
      </c>
    </row>
    <row r="305" spans="1:19" x14ac:dyDescent="0.35">
      <c r="A305" t="s">
        <v>156</v>
      </c>
      <c r="B305" t="s">
        <v>12</v>
      </c>
      <c r="C305" t="s">
        <v>38</v>
      </c>
      <c r="D305" t="s">
        <v>14</v>
      </c>
      <c r="E305" t="s">
        <v>15</v>
      </c>
      <c r="F305" t="s">
        <v>35</v>
      </c>
      <c r="G305" t="s">
        <v>36</v>
      </c>
      <c r="H305" t="s">
        <v>224</v>
      </c>
      <c r="I305" t="s">
        <v>225</v>
      </c>
      <c r="J305" t="s">
        <v>43</v>
      </c>
      <c r="K305" t="s">
        <v>226</v>
      </c>
      <c r="L305" t="s">
        <v>227</v>
      </c>
      <c r="M305" t="s">
        <v>228</v>
      </c>
      <c r="N305" t="s">
        <v>224</v>
      </c>
      <c r="O305" t="s">
        <v>215</v>
      </c>
      <c r="P305" t="s">
        <v>216</v>
      </c>
      <c r="Q305" t="s">
        <v>217</v>
      </c>
      <c r="R305" t="s">
        <v>218</v>
      </c>
      <c r="S305" t="s">
        <v>244</v>
      </c>
    </row>
    <row r="306" spans="1:19" x14ac:dyDescent="0.35">
      <c r="A306" t="s">
        <v>83</v>
      </c>
      <c r="B306" t="s">
        <v>12</v>
      </c>
      <c r="C306" t="s">
        <v>38</v>
      </c>
      <c r="D306" t="s">
        <v>14</v>
      </c>
      <c r="E306" t="s">
        <v>22</v>
      </c>
      <c r="F306" t="s">
        <v>47</v>
      </c>
      <c r="G306" t="s">
        <v>36</v>
      </c>
      <c r="H306" t="s">
        <v>229</v>
      </c>
      <c r="I306" t="s">
        <v>210</v>
      </c>
      <c r="J306" t="s">
        <v>27</v>
      </c>
      <c r="K306" t="s">
        <v>231</v>
      </c>
      <c r="L306" t="s">
        <v>227</v>
      </c>
      <c r="M306" t="s">
        <v>228</v>
      </c>
      <c r="N306" t="s">
        <v>224</v>
      </c>
      <c r="O306" t="s">
        <v>215</v>
      </c>
      <c r="P306" t="s">
        <v>216</v>
      </c>
      <c r="Q306" t="s">
        <v>217</v>
      </c>
      <c r="R306" t="s">
        <v>218</v>
      </c>
      <c r="S306" t="s">
        <v>238</v>
      </c>
    </row>
    <row r="307" spans="1:19" x14ac:dyDescent="0.35">
      <c r="A307" t="s">
        <v>42</v>
      </c>
      <c r="B307" t="s">
        <v>12</v>
      </c>
      <c r="C307" t="s">
        <v>38</v>
      </c>
      <c r="D307" t="s">
        <v>26</v>
      </c>
      <c r="E307" t="s">
        <v>15</v>
      </c>
      <c r="F307" t="s">
        <v>35</v>
      </c>
      <c r="G307" t="s">
        <v>36</v>
      </c>
      <c r="H307" t="s">
        <v>224</v>
      </c>
      <c r="I307" t="s">
        <v>230</v>
      </c>
      <c r="J307" t="s">
        <v>43</v>
      </c>
      <c r="K307" t="s">
        <v>226</v>
      </c>
      <c r="L307" t="s">
        <v>332</v>
      </c>
      <c r="M307" t="s">
        <v>333</v>
      </c>
      <c r="N307" t="s">
        <v>291</v>
      </c>
      <c r="O307" t="s">
        <v>215</v>
      </c>
      <c r="P307" t="s">
        <v>216</v>
      </c>
      <c r="Q307" t="s">
        <v>217</v>
      </c>
      <c r="R307" t="s">
        <v>218</v>
      </c>
      <c r="S307" t="s">
        <v>265</v>
      </c>
    </row>
    <row r="308" spans="1:19" x14ac:dyDescent="0.35">
      <c r="A308" t="s">
        <v>148</v>
      </c>
      <c r="B308" t="s">
        <v>34</v>
      </c>
      <c r="C308" t="s">
        <v>38</v>
      </c>
      <c r="D308" t="s">
        <v>14</v>
      </c>
      <c r="E308" t="s">
        <v>22</v>
      </c>
      <c r="F308" t="s">
        <v>58</v>
      </c>
      <c r="G308" t="s">
        <v>24</v>
      </c>
      <c r="H308" t="s">
        <v>255</v>
      </c>
      <c r="I308" t="s">
        <v>240</v>
      </c>
      <c r="J308" t="s">
        <v>43</v>
      </c>
      <c r="K308" t="s">
        <v>256</v>
      </c>
      <c r="L308" t="s">
        <v>305</v>
      </c>
      <c r="M308" t="s">
        <v>306</v>
      </c>
      <c r="N308" t="s">
        <v>307</v>
      </c>
      <c r="O308" t="s">
        <v>215</v>
      </c>
      <c r="P308" t="s">
        <v>216</v>
      </c>
      <c r="Q308" t="s">
        <v>217</v>
      </c>
      <c r="R308" t="s">
        <v>218</v>
      </c>
      <c r="S308" t="s">
        <v>220</v>
      </c>
    </row>
    <row r="309" spans="1:19" x14ac:dyDescent="0.35">
      <c r="A309" t="s">
        <v>33</v>
      </c>
      <c r="B309" t="s">
        <v>12</v>
      </c>
      <c r="C309" t="s">
        <v>38</v>
      </c>
      <c r="D309" t="s">
        <v>26</v>
      </c>
      <c r="E309" t="s">
        <v>22</v>
      </c>
      <c r="F309" t="s">
        <v>47</v>
      </c>
      <c r="G309" t="s">
        <v>36</v>
      </c>
      <c r="H309" t="s">
        <v>229</v>
      </c>
      <c r="I309" t="s">
        <v>265</v>
      </c>
      <c r="J309" t="s">
        <v>43</v>
      </c>
      <c r="K309" t="s">
        <v>231</v>
      </c>
      <c r="L309" t="s">
        <v>224</v>
      </c>
      <c r="M309" t="s">
        <v>226</v>
      </c>
      <c r="N309" t="s">
        <v>252</v>
      </c>
      <c r="O309" t="s">
        <v>215</v>
      </c>
      <c r="P309" t="s">
        <v>216</v>
      </c>
      <c r="Q309" t="s">
        <v>217</v>
      </c>
      <c r="R309" t="s">
        <v>218</v>
      </c>
      <c r="S309" t="s">
        <v>220</v>
      </c>
    </row>
    <row r="310" spans="1:19" x14ac:dyDescent="0.35">
      <c r="A310" t="s">
        <v>159</v>
      </c>
      <c r="B310" t="s">
        <v>20</v>
      </c>
      <c r="C310" t="s">
        <v>38</v>
      </c>
      <c r="D310" t="s">
        <v>14</v>
      </c>
      <c r="E310" t="s">
        <v>15</v>
      </c>
      <c r="F310" t="s">
        <v>47</v>
      </c>
      <c r="G310" t="s">
        <v>36</v>
      </c>
      <c r="H310" t="s">
        <v>229</v>
      </c>
      <c r="I310" t="s">
        <v>225</v>
      </c>
      <c r="J310" t="s">
        <v>50</v>
      </c>
      <c r="K310" t="s">
        <v>231</v>
      </c>
      <c r="L310" t="s">
        <v>288</v>
      </c>
      <c r="M310" t="s">
        <v>289</v>
      </c>
      <c r="N310" t="s">
        <v>229</v>
      </c>
      <c r="O310" t="s">
        <v>215</v>
      </c>
      <c r="P310" t="s">
        <v>216</v>
      </c>
      <c r="Q310" t="s">
        <v>217</v>
      </c>
      <c r="R310" t="s">
        <v>218</v>
      </c>
      <c r="S310" t="s">
        <v>265</v>
      </c>
    </row>
    <row r="311" spans="1:19" x14ac:dyDescent="0.35">
      <c r="A311" t="s">
        <v>111</v>
      </c>
      <c r="B311" t="s">
        <v>29</v>
      </c>
      <c r="C311" t="s">
        <v>38</v>
      </c>
      <c r="D311" t="s">
        <v>14</v>
      </c>
      <c r="E311" t="s">
        <v>22</v>
      </c>
      <c r="F311" t="s">
        <v>35</v>
      </c>
      <c r="G311" t="s">
        <v>36</v>
      </c>
      <c r="H311" t="s">
        <v>224</v>
      </c>
      <c r="I311" t="s">
        <v>269</v>
      </c>
      <c r="J311" t="s">
        <v>32</v>
      </c>
      <c r="K311" t="s">
        <v>226</v>
      </c>
      <c r="L311" t="s">
        <v>270</v>
      </c>
      <c r="M311" t="s">
        <v>271</v>
      </c>
      <c r="N311" t="s">
        <v>272</v>
      </c>
      <c r="O311" t="s">
        <v>215</v>
      </c>
      <c r="P311" t="s">
        <v>216</v>
      </c>
      <c r="Q311" t="s">
        <v>217</v>
      </c>
      <c r="R311" t="s">
        <v>218</v>
      </c>
      <c r="S311" t="s">
        <v>238</v>
      </c>
    </row>
    <row r="312" spans="1:19" x14ac:dyDescent="0.35">
      <c r="A312" t="s">
        <v>115</v>
      </c>
      <c r="B312" t="s">
        <v>34</v>
      </c>
      <c r="C312" t="s">
        <v>38</v>
      </c>
      <c r="D312" t="s">
        <v>26</v>
      </c>
      <c r="E312" t="s">
        <v>22</v>
      </c>
      <c r="F312" t="s">
        <v>16</v>
      </c>
      <c r="G312" t="s">
        <v>17</v>
      </c>
      <c r="H312" t="s">
        <v>275</v>
      </c>
      <c r="I312" t="s">
        <v>249</v>
      </c>
      <c r="J312" t="s">
        <v>43</v>
      </c>
      <c r="K312" t="s">
        <v>276</v>
      </c>
      <c r="L312" t="s">
        <v>315</v>
      </c>
      <c r="M312" t="s">
        <v>322</v>
      </c>
      <c r="N312" t="s">
        <v>323</v>
      </c>
      <c r="O312" t="s">
        <v>215</v>
      </c>
      <c r="P312" t="s">
        <v>216</v>
      </c>
      <c r="Q312" t="s">
        <v>217</v>
      </c>
      <c r="R312" t="s">
        <v>218</v>
      </c>
      <c r="S312" t="s">
        <v>238</v>
      </c>
    </row>
    <row r="313" spans="1:19" x14ac:dyDescent="0.35">
      <c r="A313" t="s">
        <v>106</v>
      </c>
      <c r="B313" t="s">
        <v>12</v>
      </c>
      <c r="C313" t="s">
        <v>38</v>
      </c>
      <c r="D313" t="s">
        <v>14</v>
      </c>
      <c r="E313" t="s">
        <v>22</v>
      </c>
      <c r="F313" t="s">
        <v>56</v>
      </c>
      <c r="G313" t="s">
        <v>36</v>
      </c>
      <c r="H313" t="s">
        <v>260</v>
      </c>
      <c r="I313" t="s">
        <v>240</v>
      </c>
      <c r="J313" t="s">
        <v>54</v>
      </c>
      <c r="K313" t="s">
        <v>261</v>
      </c>
      <c r="L313" t="s">
        <v>227</v>
      </c>
      <c r="M313" t="s">
        <v>228</v>
      </c>
      <c r="N313" t="s">
        <v>224</v>
      </c>
      <c r="O313" t="s">
        <v>215</v>
      </c>
      <c r="P313" t="s">
        <v>216</v>
      </c>
      <c r="Q313" t="s">
        <v>217</v>
      </c>
      <c r="R313" t="s">
        <v>218</v>
      </c>
      <c r="S313" t="s">
        <v>220</v>
      </c>
    </row>
    <row r="314" spans="1:19" x14ac:dyDescent="0.35">
      <c r="A314" t="s">
        <v>98</v>
      </c>
      <c r="B314" t="s">
        <v>20</v>
      </c>
      <c r="C314" t="s">
        <v>38</v>
      </c>
      <c r="D314" t="s">
        <v>26</v>
      </c>
      <c r="E314" t="s">
        <v>22</v>
      </c>
      <c r="F314" t="s">
        <v>41</v>
      </c>
      <c r="G314" t="s">
        <v>17</v>
      </c>
      <c r="H314" t="s">
        <v>219</v>
      </c>
      <c r="I314" t="s">
        <v>230</v>
      </c>
      <c r="J314" t="s">
        <v>50</v>
      </c>
      <c r="K314" t="s">
        <v>221</v>
      </c>
      <c r="L314" t="s">
        <v>235</v>
      </c>
      <c r="M314" t="s">
        <v>236</v>
      </c>
      <c r="N314" t="s">
        <v>237</v>
      </c>
      <c r="O314" t="s">
        <v>215</v>
      </c>
      <c r="P314" t="s">
        <v>216</v>
      </c>
      <c r="Q314" t="s">
        <v>217</v>
      </c>
      <c r="R314" t="s">
        <v>218</v>
      </c>
      <c r="S314" t="s">
        <v>220</v>
      </c>
    </row>
    <row r="315" spans="1:19" x14ac:dyDescent="0.35">
      <c r="A315" t="s">
        <v>40</v>
      </c>
      <c r="B315" t="s">
        <v>20</v>
      </c>
      <c r="C315" t="s">
        <v>38</v>
      </c>
      <c r="D315" t="s">
        <v>26</v>
      </c>
      <c r="E315" t="s">
        <v>22</v>
      </c>
      <c r="F315" t="s">
        <v>39</v>
      </c>
      <c r="G315" t="s">
        <v>24</v>
      </c>
      <c r="H315" t="s">
        <v>209</v>
      </c>
      <c r="I315" t="s">
        <v>265</v>
      </c>
      <c r="J315" t="s">
        <v>18</v>
      </c>
      <c r="K315" t="s">
        <v>211</v>
      </c>
      <c r="L315" t="s">
        <v>214</v>
      </c>
      <c r="M315" t="s">
        <v>251</v>
      </c>
      <c r="N315" t="s">
        <v>247</v>
      </c>
      <c r="O315" t="s">
        <v>215</v>
      </c>
      <c r="P315" t="s">
        <v>216</v>
      </c>
      <c r="Q315" t="s">
        <v>217</v>
      </c>
      <c r="R315" t="s">
        <v>218</v>
      </c>
      <c r="S315" t="s">
        <v>244</v>
      </c>
    </row>
    <row r="316" spans="1:19" x14ac:dyDescent="0.35">
      <c r="A316" t="s">
        <v>33</v>
      </c>
      <c r="B316" t="s">
        <v>34</v>
      </c>
      <c r="C316" t="s">
        <v>38</v>
      </c>
      <c r="D316" t="s">
        <v>26</v>
      </c>
      <c r="E316" t="s">
        <v>22</v>
      </c>
      <c r="F316" t="s">
        <v>58</v>
      </c>
      <c r="G316" t="s">
        <v>24</v>
      </c>
      <c r="H316" t="s">
        <v>255</v>
      </c>
      <c r="I316" t="s">
        <v>265</v>
      </c>
      <c r="J316" t="s">
        <v>54</v>
      </c>
      <c r="K316" t="s">
        <v>256</v>
      </c>
      <c r="L316" t="s">
        <v>287</v>
      </c>
      <c r="M316" t="s">
        <v>296</v>
      </c>
      <c r="N316" t="s">
        <v>341</v>
      </c>
      <c r="O316" t="s">
        <v>215</v>
      </c>
      <c r="P316" t="s">
        <v>216</v>
      </c>
      <c r="Q316" t="s">
        <v>217</v>
      </c>
      <c r="R316" t="s">
        <v>218</v>
      </c>
      <c r="S316" t="s">
        <v>220</v>
      </c>
    </row>
    <row r="317" spans="1:19" x14ac:dyDescent="0.35">
      <c r="A317" t="s">
        <v>100</v>
      </c>
      <c r="B317" t="s">
        <v>12</v>
      </c>
      <c r="C317" t="s">
        <v>38</v>
      </c>
      <c r="D317" t="s">
        <v>14</v>
      </c>
      <c r="E317" t="s">
        <v>22</v>
      </c>
      <c r="F317" t="s">
        <v>39</v>
      </c>
      <c r="G317" t="s">
        <v>24</v>
      </c>
      <c r="H317" t="s">
        <v>209</v>
      </c>
      <c r="I317" t="s">
        <v>244</v>
      </c>
      <c r="J317" t="s">
        <v>27</v>
      </c>
      <c r="K317" t="s">
        <v>211</v>
      </c>
      <c r="L317" t="s">
        <v>272</v>
      </c>
      <c r="M317" t="s">
        <v>273</v>
      </c>
      <c r="N317" t="s">
        <v>274</v>
      </c>
      <c r="O317" t="s">
        <v>215</v>
      </c>
      <c r="P317" t="s">
        <v>216</v>
      </c>
      <c r="Q317" t="s">
        <v>217</v>
      </c>
      <c r="R317" t="s">
        <v>218</v>
      </c>
      <c r="S317" t="s">
        <v>238</v>
      </c>
    </row>
    <row r="318" spans="1:19" x14ac:dyDescent="0.35">
      <c r="A318" t="s">
        <v>142</v>
      </c>
      <c r="B318" t="s">
        <v>34</v>
      </c>
      <c r="C318" t="s">
        <v>38</v>
      </c>
      <c r="D318" t="s">
        <v>26</v>
      </c>
      <c r="E318" t="s">
        <v>22</v>
      </c>
      <c r="F318" t="s">
        <v>35</v>
      </c>
      <c r="G318" t="s">
        <v>36</v>
      </c>
      <c r="H318" t="s">
        <v>224</v>
      </c>
      <c r="I318" t="s">
        <v>238</v>
      </c>
      <c r="J318" t="s">
        <v>50</v>
      </c>
      <c r="K318" t="s">
        <v>226</v>
      </c>
      <c r="L318" t="s">
        <v>224</v>
      </c>
      <c r="M318" t="s">
        <v>226</v>
      </c>
      <c r="N318" t="s">
        <v>252</v>
      </c>
      <c r="O318" t="s">
        <v>215</v>
      </c>
      <c r="P318" t="s">
        <v>216</v>
      </c>
      <c r="Q318" t="s">
        <v>217</v>
      </c>
      <c r="R318" t="s">
        <v>218</v>
      </c>
      <c r="S318" t="s">
        <v>220</v>
      </c>
    </row>
    <row r="319" spans="1:19" x14ac:dyDescent="0.35">
      <c r="A319" t="s">
        <v>118</v>
      </c>
      <c r="B319" t="s">
        <v>12</v>
      </c>
      <c r="C319" t="s">
        <v>38</v>
      </c>
      <c r="D319" t="s">
        <v>14</v>
      </c>
      <c r="E319" t="s">
        <v>22</v>
      </c>
      <c r="F319" t="s">
        <v>41</v>
      </c>
      <c r="G319" t="s">
        <v>17</v>
      </c>
      <c r="H319" t="s">
        <v>219</v>
      </c>
      <c r="I319" t="s">
        <v>220</v>
      </c>
      <c r="J319" t="s">
        <v>54</v>
      </c>
      <c r="K319" t="s">
        <v>221</v>
      </c>
      <c r="L319" t="s">
        <v>222</v>
      </c>
      <c r="M319" t="s">
        <v>223</v>
      </c>
      <c r="N319" t="s">
        <v>221</v>
      </c>
      <c r="O319" t="s">
        <v>215</v>
      </c>
      <c r="P319" t="s">
        <v>216</v>
      </c>
      <c r="Q319" t="s">
        <v>217</v>
      </c>
      <c r="R319" t="s">
        <v>218</v>
      </c>
      <c r="S319" t="s">
        <v>238</v>
      </c>
    </row>
    <row r="320" spans="1:19" x14ac:dyDescent="0.35">
      <c r="A320" t="s">
        <v>129</v>
      </c>
      <c r="B320" t="s">
        <v>20</v>
      </c>
      <c r="C320" t="s">
        <v>38</v>
      </c>
      <c r="D320" t="s">
        <v>14</v>
      </c>
      <c r="E320" t="s">
        <v>22</v>
      </c>
      <c r="F320" t="s">
        <v>16</v>
      </c>
      <c r="G320" t="s">
        <v>17</v>
      </c>
      <c r="H320" t="s">
        <v>275</v>
      </c>
      <c r="I320" t="s">
        <v>244</v>
      </c>
      <c r="J320" t="s">
        <v>32</v>
      </c>
      <c r="K320" t="s">
        <v>276</v>
      </c>
      <c r="L320" t="s">
        <v>325</v>
      </c>
      <c r="M320" t="s">
        <v>326</v>
      </c>
      <c r="N320" t="s">
        <v>327</v>
      </c>
      <c r="O320" t="s">
        <v>215</v>
      </c>
      <c r="P320" t="s">
        <v>216</v>
      </c>
      <c r="Q320" t="s">
        <v>217</v>
      </c>
      <c r="R320" t="s">
        <v>218</v>
      </c>
      <c r="S320" t="s">
        <v>265</v>
      </c>
    </row>
    <row r="321" spans="1:19" x14ac:dyDescent="0.35">
      <c r="A321" t="s">
        <v>105</v>
      </c>
      <c r="B321" t="s">
        <v>20</v>
      </c>
      <c r="C321" t="s">
        <v>38</v>
      </c>
      <c r="D321" t="s">
        <v>14</v>
      </c>
      <c r="E321" t="s">
        <v>22</v>
      </c>
      <c r="F321" t="s">
        <v>58</v>
      </c>
      <c r="G321" t="s">
        <v>24</v>
      </c>
      <c r="H321" t="s">
        <v>255</v>
      </c>
      <c r="I321" t="s">
        <v>244</v>
      </c>
      <c r="J321" t="s">
        <v>27</v>
      </c>
      <c r="K321" t="s">
        <v>256</v>
      </c>
      <c r="L321" t="s">
        <v>257</v>
      </c>
      <c r="M321" t="s">
        <v>258</v>
      </c>
      <c r="N321" t="s">
        <v>259</v>
      </c>
      <c r="O321" t="s">
        <v>215</v>
      </c>
      <c r="P321" t="s">
        <v>216</v>
      </c>
      <c r="Q321" t="s">
        <v>217</v>
      </c>
      <c r="R321" t="s">
        <v>218</v>
      </c>
      <c r="S321" t="s">
        <v>244</v>
      </c>
    </row>
    <row r="322" spans="1:19" x14ac:dyDescent="0.35">
      <c r="A322" t="s">
        <v>48</v>
      </c>
      <c r="B322" t="s">
        <v>20</v>
      </c>
      <c r="C322" t="s">
        <v>38</v>
      </c>
      <c r="D322" t="s">
        <v>26</v>
      </c>
      <c r="E322" t="s">
        <v>22</v>
      </c>
      <c r="F322" t="s">
        <v>56</v>
      </c>
      <c r="G322" t="s">
        <v>36</v>
      </c>
      <c r="H322" t="s">
        <v>260</v>
      </c>
      <c r="I322" t="s">
        <v>249</v>
      </c>
      <c r="J322" t="s">
        <v>32</v>
      </c>
      <c r="K322" t="s">
        <v>261</v>
      </c>
      <c r="L322" t="s">
        <v>262</v>
      </c>
      <c r="M322" t="s">
        <v>263</v>
      </c>
      <c r="N322" t="s">
        <v>264</v>
      </c>
      <c r="O322" t="s">
        <v>215</v>
      </c>
      <c r="P322" t="s">
        <v>216</v>
      </c>
      <c r="Q322" t="s">
        <v>217</v>
      </c>
      <c r="R322" t="s">
        <v>218</v>
      </c>
      <c r="S322" t="s">
        <v>238</v>
      </c>
    </row>
    <row r="323" spans="1:19" x14ac:dyDescent="0.35">
      <c r="A323" t="s">
        <v>136</v>
      </c>
      <c r="B323" t="s">
        <v>34</v>
      </c>
      <c r="C323" t="s">
        <v>38</v>
      </c>
      <c r="D323" t="s">
        <v>14</v>
      </c>
      <c r="E323" t="s">
        <v>22</v>
      </c>
      <c r="F323" t="s">
        <v>52</v>
      </c>
      <c r="G323" t="s">
        <v>36</v>
      </c>
      <c r="H323" t="s">
        <v>291</v>
      </c>
      <c r="I323" t="s">
        <v>225</v>
      </c>
      <c r="J323" t="s">
        <v>27</v>
      </c>
      <c r="K323" t="s">
        <v>292</v>
      </c>
      <c r="L323" t="s">
        <v>332</v>
      </c>
      <c r="M323" t="s">
        <v>333</v>
      </c>
      <c r="N323" t="s">
        <v>291</v>
      </c>
      <c r="O323" t="s">
        <v>215</v>
      </c>
      <c r="P323" t="s">
        <v>216</v>
      </c>
      <c r="Q323" t="s">
        <v>217</v>
      </c>
      <c r="R323" t="s">
        <v>218</v>
      </c>
      <c r="S323" t="s">
        <v>265</v>
      </c>
    </row>
    <row r="324" spans="1:19" x14ac:dyDescent="0.35">
      <c r="A324" t="s">
        <v>67</v>
      </c>
      <c r="B324" t="s">
        <v>20</v>
      </c>
      <c r="C324" t="s">
        <v>38</v>
      </c>
      <c r="D324" t="s">
        <v>14</v>
      </c>
      <c r="E324" t="s">
        <v>22</v>
      </c>
      <c r="F324" t="s">
        <v>56</v>
      </c>
      <c r="G324" t="s">
        <v>36</v>
      </c>
      <c r="H324" t="s">
        <v>260</v>
      </c>
      <c r="I324" t="s">
        <v>225</v>
      </c>
      <c r="J324" t="s">
        <v>43</v>
      </c>
      <c r="K324" t="s">
        <v>261</v>
      </c>
      <c r="L324" t="s">
        <v>379</v>
      </c>
      <c r="M324" t="s">
        <v>335</v>
      </c>
      <c r="N324" t="s">
        <v>260</v>
      </c>
      <c r="O324" t="s">
        <v>215</v>
      </c>
      <c r="P324" t="s">
        <v>216</v>
      </c>
      <c r="Q324" t="s">
        <v>217</v>
      </c>
      <c r="R324" t="s">
        <v>218</v>
      </c>
      <c r="S324" t="s">
        <v>244</v>
      </c>
    </row>
    <row r="325" spans="1:19" x14ac:dyDescent="0.35">
      <c r="A325" t="s">
        <v>89</v>
      </c>
      <c r="B325" t="s">
        <v>34</v>
      </c>
      <c r="C325" t="s">
        <v>38</v>
      </c>
      <c r="D325" t="s">
        <v>14</v>
      </c>
      <c r="E325" t="s">
        <v>22</v>
      </c>
      <c r="F325" t="s">
        <v>41</v>
      </c>
      <c r="G325" t="s">
        <v>17</v>
      </c>
      <c r="H325" t="s">
        <v>219</v>
      </c>
      <c r="I325" t="s">
        <v>265</v>
      </c>
      <c r="J325" t="s">
        <v>32</v>
      </c>
      <c r="K325" t="s">
        <v>221</v>
      </c>
      <c r="L325" t="s">
        <v>280</v>
      </c>
      <c r="M325" t="s">
        <v>321</v>
      </c>
      <c r="N325" t="s">
        <v>340</v>
      </c>
      <c r="O325" t="s">
        <v>215</v>
      </c>
      <c r="P325" t="s">
        <v>216</v>
      </c>
      <c r="Q325" t="s">
        <v>217</v>
      </c>
      <c r="R325" t="s">
        <v>218</v>
      </c>
      <c r="S325" t="s">
        <v>244</v>
      </c>
    </row>
    <row r="326" spans="1:19" x14ac:dyDescent="0.35">
      <c r="A326" t="s">
        <v>62</v>
      </c>
      <c r="B326" t="s">
        <v>12</v>
      </c>
      <c r="C326" t="s">
        <v>38</v>
      </c>
      <c r="D326" t="s">
        <v>26</v>
      </c>
      <c r="E326" t="s">
        <v>22</v>
      </c>
      <c r="F326" t="s">
        <v>41</v>
      </c>
      <c r="G326" t="s">
        <v>17</v>
      </c>
      <c r="H326" t="s">
        <v>219</v>
      </c>
      <c r="I326" t="s">
        <v>269</v>
      </c>
      <c r="J326" t="s">
        <v>54</v>
      </c>
      <c r="K326" t="s">
        <v>221</v>
      </c>
      <c r="L326" t="s">
        <v>362</v>
      </c>
      <c r="M326" t="s">
        <v>363</v>
      </c>
      <c r="N326" t="s">
        <v>342</v>
      </c>
      <c r="O326" t="s">
        <v>215</v>
      </c>
      <c r="P326" t="s">
        <v>216</v>
      </c>
      <c r="Q326" t="s">
        <v>217</v>
      </c>
      <c r="R326" t="s">
        <v>218</v>
      </c>
      <c r="S326" t="s">
        <v>220</v>
      </c>
    </row>
    <row r="327" spans="1:19" x14ac:dyDescent="0.35">
      <c r="A327" t="s">
        <v>83</v>
      </c>
      <c r="B327" t="s">
        <v>29</v>
      </c>
      <c r="C327" t="s">
        <v>38</v>
      </c>
      <c r="D327" t="s">
        <v>14</v>
      </c>
      <c r="E327" t="s">
        <v>15</v>
      </c>
      <c r="F327" t="s">
        <v>35</v>
      </c>
      <c r="G327" t="s">
        <v>36</v>
      </c>
      <c r="H327" t="s">
        <v>224</v>
      </c>
      <c r="I327" t="s">
        <v>220</v>
      </c>
      <c r="J327" t="s">
        <v>32</v>
      </c>
      <c r="K327" t="s">
        <v>226</v>
      </c>
      <c r="L327" t="s">
        <v>228</v>
      </c>
      <c r="M327" t="s">
        <v>290</v>
      </c>
      <c r="N327" t="s">
        <v>226</v>
      </c>
      <c r="O327" t="s">
        <v>215</v>
      </c>
      <c r="P327" t="s">
        <v>216</v>
      </c>
      <c r="Q327" t="s">
        <v>217</v>
      </c>
      <c r="R327" t="s">
        <v>218</v>
      </c>
      <c r="S327" t="s">
        <v>238</v>
      </c>
    </row>
    <row r="328" spans="1:19" x14ac:dyDescent="0.35">
      <c r="A328" t="s">
        <v>25</v>
      </c>
      <c r="B328" t="s">
        <v>29</v>
      </c>
      <c r="C328" t="s">
        <v>38</v>
      </c>
      <c r="D328" t="s">
        <v>26</v>
      </c>
      <c r="E328" t="s">
        <v>22</v>
      </c>
      <c r="F328" t="s">
        <v>16</v>
      </c>
      <c r="G328" t="s">
        <v>17</v>
      </c>
      <c r="H328" t="s">
        <v>275</v>
      </c>
      <c r="I328" t="s">
        <v>225</v>
      </c>
      <c r="J328" t="s">
        <v>27</v>
      </c>
      <c r="K328" t="s">
        <v>276</v>
      </c>
      <c r="L328" t="s">
        <v>378</v>
      </c>
      <c r="M328" t="s">
        <v>337</v>
      </c>
      <c r="N328" t="s">
        <v>275</v>
      </c>
      <c r="O328" t="s">
        <v>215</v>
      </c>
      <c r="P328" t="s">
        <v>216</v>
      </c>
      <c r="Q328" t="s">
        <v>217</v>
      </c>
      <c r="R328" t="s">
        <v>218</v>
      </c>
      <c r="S328" t="s">
        <v>265</v>
      </c>
    </row>
    <row r="329" spans="1:19" x14ac:dyDescent="0.35">
      <c r="A329" t="s">
        <v>150</v>
      </c>
      <c r="B329" t="s">
        <v>29</v>
      </c>
      <c r="C329" t="s">
        <v>38</v>
      </c>
      <c r="D329" t="s">
        <v>26</v>
      </c>
      <c r="E329" t="s">
        <v>15</v>
      </c>
      <c r="F329" t="s">
        <v>35</v>
      </c>
      <c r="G329" t="s">
        <v>36</v>
      </c>
      <c r="H329" t="s">
        <v>224</v>
      </c>
      <c r="I329" t="s">
        <v>225</v>
      </c>
      <c r="J329" t="s">
        <v>54</v>
      </c>
      <c r="K329" t="s">
        <v>226</v>
      </c>
      <c r="L329" t="s">
        <v>227</v>
      </c>
      <c r="M329" t="s">
        <v>228</v>
      </c>
      <c r="N329" t="s">
        <v>224</v>
      </c>
      <c r="O329" t="s">
        <v>215</v>
      </c>
      <c r="P329" t="s">
        <v>216</v>
      </c>
      <c r="Q329" t="s">
        <v>217</v>
      </c>
      <c r="R329" t="s">
        <v>218</v>
      </c>
      <c r="S329" t="s">
        <v>220</v>
      </c>
    </row>
    <row r="330" spans="1:19" x14ac:dyDescent="0.35">
      <c r="A330" t="s">
        <v>95</v>
      </c>
      <c r="B330" t="s">
        <v>29</v>
      </c>
      <c r="C330" t="s">
        <v>38</v>
      </c>
      <c r="D330" t="s">
        <v>14</v>
      </c>
      <c r="E330" t="s">
        <v>22</v>
      </c>
      <c r="F330" t="s">
        <v>35</v>
      </c>
      <c r="G330" t="s">
        <v>36</v>
      </c>
      <c r="H330" t="s">
        <v>224</v>
      </c>
      <c r="I330" t="s">
        <v>225</v>
      </c>
      <c r="J330" t="s">
        <v>18</v>
      </c>
      <c r="K330" t="s">
        <v>226</v>
      </c>
      <c r="L330" t="s">
        <v>227</v>
      </c>
      <c r="M330" t="s">
        <v>228</v>
      </c>
      <c r="N330" t="s">
        <v>224</v>
      </c>
      <c r="O330" t="s">
        <v>215</v>
      </c>
      <c r="P330" t="s">
        <v>216</v>
      </c>
      <c r="Q330" t="s">
        <v>217</v>
      </c>
      <c r="R330" t="s">
        <v>218</v>
      </c>
      <c r="S330" t="s">
        <v>238</v>
      </c>
    </row>
    <row r="331" spans="1:19" x14ac:dyDescent="0.35">
      <c r="A331" t="s">
        <v>127</v>
      </c>
      <c r="B331" t="s">
        <v>12</v>
      </c>
      <c r="C331" t="s">
        <v>38</v>
      </c>
      <c r="D331" t="s">
        <v>26</v>
      </c>
      <c r="E331" t="s">
        <v>15</v>
      </c>
      <c r="F331" t="s">
        <v>16</v>
      </c>
      <c r="G331" t="s">
        <v>17</v>
      </c>
      <c r="H331" t="s">
        <v>275</v>
      </c>
      <c r="I331" t="s">
        <v>269</v>
      </c>
      <c r="J331" t="s">
        <v>27</v>
      </c>
      <c r="K331" t="s">
        <v>276</v>
      </c>
      <c r="L331" t="s">
        <v>380</v>
      </c>
      <c r="M331" t="s">
        <v>381</v>
      </c>
      <c r="N331" t="s">
        <v>382</v>
      </c>
      <c r="O331" t="s">
        <v>215</v>
      </c>
      <c r="P331" t="s">
        <v>216</v>
      </c>
      <c r="Q331" t="s">
        <v>217</v>
      </c>
      <c r="R331" t="s">
        <v>218</v>
      </c>
      <c r="S331" t="s">
        <v>220</v>
      </c>
    </row>
    <row r="332" spans="1:19" x14ac:dyDescent="0.35">
      <c r="A332" t="s">
        <v>112</v>
      </c>
      <c r="B332" t="s">
        <v>20</v>
      </c>
      <c r="C332" t="s">
        <v>38</v>
      </c>
      <c r="D332" t="s">
        <v>14</v>
      </c>
      <c r="E332" t="s">
        <v>15</v>
      </c>
      <c r="F332" t="s">
        <v>52</v>
      </c>
      <c r="G332" t="s">
        <v>36</v>
      </c>
      <c r="H332" t="s">
        <v>291</v>
      </c>
      <c r="I332" t="s">
        <v>210</v>
      </c>
      <c r="J332" t="s">
        <v>32</v>
      </c>
      <c r="K332" t="s">
        <v>292</v>
      </c>
      <c r="L332" t="s">
        <v>339</v>
      </c>
      <c r="M332" t="s">
        <v>299</v>
      </c>
      <c r="N332" t="s">
        <v>233</v>
      </c>
      <c r="O332" t="s">
        <v>215</v>
      </c>
      <c r="P332" t="s">
        <v>216</v>
      </c>
      <c r="Q332" t="s">
        <v>217</v>
      </c>
      <c r="R332" t="s">
        <v>218</v>
      </c>
      <c r="S332" t="s">
        <v>238</v>
      </c>
    </row>
    <row r="333" spans="1:19" x14ac:dyDescent="0.35">
      <c r="A333" t="s">
        <v>113</v>
      </c>
      <c r="B333" t="s">
        <v>29</v>
      </c>
      <c r="C333" t="s">
        <v>38</v>
      </c>
      <c r="D333" t="s">
        <v>14</v>
      </c>
      <c r="E333" t="s">
        <v>22</v>
      </c>
      <c r="F333" t="s">
        <v>47</v>
      </c>
      <c r="G333" t="s">
        <v>36</v>
      </c>
      <c r="H333" t="s">
        <v>229</v>
      </c>
      <c r="I333" t="s">
        <v>238</v>
      </c>
      <c r="J333" t="s">
        <v>32</v>
      </c>
      <c r="K333" t="s">
        <v>231</v>
      </c>
      <c r="L333" t="s">
        <v>229</v>
      </c>
      <c r="M333" t="s">
        <v>231</v>
      </c>
      <c r="N333" t="s">
        <v>239</v>
      </c>
      <c r="O333" t="s">
        <v>215</v>
      </c>
      <c r="P333" t="s">
        <v>216</v>
      </c>
      <c r="Q333" t="s">
        <v>217</v>
      </c>
      <c r="R333" t="s">
        <v>218</v>
      </c>
      <c r="S333" t="s">
        <v>244</v>
      </c>
    </row>
    <row r="334" spans="1:19" x14ac:dyDescent="0.35">
      <c r="A334" t="s">
        <v>106</v>
      </c>
      <c r="B334" t="s">
        <v>20</v>
      </c>
      <c r="C334" t="s">
        <v>38</v>
      </c>
      <c r="D334" t="s">
        <v>14</v>
      </c>
      <c r="E334" t="s">
        <v>22</v>
      </c>
      <c r="F334" t="s">
        <v>58</v>
      </c>
      <c r="G334" t="s">
        <v>24</v>
      </c>
      <c r="H334" t="s">
        <v>255</v>
      </c>
      <c r="I334" t="s">
        <v>225</v>
      </c>
      <c r="J334" t="s">
        <v>32</v>
      </c>
      <c r="K334" t="s">
        <v>256</v>
      </c>
      <c r="L334" t="s">
        <v>324</v>
      </c>
      <c r="M334" t="s">
        <v>303</v>
      </c>
      <c r="N334" t="s">
        <v>255</v>
      </c>
      <c r="O334" t="s">
        <v>215</v>
      </c>
      <c r="P334" t="s">
        <v>216</v>
      </c>
      <c r="Q334" t="s">
        <v>217</v>
      </c>
      <c r="R334" t="s">
        <v>218</v>
      </c>
      <c r="S334" t="s">
        <v>220</v>
      </c>
    </row>
    <row r="335" spans="1:19" x14ac:dyDescent="0.35">
      <c r="A335" t="s">
        <v>37</v>
      </c>
      <c r="B335" t="s">
        <v>20</v>
      </c>
      <c r="C335" t="s">
        <v>38</v>
      </c>
      <c r="D335" t="s">
        <v>26</v>
      </c>
      <c r="E335" t="s">
        <v>22</v>
      </c>
      <c r="F335" t="s">
        <v>47</v>
      </c>
      <c r="G335" t="s">
        <v>36</v>
      </c>
      <c r="H335" t="s">
        <v>229</v>
      </c>
      <c r="I335" t="s">
        <v>244</v>
      </c>
      <c r="J335" t="s">
        <v>54</v>
      </c>
      <c r="K335" t="s">
        <v>231</v>
      </c>
      <c r="L335" t="s">
        <v>312</v>
      </c>
      <c r="M335" t="s">
        <v>214</v>
      </c>
      <c r="N335" t="s">
        <v>246</v>
      </c>
      <c r="O335" t="s">
        <v>215</v>
      </c>
      <c r="P335" t="s">
        <v>216</v>
      </c>
      <c r="Q335" t="s">
        <v>217</v>
      </c>
      <c r="R335" t="s">
        <v>218</v>
      </c>
      <c r="S335" t="s">
        <v>244</v>
      </c>
    </row>
    <row r="336" spans="1:19" x14ac:dyDescent="0.35">
      <c r="A336" t="s">
        <v>155</v>
      </c>
      <c r="B336" t="s">
        <v>34</v>
      </c>
      <c r="C336" t="s">
        <v>38</v>
      </c>
      <c r="D336" t="s">
        <v>14</v>
      </c>
      <c r="E336" t="s">
        <v>22</v>
      </c>
      <c r="F336" t="s">
        <v>39</v>
      </c>
      <c r="G336" t="s">
        <v>24</v>
      </c>
      <c r="H336" t="s">
        <v>209</v>
      </c>
      <c r="I336" t="s">
        <v>230</v>
      </c>
      <c r="J336" t="s">
        <v>54</v>
      </c>
      <c r="K336" t="s">
        <v>211</v>
      </c>
      <c r="L336" t="s">
        <v>317</v>
      </c>
      <c r="M336" t="s">
        <v>318</v>
      </c>
      <c r="N336" t="s">
        <v>319</v>
      </c>
      <c r="O336" t="s">
        <v>215</v>
      </c>
      <c r="P336" t="s">
        <v>216</v>
      </c>
      <c r="Q336" t="s">
        <v>217</v>
      </c>
      <c r="R336" t="s">
        <v>218</v>
      </c>
      <c r="S336" t="s">
        <v>238</v>
      </c>
    </row>
    <row r="337" spans="1:19" x14ac:dyDescent="0.35">
      <c r="A337" t="s">
        <v>68</v>
      </c>
      <c r="B337" t="s">
        <v>12</v>
      </c>
      <c r="C337" t="s">
        <v>38</v>
      </c>
      <c r="D337" t="s">
        <v>14</v>
      </c>
      <c r="E337" t="s">
        <v>15</v>
      </c>
      <c r="F337" t="s">
        <v>41</v>
      </c>
      <c r="G337" t="s">
        <v>17</v>
      </c>
      <c r="H337" t="s">
        <v>219</v>
      </c>
      <c r="I337" t="s">
        <v>225</v>
      </c>
      <c r="J337" t="s">
        <v>32</v>
      </c>
      <c r="K337" t="s">
        <v>221</v>
      </c>
      <c r="L337" t="s">
        <v>263</v>
      </c>
      <c r="M337" t="s">
        <v>222</v>
      </c>
      <c r="N337" t="s">
        <v>219</v>
      </c>
      <c r="O337" t="s">
        <v>215</v>
      </c>
      <c r="P337" t="s">
        <v>216</v>
      </c>
      <c r="Q337" t="s">
        <v>217</v>
      </c>
      <c r="R337" t="s">
        <v>218</v>
      </c>
      <c r="S337" t="s">
        <v>238</v>
      </c>
    </row>
    <row r="338" spans="1:19" x14ac:dyDescent="0.35">
      <c r="A338" t="s">
        <v>119</v>
      </c>
      <c r="B338" t="s">
        <v>20</v>
      </c>
      <c r="C338" t="s">
        <v>38</v>
      </c>
      <c r="D338" t="s">
        <v>26</v>
      </c>
      <c r="E338" t="s">
        <v>15</v>
      </c>
      <c r="F338" t="s">
        <v>39</v>
      </c>
      <c r="G338" t="s">
        <v>24</v>
      </c>
      <c r="H338" t="s">
        <v>209</v>
      </c>
      <c r="I338" t="s">
        <v>210</v>
      </c>
      <c r="J338" t="s">
        <v>50</v>
      </c>
      <c r="K338" t="s">
        <v>211</v>
      </c>
      <c r="L338" t="s">
        <v>212</v>
      </c>
      <c r="M338" t="s">
        <v>213</v>
      </c>
      <c r="N338" t="s">
        <v>214</v>
      </c>
      <c r="O338" t="s">
        <v>215</v>
      </c>
      <c r="P338" t="s">
        <v>216</v>
      </c>
      <c r="Q338" t="s">
        <v>217</v>
      </c>
      <c r="R338" t="s">
        <v>218</v>
      </c>
      <c r="S338" t="s">
        <v>238</v>
      </c>
    </row>
    <row r="339" spans="1:19" x14ac:dyDescent="0.35">
      <c r="A339" t="s">
        <v>152</v>
      </c>
      <c r="B339" t="s">
        <v>20</v>
      </c>
      <c r="C339" t="s">
        <v>38</v>
      </c>
      <c r="D339" t="s">
        <v>14</v>
      </c>
      <c r="E339" t="s">
        <v>22</v>
      </c>
      <c r="F339" t="s">
        <v>16</v>
      </c>
      <c r="G339" t="s">
        <v>17</v>
      </c>
      <c r="H339" t="s">
        <v>275</v>
      </c>
      <c r="I339" t="s">
        <v>230</v>
      </c>
      <c r="J339" t="s">
        <v>50</v>
      </c>
      <c r="K339" t="s">
        <v>276</v>
      </c>
      <c r="L339" t="s">
        <v>374</v>
      </c>
      <c r="M339" t="s">
        <v>375</v>
      </c>
      <c r="N339" t="s">
        <v>376</v>
      </c>
      <c r="O339" t="s">
        <v>215</v>
      </c>
      <c r="P339" t="s">
        <v>216</v>
      </c>
      <c r="Q339" t="s">
        <v>217</v>
      </c>
      <c r="R339" t="s">
        <v>218</v>
      </c>
      <c r="S339" t="s">
        <v>220</v>
      </c>
    </row>
    <row r="340" spans="1:19" x14ac:dyDescent="0.35">
      <c r="A340" t="s">
        <v>28</v>
      </c>
      <c r="B340" t="s">
        <v>34</v>
      </c>
      <c r="C340" t="s">
        <v>38</v>
      </c>
      <c r="D340" t="s">
        <v>26</v>
      </c>
      <c r="E340" t="s">
        <v>22</v>
      </c>
      <c r="F340" t="s">
        <v>58</v>
      </c>
      <c r="G340" t="s">
        <v>24</v>
      </c>
      <c r="H340" t="s">
        <v>255</v>
      </c>
      <c r="I340" t="s">
        <v>244</v>
      </c>
      <c r="J340" t="s">
        <v>27</v>
      </c>
      <c r="K340" t="s">
        <v>256</v>
      </c>
      <c r="L340" t="s">
        <v>257</v>
      </c>
      <c r="M340" t="s">
        <v>258</v>
      </c>
      <c r="N340" t="s">
        <v>259</v>
      </c>
      <c r="O340" t="s">
        <v>215</v>
      </c>
      <c r="P340" t="s">
        <v>216</v>
      </c>
      <c r="Q340" t="s">
        <v>217</v>
      </c>
      <c r="R340" t="s">
        <v>218</v>
      </c>
      <c r="S340" t="s">
        <v>220</v>
      </c>
    </row>
    <row r="341" spans="1:19" x14ac:dyDescent="0.35">
      <c r="A341" t="s">
        <v>44</v>
      </c>
      <c r="B341" t="s">
        <v>12</v>
      </c>
      <c r="C341" t="s">
        <v>38</v>
      </c>
      <c r="D341" t="s">
        <v>14</v>
      </c>
      <c r="E341" t="s">
        <v>15</v>
      </c>
      <c r="F341" t="s">
        <v>56</v>
      </c>
      <c r="G341" t="s">
        <v>36</v>
      </c>
      <c r="H341" t="s">
        <v>260</v>
      </c>
      <c r="I341" t="s">
        <v>210</v>
      </c>
      <c r="J341" t="s">
        <v>18</v>
      </c>
      <c r="K341" t="s">
        <v>261</v>
      </c>
      <c r="L341" t="s">
        <v>364</v>
      </c>
      <c r="M341" t="s">
        <v>262</v>
      </c>
      <c r="N341" t="s">
        <v>360</v>
      </c>
      <c r="O341" t="s">
        <v>215</v>
      </c>
      <c r="P341" t="s">
        <v>216</v>
      </c>
      <c r="Q341" t="s">
        <v>217</v>
      </c>
      <c r="R341" t="s">
        <v>218</v>
      </c>
      <c r="S341" t="s">
        <v>244</v>
      </c>
    </row>
    <row r="342" spans="1:19" x14ac:dyDescent="0.35">
      <c r="A342" t="s">
        <v>124</v>
      </c>
      <c r="B342" t="s">
        <v>34</v>
      </c>
      <c r="C342" t="s">
        <v>38</v>
      </c>
      <c r="D342" t="s">
        <v>14</v>
      </c>
      <c r="E342" t="s">
        <v>15</v>
      </c>
      <c r="F342" t="s">
        <v>23</v>
      </c>
      <c r="G342" t="s">
        <v>24</v>
      </c>
      <c r="H342" t="s">
        <v>239</v>
      </c>
      <c r="I342" t="s">
        <v>220</v>
      </c>
      <c r="J342" t="s">
        <v>43</v>
      </c>
      <c r="K342" t="s">
        <v>245</v>
      </c>
      <c r="L342" t="s">
        <v>231</v>
      </c>
      <c r="M342" t="s">
        <v>311</v>
      </c>
      <c r="N342" t="s">
        <v>245</v>
      </c>
      <c r="O342" t="s">
        <v>215</v>
      </c>
      <c r="P342" t="s">
        <v>216</v>
      </c>
      <c r="Q342" t="s">
        <v>217</v>
      </c>
      <c r="R342" t="s">
        <v>218</v>
      </c>
      <c r="S342" t="s">
        <v>238</v>
      </c>
    </row>
    <row r="343" spans="1:19" x14ac:dyDescent="0.35">
      <c r="A343" t="s">
        <v>147</v>
      </c>
      <c r="B343" t="s">
        <v>20</v>
      </c>
      <c r="C343" t="s">
        <v>38</v>
      </c>
      <c r="D343" t="s">
        <v>14</v>
      </c>
      <c r="E343" t="s">
        <v>22</v>
      </c>
      <c r="F343" t="s">
        <v>39</v>
      </c>
      <c r="G343" t="s">
        <v>24</v>
      </c>
      <c r="H343" t="s">
        <v>209</v>
      </c>
      <c r="I343" t="s">
        <v>269</v>
      </c>
      <c r="J343" t="s">
        <v>43</v>
      </c>
      <c r="K343" t="s">
        <v>211</v>
      </c>
      <c r="L343" t="s">
        <v>371</v>
      </c>
      <c r="M343" t="s">
        <v>372</v>
      </c>
      <c r="N343" t="s">
        <v>373</v>
      </c>
      <c r="O343" t="s">
        <v>215</v>
      </c>
      <c r="P343" t="s">
        <v>216</v>
      </c>
      <c r="Q343" t="s">
        <v>217</v>
      </c>
      <c r="R343" t="s">
        <v>218</v>
      </c>
      <c r="S343" t="s">
        <v>220</v>
      </c>
    </row>
    <row r="344" spans="1:19" x14ac:dyDescent="0.35">
      <c r="A344" t="s">
        <v>83</v>
      </c>
      <c r="B344" t="s">
        <v>20</v>
      </c>
      <c r="C344" t="s">
        <v>38</v>
      </c>
      <c r="D344" t="s">
        <v>14</v>
      </c>
      <c r="E344" t="s">
        <v>15</v>
      </c>
      <c r="F344" t="s">
        <v>23</v>
      </c>
      <c r="G344" t="s">
        <v>24</v>
      </c>
      <c r="H344" t="s">
        <v>239</v>
      </c>
      <c r="I344" t="s">
        <v>220</v>
      </c>
      <c r="J344" t="s">
        <v>32</v>
      </c>
      <c r="K344" t="s">
        <v>245</v>
      </c>
      <c r="L344" t="s">
        <v>231</v>
      </c>
      <c r="M344" t="s">
        <v>311</v>
      </c>
      <c r="N344" t="s">
        <v>245</v>
      </c>
      <c r="O344" t="s">
        <v>215</v>
      </c>
      <c r="P344" t="s">
        <v>216</v>
      </c>
      <c r="Q344" t="s">
        <v>217</v>
      </c>
      <c r="R344" t="s">
        <v>218</v>
      </c>
      <c r="S344" t="s">
        <v>238</v>
      </c>
    </row>
    <row r="345" spans="1:19" x14ac:dyDescent="0.35">
      <c r="A345" t="s">
        <v>123</v>
      </c>
      <c r="B345" t="s">
        <v>29</v>
      </c>
      <c r="C345" t="s">
        <v>38</v>
      </c>
      <c r="D345" t="s">
        <v>14</v>
      </c>
      <c r="E345" t="s">
        <v>15</v>
      </c>
      <c r="F345" t="s">
        <v>58</v>
      </c>
      <c r="G345" t="s">
        <v>24</v>
      </c>
      <c r="H345" t="s">
        <v>255</v>
      </c>
      <c r="I345" t="s">
        <v>249</v>
      </c>
      <c r="J345" t="s">
        <v>18</v>
      </c>
      <c r="K345" t="s">
        <v>256</v>
      </c>
      <c r="L345" t="s">
        <v>286</v>
      </c>
      <c r="M345" t="s">
        <v>295</v>
      </c>
      <c r="N345" t="s">
        <v>296</v>
      </c>
      <c r="O345" t="s">
        <v>215</v>
      </c>
      <c r="P345" t="s">
        <v>216</v>
      </c>
      <c r="Q345" t="s">
        <v>217</v>
      </c>
      <c r="R345" t="s">
        <v>218</v>
      </c>
      <c r="S345" t="s">
        <v>220</v>
      </c>
    </row>
    <row r="346" spans="1:19" x14ac:dyDescent="0.35">
      <c r="A346" t="s">
        <v>48</v>
      </c>
      <c r="B346" t="s">
        <v>29</v>
      </c>
      <c r="C346" t="s">
        <v>38</v>
      </c>
      <c r="D346" t="s">
        <v>26</v>
      </c>
      <c r="E346" t="s">
        <v>22</v>
      </c>
      <c r="F346" t="s">
        <v>35</v>
      </c>
      <c r="G346" t="s">
        <v>36</v>
      </c>
      <c r="H346" t="s">
        <v>224</v>
      </c>
      <c r="I346" t="s">
        <v>244</v>
      </c>
      <c r="J346" t="s">
        <v>32</v>
      </c>
      <c r="K346" t="s">
        <v>226</v>
      </c>
      <c r="L346" t="s">
        <v>301</v>
      </c>
      <c r="M346" t="s">
        <v>302</v>
      </c>
      <c r="N346" t="s">
        <v>209</v>
      </c>
      <c r="O346" t="s">
        <v>215</v>
      </c>
      <c r="P346" t="s">
        <v>216</v>
      </c>
      <c r="Q346" t="s">
        <v>217</v>
      </c>
      <c r="R346" t="s">
        <v>218</v>
      </c>
      <c r="S346" t="s">
        <v>238</v>
      </c>
    </row>
    <row r="347" spans="1:19" x14ac:dyDescent="0.35">
      <c r="A347" t="s">
        <v>71</v>
      </c>
      <c r="B347" t="s">
        <v>20</v>
      </c>
      <c r="C347" t="s">
        <v>38</v>
      </c>
      <c r="D347" t="s">
        <v>14</v>
      </c>
      <c r="E347" t="s">
        <v>15</v>
      </c>
      <c r="F347" t="s">
        <v>16</v>
      </c>
      <c r="G347" t="s">
        <v>17</v>
      </c>
      <c r="H347" t="s">
        <v>275</v>
      </c>
      <c r="I347" t="s">
        <v>230</v>
      </c>
      <c r="J347" t="s">
        <v>18</v>
      </c>
      <c r="K347" t="s">
        <v>276</v>
      </c>
      <c r="L347" t="s">
        <v>374</v>
      </c>
      <c r="M347" t="s">
        <v>375</v>
      </c>
      <c r="N347" t="s">
        <v>376</v>
      </c>
      <c r="O347" t="s">
        <v>215</v>
      </c>
      <c r="P347" t="s">
        <v>216</v>
      </c>
      <c r="Q347" t="s">
        <v>217</v>
      </c>
      <c r="R347" t="s">
        <v>218</v>
      </c>
      <c r="S347" t="s">
        <v>265</v>
      </c>
    </row>
    <row r="348" spans="1:19" x14ac:dyDescent="0.35">
      <c r="A348" t="s">
        <v>120</v>
      </c>
      <c r="B348" t="s">
        <v>34</v>
      </c>
      <c r="C348" t="s">
        <v>38</v>
      </c>
      <c r="D348" t="s">
        <v>14</v>
      </c>
      <c r="E348" t="s">
        <v>22</v>
      </c>
      <c r="F348" t="s">
        <v>35</v>
      </c>
      <c r="G348" t="s">
        <v>36</v>
      </c>
      <c r="H348" t="s">
        <v>224</v>
      </c>
      <c r="I348" t="s">
        <v>265</v>
      </c>
      <c r="J348" t="s">
        <v>32</v>
      </c>
      <c r="K348" t="s">
        <v>226</v>
      </c>
      <c r="L348" t="s">
        <v>289</v>
      </c>
      <c r="M348" t="s">
        <v>297</v>
      </c>
      <c r="N348" t="s">
        <v>231</v>
      </c>
      <c r="O348" t="s">
        <v>215</v>
      </c>
      <c r="P348" t="s">
        <v>216</v>
      </c>
      <c r="Q348" t="s">
        <v>217</v>
      </c>
      <c r="R348" t="s">
        <v>218</v>
      </c>
      <c r="S348" t="s">
        <v>244</v>
      </c>
    </row>
    <row r="349" spans="1:19" x14ac:dyDescent="0.35">
      <c r="A349" t="s">
        <v>11</v>
      </c>
      <c r="B349" t="s">
        <v>34</v>
      </c>
      <c r="C349" t="s">
        <v>38</v>
      </c>
      <c r="D349" t="s">
        <v>14</v>
      </c>
      <c r="E349" t="s">
        <v>22</v>
      </c>
      <c r="F349" t="s">
        <v>58</v>
      </c>
      <c r="G349" t="s">
        <v>24</v>
      </c>
      <c r="H349" t="s">
        <v>255</v>
      </c>
      <c r="I349" t="s">
        <v>230</v>
      </c>
      <c r="J349" t="s">
        <v>50</v>
      </c>
      <c r="K349" t="s">
        <v>256</v>
      </c>
      <c r="L349" t="s">
        <v>354</v>
      </c>
      <c r="M349" t="s">
        <v>355</v>
      </c>
      <c r="N349" t="s">
        <v>356</v>
      </c>
      <c r="O349" t="s">
        <v>215</v>
      </c>
      <c r="P349" t="s">
        <v>216</v>
      </c>
      <c r="Q349" t="s">
        <v>217</v>
      </c>
      <c r="R349" t="s">
        <v>218</v>
      </c>
      <c r="S349" t="s">
        <v>238</v>
      </c>
    </row>
    <row r="350" spans="1:19" x14ac:dyDescent="0.35">
      <c r="A350" t="s">
        <v>72</v>
      </c>
      <c r="B350" t="s">
        <v>20</v>
      </c>
      <c r="C350" t="s">
        <v>38</v>
      </c>
      <c r="D350" t="s">
        <v>26</v>
      </c>
      <c r="E350" t="s">
        <v>22</v>
      </c>
      <c r="F350" t="s">
        <v>58</v>
      </c>
      <c r="G350" t="s">
        <v>24</v>
      </c>
      <c r="H350" t="s">
        <v>255</v>
      </c>
      <c r="I350" t="s">
        <v>269</v>
      </c>
      <c r="J350" t="s">
        <v>50</v>
      </c>
      <c r="K350" t="s">
        <v>256</v>
      </c>
      <c r="L350" t="s">
        <v>346</v>
      </c>
      <c r="M350" t="s">
        <v>347</v>
      </c>
      <c r="N350" t="s">
        <v>348</v>
      </c>
      <c r="O350" t="s">
        <v>215</v>
      </c>
      <c r="P350" t="s">
        <v>216</v>
      </c>
      <c r="Q350" t="s">
        <v>217</v>
      </c>
      <c r="R350" t="s">
        <v>218</v>
      </c>
      <c r="S350" t="s">
        <v>244</v>
      </c>
    </row>
    <row r="351" spans="1:19" x14ac:dyDescent="0.35">
      <c r="A351" t="s">
        <v>25</v>
      </c>
      <c r="B351" t="s">
        <v>34</v>
      </c>
      <c r="C351" t="s">
        <v>38</v>
      </c>
      <c r="D351" t="s">
        <v>14</v>
      </c>
      <c r="E351" t="s">
        <v>15</v>
      </c>
      <c r="F351" t="s">
        <v>52</v>
      </c>
      <c r="G351" t="s">
        <v>36</v>
      </c>
      <c r="H351" t="s">
        <v>291</v>
      </c>
      <c r="I351" t="s">
        <v>240</v>
      </c>
      <c r="J351" t="s">
        <v>54</v>
      </c>
      <c r="K351" t="s">
        <v>292</v>
      </c>
      <c r="L351" t="s">
        <v>349</v>
      </c>
      <c r="M351" t="s">
        <v>350</v>
      </c>
      <c r="N351" t="s">
        <v>351</v>
      </c>
      <c r="O351" t="s">
        <v>215</v>
      </c>
      <c r="P351" t="s">
        <v>216</v>
      </c>
      <c r="Q351" t="s">
        <v>217</v>
      </c>
      <c r="R351" t="s">
        <v>218</v>
      </c>
      <c r="S351" t="s">
        <v>265</v>
      </c>
    </row>
    <row r="352" spans="1:19" x14ac:dyDescent="0.35">
      <c r="A352" t="s">
        <v>49</v>
      </c>
      <c r="B352" t="s">
        <v>12</v>
      </c>
      <c r="C352" t="s">
        <v>38</v>
      </c>
      <c r="D352" t="s">
        <v>26</v>
      </c>
      <c r="E352" t="s">
        <v>22</v>
      </c>
      <c r="F352" t="s">
        <v>39</v>
      </c>
      <c r="G352" t="s">
        <v>24</v>
      </c>
      <c r="H352" t="s">
        <v>209</v>
      </c>
      <c r="I352" t="s">
        <v>225</v>
      </c>
      <c r="J352" t="s">
        <v>32</v>
      </c>
      <c r="K352" t="s">
        <v>211</v>
      </c>
      <c r="L352" t="s">
        <v>301</v>
      </c>
      <c r="M352" t="s">
        <v>302</v>
      </c>
      <c r="N352" t="s">
        <v>209</v>
      </c>
      <c r="O352" t="s">
        <v>215</v>
      </c>
      <c r="P352" t="s">
        <v>216</v>
      </c>
      <c r="Q352" t="s">
        <v>217</v>
      </c>
      <c r="R352" t="s">
        <v>218</v>
      </c>
      <c r="S352" t="s">
        <v>220</v>
      </c>
    </row>
    <row r="353" spans="1:19" x14ac:dyDescent="0.35">
      <c r="A353" t="s">
        <v>95</v>
      </c>
      <c r="B353" t="s">
        <v>34</v>
      </c>
      <c r="C353" t="s">
        <v>38</v>
      </c>
      <c r="D353" t="s">
        <v>26</v>
      </c>
      <c r="E353" t="s">
        <v>15</v>
      </c>
      <c r="F353" t="s">
        <v>47</v>
      </c>
      <c r="G353" t="s">
        <v>36</v>
      </c>
      <c r="H353" t="s">
        <v>229</v>
      </c>
      <c r="I353" t="s">
        <v>265</v>
      </c>
      <c r="J353" t="s">
        <v>54</v>
      </c>
      <c r="K353" t="s">
        <v>231</v>
      </c>
      <c r="L353" t="s">
        <v>224</v>
      </c>
      <c r="M353" t="s">
        <v>226</v>
      </c>
      <c r="N353" t="s">
        <v>252</v>
      </c>
      <c r="O353" t="s">
        <v>215</v>
      </c>
      <c r="P353" t="s">
        <v>216</v>
      </c>
      <c r="Q353" t="s">
        <v>217</v>
      </c>
      <c r="R353" t="s">
        <v>218</v>
      </c>
      <c r="S353" t="s">
        <v>238</v>
      </c>
    </row>
    <row r="354" spans="1:19" x14ac:dyDescent="0.35">
      <c r="A354" t="s">
        <v>101</v>
      </c>
      <c r="B354" t="s">
        <v>12</v>
      </c>
      <c r="C354" t="s">
        <v>38</v>
      </c>
      <c r="D354" t="s">
        <v>14</v>
      </c>
      <c r="E354" t="s">
        <v>15</v>
      </c>
      <c r="F354" t="s">
        <v>39</v>
      </c>
      <c r="G354" t="s">
        <v>24</v>
      </c>
      <c r="H354" t="s">
        <v>209</v>
      </c>
      <c r="I354" t="s">
        <v>249</v>
      </c>
      <c r="J354" t="s">
        <v>43</v>
      </c>
      <c r="K354" t="s">
        <v>211</v>
      </c>
      <c r="L354" t="s">
        <v>213</v>
      </c>
      <c r="M354" t="s">
        <v>250</v>
      </c>
      <c r="N354" t="s">
        <v>251</v>
      </c>
      <c r="O354" t="s">
        <v>215</v>
      </c>
      <c r="P354" t="s">
        <v>216</v>
      </c>
      <c r="Q354" t="s">
        <v>217</v>
      </c>
      <c r="R354" t="s">
        <v>218</v>
      </c>
      <c r="S354" t="s">
        <v>220</v>
      </c>
    </row>
    <row r="355" spans="1:19" x14ac:dyDescent="0.35">
      <c r="A355" t="s">
        <v>73</v>
      </c>
      <c r="B355" t="s">
        <v>20</v>
      </c>
      <c r="C355" t="s">
        <v>38</v>
      </c>
      <c r="D355" t="s">
        <v>14</v>
      </c>
      <c r="E355" t="s">
        <v>15</v>
      </c>
      <c r="F355" t="s">
        <v>39</v>
      </c>
      <c r="G355" t="s">
        <v>24</v>
      </c>
      <c r="H355" t="s">
        <v>209</v>
      </c>
      <c r="I355" t="s">
        <v>238</v>
      </c>
      <c r="J355" t="s">
        <v>54</v>
      </c>
      <c r="K355" t="s">
        <v>211</v>
      </c>
      <c r="L355" t="s">
        <v>209</v>
      </c>
      <c r="M355" t="s">
        <v>211</v>
      </c>
      <c r="N355" t="s">
        <v>254</v>
      </c>
      <c r="O355" t="s">
        <v>215</v>
      </c>
      <c r="P355" t="s">
        <v>216</v>
      </c>
      <c r="Q355" t="s">
        <v>217</v>
      </c>
      <c r="R355" t="s">
        <v>218</v>
      </c>
      <c r="S355" t="s">
        <v>265</v>
      </c>
    </row>
    <row r="356" spans="1:19" x14ac:dyDescent="0.35">
      <c r="A356" t="s">
        <v>45</v>
      </c>
      <c r="B356" t="s">
        <v>34</v>
      </c>
      <c r="C356" t="s">
        <v>38</v>
      </c>
      <c r="D356" t="s">
        <v>26</v>
      </c>
      <c r="E356" t="s">
        <v>15</v>
      </c>
      <c r="F356" t="s">
        <v>52</v>
      </c>
      <c r="G356" t="s">
        <v>36</v>
      </c>
      <c r="H356" t="s">
        <v>291</v>
      </c>
      <c r="I356" t="s">
        <v>225</v>
      </c>
      <c r="J356" t="s">
        <v>50</v>
      </c>
      <c r="K356" t="s">
        <v>292</v>
      </c>
      <c r="L356" t="s">
        <v>332</v>
      </c>
      <c r="M356" t="s">
        <v>333</v>
      </c>
      <c r="N356" t="s">
        <v>291</v>
      </c>
      <c r="O356" t="s">
        <v>215</v>
      </c>
      <c r="P356" t="s">
        <v>216</v>
      </c>
      <c r="Q356" t="s">
        <v>217</v>
      </c>
      <c r="R356" t="s">
        <v>218</v>
      </c>
      <c r="S356" t="s">
        <v>244</v>
      </c>
    </row>
    <row r="357" spans="1:19" x14ac:dyDescent="0.35">
      <c r="A357" t="s">
        <v>91</v>
      </c>
      <c r="B357" t="s">
        <v>29</v>
      </c>
      <c r="C357" t="s">
        <v>38</v>
      </c>
      <c r="D357" t="s">
        <v>26</v>
      </c>
      <c r="E357" t="s">
        <v>15</v>
      </c>
      <c r="F357" t="s">
        <v>23</v>
      </c>
      <c r="G357" t="s">
        <v>24</v>
      </c>
      <c r="H357" t="s">
        <v>239</v>
      </c>
      <c r="I357" t="s">
        <v>238</v>
      </c>
      <c r="J357" t="s">
        <v>54</v>
      </c>
      <c r="K357" t="s">
        <v>245</v>
      </c>
      <c r="L357" t="s">
        <v>239</v>
      </c>
      <c r="M357" t="s">
        <v>245</v>
      </c>
      <c r="N357" t="s">
        <v>353</v>
      </c>
      <c r="O357" t="s">
        <v>215</v>
      </c>
      <c r="P357" t="s">
        <v>216</v>
      </c>
      <c r="Q357" t="s">
        <v>217</v>
      </c>
      <c r="R357" t="s">
        <v>218</v>
      </c>
      <c r="S357" t="s">
        <v>220</v>
      </c>
    </row>
    <row r="358" spans="1:19" x14ac:dyDescent="0.35">
      <c r="A358" t="s">
        <v>107</v>
      </c>
      <c r="B358" t="s">
        <v>12</v>
      </c>
      <c r="C358" t="s">
        <v>38</v>
      </c>
      <c r="D358" t="s">
        <v>26</v>
      </c>
      <c r="E358" t="s">
        <v>15</v>
      </c>
      <c r="F358" t="s">
        <v>56</v>
      </c>
      <c r="G358" t="s">
        <v>36</v>
      </c>
      <c r="H358" t="s">
        <v>260</v>
      </c>
      <c r="I358" t="s">
        <v>225</v>
      </c>
      <c r="J358" t="s">
        <v>32</v>
      </c>
      <c r="K358" t="s">
        <v>261</v>
      </c>
      <c r="L358" t="s">
        <v>379</v>
      </c>
      <c r="M358" t="s">
        <v>335</v>
      </c>
      <c r="N358" t="s">
        <v>260</v>
      </c>
      <c r="O358" t="s">
        <v>215</v>
      </c>
      <c r="P358" t="s">
        <v>216</v>
      </c>
      <c r="Q358" t="s">
        <v>217</v>
      </c>
      <c r="R358" t="s">
        <v>218</v>
      </c>
      <c r="S358" t="s">
        <v>244</v>
      </c>
    </row>
    <row r="359" spans="1:19" x14ac:dyDescent="0.35">
      <c r="A359" t="s">
        <v>113</v>
      </c>
      <c r="B359" t="s">
        <v>34</v>
      </c>
      <c r="C359" t="s">
        <v>38</v>
      </c>
      <c r="D359" t="s">
        <v>26</v>
      </c>
      <c r="E359" t="s">
        <v>22</v>
      </c>
      <c r="F359" t="s">
        <v>16</v>
      </c>
      <c r="G359" t="s">
        <v>17</v>
      </c>
      <c r="H359" t="s">
        <v>275</v>
      </c>
      <c r="I359" t="s">
        <v>269</v>
      </c>
      <c r="J359" t="s">
        <v>43</v>
      </c>
      <c r="K359" t="s">
        <v>276</v>
      </c>
      <c r="L359" t="s">
        <v>380</v>
      </c>
      <c r="M359" t="s">
        <v>381</v>
      </c>
      <c r="N359" t="s">
        <v>382</v>
      </c>
      <c r="O359" t="s">
        <v>215</v>
      </c>
      <c r="P359" t="s">
        <v>216</v>
      </c>
      <c r="Q359" t="s">
        <v>217</v>
      </c>
      <c r="R359" t="s">
        <v>218</v>
      </c>
      <c r="S359" t="s">
        <v>244</v>
      </c>
    </row>
    <row r="360" spans="1:19" x14ac:dyDescent="0.35">
      <c r="A360" t="s">
        <v>98</v>
      </c>
      <c r="B360" t="s">
        <v>20</v>
      </c>
      <c r="C360" t="s">
        <v>38</v>
      </c>
      <c r="D360" t="s">
        <v>14</v>
      </c>
      <c r="E360" t="s">
        <v>15</v>
      </c>
      <c r="F360" t="s">
        <v>52</v>
      </c>
      <c r="G360" t="s">
        <v>36</v>
      </c>
      <c r="H360" t="s">
        <v>291</v>
      </c>
      <c r="I360" t="s">
        <v>230</v>
      </c>
      <c r="J360" t="s">
        <v>32</v>
      </c>
      <c r="K360" t="s">
        <v>292</v>
      </c>
      <c r="L360" t="s">
        <v>357</v>
      </c>
      <c r="M360" t="s">
        <v>358</v>
      </c>
      <c r="N360" t="s">
        <v>359</v>
      </c>
      <c r="O360" t="s">
        <v>215</v>
      </c>
      <c r="P360" t="s">
        <v>216</v>
      </c>
      <c r="Q360" t="s">
        <v>217</v>
      </c>
      <c r="R360" t="s">
        <v>218</v>
      </c>
      <c r="S360" t="s">
        <v>220</v>
      </c>
    </row>
    <row r="361" spans="1:19" x14ac:dyDescent="0.35">
      <c r="A361" t="s">
        <v>111</v>
      </c>
      <c r="B361" t="s">
        <v>20</v>
      </c>
      <c r="C361" t="s">
        <v>38</v>
      </c>
      <c r="D361" t="s">
        <v>14</v>
      </c>
      <c r="E361" t="s">
        <v>22</v>
      </c>
      <c r="F361" t="s">
        <v>39</v>
      </c>
      <c r="G361" t="s">
        <v>24</v>
      </c>
      <c r="H361" t="s">
        <v>209</v>
      </c>
      <c r="I361" t="s">
        <v>265</v>
      </c>
      <c r="J361" t="s">
        <v>43</v>
      </c>
      <c r="K361" t="s">
        <v>211</v>
      </c>
      <c r="L361" t="s">
        <v>214</v>
      </c>
      <c r="M361" t="s">
        <v>251</v>
      </c>
      <c r="N361" t="s">
        <v>247</v>
      </c>
      <c r="O361" t="s">
        <v>215</v>
      </c>
      <c r="P361" t="s">
        <v>216</v>
      </c>
      <c r="Q361" t="s">
        <v>217</v>
      </c>
      <c r="R361" t="s">
        <v>218</v>
      </c>
      <c r="S361" t="s">
        <v>238</v>
      </c>
    </row>
    <row r="362" spans="1:19" x14ac:dyDescent="0.35">
      <c r="A362" t="s">
        <v>116</v>
      </c>
      <c r="B362" t="s">
        <v>12</v>
      </c>
      <c r="C362" t="s">
        <v>38</v>
      </c>
      <c r="D362" t="s">
        <v>26</v>
      </c>
      <c r="E362" t="s">
        <v>22</v>
      </c>
      <c r="F362" t="s">
        <v>41</v>
      </c>
      <c r="G362" t="s">
        <v>17</v>
      </c>
      <c r="H362" t="s">
        <v>219</v>
      </c>
      <c r="I362" t="s">
        <v>210</v>
      </c>
      <c r="J362" t="s">
        <v>54</v>
      </c>
      <c r="K362" t="s">
        <v>221</v>
      </c>
      <c r="L362" t="s">
        <v>278</v>
      </c>
      <c r="M362" t="s">
        <v>279</v>
      </c>
      <c r="N362" t="s">
        <v>280</v>
      </c>
      <c r="O362" t="s">
        <v>215</v>
      </c>
      <c r="P362" t="s">
        <v>216</v>
      </c>
      <c r="Q362" t="s">
        <v>217</v>
      </c>
      <c r="R362" t="s">
        <v>218</v>
      </c>
      <c r="S362" t="s">
        <v>244</v>
      </c>
    </row>
    <row r="363" spans="1:19" x14ac:dyDescent="0.35">
      <c r="A363" t="s">
        <v>66</v>
      </c>
      <c r="B363" t="s">
        <v>34</v>
      </c>
      <c r="C363" t="s">
        <v>38</v>
      </c>
      <c r="D363" t="s">
        <v>14</v>
      </c>
      <c r="E363" t="s">
        <v>22</v>
      </c>
      <c r="F363" t="s">
        <v>47</v>
      </c>
      <c r="G363" t="s">
        <v>36</v>
      </c>
      <c r="H363" t="s">
        <v>229</v>
      </c>
      <c r="I363" t="s">
        <v>240</v>
      </c>
      <c r="J363" t="s">
        <v>43</v>
      </c>
      <c r="K363" t="s">
        <v>231</v>
      </c>
      <c r="L363" t="s">
        <v>301</v>
      </c>
      <c r="M363" t="s">
        <v>302</v>
      </c>
      <c r="N363" t="s">
        <v>209</v>
      </c>
      <c r="O363" t="s">
        <v>215</v>
      </c>
      <c r="P363" t="s">
        <v>216</v>
      </c>
      <c r="Q363" t="s">
        <v>217</v>
      </c>
      <c r="R363" t="s">
        <v>218</v>
      </c>
      <c r="S363" t="s">
        <v>244</v>
      </c>
    </row>
    <row r="364" spans="1:19" x14ac:dyDescent="0.35">
      <c r="A364" t="s">
        <v>60</v>
      </c>
      <c r="B364" t="s">
        <v>12</v>
      </c>
      <c r="C364" t="s">
        <v>38</v>
      </c>
      <c r="D364" t="s">
        <v>14</v>
      </c>
      <c r="E364" t="s">
        <v>22</v>
      </c>
      <c r="F364" t="s">
        <v>23</v>
      </c>
      <c r="G364" t="s">
        <v>24</v>
      </c>
      <c r="H364" t="s">
        <v>239</v>
      </c>
      <c r="I364" t="s">
        <v>244</v>
      </c>
      <c r="J364" t="s">
        <v>43</v>
      </c>
      <c r="K364" t="s">
        <v>245</v>
      </c>
      <c r="L364" t="s">
        <v>246</v>
      </c>
      <c r="M364" t="s">
        <v>247</v>
      </c>
      <c r="N364" t="s">
        <v>248</v>
      </c>
      <c r="O364" t="s">
        <v>215</v>
      </c>
      <c r="P364" t="s">
        <v>216</v>
      </c>
      <c r="Q364" t="s">
        <v>217</v>
      </c>
      <c r="R364" t="s">
        <v>218</v>
      </c>
      <c r="S364" t="s">
        <v>244</v>
      </c>
    </row>
    <row r="365" spans="1:19" x14ac:dyDescent="0.35">
      <c r="A365" t="s">
        <v>106</v>
      </c>
      <c r="B365" t="s">
        <v>20</v>
      </c>
      <c r="C365" t="s">
        <v>38</v>
      </c>
      <c r="D365" t="s">
        <v>14</v>
      </c>
      <c r="E365" t="s">
        <v>22</v>
      </c>
      <c r="F365" t="s">
        <v>16</v>
      </c>
      <c r="G365" t="s">
        <v>17</v>
      </c>
      <c r="H365" t="s">
        <v>275</v>
      </c>
      <c r="I365" t="s">
        <v>220</v>
      </c>
      <c r="J365" t="s">
        <v>27</v>
      </c>
      <c r="K365" t="s">
        <v>276</v>
      </c>
      <c r="L365" t="s">
        <v>337</v>
      </c>
      <c r="M365" t="s">
        <v>338</v>
      </c>
      <c r="N365" t="s">
        <v>276</v>
      </c>
      <c r="O365" t="s">
        <v>215</v>
      </c>
      <c r="P365" t="s">
        <v>216</v>
      </c>
      <c r="Q365" t="s">
        <v>217</v>
      </c>
      <c r="R365" t="s">
        <v>218</v>
      </c>
      <c r="S365" t="s">
        <v>220</v>
      </c>
    </row>
    <row r="366" spans="1:19" x14ac:dyDescent="0.35">
      <c r="A366" t="s">
        <v>105</v>
      </c>
      <c r="B366" t="s">
        <v>20</v>
      </c>
      <c r="C366" t="s">
        <v>38</v>
      </c>
      <c r="D366" t="s">
        <v>26</v>
      </c>
      <c r="E366" t="s">
        <v>15</v>
      </c>
      <c r="F366" t="s">
        <v>39</v>
      </c>
      <c r="G366" t="s">
        <v>24</v>
      </c>
      <c r="H366" t="s">
        <v>209</v>
      </c>
      <c r="I366" t="s">
        <v>238</v>
      </c>
      <c r="J366" t="s">
        <v>43</v>
      </c>
      <c r="K366" t="s">
        <v>211</v>
      </c>
      <c r="L366" t="s">
        <v>209</v>
      </c>
      <c r="M366" t="s">
        <v>211</v>
      </c>
      <c r="N366" t="s">
        <v>254</v>
      </c>
      <c r="O366" t="s">
        <v>215</v>
      </c>
      <c r="P366" t="s">
        <v>216</v>
      </c>
      <c r="Q366" t="s">
        <v>217</v>
      </c>
      <c r="R366" t="s">
        <v>218</v>
      </c>
      <c r="S366" t="s">
        <v>244</v>
      </c>
    </row>
    <row r="367" spans="1:19" x14ac:dyDescent="0.35">
      <c r="A367" t="s">
        <v>46</v>
      </c>
      <c r="B367" t="s">
        <v>29</v>
      </c>
      <c r="C367" t="s">
        <v>38</v>
      </c>
      <c r="D367" t="s">
        <v>14</v>
      </c>
      <c r="E367" t="s">
        <v>15</v>
      </c>
      <c r="F367" t="s">
        <v>47</v>
      </c>
      <c r="G367" t="s">
        <v>36</v>
      </c>
      <c r="H367" t="s">
        <v>229</v>
      </c>
      <c r="I367" t="s">
        <v>244</v>
      </c>
      <c r="J367" t="s">
        <v>43</v>
      </c>
      <c r="K367" t="s">
        <v>231</v>
      </c>
      <c r="L367" t="s">
        <v>312</v>
      </c>
      <c r="M367" t="s">
        <v>214</v>
      </c>
      <c r="N367" t="s">
        <v>246</v>
      </c>
      <c r="O367" t="s">
        <v>215</v>
      </c>
      <c r="P367" t="s">
        <v>216</v>
      </c>
      <c r="Q367" t="s">
        <v>217</v>
      </c>
      <c r="R367" t="s">
        <v>218</v>
      </c>
      <c r="S367" t="s">
        <v>238</v>
      </c>
    </row>
    <row r="368" spans="1:19" x14ac:dyDescent="0.35">
      <c r="A368" t="s">
        <v>76</v>
      </c>
      <c r="B368" t="s">
        <v>20</v>
      </c>
      <c r="C368" t="s">
        <v>38</v>
      </c>
      <c r="D368" t="s">
        <v>26</v>
      </c>
      <c r="E368" t="s">
        <v>15</v>
      </c>
      <c r="F368" t="s">
        <v>31</v>
      </c>
      <c r="G368" t="s">
        <v>24</v>
      </c>
      <c r="H368" t="s">
        <v>252</v>
      </c>
      <c r="I368" t="s">
        <v>249</v>
      </c>
      <c r="J368" t="s">
        <v>27</v>
      </c>
      <c r="K368" t="s">
        <v>253</v>
      </c>
      <c r="L368" t="s">
        <v>297</v>
      </c>
      <c r="M368" t="s">
        <v>243</v>
      </c>
      <c r="N368" t="s">
        <v>311</v>
      </c>
      <c r="O368" t="s">
        <v>215</v>
      </c>
      <c r="P368" t="s">
        <v>216</v>
      </c>
      <c r="Q368" t="s">
        <v>217</v>
      </c>
      <c r="R368" t="s">
        <v>218</v>
      </c>
      <c r="S368" t="s">
        <v>265</v>
      </c>
    </row>
    <row r="369" spans="1:19" x14ac:dyDescent="0.35">
      <c r="A369" t="s">
        <v>61</v>
      </c>
      <c r="B369" t="s">
        <v>34</v>
      </c>
      <c r="C369" t="s">
        <v>38</v>
      </c>
      <c r="D369" t="s">
        <v>26</v>
      </c>
      <c r="E369" t="s">
        <v>15</v>
      </c>
      <c r="F369" t="s">
        <v>41</v>
      </c>
      <c r="G369" t="s">
        <v>17</v>
      </c>
      <c r="H369" t="s">
        <v>219</v>
      </c>
      <c r="I369" t="s">
        <v>220</v>
      </c>
      <c r="J369" t="s">
        <v>54</v>
      </c>
      <c r="K369" t="s">
        <v>221</v>
      </c>
      <c r="L369" t="s">
        <v>222</v>
      </c>
      <c r="M369" t="s">
        <v>223</v>
      </c>
      <c r="N369" t="s">
        <v>221</v>
      </c>
      <c r="O369" t="s">
        <v>215</v>
      </c>
      <c r="P369" t="s">
        <v>216</v>
      </c>
      <c r="Q369" t="s">
        <v>217</v>
      </c>
      <c r="R369" t="s">
        <v>218</v>
      </c>
      <c r="S369" t="s">
        <v>225</v>
      </c>
    </row>
    <row r="370" spans="1:19" x14ac:dyDescent="0.35">
      <c r="A370" t="s">
        <v>111</v>
      </c>
      <c r="B370" t="s">
        <v>34</v>
      </c>
      <c r="C370" t="s">
        <v>38</v>
      </c>
      <c r="D370" t="s">
        <v>14</v>
      </c>
      <c r="E370" t="s">
        <v>22</v>
      </c>
      <c r="F370" t="s">
        <v>47</v>
      </c>
      <c r="G370" t="s">
        <v>36</v>
      </c>
      <c r="H370" t="s">
        <v>229</v>
      </c>
      <c r="I370" t="s">
        <v>210</v>
      </c>
      <c r="J370" t="s">
        <v>18</v>
      </c>
      <c r="K370" t="s">
        <v>231</v>
      </c>
      <c r="L370" t="s">
        <v>227</v>
      </c>
      <c r="M370" t="s">
        <v>228</v>
      </c>
      <c r="N370" t="s">
        <v>224</v>
      </c>
      <c r="O370" t="s">
        <v>215</v>
      </c>
      <c r="P370" t="s">
        <v>216</v>
      </c>
      <c r="Q370" t="s">
        <v>217</v>
      </c>
      <c r="R370" t="s">
        <v>218</v>
      </c>
      <c r="S370" t="s">
        <v>238</v>
      </c>
    </row>
    <row r="371" spans="1:19" x14ac:dyDescent="0.35">
      <c r="A371" t="s">
        <v>49</v>
      </c>
      <c r="B371" t="s">
        <v>12</v>
      </c>
      <c r="C371" t="s">
        <v>38</v>
      </c>
      <c r="D371" t="s">
        <v>14</v>
      </c>
      <c r="E371" t="s">
        <v>22</v>
      </c>
      <c r="F371" t="s">
        <v>39</v>
      </c>
      <c r="G371" t="s">
        <v>24</v>
      </c>
      <c r="H371" t="s">
        <v>209</v>
      </c>
      <c r="I371" t="s">
        <v>210</v>
      </c>
      <c r="J371" t="s">
        <v>43</v>
      </c>
      <c r="K371" t="s">
        <v>211</v>
      </c>
      <c r="L371" t="s">
        <v>212</v>
      </c>
      <c r="M371" t="s">
        <v>213</v>
      </c>
      <c r="N371" t="s">
        <v>214</v>
      </c>
      <c r="O371" t="s">
        <v>215</v>
      </c>
      <c r="P371" t="s">
        <v>216</v>
      </c>
      <c r="Q371" t="s">
        <v>217</v>
      </c>
      <c r="R371" t="s">
        <v>218</v>
      </c>
      <c r="S371" t="s">
        <v>220</v>
      </c>
    </row>
    <row r="372" spans="1:19" x14ac:dyDescent="0.35">
      <c r="A372" t="s">
        <v>161</v>
      </c>
      <c r="B372" t="s">
        <v>34</v>
      </c>
      <c r="C372" t="s">
        <v>38</v>
      </c>
      <c r="D372" t="s">
        <v>26</v>
      </c>
      <c r="E372" t="s">
        <v>22</v>
      </c>
      <c r="F372" t="s">
        <v>35</v>
      </c>
      <c r="G372" t="s">
        <v>36</v>
      </c>
      <c r="H372" t="s">
        <v>224</v>
      </c>
      <c r="I372" t="s">
        <v>265</v>
      </c>
      <c r="J372" t="s">
        <v>18</v>
      </c>
      <c r="K372" t="s">
        <v>226</v>
      </c>
      <c r="L372" t="s">
        <v>289</v>
      </c>
      <c r="M372" t="s">
        <v>297</v>
      </c>
      <c r="N372" t="s">
        <v>231</v>
      </c>
      <c r="O372" t="s">
        <v>215</v>
      </c>
      <c r="P372" t="s">
        <v>216</v>
      </c>
      <c r="Q372" t="s">
        <v>217</v>
      </c>
      <c r="R372" t="s">
        <v>218</v>
      </c>
      <c r="S372" t="s">
        <v>238</v>
      </c>
    </row>
    <row r="373" spans="1:19" x14ac:dyDescent="0.35">
      <c r="A373" t="s">
        <v>72</v>
      </c>
      <c r="B373" t="s">
        <v>34</v>
      </c>
      <c r="C373" t="s">
        <v>38</v>
      </c>
      <c r="D373" t="s">
        <v>26</v>
      </c>
      <c r="E373" t="s">
        <v>15</v>
      </c>
      <c r="F373" t="s">
        <v>39</v>
      </c>
      <c r="G373" t="s">
        <v>24</v>
      </c>
      <c r="H373" t="s">
        <v>209</v>
      </c>
      <c r="I373" t="s">
        <v>230</v>
      </c>
      <c r="J373" t="s">
        <v>54</v>
      </c>
      <c r="K373" t="s">
        <v>211</v>
      </c>
      <c r="L373" t="s">
        <v>317</v>
      </c>
      <c r="M373" t="s">
        <v>318</v>
      </c>
      <c r="N373" t="s">
        <v>319</v>
      </c>
      <c r="O373" t="s">
        <v>215</v>
      </c>
      <c r="P373" t="s">
        <v>216</v>
      </c>
      <c r="Q373" t="s">
        <v>217</v>
      </c>
      <c r="R373" t="s">
        <v>218</v>
      </c>
      <c r="S373" t="s">
        <v>244</v>
      </c>
    </row>
    <row r="374" spans="1:19" x14ac:dyDescent="0.35">
      <c r="A374" t="s">
        <v>11</v>
      </c>
      <c r="B374" t="s">
        <v>12</v>
      </c>
      <c r="C374" t="s">
        <v>38</v>
      </c>
      <c r="D374" t="s">
        <v>14</v>
      </c>
      <c r="E374" t="s">
        <v>22</v>
      </c>
      <c r="F374" t="s">
        <v>39</v>
      </c>
      <c r="G374" t="s">
        <v>24</v>
      </c>
      <c r="H374" t="s">
        <v>209</v>
      </c>
      <c r="I374" t="s">
        <v>249</v>
      </c>
      <c r="J374" t="s">
        <v>54</v>
      </c>
      <c r="K374" t="s">
        <v>211</v>
      </c>
      <c r="L374" t="s">
        <v>213</v>
      </c>
      <c r="M374" t="s">
        <v>250</v>
      </c>
      <c r="N374" t="s">
        <v>251</v>
      </c>
      <c r="O374" t="s">
        <v>215</v>
      </c>
      <c r="P374" t="s">
        <v>216</v>
      </c>
      <c r="Q374" t="s">
        <v>217</v>
      </c>
      <c r="R374" t="s">
        <v>218</v>
      </c>
      <c r="S374" t="s">
        <v>238</v>
      </c>
    </row>
    <row r="375" spans="1:19" x14ac:dyDescent="0.35">
      <c r="A375" t="s">
        <v>126</v>
      </c>
      <c r="B375" t="s">
        <v>20</v>
      </c>
      <c r="C375" t="s">
        <v>38</v>
      </c>
      <c r="D375" t="s">
        <v>14</v>
      </c>
      <c r="E375" t="s">
        <v>22</v>
      </c>
      <c r="F375" t="s">
        <v>41</v>
      </c>
      <c r="G375" t="s">
        <v>17</v>
      </c>
      <c r="H375" t="s">
        <v>219</v>
      </c>
      <c r="I375" t="s">
        <v>225</v>
      </c>
      <c r="J375" t="s">
        <v>27</v>
      </c>
      <c r="K375" t="s">
        <v>221</v>
      </c>
      <c r="L375" t="s">
        <v>263</v>
      </c>
      <c r="M375" t="s">
        <v>222</v>
      </c>
      <c r="N375" t="s">
        <v>219</v>
      </c>
      <c r="O375" t="s">
        <v>215</v>
      </c>
      <c r="P375" t="s">
        <v>216</v>
      </c>
      <c r="Q375" t="s">
        <v>217</v>
      </c>
      <c r="R375" t="s">
        <v>218</v>
      </c>
      <c r="S375" t="s">
        <v>244</v>
      </c>
    </row>
    <row r="376" spans="1:19" x14ac:dyDescent="0.35">
      <c r="A376" t="s">
        <v>37</v>
      </c>
      <c r="B376" t="s">
        <v>12</v>
      </c>
      <c r="C376" t="s">
        <v>38</v>
      </c>
      <c r="D376" t="s">
        <v>14</v>
      </c>
      <c r="E376" t="s">
        <v>15</v>
      </c>
      <c r="F376" t="s">
        <v>56</v>
      </c>
      <c r="G376" t="s">
        <v>36</v>
      </c>
      <c r="H376" t="s">
        <v>260</v>
      </c>
      <c r="I376" t="s">
        <v>230</v>
      </c>
      <c r="J376" t="s">
        <v>27</v>
      </c>
      <c r="K376" t="s">
        <v>261</v>
      </c>
      <c r="L376" t="s">
        <v>368</v>
      </c>
      <c r="M376" t="s">
        <v>369</v>
      </c>
      <c r="N376" t="s">
        <v>370</v>
      </c>
      <c r="O376" t="s">
        <v>215</v>
      </c>
      <c r="P376" t="s">
        <v>216</v>
      </c>
      <c r="Q376" t="s">
        <v>217</v>
      </c>
      <c r="R376" t="s">
        <v>218</v>
      </c>
      <c r="S376" t="s">
        <v>244</v>
      </c>
    </row>
    <row r="377" spans="1:19" x14ac:dyDescent="0.35">
      <c r="A377" t="s">
        <v>80</v>
      </c>
      <c r="B377" t="s">
        <v>20</v>
      </c>
      <c r="C377" t="s">
        <v>38</v>
      </c>
      <c r="D377" t="s">
        <v>14</v>
      </c>
      <c r="E377" t="s">
        <v>15</v>
      </c>
      <c r="F377" t="s">
        <v>47</v>
      </c>
      <c r="G377" t="s">
        <v>36</v>
      </c>
      <c r="H377" t="s">
        <v>229</v>
      </c>
      <c r="I377" t="s">
        <v>244</v>
      </c>
      <c r="J377" t="s">
        <v>32</v>
      </c>
      <c r="K377" t="s">
        <v>231</v>
      </c>
      <c r="L377" t="s">
        <v>312</v>
      </c>
      <c r="M377" t="s">
        <v>214</v>
      </c>
      <c r="N377" t="s">
        <v>246</v>
      </c>
      <c r="O377" t="s">
        <v>215</v>
      </c>
      <c r="P377" t="s">
        <v>216</v>
      </c>
      <c r="Q377" t="s">
        <v>217</v>
      </c>
      <c r="R377" t="s">
        <v>218</v>
      </c>
      <c r="S377" t="s">
        <v>265</v>
      </c>
    </row>
    <row r="378" spans="1:19" x14ac:dyDescent="0.35">
      <c r="A378" t="s">
        <v>113</v>
      </c>
      <c r="B378" t="s">
        <v>34</v>
      </c>
      <c r="C378" t="s">
        <v>38</v>
      </c>
      <c r="D378" t="s">
        <v>26</v>
      </c>
      <c r="E378" t="s">
        <v>15</v>
      </c>
      <c r="F378" t="s">
        <v>35</v>
      </c>
      <c r="G378" t="s">
        <v>36</v>
      </c>
      <c r="H378" t="s">
        <v>224</v>
      </c>
      <c r="I378" t="s">
        <v>269</v>
      </c>
      <c r="J378" t="s">
        <v>43</v>
      </c>
      <c r="K378" t="s">
        <v>226</v>
      </c>
      <c r="L378" t="s">
        <v>270</v>
      </c>
      <c r="M378" t="s">
        <v>271</v>
      </c>
      <c r="N378" t="s">
        <v>272</v>
      </c>
      <c r="O378" t="s">
        <v>215</v>
      </c>
      <c r="P378" t="s">
        <v>216</v>
      </c>
      <c r="Q378" t="s">
        <v>217</v>
      </c>
      <c r="R378" t="s">
        <v>218</v>
      </c>
      <c r="S378" t="s">
        <v>244</v>
      </c>
    </row>
    <row r="379" spans="1:19" x14ac:dyDescent="0.35">
      <c r="A379" t="s">
        <v>143</v>
      </c>
      <c r="B379" t="s">
        <v>12</v>
      </c>
      <c r="C379" t="s">
        <v>38</v>
      </c>
      <c r="D379" t="s">
        <v>14</v>
      </c>
      <c r="E379" t="s">
        <v>15</v>
      </c>
      <c r="F379" t="s">
        <v>52</v>
      </c>
      <c r="G379" t="s">
        <v>36</v>
      </c>
      <c r="H379" t="s">
        <v>291</v>
      </c>
      <c r="I379" t="s">
        <v>238</v>
      </c>
      <c r="J379" t="s">
        <v>50</v>
      </c>
      <c r="K379" t="s">
        <v>292</v>
      </c>
      <c r="L379" t="s">
        <v>291</v>
      </c>
      <c r="M379" t="s">
        <v>292</v>
      </c>
      <c r="N379" t="s">
        <v>343</v>
      </c>
      <c r="O379" t="s">
        <v>215</v>
      </c>
      <c r="P379" t="s">
        <v>216</v>
      </c>
      <c r="Q379" t="s">
        <v>217</v>
      </c>
      <c r="R379" t="s">
        <v>218</v>
      </c>
      <c r="S379" t="s">
        <v>238</v>
      </c>
    </row>
    <row r="380" spans="1:19" x14ac:dyDescent="0.35">
      <c r="A380" t="s">
        <v>90</v>
      </c>
      <c r="B380" t="s">
        <v>29</v>
      </c>
      <c r="C380" t="s">
        <v>38</v>
      </c>
      <c r="D380" t="s">
        <v>14</v>
      </c>
      <c r="E380" t="s">
        <v>22</v>
      </c>
      <c r="F380" t="s">
        <v>58</v>
      </c>
      <c r="G380" t="s">
        <v>24</v>
      </c>
      <c r="H380" t="s">
        <v>255</v>
      </c>
      <c r="I380" t="s">
        <v>240</v>
      </c>
      <c r="J380" t="s">
        <v>43</v>
      </c>
      <c r="K380" t="s">
        <v>256</v>
      </c>
      <c r="L380" t="s">
        <v>305</v>
      </c>
      <c r="M380" t="s">
        <v>306</v>
      </c>
      <c r="N380" t="s">
        <v>307</v>
      </c>
      <c r="O380" t="s">
        <v>215</v>
      </c>
      <c r="P380" t="s">
        <v>216</v>
      </c>
      <c r="Q380" t="s">
        <v>217</v>
      </c>
      <c r="R380" t="s">
        <v>218</v>
      </c>
      <c r="S380" t="s">
        <v>244</v>
      </c>
    </row>
    <row r="381" spans="1:19" x14ac:dyDescent="0.35">
      <c r="A381" t="s">
        <v>66</v>
      </c>
      <c r="B381" t="s">
        <v>29</v>
      </c>
      <c r="C381" t="s">
        <v>38</v>
      </c>
      <c r="D381" t="s">
        <v>14</v>
      </c>
      <c r="E381" t="s">
        <v>15</v>
      </c>
      <c r="F381" t="s">
        <v>58</v>
      </c>
      <c r="G381" t="s">
        <v>24</v>
      </c>
      <c r="H381" t="s">
        <v>255</v>
      </c>
      <c r="I381" t="s">
        <v>249</v>
      </c>
      <c r="J381" t="s">
        <v>27</v>
      </c>
      <c r="K381" t="s">
        <v>256</v>
      </c>
      <c r="L381" t="s">
        <v>286</v>
      </c>
      <c r="M381" t="s">
        <v>295</v>
      </c>
      <c r="N381" t="s">
        <v>296</v>
      </c>
      <c r="O381" t="s">
        <v>215</v>
      </c>
      <c r="P381" t="s">
        <v>216</v>
      </c>
      <c r="Q381" t="s">
        <v>217</v>
      </c>
      <c r="R381" t="s">
        <v>218</v>
      </c>
      <c r="S381" t="s">
        <v>244</v>
      </c>
    </row>
    <row r="382" spans="1:19" x14ac:dyDescent="0.35">
      <c r="A382" t="s">
        <v>123</v>
      </c>
      <c r="B382" t="s">
        <v>34</v>
      </c>
      <c r="C382" t="s">
        <v>38</v>
      </c>
      <c r="D382" t="s">
        <v>14</v>
      </c>
      <c r="E382" t="s">
        <v>15</v>
      </c>
      <c r="F382" t="s">
        <v>47</v>
      </c>
      <c r="G382" t="s">
        <v>36</v>
      </c>
      <c r="H382" t="s">
        <v>229</v>
      </c>
      <c r="I382" t="s">
        <v>238</v>
      </c>
      <c r="J382" t="s">
        <v>43</v>
      </c>
      <c r="K382" t="s">
        <v>231</v>
      </c>
      <c r="L382" t="s">
        <v>229</v>
      </c>
      <c r="M382" t="s">
        <v>231</v>
      </c>
      <c r="N382" t="s">
        <v>239</v>
      </c>
      <c r="O382" t="s">
        <v>215</v>
      </c>
      <c r="P382" t="s">
        <v>216</v>
      </c>
      <c r="Q382" t="s">
        <v>217</v>
      </c>
      <c r="R382" t="s">
        <v>218</v>
      </c>
      <c r="S382" t="s">
        <v>220</v>
      </c>
    </row>
    <row r="383" spans="1:19" x14ac:dyDescent="0.35">
      <c r="A383" t="s">
        <v>124</v>
      </c>
      <c r="B383" t="s">
        <v>34</v>
      </c>
      <c r="C383" t="s">
        <v>38</v>
      </c>
      <c r="D383" t="s">
        <v>14</v>
      </c>
      <c r="E383" t="s">
        <v>22</v>
      </c>
      <c r="F383" t="s">
        <v>58</v>
      </c>
      <c r="G383" t="s">
        <v>24</v>
      </c>
      <c r="H383" t="s">
        <v>255</v>
      </c>
      <c r="I383" t="s">
        <v>240</v>
      </c>
      <c r="J383" t="s">
        <v>32</v>
      </c>
      <c r="K383" t="s">
        <v>256</v>
      </c>
      <c r="L383" t="s">
        <v>305</v>
      </c>
      <c r="M383" t="s">
        <v>306</v>
      </c>
      <c r="N383" t="s">
        <v>307</v>
      </c>
      <c r="O383" t="s">
        <v>215</v>
      </c>
      <c r="P383" t="s">
        <v>216</v>
      </c>
      <c r="Q383" t="s">
        <v>217</v>
      </c>
      <c r="R383" t="s">
        <v>218</v>
      </c>
      <c r="S383" t="s">
        <v>238</v>
      </c>
    </row>
    <row r="384" spans="1:19" x14ac:dyDescent="0.35">
      <c r="A384" t="s">
        <v>115</v>
      </c>
      <c r="B384" t="s">
        <v>12</v>
      </c>
      <c r="C384" t="s">
        <v>38</v>
      </c>
      <c r="D384" t="s">
        <v>26</v>
      </c>
      <c r="E384" t="s">
        <v>15</v>
      </c>
      <c r="F384" t="s">
        <v>47</v>
      </c>
      <c r="G384" t="s">
        <v>36</v>
      </c>
      <c r="H384" t="s">
        <v>229</v>
      </c>
      <c r="I384" t="s">
        <v>220</v>
      </c>
      <c r="J384" t="s">
        <v>27</v>
      </c>
      <c r="K384" t="s">
        <v>231</v>
      </c>
      <c r="L384" t="s">
        <v>289</v>
      </c>
      <c r="M384" t="s">
        <v>297</v>
      </c>
      <c r="N384" t="s">
        <v>231</v>
      </c>
      <c r="O384" t="s">
        <v>215</v>
      </c>
      <c r="P384" t="s">
        <v>216</v>
      </c>
      <c r="Q384" t="s">
        <v>217</v>
      </c>
      <c r="R384" t="s">
        <v>218</v>
      </c>
      <c r="S384" t="s">
        <v>238</v>
      </c>
    </row>
    <row r="385" spans="1:19" x14ac:dyDescent="0.35">
      <c r="A385" t="s">
        <v>154</v>
      </c>
      <c r="B385" t="s">
        <v>29</v>
      </c>
      <c r="C385" t="s">
        <v>38</v>
      </c>
      <c r="D385" t="s">
        <v>14</v>
      </c>
      <c r="E385" t="s">
        <v>22</v>
      </c>
      <c r="F385" t="s">
        <v>58</v>
      </c>
      <c r="G385" t="s">
        <v>24</v>
      </c>
      <c r="H385" t="s">
        <v>255</v>
      </c>
      <c r="I385" t="s">
        <v>230</v>
      </c>
      <c r="J385" t="s">
        <v>18</v>
      </c>
      <c r="K385" t="s">
        <v>256</v>
      </c>
      <c r="L385" t="s">
        <v>354</v>
      </c>
      <c r="M385" t="s">
        <v>355</v>
      </c>
      <c r="N385" t="s">
        <v>356</v>
      </c>
      <c r="O385" t="s">
        <v>215</v>
      </c>
      <c r="P385" t="s">
        <v>216</v>
      </c>
      <c r="Q385" t="s">
        <v>217</v>
      </c>
      <c r="R385" t="s">
        <v>218</v>
      </c>
      <c r="S385" t="s">
        <v>265</v>
      </c>
    </row>
    <row r="386" spans="1:19" x14ac:dyDescent="0.35">
      <c r="A386" t="s">
        <v>124</v>
      </c>
      <c r="B386" t="s">
        <v>12</v>
      </c>
      <c r="C386" t="s">
        <v>38</v>
      </c>
      <c r="D386" t="s">
        <v>26</v>
      </c>
      <c r="E386" t="s">
        <v>22</v>
      </c>
      <c r="F386" t="s">
        <v>58</v>
      </c>
      <c r="G386" t="s">
        <v>24</v>
      </c>
      <c r="H386" t="s">
        <v>255</v>
      </c>
      <c r="I386" t="s">
        <v>249</v>
      </c>
      <c r="J386" t="s">
        <v>50</v>
      </c>
      <c r="K386" t="s">
        <v>256</v>
      </c>
      <c r="L386" t="s">
        <v>286</v>
      </c>
      <c r="M386" t="s">
        <v>295</v>
      </c>
      <c r="N386" t="s">
        <v>296</v>
      </c>
      <c r="O386" t="s">
        <v>215</v>
      </c>
      <c r="P386" t="s">
        <v>216</v>
      </c>
      <c r="Q386" t="s">
        <v>217</v>
      </c>
      <c r="R386" t="s">
        <v>218</v>
      </c>
      <c r="S386" t="s">
        <v>238</v>
      </c>
    </row>
    <row r="387" spans="1:19" x14ac:dyDescent="0.35">
      <c r="A387" t="s">
        <v>160</v>
      </c>
      <c r="B387" t="s">
        <v>29</v>
      </c>
      <c r="C387" t="s">
        <v>38</v>
      </c>
      <c r="D387" t="s">
        <v>26</v>
      </c>
      <c r="E387" t="s">
        <v>22</v>
      </c>
      <c r="F387" t="s">
        <v>52</v>
      </c>
      <c r="G387" t="s">
        <v>36</v>
      </c>
      <c r="H387" t="s">
        <v>291</v>
      </c>
      <c r="I387" t="s">
        <v>240</v>
      </c>
      <c r="J387" t="s">
        <v>50</v>
      </c>
      <c r="K387" t="s">
        <v>292</v>
      </c>
      <c r="L387" t="s">
        <v>349</v>
      </c>
      <c r="M387" t="s">
        <v>350</v>
      </c>
      <c r="N387" t="s">
        <v>351</v>
      </c>
      <c r="O387" t="s">
        <v>215</v>
      </c>
      <c r="P387" t="s">
        <v>216</v>
      </c>
      <c r="Q387" t="s">
        <v>217</v>
      </c>
      <c r="R387" t="s">
        <v>218</v>
      </c>
      <c r="S387" t="s">
        <v>238</v>
      </c>
    </row>
    <row r="388" spans="1:19" x14ac:dyDescent="0.35">
      <c r="A388" t="s">
        <v>138</v>
      </c>
      <c r="B388" t="s">
        <v>29</v>
      </c>
      <c r="C388" t="s">
        <v>38</v>
      </c>
      <c r="D388" t="s">
        <v>14</v>
      </c>
      <c r="E388" t="s">
        <v>22</v>
      </c>
      <c r="F388" t="s">
        <v>16</v>
      </c>
      <c r="G388" t="s">
        <v>17</v>
      </c>
      <c r="H388" t="s">
        <v>275</v>
      </c>
      <c r="I388" t="s">
        <v>230</v>
      </c>
      <c r="J388" t="s">
        <v>43</v>
      </c>
      <c r="K388" t="s">
        <v>276</v>
      </c>
      <c r="L388" t="s">
        <v>374</v>
      </c>
      <c r="M388" t="s">
        <v>375</v>
      </c>
      <c r="N388" t="s">
        <v>376</v>
      </c>
      <c r="O388" t="s">
        <v>215</v>
      </c>
      <c r="P388" t="s">
        <v>216</v>
      </c>
      <c r="Q388" t="s">
        <v>217</v>
      </c>
      <c r="R388" t="s">
        <v>218</v>
      </c>
      <c r="S388" t="s">
        <v>244</v>
      </c>
    </row>
    <row r="389" spans="1:19" x14ac:dyDescent="0.35">
      <c r="A389" t="s">
        <v>60</v>
      </c>
      <c r="B389" t="s">
        <v>20</v>
      </c>
      <c r="C389" t="s">
        <v>38</v>
      </c>
      <c r="D389" t="s">
        <v>14</v>
      </c>
      <c r="E389" t="s">
        <v>22</v>
      </c>
      <c r="F389" t="s">
        <v>23</v>
      </c>
      <c r="G389" t="s">
        <v>24</v>
      </c>
      <c r="H389" t="s">
        <v>239</v>
      </c>
      <c r="I389" t="s">
        <v>269</v>
      </c>
      <c r="J389" t="s">
        <v>32</v>
      </c>
      <c r="K389" t="s">
        <v>245</v>
      </c>
      <c r="L389" t="s">
        <v>309</v>
      </c>
      <c r="M389" t="s">
        <v>268</v>
      </c>
      <c r="N389" t="s">
        <v>310</v>
      </c>
      <c r="O389" t="s">
        <v>215</v>
      </c>
      <c r="P389" t="s">
        <v>216</v>
      </c>
      <c r="Q389" t="s">
        <v>217</v>
      </c>
      <c r="R389" t="s">
        <v>218</v>
      </c>
      <c r="S389" t="s">
        <v>244</v>
      </c>
    </row>
    <row r="390" spans="1:19" x14ac:dyDescent="0.35">
      <c r="A390" t="s">
        <v>90</v>
      </c>
      <c r="B390" t="s">
        <v>12</v>
      </c>
      <c r="C390" t="s">
        <v>38</v>
      </c>
      <c r="D390" t="s">
        <v>14</v>
      </c>
      <c r="E390" t="s">
        <v>22</v>
      </c>
      <c r="F390" t="s">
        <v>41</v>
      </c>
      <c r="G390" t="s">
        <v>17</v>
      </c>
      <c r="H390" t="s">
        <v>219</v>
      </c>
      <c r="I390" t="s">
        <v>244</v>
      </c>
      <c r="J390" t="s">
        <v>32</v>
      </c>
      <c r="K390" t="s">
        <v>221</v>
      </c>
      <c r="L390" t="s">
        <v>290</v>
      </c>
      <c r="M390" t="s">
        <v>298</v>
      </c>
      <c r="N390" t="s">
        <v>284</v>
      </c>
      <c r="O390" t="s">
        <v>215</v>
      </c>
      <c r="P390" t="s">
        <v>216</v>
      </c>
      <c r="Q390" t="s">
        <v>217</v>
      </c>
      <c r="R390" t="s">
        <v>218</v>
      </c>
      <c r="S390" t="s">
        <v>244</v>
      </c>
    </row>
    <row r="391" spans="1:19" x14ac:dyDescent="0.35">
      <c r="A391" t="s">
        <v>95</v>
      </c>
      <c r="B391" t="s">
        <v>20</v>
      </c>
      <c r="C391" t="s">
        <v>38</v>
      </c>
      <c r="D391" t="s">
        <v>14</v>
      </c>
      <c r="E391" t="s">
        <v>15</v>
      </c>
      <c r="F391" t="s">
        <v>52</v>
      </c>
      <c r="G391" t="s">
        <v>36</v>
      </c>
      <c r="H391" t="s">
        <v>291</v>
      </c>
      <c r="I391" t="s">
        <v>220</v>
      </c>
      <c r="J391" t="s">
        <v>54</v>
      </c>
      <c r="K391" t="s">
        <v>292</v>
      </c>
      <c r="L391" t="s">
        <v>333</v>
      </c>
      <c r="M391" t="s">
        <v>345</v>
      </c>
      <c r="N391" t="s">
        <v>292</v>
      </c>
      <c r="O391" t="s">
        <v>215</v>
      </c>
      <c r="P391" t="s">
        <v>216</v>
      </c>
      <c r="Q391" t="s">
        <v>217</v>
      </c>
      <c r="R391" t="s">
        <v>218</v>
      </c>
      <c r="S391" t="s">
        <v>238</v>
      </c>
    </row>
    <row r="392" spans="1:19" x14ac:dyDescent="0.35">
      <c r="A392" t="s">
        <v>106</v>
      </c>
      <c r="B392" t="s">
        <v>12</v>
      </c>
      <c r="C392" t="s">
        <v>38</v>
      </c>
      <c r="D392" t="s">
        <v>14</v>
      </c>
      <c r="E392" t="s">
        <v>22</v>
      </c>
      <c r="F392" t="s">
        <v>58</v>
      </c>
      <c r="G392" t="s">
        <v>24</v>
      </c>
      <c r="H392" t="s">
        <v>255</v>
      </c>
      <c r="I392" t="s">
        <v>220</v>
      </c>
      <c r="J392" t="s">
        <v>54</v>
      </c>
      <c r="K392" t="s">
        <v>256</v>
      </c>
      <c r="L392" t="s">
        <v>303</v>
      </c>
      <c r="M392" t="s">
        <v>304</v>
      </c>
      <c r="N392" t="s">
        <v>256</v>
      </c>
      <c r="O392" t="s">
        <v>215</v>
      </c>
      <c r="P392" t="s">
        <v>216</v>
      </c>
      <c r="Q392" t="s">
        <v>217</v>
      </c>
      <c r="R392" t="s">
        <v>218</v>
      </c>
      <c r="S392" t="s">
        <v>220</v>
      </c>
    </row>
    <row r="393" spans="1:19" x14ac:dyDescent="0.35">
      <c r="A393" t="s">
        <v>122</v>
      </c>
      <c r="B393" t="s">
        <v>29</v>
      </c>
      <c r="C393" t="s">
        <v>38</v>
      </c>
      <c r="D393" t="s">
        <v>14</v>
      </c>
      <c r="E393" t="s">
        <v>22</v>
      </c>
      <c r="F393" t="s">
        <v>16</v>
      </c>
      <c r="G393" t="s">
        <v>17</v>
      </c>
      <c r="H393" t="s">
        <v>275</v>
      </c>
      <c r="I393" t="s">
        <v>249</v>
      </c>
      <c r="J393" t="s">
        <v>27</v>
      </c>
      <c r="K393" t="s">
        <v>276</v>
      </c>
      <c r="L393" t="s">
        <v>315</v>
      </c>
      <c r="M393" t="s">
        <v>322</v>
      </c>
      <c r="N393" t="s">
        <v>323</v>
      </c>
      <c r="O393" t="s">
        <v>215</v>
      </c>
      <c r="P393" t="s">
        <v>216</v>
      </c>
      <c r="Q393" t="s">
        <v>217</v>
      </c>
      <c r="R393" t="s">
        <v>218</v>
      </c>
      <c r="S393" t="s">
        <v>220</v>
      </c>
    </row>
    <row r="394" spans="1:19" x14ac:dyDescent="0.35">
      <c r="A394" t="s">
        <v>118</v>
      </c>
      <c r="B394" t="s">
        <v>20</v>
      </c>
      <c r="C394" t="s">
        <v>38</v>
      </c>
      <c r="D394" t="s">
        <v>26</v>
      </c>
      <c r="E394" t="s">
        <v>22</v>
      </c>
      <c r="F394" t="s">
        <v>58</v>
      </c>
      <c r="G394" t="s">
        <v>24</v>
      </c>
      <c r="H394" t="s">
        <v>255</v>
      </c>
      <c r="I394" t="s">
        <v>265</v>
      </c>
      <c r="J394" t="s">
        <v>18</v>
      </c>
      <c r="K394" t="s">
        <v>256</v>
      </c>
      <c r="L394" t="s">
        <v>287</v>
      </c>
      <c r="M394" t="s">
        <v>296</v>
      </c>
      <c r="N394" t="s">
        <v>341</v>
      </c>
      <c r="O394" t="s">
        <v>215</v>
      </c>
      <c r="P394" t="s">
        <v>216</v>
      </c>
      <c r="Q394" t="s">
        <v>217</v>
      </c>
      <c r="R394" t="s">
        <v>218</v>
      </c>
      <c r="S394" t="s">
        <v>238</v>
      </c>
    </row>
    <row r="395" spans="1:19" x14ac:dyDescent="0.35">
      <c r="A395" t="s">
        <v>96</v>
      </c>
      <c r="B395" t="s">
        <v>29</v>
      </c>
      <c r="C395" t="s">
        <v>38</v>
      </c>
      <c r="D395" t="s">
        <v>14</v>
      </c>
      <c r="E395" t="s">
        <v>15</v>
      </c>
      <c r="F395" t="s">
        <v>56</v>
      </c>
      <c r="G395" t="s">
        <v>36</v>
      </c>
      <c r="H395" t="s">
        <v>260</v>
      </c>
      <c r="I395" t="s">
        <v>240</v>
      </c>
      <c r="J395" t="s">
        <v>27</v>
      </c>
      <c r="K395" t="s">
        <v>261</v>
      </c>
      <c r="L395" t="s">
        <v>227</v>
      </c>
      <c r="M395" t="s">
        <v>228</v>
      </c>
      <c r="N395" t="s">
        <v>224</v>
      </c>
      <c r="O395" t="s">
        <v>215</v>
      </c>
      <c r="P395" t="s">
        <v>216</v>
      </c>
      <c r="Q395" t="s">
        <v>217</v>
      </c>
      <c r="R395" t="s">
        <v>218</v>
      </c>
      <c r="S395" t="s">
        <v>265</v>
      </c>
    </row>
    <row r="396" spans="1:19" x14ac:dyDescent="0.35">
      <c r="A396" t="s">
        <v>44</v>
      </c>
      <c r="B396" t="s">
        <v>12</v>
      </c>
      <c r="C396" t="s">
        <v>38</v>
      </c>
      <c r="D396" t="s">
        <v>26</v>
      </c>
      <c r="E396" t="s">
        <v>15</v>
      </c>
      <c r="F396" t="s">
        <v>16</v>
      </c>
      <c r="G396" t="s">
        <v>17</v>
      </c>
      <c r="H396" t="s">
        <v>275</v>
      </c>
      <c r="I396" t="s">
        <v>230</v>
      </c>
      <c r="J396" t="s">
        <v>54</v>
      </c>
      <c r="K396" t="s">
        <v>276</v>
      </c>
      <c r="L396" t="s">
        <v>374</v>
      </c>
      <c r="M396" t="s">
        <v>375</v>
      </c>
      <c r="N396" t="s">
        <v>376</v>
      </c>
      <c r="O396" t="s">
        <v>215</v>
      </c>
      <c r="P396" t="s">
        <v>216</v>
      </c>
      <c r="Q396" t="s">
        <v>217</v>
      </c>
      <c r="R396" t="s">
        <v>218</v>
      </c>
      <c r="S396" t="s">
        <v>244</v>
      </c>
    </row>
    <row r="397" spans="1:19" x14ac:dyDescent="0.35">
      <c r="A397" t="s">
        <v>99</v>
      </c>
      <c r="B397" t="s">
        <v>34</v>
      </c>
      <c r="C397" t="s">
        <v>38</v>
      </c>
      <c r="D397" t="s">
        <v>14</v>
      </c>
      <c r="E397" t="s">
        <v>22</v>
      </c>
      <c r="F397" t="s">
        <v>52</v>
      </c>
      <c r="G397" t="s">
        <v>36</v>
      </c>
      <c r="H397" t="s">
        <v>291</v>
      </c>
      <c r="I397" t="s">
        <v>240</v>
      </c>
      <c r="J397" t="s">
        <v>18</v>
      </c>
      <c r="K397" t="s">
        <v>292</v>
      </c>
      <c r="L397" t="s">
        <v>349</v>
      </c>
      <c r="M397" t="s">
        <v>350</v>
      </c>
      <c r="N397" t="s">
        <v>351</v>
      </c>
      <c r="O397" t="s">
        <v>215</v>
      </c>
      <c r="P397" t="s">
        <v>216</v>
      </c>
      <c r="Q397" t="s">
        <v>217</v>
      </c>
      <c r="R397" t="s">
        <v>218</v>
      </c>
      <c r="S397" t="s">
        <v>220</v>
      </c>
    </row>
    <row r="398" spans="1:19" x14ac:dyDescent="0.35">
      <c r="A398" t="s">
        <v>122</v>
      </c>
      <c r="B398" t="s">
        <v>29</v>
      </c>
      <c r="C398" t="s">
        <v>38</v>
      </c>
      <c r="D398" t="s">
        <v>26</v>
      </c>
      <c r="E398" t="s">
        <v>15</v>
      </c>
      <c r="F398" t="s">
        <v>47</v>
      </c>
      <c r="G398" t="s">
        <v>36</v>
      </c>
      <c r="H398" t="s">
        <v>229</v>
      </c>
      <c r="I398" t="s">
        <v>269</v>
      </c>
      <c r="J398" t="s">
        <v>43</v>
      </c>
      <c r="K398" t="s">
        <v>231</v>
      </c>
      <c r="L398" t="s">
        <v>367</v>
      </c>
      <c r="M398" t="s">
        <v>266</v>
      </c>
      <c r="N398" t="s">
        <v>309</v>
      </c>
      <c r="O398" t="s">
        <v>215</v>
      </c>
      <c r="P398" t="s">
        <v>216</v>
      </c>
      <c r="Q398" t="s">
        <v>217</v>
      </c>
      <c r="R398" t="s">
        <v>218</v>
      </c>
      <c r="S398" t="s">
        <v>220</v>
      </c>
    </row>
    <row r="399" spans="1:19" x14ac:dyDescent="0.35">
      <c r="A399" t="s">
        <v>158</v>
      </c>
      <c r="B399" t="s">
        <v>34</v>
      </c>
      <c r="C399" t="s">
        <v>38</v>
      </c>
      <c r="D399" t="s">
        <v>26</v>
      </c>
      <c r="E399" t="s">
        <v>15</v>
      </c>
      <c r="F399" t="s">
        <v>23</v>
      </c>
      <c r="G399" t="s">
        <v>24</v>
      </c>
      <c r="H399" t="s">
        <v>239</v>
      </c>
      <c r="I399" t="s">
        <v>240</v>
      </c>
      <c r="J399" t="s">
        <v>32</v>
      </c>
      <c r="K399" t="s">
        <v>245</v>
      </c>
      <c r="L399" t="s">
        <v>209</v>
      </c>
      <c r="M399" t="s">
        <v>211</v>
      </c>
      <c r="N399" t="s">
        <v>254</v>
      </c>
      <c r="O399" t="s">
        <v>215</v>
      </c>
      <c r="P399" t="s">
        <v>216</v>
      </c>
      <c r="Q399" t="s">
        <v>217</v>
      </c>
      <c r="R399" t="s">
        <v>218</v>
      </c>
      <c r="S399" t="s">
        <v>244</v>
      </c>
    </row>
    <row r="400" spans="1:19" x14ac:dyDescent="0.35">
      <c r="A400" t="s">
        <v>93</v>
      </c>
      <c r="B400" t="s">
        <v>29</v>
      </c>
      <c r="C400" t="s">
        <v>38</v>
      </c>
      <c r="D400" t="s">
        <v>26</v>
      </c>
      <c r="E400" t="s">
        <v>22</v>
      </c>
      <c r="F400" t="s">
        <v>23</v>
      </c>
      <c r="G400" t="s">
        <v>24</v>
      </c>
      <c r="H400" t="s">
        <v>239</v>
      </c>
      <c r="I400" t="s">
        <v>244</v>
      </c>
      <c r="J400" t="s">
        <v>18</v>
      </c>
      <c r="K400" t="s">
        <v>245</v>
      </c>
      <c r="L400" t="s">
        <v>246</v>
      </c>
      <c r="M400" t="s">
        <v>247</v>
      </c>
      <c r="N400" t="s">
        <v>248</v>
      </c>
      <c r="O400" t="s">
        <v>215</v>
      </c>
      <c r="P400" t="s">
        <v>216</v>
      </c>
      <c r="Q400" t="s">
        <v>217</v>
      </c>
      <c r="R400" t="s">
        <v>218</v>
      </c>
      <c r="S400" t="s">
        <v>220</v>
      </c>
    </row>
    <row r="401" spans="1:19" x14ac:dyDescent="0.35">
      <c r="A401" t="s">
        <v>158</v>
      </c>
      <c r="B401" t="s">
        <v>20</v>
      </c>
      <c r="C401" t="s">
        <v>38</v>
      </c>
      <c r="D401" t="s">
        <v>14</v>
      </c>
      <c r="E401" t="s">
        <v>15</v>
      </c>
      <c r="F401" t="s">
        <v>31</v>
      </c>
      <c r="G401" t="s">
        <v>24</v>
      </c>
      <c r="H401" t="s">
        <v>252</v>
      </c>
      <c r="I401" t="s">
        <v>230</v>
      </c>
      <c r="J401" t="s">
        <v>27</v>
      </c>
      <c r="K401" t="s">
        <v>253</v>
      </c>
      <c r="L401" t="s">
        <v>291</v>
      </c>
      <c r="M401" t="s">
        <v>292</v>
      </c>
      <c r="N401" t="s">
        <v>343</v>
      </c>
      <c r="O401" t="s">
        <v>215</v>
      </c>
      <c r="P401" t="s">
        <v>216</v>
      </c>
      <c r="Q401" t="s">
        <v>217</v>
      </c>
      <c r="R401" t="s">
        <v>218</v>
      </c>
      <c r="S401" t="s">
        <v>244</v>
      </c>
    </row>
    <row r="402" spans="1:19" x14ac:dyDescent="0.35">
      <c r="A402" t="s">
        <v>116</v>
      </c>
      <c r="B402" t="s">
        <v>20</v>
      </c>
      <c r="C402" t="s">
        <v>38</v>
      </c>
      <c r="D402" t="s">
        <v>26</v>
      </c>
      <c r="E402" t="s">
        <v>22</v>
      </c>
      <c r="F402" t="s">
        <v>35</v>
      </c>
      <c r="G402" t="s">
        <v>36</v>
      </c>
      <c r="H402" t="s">
        <v>224</v>
      </c>
      <c r="I402" t="s">
        <v>240</v>
      </c>
      <c r="J402" t="s">
        <v>27</v>
      </c>
      <c r="K402" t="s">
        <v>226</v>
      </c>
      <c r="L402" t="s">
        <v>212</v>
      </c>
      <c r="M402" t="s">
        <v>213</v>
      </c>
      <c r="N402" t="s">
        <v>214</v>
      </c>
      <c r="O402" t="s">
        <v>215</v>
      </c>
      <c r="P402" t="s">
        <v>216</v>
      </c>
      <c r="Q402" t="s">
        <v>217</v>
      </c>
      <c r="R402" t="s">
        <v>218</v>
      </c>
      <c r="S402" t="s">
        <v>244</v>
      </c>
    </row>
    <row r="403" spans="1:19" x14ac:dyDescent="0.35">
      <c r="A403" t="s">
        <v>60</v>
      </c>
      <c r="B403" t="s">
        <v>29</v>
      </c>
      <c r="C403" t="s">
        <v>38</v>
      </c>
      <c r="D403" t="s">
        <v>14</v>
      </c>
      <c r="E403" t="s">
        <v>15</v>
      </c>
      <c r="F403" t="s">
        <v>47</v>
      </c>
      <c r="G403" t="s">
        <v>36</v>
      </c>
      <c r="H403" t="s">
        <v>229</v>
      </c>
      <c r="I403" t="s">
        <v>240</v>
      </c>
      <c r="J403" t="s">
        <v>43</v>
      </c>
      <c r="K403" t="s">
        <v>231</v>
      </c>
      <c r="L403" t="s">
        <v>301</v>
      </c>
      <c r="M403" t="s">
        <v>302</v>
      </c>
      <c r="N403" t="s">
        <v>209</v>
      </c>
      <c r="O403" t="s">
        <v>215</v>
      </c>
      <c r="P403" t="s">
        <v>216</v>
      </c>
      <c r="Q403" t="s">
        <v>217</v>
      </c>
      <c r="R403" t="s">
        <v>218</v>
      </c>
      <c r="S403" t="s">
        <v>244</v>
      </c>
    </row>
    <row r="404" spans="1:19" x14ac:dyDescent="0.35">
      <c r="A404" t="s">
        <v>85</v>
      </c>
      <c r="B404" t="s">
        <v>12</v>
      </c>
      <c r="C404" t="s">
        <v>38</v>
      </c>
      <c r="D404" t="s">
        <v>14</v>
      </c>
      <c r="E404" t="s">
        <v>15</v>
      </c>
      <c r="F404" t="s">
        <v>39</v>
      </c>
      <c r="G404" t="s">
        <v>24</v>
      </c>
      <c r="H404" t="s">
        <v>209</v>
      </c>
      <c r="I404" t="s">
        <v>210</v>
      </c>
      <c r="J404" t="s">
        <v>32</v>
      </c>
      <c r="K404" t="s">
        <v>211</v>
      </c>
      <c r="L404" t="s">
        <v>212</v>
      </c>
      <c r="M404" t="s">
        <v>213</v>
      </c>
      <c r="N404" t="s">
        <v>214</v>
      </c>
      <c r="O404" t="s">
        <v>215</v>
      </c>
      <c r="P404" t="s">
        <v>216</v>
      </c>
      <c r="Q404" t="s">
        <v>217</v>
      </c>
      <c r="R404" t="s">
        <v>218</v>
      </c>
      <c r="S404" t="s">
        <v>238</v>
      </c>
    </row>
    <row r="405" spans="1:19" x14ac:dyDescent="0.35">
      <c r="A405" t="s">
        <v>138</v>
      </c>
      <c r="B405" t="s">
        <v>20</v>
      </c>
      <c r="C405" t="s">
        <v>38</v>
      </c>
      <c r="D405" t="s">
        <v>14</v>
      </c>
      <c r="E405" t="s">
        <v>15</v>
      </c>
      <c r="F405" t="s">
        <v>23</v>
      </c>
      <c r="G405" t="s">
        <v>24</v>
      </c>
      <c r="H405" t="s">
        <v>239</v>
      </c>
      <c r="I405" t="s">
        <v>238</v>
      </c>
      <c r="J405" t="s">
        <v>43</v>
      </c>
      <c r="K405" t="s">
        <v>245</v>
      </c>
      <c r="L405" t="s">
        <v>239</v>
      </c>
      <c r="M405" t="s">
        <v>245</v>
      </c>
      <c r="N405" t="s">
        <v>353</v>
      </c>
      <c r="O405" t="s">
        <v>215</v>
      </c>
      <c r="P405" t="s">
        <v>216</v>
      </c>
      <c r="Q405" t="s">
        <v>217</v>
      </c>
      <c r="R405" t="s">
        <v>218</v>
      </c>
      <c r="S405" t="s">
        <v>244</v>
      </c>
    </row>
    <row r="406" spans="1:19" x14ac:dyDescent="0.35">
      <c r="A406" t="s">
        <v>71</v>
      </c>
      <c r="B406" t="s">
        <v>29</v>
      </c>
      <c r="C406" t="s">
        <v>38</v>
      </c>
      <c r="D406" t="s">
        <v>14</v>
      </c>
      <c r="E406" t="s">
        <v>22</v>
      </c>
      <c r="F406" t="s">
        <v>23</v>
      </c>
      <c r="G406" t="s">
        <v>24</v>
      </c>
      <c r="H406" t="s">
        <v>239</v>
      </c>
      <c r="I406" t="s">
        <v>220</v>
      </c>
      <c r="J406" t="s">
        <v>18</v>
      </c>
      <c r="K406" t="s">
        <v>245</v>
      </c>
      <c r="L406" t="s">
        <v>231</v>
      </c>
      <c r="M406" t="s">
        <v>311</v>
      </c>
      <c r="N406" t="s">
        <v>245</v>
      </c>
      <c r="O406" t="s">
        <v>215</v>
      </c>
      <c r="P406" t="s">
        <v>216</v>
      </c>
      <c r="Q406" t="s">
        <v>217</v>
      </c>
      <c r="R406" t="s">
        <v>218</v>
      </c>
      <c r="S406" t="s">
        <v>265</v>
      </c>
    </row>
    <row r="407" spans="1:19" x14ac:dyDescent="0.35">
      <c r="A407" t="s">
        <v>68</v>
      </c>
      <c r="B407" t="s">
        <v>29</v>
      </c>
      <c r="C407" t="s">
        <v>38</v>
      </c>
      <c r="D407" t="s">
        <v>14</v>
      </c>
      <c r="E407" t="s">
        <v>22</v>
      </c>
      <c r="F407" t="s">
        <v>52</v>
      </c>
      <c r="G407" t="s">
        <v>36</v>
      </c>
      <c r="H407" t="s">
        <v>291</v>
      </c>
      <c r="I407" t="s">
        <v>238</v>
      </c>
      <c r="J407" t="s">
        <v>43</v>
      </c>
      <c r="K407" t="s">
        <v>292</v>
      </c>
      <c r="L407" t="s">
        <v>291</v>
      </c>
      <c r="M407" t="s">
        <v>292</v>
      </c>
      <c r="N407" t="s">
        <v>343</v>
      </c>
      <c r="O407" t="s">
        <v>215</v>
      </c>
      <c r="P407" t="s">
        <v>216</v>
      </c>
      <c r="Q407" t="s">
        <v>217</v>
      </c>
      <c r="R407" t="s">
        <v>218</v>
      </c>
      <c r="S407" t="s">
        <v>238</v>
      </c>
    </row>
    <row r="408" spans="1:19" x14ac:dyDescent="0.35">
      <c r="A408" t="s">
        <v>48</v>
      </c>
      <c r="B408" t="s">
        <v>12</v>
      </c>
      <c r="C408" t="s">
        <v>38</v>
      </c>
      <c r="D408" t="s">
        <v>26</v>
      </c>
      <c r="E408" t="s">
        <v>22</v>
      </c>
      <c r="F408" t="s">
        <v>52</v>
      </c>
      <c r="G408" t="s">
        <v>36</v>
      </c>
      <c r="H408" t="s">
        <v>291</v>
      </c>
      <c r="I408" t="s">
        <v>269</v>
      </c>
      <c r="J408" t="s">
        <v>54</v>
      </c>
      <c r="K408" t="s">
        <v>292</v>
      </c>
      <c r="L408" t="s">
        <v>328</v>
      </c>
      <c r="M408" t="s">
        <v>329</v>
      </c>
      <c r="N408" t="s">
        <v>330</v>
      </c>
      <c r="O408" t="s">
        <v>215</v>
      </c>
      <c r="P408" t="s">
        <v>216</v>
      </c>
      <c r="Q408" t="s">
        <v>217</v>
      </c>
      <c r="R408" t="s">
        <v>218</v>
      </c>
      <c r="S408" t="s">
        <v>238</v>
      </c>
    </row>
    <row r="409" spans="1:19" x14ac:dyDescent="0.35">
      <c r="A409" t="s">
        <v>145</v>
      </c>
      <c r="B409" t="s">
        <v>12</v>
      </c>
      <c r="C409" t="s">
        <v>38</v>
      </c>
      <c r="D409" t="s">
        <v>14</v>
      </c>
      <c r="E409" t="s">
        <v>22</v>
      </c>
      <c r="F409" t="s">
        <v>16</v>
      </c>
      <c r="G409" t="s">
        <v>17</v>
      </c>
      <c r="H409" t="s">
        <v>275</v>
      </c>
      <c r="I409" t="s">
        <v>240</v>
      </c>
      <c r="J409" t="s">
        <v>27</v>
      </c>
      <c r="K409" t="s">
        <v>276</v>
      </c>
      <c r="L409" t="s">
        <v>281</v>
      </c>
      <c r="M409" t="s">
        <v>282</v>
      </c>
      <c r="N409" t="s">
        <v>283</v>
      </c>
      <c r="O409" t="s">
        <v>215</v>
      </c>
      <c r="P409" t="s">
        <v>216</v>
      </c>
      <c r="Q409" t="s">
        <v>217</v>
      </c>
      <c r="R409" t="s">
        <v>218</v>
      </c>
      <c r="S409" t="s">
        <v>238</v>
      </c>
    </row>
    <row r="410" spans="1:19" x14ac:dyDescent="0.35">
      <c r="A410" t="s">
        <v>53</v>
      </c>
      <c r="B410" t="s">
        <v>34</v>
      </c>
      <c r="C410" t="s">
        <v>38</v>
      </c>
      <c r="D410" t="s">
        <v>26</v>
      </c>
      <c r="E410" t="s">
        <v>15</v>
      </c>
      <c r="F410" t="s">
        <v>41</v>
      </c>
      <c r="G410" t="s">
        <v>17</v>
      </c>
      <c r="H410" t="s">
        <v>219</v>
      </c>
      <c r="I410" t="s">
        <v>244</v>
      </c>
      <c r="J410" t="s">
        <v>43</v>
      </c>
      <c r="K410" t="s">
        <v>221</v>
      </c>
      <c r="L410" t="s">
        <v>290</v>
      </c>
      <c r="M410" t="s">
        <v>298</v>
      </c>
      <c r="N410" t="s">
        <v>284</v>
      </c>
      <c r="O410" t="s">
        <v>215</v>
      </c>
      <c r="P410" t="s">
        <v>216</v>
      </c>
      <c r="Q410" t="s">
        <v>217</v>
      </c>
      <c r="R410" t="s">
        <v>218</v>
      </c>
      <c r="S410" t="s">
        <v>244</v>
      </c>
    </row>
    <row r="411" spans="1:19" x14ac:dyDescent="0.35">
      <c r="A411" t="s">
        <v>124</v>
      </c>
      <c r="B411" t="s">
        <v>12</v>
      </c>
      <c r="C411" t="s">
        <v>38</v>
      </c>
      <c r="D411" t="s">
        <v>14</v>
      </c>
      <c r="E411" t="s">
        <v>15</v>
      </c>
      <c r="F411" t="s">
        <v>35</v>
      </c>
      <c r="G411" t="s">
        <v>36</v>
      </c>
      <c r="H411" t="s">
        <v>224</v>
      </c>
      <c r="I411" t="s">
        <v>244</v>
      </c>
      <c r="J411" t="s">
        <v>18</v>
      </c>
      <c r="K411" t="s">
        <v>226</v>
      </c>
      <c r="L411" t="s">
        <v>301</v>
      </c>
      <c r="M411" t="s">
        <v>302</v>
      </c>
      <c r="N411" t="s">
        <v>209</v>
      </c>
      <c r="O411" t="s">
        <v>215</v>
      </c>
      <c r="P411" t="s">
        <v>216</v>
      </c>
      <c r="Q411" t="s">
        <v>217</v>
      </c>
      <c r="R411" t="s">
        <v>218</v>
      </c>
      <c r="S411" t="s">
        <v>238</v>
      </c>
    </row>
    <row r="412" spans="1:19" x14ac:dyDescent="0.35">
      <c r="A412" t="s">
        <v>46</v>
      </c>
      <c r="B412" t="s">
        <v>29</v>
      </c>
      <c r="C412" t="s">
        <v>38</v>
      </c>
      <c r="D412" t="s">
        <v>14</v>
      </c>
      <c r="E412" t="s">
        <v>22</v>
      </c>
      <c r="F412" t="s">
        <v>23</v>
      </c>
      <c r="G412" t="s">
        <v>24</v>
      </c>
      <c r="H412" t="s">
        <v>239</v>
      </c>
      <c r="I412" t="s">
        <v>238</v>
      </c>
      <c r="J412" t="s">
        <v>50</v>
      </c>
      <c r="K412" t="s">
        <v>245</v>
      </c>
      <c r="L412" t="s">
        <v>239</v>
      </c>
      <c r="M412" t="s">
        <v>245</v>
      </c>
      <c r="N412" t="s">
        <v>353</v>
      </c>
      <c r="O412" t="s">
        <v>215</v>
      </c>
      <c r="P412" t="s">
        <v>216</v>
      </c>
      <c r="Q412" t="s">
        <v>217</v>
      </c>
      <c r="R412" t="s">
        <v>218</v>
      </c>
      <c r="S412" t="s">
        <v>238</v>
      </c>
    </row>
    <row r="413" spans="1:19" x14ac:dyDescent="0.35">
      <c r="A413" t="s">
        <v>115</v>
      </c>
      <c r="B413" t="s">
        <v>29</v>
      </c>
      <c r="C413" t="s">
        <v>38</v>
      </c>
      <c r="D413" t="s">
        <v>14</v>
      </c>
      <c r="E413" t="s">
        <v>15</v>
      </c>
      <c r="F413" t="s">
        <v>35</v>
      </c>
      <c r="G413" t="s">
        <v>36</v>
      </c>
      <c r="H413" t="s">
        <v>224</v>
      </c>
      <c r="I413" t="s">
        <v>238</v>
      </c>
      <c r="J413" t="s">
        <v>32</v>
      </c>
      <c r="K413" t="s">
        <v>226</v>
      </c>
      <c r="L413" t="s">
        <v>224</v>
      </c>
      <c r="M413" t="s">
        <v>226</v>
      </c>
      <c r="N413" t="s">
        <v>252</v>
      </c>
      <c r="O413" t="s">
        <v>215</v>
      </c>
      <c r="P413" t="s">
        <v>216</v>
      </c>
      <c r="Q413" t="s">
        <v>217</v>
      </c>
      <c r="R413" t="s">
        <v>218</v>
      </c>
      <c r="S413" t="s">
        <v>238</v>
      </c>
    </row>
    <row r="414" spans="1:19" x14ac:dyDescent="0.35">
      <c r="A414" t="s">
        <v>86</v>
      </c>
      <c r="B414" t="s">
        <v>29</v>
      </c>
      <c r="C414" t="s">
        <v>38</v>
      </c>
      <c r="D414" t="s">
        <v>26</v>
      </c>
      <c r="E414" t="s">
        <v>15</v>
      </c>
      <c r="F414" t="s">
        <v>58</v>
      </c>
      <c r="G414" t="s">
        <v>24</v>
      </c>
      <c r="H414" t="s">
        <v>255</v>
      </c>
      <c r="I414" t="s">
        <v>269</v>
      </c>
      <c r="J414" t="s">
        <v>32</v>
      </c>
      <c r="K414" t="s">
        <v>256</v>
      </c>
      <c r="L414" t="s">
        <v>346</v>
      </c>
      <c r="M414" t="s">
        <v>347</v>
      </c>
      <c r="N414" t="s">
        <v>348</v>
      </c>
      <c r="O414" t="s">
        <v>215</v>
      </c>
      <c r="P414" t="s">
        <v>216</v>
      </c>
      <c r="Q414" t="s">
        <v>217</v>
      </c>
      <c r="R414" t="s">
        <v>218</v>
      </c>
      <c r="S414" t="s">
        <v>238</v>
      </c>
    </row>
    <row r="415" spans="1:19" x14ac:dyDescent="0.35">
      <c r="A415" t="s">
        <v>157</v>
      </c>
      <c r="B415" t="s">
        <v>29</v>
      </c>
      <c r="C415" t="s">
        <v>38</v>
      </c>
      <c r="D415" t="s">
        <v>14</v>
      </c>
      <c r="E415" t="s">
        <v>22</v>
      </c>
      <c r="F415" t="s">
        <v>58</v>
      </c>
      <c r="G415" t="s">
        <v>24</v>
      </c>
      <c r="H415" t="s">
        <v>255</v>
      </c>
      <c r="I415" t="s">
        <v>210</v>
      </c>
      <c r="J415" t="s">
        <v>32</v>
      </c>
      <c r="K415" t="s">
        <v>256</v>
      </c>
      <c r="L415" t="s">
        <v>285</v>
      </c>
      <c r="M415" t="s">
        <v>286</v>
      </c>
      <c r="N415" t="s">
        <v>287</v>
      </c>
      <c r="O415" t="s">
        <v>215</v>
      </c>
      <c r="P415" t="s">
        <v>216</v>
      </c>
      <c r="Q415" t="s">
        <v>217</v>
      </c>
      <c r="R415" t="s">
        <v>218</v>
      </c>
      <c r="S415" t="s">
        <v>244</v>
      </c>
    </row>
    <row r="416" spans="1:19" x14ac:dyDescent="0.35">
      <c r="A416" t="s">
        <v>149</v>
      </c>
      <c r="B416" t="s">
        <v>29</v>
      </c>
      <c r="C416" t="s">
        <v>38</v>
      </c>
      <c r="D416" t="s">
        <v>26</v>
      </c>
      <c r="E416" t="s">
        <v>22</v>
      </c>
      <c r="F416" t="s">
        <v>52</v>
      </c>
      <c r="G416" t="s">
        <v>36</v>
      </c>
      <c r="H416" t="s">
        <v>291</v>
      </c>
      <c r="I416" t="s">
        <v>230</v>
      </c>
      <c r="J416" t="s">
        <v>43</v>
      </c>
      <c r="K416" t="s">
        <v>292</v>
      </c>
      <c r="L416" t="s">
        <v>357</v>
      </c>
      <c r="M416" t="s">
        <v>358</v>
      </c>
      <c r="N416" t="s">
        <v>359</v>
      </c>
      <c r="O416" t="s">
        <v>215</v>
      </c>
      <c r="P416" t="s">
        <v>216</v>
      </c>
      <c r="Q416" t="s">
        <v>217</v>
      </c>
      <c r="R416" t="s">
        <v>218</v>
      </c>
      <c r="S416" t="s">
        <v>244</v>
      </c>
    </row>
    <row r="417" spans="1:19" x14ac:dyDescent="0.35">
      <c r="A417" t="s">
        <v>97</v>
      </c>
      <c r="B417" t="s">
        <v>12</v>
      </c>
      <c r="C417" t="s">
        <v>38</v>
      </c>
      <c r="D417" t="s">
        <v>14</v>
      </c>
      <c r="E417" t="s">
        <v>22</v>
      </c>
      <c r="F417" t="s">
        <v>58</v>
      </c>
      <c r="G417" t="s">
        <v>24</v>
      </c>
      <c r="H417" t="s">
        <v>255</v>
      </c>
      <c r="I417" t="s">
        <v>238</v>
      </c>
      <c r="J417" t="s">
        <v>54</v>
      </c>
      <c r="K417" t="s">
        <v>256</v>
      </c>
      <c r="L417" t="s">
        <v>255</v>
      </c>
      <c r="M417" t="s">
        <v>256</v>
      </c>
      <c r="N417" t="s">
        <v>334</v>
      </c>
      <c r="O417" t="s">
        <v>215</v>
      </c>
      <c r="P417" t="s">
        <v>216</v>
      </c>
      <c r="Q417" t="s">
        <v>217</v>
      </c>
      <c r="R417" t="s">
        <v>218</v>
      </c>
      <c r="S417" t="s">
        <v>265</v>
      </c>
    </row>
    <row r="418" spans="1:19" x14ac:dyDescent="0.35">
      <c r="A418" t="s">
        <v>79</v>
      </c>
      <c r="B418" t="s">
        <v>12</v>
      </c>
      <c r="C418" t="s">
        <v>38</v>
      </c>
      <c r="D418" t="s">
        <v>26</v>
      </c>
      <c r="E418" t="s">
        <v>22</v>
      </c>
      <c r="F418" t="s">
        <v>23</v>
      </c>
      <c r="G418" t="s">
        <v>24</v>
      </c>
      <c r="H418" t="s">
        <v>239</v>
      </c>
      <c r="I418" t="s">
        <v>238</v>
      </c>
      <c r="J418" t="s">
        <v>50</v>
      </c>
      <c r="K418" t="s">
        <v>245</v>
      </c>
      <c r="L418" t="s">
        <v>239</v>
      </c>
      <c r="M418" t="s">
        <v>245</v>
      </c>
      <c r="N418" t="s">
        <v>353</v>
      </c>
      <c r="O418" t="s">
        <v>215</v>
      </c>
      <c r="P418" t="s">
        <v>216</v>
      </c>
      <c r="Q418" t="s">
        <v>217</v>
      </c>
      <c r="R418" t="s">
        <v>218</v>
      </c>
      <c r="S418" t="s">
        <v>238</v>
      </c>
    </row>
    <row r="419" spans="1:19" x14ac:dyDescent="0.35">
      <c r="A419" t="s">
        <v>161</v>
      </c>
      <c r="B419" t="s">
        <v>29</v>
      </c>
      <c r="C419" t="s">
        <v>38</v>
      </c>
      <c r="D419" t="s">
        <v>14</v>
      </c>
      <c r="E419" t="s">
        <v>22</v>
      </c>
      <c r="F419" t="s">
        <v>23</v>
      </c>
      <c r="G419" t="s">
        <v>24</v>
      </c>
      <c r="H419" t="s">
        <v>239</v>
      </c>
      <c r="I419" t="s">
        <v>238</v>
      </c>
      <c r="J419" t="s">
        <v>50</v>
      </c>
      <c r="K419" t="s">
        <v>245</v>
      </c>
      <c r="L419" t="s">
        <v>239</v>
      </c>
      <c r="M419" t="s">
        <v>245</v>
      </c>
      <c r="N419" t="s">
        <v>353</v>
      </c>
      <c r="O419" t="s">
        <v>215</v>
      </c>
      <c r="P419" t="s">
        <v>216</v>
      </c>
      <c r="Q419" t="s">
        <v>217</v>
      </c>
      <c r="R419" t="s">
        <v>218</v>
      </c>
      <c r="S419" t="s">
        <v>238</v>
      </c>
    </row>
    <row r="420" spans="1:19" x14ac:dyDescent="0.35">
      <c r="A420" t="s">
        <v>119</v>
      </c>
      <c r="B420" t="s">
        <v>20</v>
      </c>
      <c r="C420" t="s">
        <v>38</v>
      </c>
      <c r="D420" t="s">
        <v>14</v>
      </c>
      <c r="E420" t="s">
        <v>22</v>
      </c>
      <c r="F420" t="s">
        <v>39</v>
      </c>
      <c r="G420" t="s">
        <v>24</v>
      </c>
      <c r="H420" t="s">
        <v>209</v>
      </c>
      <c r="I420" t="s">
        <v>265</v>
      </c>
      <c r="J420" t="s">
        <v>50</v>
      </c>
      <c r="K420" t="s">
        <v>211</v>
      </c>
      <c r="L420" t="s">
        <v>214</v>
      </c>
      <c r="M420" t="s">
        <v>251</v>
      </c>
      <c r="N420" t="s">
        <v>247</v>
      </c>
      <c r="O420" t="s">
        <v>215</v>
      </c>
      <c r="P420" t="s">
        <v>216</v>
      </c>
      <c r="Q420" t="s">
        <v>217</v>
      </c>
      <c r="R420" t="s">
        <v>218</v>
      </c>
      <c r="S420" t="s">
        <v>238</v>
      </c>
    </row>
    <row r="421" spans="1:19" x14ac:dyDescent="0.35">
      <c r="A421" t="s">
        <v>44</v>
      </c>
      <c r="B421" t="s">
        <v>20</v>
      </c>
      <c r="C421" t="s">
        <v>38</v>
      </c>
      <c r="D421" t="s">
        <v>14</v>
      </c>
      <c r="E421" t="s">
        <v>22</v>
      </c>
      <c r="F421" t="s">
        <v>52</v>
      </c>
      <c r="G421" t="s">
        <v>36</v>
      </c>
      <c r="H421" t="s">
        <v>291</v>
      </c>
      <c r="I421" t="s">
        <v>210</v>
      </c>
      <c r="J421" t="s">
        <v>32</v>
      </c>
      <c r="K421" t="s">
        <v>292</v>
      </c>
      <c r="L421" t="s">
        <v>339</v>
      </c>
      <c r="M421" t="s">
        <v>299</v>
      </c>
      <c r="N421" t="s">
        <v>233</v>
      </c>
      <c r="O421" t="s">
        <v>215</v>
      </c>
      <c r="P421" t="s">
        <v>216</v>
      </c>
      <c r="Q421" t="s">
        <v>217</v>
      </c>
      <c r="R421" t="s">
        <v>218</v>
      </c>
      <c r="S421" t="s">
        <v>244</v>
      </c>
    </row>
    <row r="422" spans="1:19" x14ac:dyDescent="0.35">
      <c r="A422" t="s">
        <v>110</v>
      </c>
      <c r="B422" t="s">
        <v>20</v>
      </c>
      <c r="C422" t="s">
        <v>38</v>
      </c>
      <c r="D422" t="s">
        <v>14</v>
      </c>
      <c r="E422" t="s">
        <v>22</v>
      </c>
      <c r="F422" t="s">
        <v>52</v>
      </c>
      <c r="G422" t="s">
        <v>36</v>
      </c>
      <c r="H422" t="s">
        <v>291</v>
      </c>
      <c r="I422" t="s">
        <v>225</v>
      </c>
      <c r="J422" t="s">
        <v>50</v>
      </c>
      <c r="K422" t="s">
        <v>292</v>
      </c>
      <c r="L422" t="s">
        <v>332</v>
      </c>
      <c r="M422" t="s">
        <v>333</v>
      </c>
      <c r="N422" t="s">
        <v>291</v>
      </c>
      <c r="O422" t="s">
        <v>215</v>
      </c>
      <c r="P422" t="s">
        <v>216</v>
      </c>
      <c r="Q422" t="s">
        <v>217</v>
      </c>
      <c r="R422" t="s">
        <v>218</v>
      </c>
      <c r="S422" t="s">
        <v>265</v>
      </c>
    </row>
    <row r="423" spans="1:19" x14ac:dyDescent="0.35">
      <c r="A423" t="s">
        <v>157</v>
      </c>
      <c r="B423" t="s">
        <v>29</v>
      </c>
      <c r="C423" t="s">
        <v>38</v>
      </c>
      <c r="D423" t="s">
        <v>14</v>
      </c>
      <c r="E423" t="s">
        <v>22</v>
      </c>
      <c r="F423" t="s">
        <v>31</v>
      </c>
      <c r="G423" t="s">
        <v>24</v>
      </c>
      <c r="H423" t="s">
        <v>252</v>
      </c>
      <c r="I423" t="s">
        <v>249</v>
      </c>
      <c r="J423" t="s">
        <v>43</v>
      </c>
      <c r="K423" t="s">
        <v>253</v>
      </c>
      <c r="L423" t="s">
        <v>297</v>
      </c>
      <c r="M423" t="s">
        <v>243</v>
      </c>
      <c r="N423" t="s">
        <v>311</v>
      </c>
      <c r="O423" t="s">
        <v>215</v>
      </c>
      <c r="P423" t="s">
        <v>216</v>
      </c>
      <c r="Q423" t="s">
        <v>217</v>
      </c>
      <c r="R423" t="s">
        <v>218</v>
      </c>
      <c r="S423" t="s">
        <v>244</v>
      </c>
    </row>
    <row r="424" spans="1:19" x14ac:dyDescent="0.35">
      <c r="A424" t="s">
        <v>64</v>
      </c>
      <c r="B424" t="s">
        <v>34</v>
      </c>
      <c r="C424" t="s">
        <v>38</v>
      </c>
      <c r="D424" t="s">
        <v>26</v>
      </c>
      <c r="E424" t="s">
        <v>22</v>
      </c>
      <c r="F424" t="s">
        <v>35</v>
      </c>
      <c r="G424" t="s">
        <v>36</v>
      </c>
      <c r="H424" t="s">
        <v>224</v>
      </c>
      <c r="I424" t="s">
        <v>220</v>
      </c>
      <c r="J424" t="s">
        <v>54</v>
      </c>
      <c r="K424" t="s">
        <v>226</v>
      </c>
      <c r="L424" t="s">
        <v>228</v>
      </c>
      <c r="M424" t="s">
        <v>290</v>
      </c>
      <c r="N424" t="s">
        <v>226</v>
      </c>
      <c r="O424" t="s">
        <v>215</v>
      </c>
      <c r="P424" t="s">
        <v>216</v>
      </c>
      <c r="Q424" t="s">
        <v>217</v>
      </c>
      <c r="R424" t="s">
        <v>218</v>
      </c>
      <c r="S424" t="s">
        <v>265</v>
      </c>
    </row>
    <row r="425" spans="1:19" x14ac:dyDescent="0.35">
      <c r="A425" t="s">
        <v>158</v>
      </c>
      <c r="B425" t="s">
        <v>12</v>
      </c>
      <c r="C425" t="s">
        <v>38</v>
      </c>
      <c r="D425" t="s">
        <v>26</v>
      </c>
      <c r="E425" t="s">
        <v>22</v>
      </c>
      <c r="F425" t="s">
        <v>56</v>
      </c>
      <c r="G425" t="s">
        <v>36</v>
      </c>
      <c r="H425" t="s">
        <v>260</v>
      </c>
      <c r="I425" t="s">
        <v>220</v>
      </c>
      <c r="J425" t="s">
        <v>32</v>
      </c>
      <c r="K425" t="s">
        <v>261</v>
      </c>
      <c r="L425" t="s">
        <v>335</v>
      </c>
      <c r="M425" t="s">
        <v>336</v>
      </c>
      <c r="N425" t="s">
        <v>261</v>
      </c>
      <c r="O425" t="s">
        <v>215</v>
      </c>
      <c r="P425" t="s">
        <v>216</v>
      </c>
      <c r="Q425" t="s">
        <v>217</v>
      </c>
      <c r="R425" t="s">
        <v>218</v>
      </c>
      <c r="S425" t="s">
        <v>244</v>
      </c>
    </row>
    <row r="426" spans="1:19" x14ac:dyDescent="0.35">
      <c r="A426" t="s">
        <v>85</v>
      </c>
      <c r="B426" t="s">
        <v>20</v>
      </c>
      <c r="C426" t="s">
        <v>38</v>
      </c>
      <c r="D426" t="s">
        <v>14</v>
      </c>
      <c r="E426" t="s">
        <v>22</v>
      </c>
      <c r="F426" t="s">
        <v>58</v>
      </c>
      <c r="G426" t="s">
        <v>24</v>
      </c>
      <c r="H426" t="s">
        <v>255</v>
      </c>
      <c r="I426" t="s">
        <v>240</v>
      </c>
      <c r="J426" t="s">
        <v>18</v>
      </c>
      <c r="K426" t="s">
        <v>256</v>
      </c>
      <c r="L426" t="s">
        <v>305</v>
      </c>
      <c r="M426" t="s">
        <v>306</v>
      </c>
      <c r="N426" t="s">
        <v>307</v>
      </c>
      <c r="O426" t="s">
        <v>215</v>
      </c>
      <c r="P426" t="s">
        <v>216</v>
      </c>
      <c r="Q426" t="s">
        <v>217</v>
      </c>
      <c r="R426" t="s">
        <v>218</v>
      </c>
      <c r="S426" t="s">
        <v>238</v>
      </c>
    </row>
    <row r="427" spans="1:19" x14ac:dyDescent="0.35">
      <c r="A427" t="s">
        <v>25</v>
      </c>
      <c r="B427" t="s">
        <v>34</v>
      </c>
      <c r="C427" t="s">
        <v>38</v>
      </c>
      <c r="D427" t="s">
        <v>26</v>
      </c>
      <c r="E427" t="s">
        <v>22</v>
      </c>
      <c r="F427" t="s">
        <v>35</v>
      </c>
      <c r="G427" t="s">
        <v>36</v>
      </c>
      <c r="H427" t="s">
        <v>224</v>
      </c>
      <c r="I427" t="s">
        <v>244</v>
      </c>
      <c r="J427" t="s">
        <v>27</v>
      </c>
      <c r="K427" t="s">
        <v>226</v>
      </c>
      <c r="L427" t="s">
        <v>301</v>
      </c>
      <c r="M427" t="s">
        <v>302</v>
      </c>
      <c r="N427" t="s">
        <v>209</v>
      </c>
      <c r="O427" t="s">
        <v>215</v>
      </c>
      <c r="P427" t="s">
        <v>216</v>
      </c>
      <c r="Q427" t="s">
        <v>217</v>
      </c>
      <c r="R427" t="s">
        <v>218</v>
      </c>
      <c r="S427" t="s">
        <v>265</v>
      </c>
    </row>
    <row r="428" spans="1:19" x14ac:dyDescent="0.35">
      <c r="A428" t="s">
        <v>102</v>
      </c>
      <c r="B428" t="s">
        <v>12</v>
      </c>
      <c r="C428" t="s">
        <v>38</v>
      </c>
      <c r="D428" t="s">
        <v>14</v>
      </c>
      <c r="E428" t="s">
        <v>22</v>
      </c>
      <c r="F428" t="s">
        <v>56</v>
      </c>
      <c r="G428" t="s">
        <v>36</v>
      </c>
      <c r="H428" t="s">
        <v>260</v>
      </c>
      <c r="I428" t="s">
        <v>220</v>
      </c>
      <c r="J428" t="s">
        <v>50</v>
      </c>
      <c r="K428" t="s">
        <v>261</v>
      </c>
      <c r="L428" t="s">
        <v>335</v>
      </c>
      <c r="M428" t="s">
        <v>336</v>
      </c>
      <c r="N428" t="s">
        <v>261</v>
      </c>
      <c r="O428" t="s">
        <v>215</v>
      </c>
      <c r="P428" t="s">
        <v>216</v>
      </c>
      <c r="Q428" t="s">
        <v>217</v>
      </c>
      <c r="R428" t="s">
        <v>218</v>
      </c>
      <c r="S428" t="s">
        <v>238</v>
      </c>
    </row>
    <row r="429" spans="1:19" x14ac:dyDescent="0.35">
      <c r="A429" t="s">
        <v>150</v>
      </c>
      <c r="B429" t="s">
        <v>29</v>
      </c>
      <c r="C429" t="s">
        <v>38</v>
      </c>
      <c r="D429" t="s">
        <v>26</v>
      </c>
      <c r="E429" t="s">
        <v>22</v>
      </c>
      <c r="F429" t="s">
        <v>39</v>
      </c>
      <c r="G429" t="s">
        <v>24</v>
      </c>
      <c r="H429" t="s">
        <v>209</v>
      </c>
      <c r="I429" t="s">
        <v>238</v>
      </c>
      <c r="J429" t="s">
        <v>32</v>
      </c>
      <c r="K429" t="s">
        <v>211</v>
      </c>
      <c r="L429" t="s">
        <v>209</v>
      </c>
      <c r="M429" t="s">
        <v>211</v>
      </c>
      <c r="N429" t="s">
        <v>254</v>
      </c>
      <c r="O429" t="s">
        <v>215</v>
      </c>
      <c r="P429" t="s">
        <v>216</v>
      </c>
      <c r="Q429" t="s">
        <v>217</v>
      </c>
      <c r="R429" t="s">
        <v>218</v>
      </c>
      <c r="S429" t="s">
        <v>220</v>
      </c>
    </row>
    <row r="430" spans="1:19" x14ac:dyDescent="0.35">
      <c r="A430" t="s">
        <v>57</v>
      </c>
      <c r="B430" t="s">
        <v>12</v>
      </c>
      <c r="C430" t="s">
        <v>38</v>
      </c>
      <c r="D430" t="s">
        <v>26</v>
      </c>
      <c r="E430" t="s">
        <v>22</v>
      </c>
      <c r="F430" t="s">
        <v>52</v>
      </c>
      <c r="G430" t="s">
        <v>36</v>
      </c>
      <c r="H430" t="s">
        <v>291</v>
      </c>
      <c r="I430" t="s">
        <v>249</v>
      </c>
      <c r="J430" t="s">
        <v>27</v>
      </c>
      <c r="K430" t="s">
        <v>292</v>
      </c>
      <c r="L430" t="s">
        <v>299</v>
      </c>
      <c r="M430" t="s">
        <v>300</v>
      </c>
      <c r="N430" t="s">
        <v>293</v>
      </c>
      <c r="O430" t="s">
        <v>215</v>
      </c>
      <c r="P430" t="s">
        <v>216</v>
      </c>
      <c r="Q430" t="s">
        <v>217</v>
      </c>
      <c r="R430" t="s">
        <v>218</v>
      </c>
      <c r="S430" t="s">
        <v>265</v>
      </c>
    </row>
    <row r="431" spans="1:19" x14ac:dyDescent="0.35">
      <c r="A431" t="s">
        <v>37</v>
      </c>
      <c r="B431" t="s">
        <v>29</v>
      </c>
      <c r="C431" t="s">
        <v>38</v>
      </c>
      <c r="D431" t="s">
        <v>26</v>
      </c>
      <c r="E431" t="s">
        <v>22</v>
      </c>
      <c r="F431" t="s">
        <v>41</v>
      </c>
      <c r="G431" t="s">
        <v>17</v>
      </c>
      <c r="H431" t="s">
        <v>219</v>
      </c>
      <c r="I431" t="s">
        <v>240</v>
      </c>
      <c r="J431" t="s">
        <v>27</v>
      </c>
      <c r="K431" t="s">
        <v>221</v>
      </c>
      <c r="L431" t="s">
        <v>241</v>
      </c>
      <c r="M431" t="s">
        <v>242</v>
      </c>
      <c r="N431" t="s">
        <v>243</v>
      </c>
      <c r="O431" t="s">
        <v>215</v>
      </c>
      <c r="P431" t="s">
        <v>216</v>
      </c>
      <c r="Q431" t="s">
        <v>217</v>
      </c>
      <c r="R431" t="s">
        <v>218</v>
      </c>
      <c r="S431" t="s">
        <v>244</v>
      </c>
    </row>
    <row r="432" spans="1:19" x14ac:dyDescent="0.35">
      <c r="A432" t="s">
        <v>48</v>
      </c>
      <c r="B432" t="s">
        <v>12</v>
      </c>
      <c r="C432" t="s">
        <v>38</v>
      </c>
      <c r="D432" t="s">
        <v>14</v>
      </c>
      <c r="E432" t="s">
        <v>22</v>
      </c>
      <c r="F432" t="s">
        <v>16</v>
      </c>
      <c r="G432" t="s">
        <v>17</v>
      </c>
      <c r="H432" t="s">
        <v>275</v>
      </c>
      <c r="I432" t="s">
        <v>244</v>
      </c>
      <c r="J432" t="s">
        <v>32</v>
      </c>
      <c r="K432" t="s">
        <v>276</v>
      </c>
      <c r="L432" t="s">
        <v>325</v>
      </c>
      <c r="M432" t="s">
        <v>326</v>
      </c>
      <c r="N432" t="s">
        <v>327</v>
      </c>
      <c r="O432" t="s">
        <v>215</v>
      </c>
      <c r="P432" t="s">
        <v>216</v>
      </c>
      <c r="Q432" t="s">
        <v>217</v>
      </c>
      <c r="R432" t="s">
        <v>218</v>
      </c>
      <c r="S432" t="s">
        <v>238</v>
      </c>
    </row>
    <row r="433" spans="1:19" x14ac:dyDescent="0.35">
      <c r="A433" t="s">
        <v>128</v>
      </c>
      <c r="B433" t="s">
        <v>34</v>
      </c>
      <c r="C433" t="s">
        <v>38</v>
      </c>
      <c r="D433" t="s">
        <v>26</v>
      </c>
      <c r="E433" t="s">
        <v>15</v>
      </c>
      <c r="F433" t="s">
        <v>47</v>
      </c>
      <c r="G433" t="s">
        <v>36</v>
      </c>
      <c r="H433" t="s">
        <v>229</v>
      </c>
      <c r="I433" t="s">
        <v>220</v>
      </c>
      <c r="J433" t="s">
        <v>54</v>
      </c>
      <c r="K433" t="s">
        <v>231</v>
      </c>
      <c r="L433" t="s">
        <v>289</v>
      </c>
      <c r="M433" t="s">
        <v>297</v>
      </c>
      <c r="N433" t="s">
        <v>231</v>
      </c>
      <c r="O433" t="s">
        <v>215</v>
      </c>
      <c r="P433" t="s">
        <v>216</v>
      </c>
      <c r="Q433" t="s">
        <v>217</v>
      </c>
      <c r="R433" t="s">
        <v>218</v>
      </c>
      <c r="S433" t="s">
        <v>220</v>
      </c>
    </row>
    <row r="434" spans="1:19" x14ac:dyDescent="0.35">
      <c r="A434" t="s">
        <v>53</v>
      </c>
      <c r="B434" t="s">
        <v>20</v>
      </c>
      <c r="C434" t="s">
        <v>38</v>
      </c>
      <c r="D434" t="s">
        <v>26</v>
      </c>
      <c r="E434" t="s">
        <v>15</v>
      </c>
      <c r="F434" t="s">
        <v>35</v>
      </c>
      <c r="G434" t="s">
        <v>36</v>
      </c>
      <c r="H434" t="s">
        <v>224</v>
      </c>
      <c r="I434" t="s">
        <v>244</v>
      </c>
      <c r="J434" t="s">
        <v>18</v>
      </c>
      <c r="K434" t="s">
        <v>226</v>
      </c>
      <c r="L434" t="s">
        <v>301</v>
      </c>
      <c r="M434" t="s">
        <v>302</v>
      </c>
      <c r="N434" t="s">
        <v>209</v>
      </c>
      <c r="O434" t="s">
        <v>215</v>
      </c>
      <c r="P434" t="s">
        <v>216</v>
      </c>
      <c r="Q434" t="s">
        <v>217</v>
      </c>
      <c r="R434" t="s">
        <v>218</v>
      </c>
      <c r="S434" t="s">
        <v>244</v>
      </c>
    </row>
    <row r="435" spans="1:19" x14ac:dyDescent="0.35">
      <c r="A435" t="s">
        <v>90</v>
      </c>
      <c r="B435" t="s">
        <v>12</v>
      </c>
      <c r="C435" t="s">
        <v>38</v>
      </c>
      <c r="D435" t="s">
        <v>14</v>
      </c>
      <c r="E435" t="s">
        <v>15</v>
      </c>
      <c r="F435" t="s">
        <v>39</v>
      </c>
      <c r="G435" t="s">
        <v>24</v>
      </c>
      <c r="H435" t="s">
        <v>209</v>
      </c>
      <c r="I435" t="s">
        <v>225</v>
      </c>
      <c r="J435" t="s">
        <v>27</v>
      </c>
      <c r="K435" t="s">
        <v>211</v>
      </c>
      <c r="L435" t="s">
        <v>301</v>
      </c>
      <c r="M435" t="s">
        <v>302</v>
      </c>
      <c r="N435" t="s">
        <v>209</v>
      </c>
      <c r="O435" t="s">
        <v>215</v>
      </c>
      <c r="P435" t="s">
        <v>216</v>
      </c>
      <c r="Q435" t="s">
        <v>217</v>
      </c>
      <c r="R435" t="s">
        <v>218</v>
      </c>
      <c r="S435" t="s">
        <v>244</v>
      </c>
    </row>
    <row r="436" spans="1:19" x14ac:dyDescent="0.35">
      <c r="A436" t="s">
        <v>131</v>
      </c>
      <c r="B436" t="s">
        <v>12</v>
      </c>
      <c r="C436" t="s">
        <v>38</v>
      </c>
      <c r="D436" t="s">
        <v>26</v>
      </c>
      <c r="E436" t="s">
        <v>15</v>
      </c>
      <c r="F436" t="s">
        <v>52</v>
      </c>
      <c r="G436" t="s">
        <v>36</v>
      </c>
      <c r="H436" t="s">
        <v>291</v>
      </c>
      <c r="I436" t="s">
        <v>269</v>
      </c>
      <c r="J436" t="s">
        <v>27</v>
      </c>
      <c r="K436" t="s">
        <v>292</v>
      </c>
      <c r="L436" t="s">
        <v>328</v>
      </c>
      <c r="M436" t="s">
        <v>329</v>
      </c>
      <c r="N436" t="s">
        <v>330</v>
      </c>
      <c r="O436" t="s">
        <v>215</v>
      </c>
      <c r="P436" t="s">
        <v>216</v>
      </c>
      <c r="Q436" t="s">
        <v>217</v>
      </c>
      <c r="R436" t="s">
        <v>218</v>
      </c>
      <c r="S436" t="s">
        <v>238</v>
      </c>
    </row>
    <row r="437" spans="1:19" x14ac:dyDescent="0.35">
      <c r="A437" t="s">
        <v>162</v>
      </c>
      <c r="B437" t="s">
        <v>34</v>
      </c>
      <c r="C437" t="s">
        <v>38</v>
      </c>
      <c r="D437" t="s">
        <v>14</v>
      </c>
      <c r="E437" t="s">
        <v>15</v>
      </c>
      <c r="F437" t="s">
        <v>41</v>
      </c>
      <c r="G437" t="s">
        <v>17</v>
      </c>
      <c r="H437" t="s">
        <v>219</v>
      </c>
      <c r="I437" t="s">
        <v>225</v>
      </c>
      <c r="J437" t="s">
        <v>18</v>
      </c>
      <c r="K437" t="s">
        <v>221</v>
      </c>
      <c r="L437" t="s">
        <v>263</v>
      </c>
      <c r="M437" t="s">
        <v>222</v>
      </c>
      <c r="N437" t="s">
        <v>219</v>
      </c>
      <c r="O437" t="s">
        <v>215</v>
      </c>
      <c r="P437" t="s">
        <v>216</v>
      </c>
      <c r="Q437" t="s">
        <v>217</v>
      </c>
      <c r="R437" t="s">
        <v>218</v>
      </c>
      <c r="S437" t="s">
        <v>244</v>
      </c>
    </row>
    <row r="438" spans="1:19" x14ac:dyDescent="0.35">
      <c r="A438" t="s">
        <v>86</v>
      </c>
      <c r="B438" t="s">
        <v>12</v>
      </c>
      <c r="C438" t="s">
        <v>38</v>
      </c>
      <c r="D438" t="s">
        <v>26</v>
      </c>
      <c r="E438" t="s">
        <v>15</v>
      </c>
      <c r="F438" t="s">
        <v>52</v>
      </c>
      <c r="G438" t="s">
        <v>36</v>
      </c>
      <c r="H438" t="s">
        <v>291</v>
      </c>
      <c r="I438" t="s">
        <v>265</v>
      </c>
      <c r="J438" t="s">
        <v>50</v>
      </c>
      <c r="K438" t="s">
        <v>292</v>
      </c>
      <c r="L438" t="s">
        <v>233</v>
      </c>
      <c r="M438" t="s">
        <v>293</v>
      </c>
      <c r="N438" t="s">
        <v>294</v>
      </c>
      <c r="O438" t="s">
        <v>215</v>
      </c>
      <c r="P438" t="s">
        <v>216</v>
      </c>
      <c r="Q438" t="s">
        <v>217</v>
      </c>
      <c r="R438" t="s">
        <v>218</v>
      </c>
      <c r="S438" t="s">
        <v>238</v>
      </c>
    </row>
    <row r="439" spans="1:19" x14ac:dyDescent="0.35">
      <c r="A439" t="s">
        <v>121</v>
      </c>
      <c r="B439" t="s">
        <v>29</v>
      </c>
      <c r="C439" t="s">
        <v>38</v>
      </c>
      <c r="D439" t="s">
        <v>26</v>
      </c>
      <c r="E439" t="s">
        <v>22</v>
      </c>
      <c r="F439" t="s">
        <v>41</v>
      </c>
      <c r="G439" t="s">
        <v>17</v>
      </c>
      <c r="H439" t="s">
        <v>219</v>
      </c>
      <c r="I439" t="s">
        <v>230</v>
      </c>
      <c r="J439" t="s">
        <v>32</v>
      </c>
      <c r="K439" t="s">
        <v>221</v>
      </c>
      <c r="L439" t="s">
        <v>235</v>
      </c>
      <c r="M439" t="s">
        <v>236</v>
      </c>
      <c r="N439" t="s">
        <v>237</v>
      </c>
      <c r="O439" t="s">
        <v>215</v>
      </c>
      <c r="P439" t="s">
        <v>216</v>
      </c>
      <c r="Q439" t="s">
        <v>217</v>
      </c>
      <c r="R439" t="s">
        <v>218</v>
      </c>
      <c r="S439" t="s">
        <v>265</v>
      </c>
    </row>
    <row r="440" spans="1:19" x14ac:dyDescent="0.35">
      <c r="A440" t="s">
        <v>160</v>
      </c>
      <c r="B440" t="s">
        <v>34</v>
      </c>
      <c r="C440" t="s">
        <v>38</v>
      </c>
      <c r="D440" t="s">
        <v>14</v>
      </c>
      <c r="E440" t="s">
        <v>15</v>
      </c>
      <c r="F440" t="s">
        <v>23</v>
      </c>
      <c r="G440" t="s">
        <v>24</v>
      </c>
      <c r="H440" t="s">
        <v>239</v>
      </c>
      <c r="I440" t="s">
        <v>269</v>
      </c>
      <c r="J440" t="s">
        <v>43</v>
      </c>
      <c r="K440" t="s">
        <v>245</v>
      </c>
      <c r="L440" t="s">
        <v>309</v>
      </c>
      <c r="M440" t="s">
        <v>268</v>
      </c>
      <c r="N440" t="s">
        <v>310</v>
      </c>
      <c r="O440" t="s">
        <v>215</v>
      </c>
      <c r="P440" t="s">
        <v>216</v>
      </c>
      <c r="Q440" t="s">
        <v>217</v>
      </c>
      <c r="R440" t="s">
        <v>218</v>
      </c>
      <c r="S440" t="s">
        <v>238</v>
      </c>
    </row>
    <row r="441" spans="1:19" x14ac:dyDescent="0.35">
      <c r="A441" t="s">
        <v>126</v>
      </c>
      <c r="B441" t="s">
        <v>12</v>
      </c>
      <c r="C441" t="s">
        <v>38</v>
      </c>
      <c r="D441" t="s">
        <v>26</v>
      </c>
      <c r="E441" t="s">
        <v>15</v>
      </c>
      <c r="F441" t="s">
        <v>31</v>
      </c>
      <c r="G441" t="s">
        <v>24</v>
      </c>
      <c r="H441" t="s">
        <v>252</v>
      </c>
      <c r="I441" t="s">
        <v>220</v>
      </c>
      <c r="J441" t="s">
        <v>27</v>
      </c>
      <c r="K441" t="s">
        <v>253</v>
      </c>
      <c r="L441" t="s">
        <v>226</v>
      </c>
      <c r="M441" t="s">
        <v>284</v>
      </c>
      <c r="N441" t="s">
        <v>253</v>
      </c>
      <c r="O441" t="s">
        <v>215</v>
      </c>
      <c r="P441" t="s">
        <v>216</v>
      </c>
      <c r="Q441" t="s">
        <v>217</v>
      </c>
      <c r="R441" t="s">
        <v>218</v>
      </c>
      <c r="S441" t="s">
        <v>244</v>
      </c>
    </row>
    <row r="442" spans="1:19" x14ac:dyDescent="0.35">
      <c r="A442" t="s">
        <v>155</v>
      </c>
      <c r="B442" t="s">
        <v>34</v>
      </c>
      <c r="C442" t="s">
        <v>38</v>
      </c>
      <c r="D442" t="s">
        <v>14</v>
      </c>
      <c r="E442" t="s">
        <v>15</v>
      </c>
      <c r="F442" t="s">
        <v>56</v>
      </c>
      <c r="G442" t="s">
        <v>36</v>
      </c>
      <c r="H442" t="s">
        <v>260</v>
      </c>
      <c r="I442" t="s">
        <v>210</v>
      </c>
      <c r="J442" t="s">
        <v>50</v>
      </c>
      <c r="K442" t="s">
        <v>261</v>
      </c>
      <c r="L442" t="s">
        <v>364</v>
      </c>
      <c r="M442" t="s">
        <v>262</v>
      </c>
      <c r="N442" t="s">
        <v>360</v>
      </c>
      <c r="O442" t="s">
        <v>215</v>
      </c>
      <c r="P442" t="s">
        <v>216</v>
      </c>
      <c r="Q442" t="s">
        <v>217</v>
      </c>
      <c r="R442" t="s">
        <v>218</v>
      </c>
      <c r="S442" t="s">
        <v>238</v>
      </c>
    </row>
    <row r="443" spans="1:19" x14ac:dyDescent="0.35">
      <c r="A443" t="s">
        <v>98</v>
      </c>
      <c r="B443" t="s">
        <v>20</v>
      </c>
      <c r="C443" t="s">
        <v>38</v>
      </c>
      <c r="D443" t="s">
        <v>14</v>
      </c>
      <c r="E443" t="s">
        <v>22</v>
      </c>
      <c r="F443" t="s">
        <v>41</v>
      </c>
      <c r="G443" t="s">
        <v>17</v>
      </c>
      <c r="H443" t="s">
        <v>219</v>
      </c>
      <c r="I443" t="s">
        <v>249</v>
      </c>
      <c r="J443" t="s">
        <v>32</v>
      </c>
      <c r="K443" t="s">
        <v>221</v>
      </c>
      <c r="L443" t="s">
        <v>279</v>
      </c>
      <c r="M443" t="s">
        <v>320</v>
      </c>
      <c r="N443" t="s">
        <v>321</v>
      </c>
      <c r="O443" t="s">
        <v>215</v>
      </c>
      <c r="P443" t="s">
        <v>216</v>
      </c>
      <c r="Q443" t="s">
        <v>217</v>
      </c>
      <c r="R443" t="s">
        <v>218</v>
      </c>
      <c r="S443" t="s">
        <v>220</v>
      </c>
    </row>
    <row r="444" spans="1:19" x14ac:dyDescent="0.35">
      <c r="A444" t="s">
        <v>84</v>
      </c>
      <c r="B444" t="s">
        <v>12</v>
      </c>
      <c r="C444" t="s">
        <v>38</v>
      </c>
      <c r="D444" t="s">
        <v>14</v>
      </c>
      <c r="E444" t="s">
        <v>15</v>
      </c>
      <c r="F444" t="s">
        <v>41</v>
      </c>
      <c r="G444" t="s">
        <v>17</v>
      </c>
      <c r="H444" t="s">
        <v>219</v>
      </c>
      <c r="I444" t="s">
        <v>210</v>
      </c>
      <c r="J444" t="s">
        <v>32</v>
      </c>
      <c r="K444" t="s">
        <v>221</v>
      </c>
      <c r="L444" t="s">
        <v>278</v>
      </c>
      <c r="M444" t="s">
        <v>279</v>
      </c>
      <c r="N444" t="s">
        <v>280</v>
      </c>
      <c r="O444" t="s">
        <v>215</v>
      </c>
      <c r="P444" t="s">
        <v>216</v>
      </c>
      <c r="Q444" t="s">
        <v>217</v>
      </c>
      <c r="R444" t="s">
        <v>218</v>
      </c>
      <c r="S444" t="s">
        <v>220</v>
      </c>
    </row>
    <row r="445" spans="1:19" x14ac:dyDescent="0.35">
      <c r="A445" t="s">
        <v>151</v>
      </c>
      <c r="B445" t="s">
        <v>34</v>
      </c>
      <c r="C445" t="s">
        <v>38</v>
      </c>
      <c r="D445" t="s">
        <v>26</v>
      </c>
      <c r="E445" t="s">
        <v>15</v>
      </c>
      <c r="F445" t="s">
        <v>58</v>
      </c>
      <c r="G445" t="s">
        <v>24</v>
      </c>
      <c r="H445" t="s">
        <v>255</v>
      </c>
      <c r="I445" t="s">
        <v>230</v>
      </c>
      <c r="J445" t="s">
        <v>27</v>
      </c>
      <c r="K445" t="s">
        <v>256</v>
      </c>
      <c r="L445" t="s">
        <v>354</v>
      </c>
      <c r="M445" t="s">
        <v>355</v>
      </c>
      <c r="N445" t="s">
        <v>356</v>
      </c>
      <c r="O445" t="s">
        <v>215</v>
      </c>
      <c r="P445" t="s">
        <v>216</v>
      </c>
      <c r="Q445" t="s">
        <v>217</v>
      </c>
      <c r="R445" t="s">
        <v>218</v>
      </c>
      <c r="S445" t="s">
        <v>238</v>
      </c>
    </row>
    <row r="446" spans="1:19" x14ac:dyDescent="0.35">
      <c r="A446" t="s">
        <v>159</v>
      </c>
      <c r="B446" t="s">
        <v>29</v>
      </c>
      <c r="C446" t="s">
        <v>38</v>
      </c>
      <c r="D446" t="s">
        <v>26</v>
      </c>
      <c r="E446" t="s">
        <v>22</v>
      </c>
      <c r="F446" t="s">
        <v>47</v>
      </c>
      <c r="G446" t="s">
        <v>36</v>
      </c>
      <c r="H446" t="s">
        <v>229</v>
      </c>
      <c r="I446" t="s">
        <v>240</v>
      </c>
      <c r="J446" t="s">
        <v>27</v>
      </c>
      <c r="K446" t="s">
        <v>231</v>
      </c>
      <c r="L446" t="s">
        <v>301</v>
      </c>
      <c r="M446" t="s">
        <v>302</v>
      </c>
      <c r="N446" t="s">
        <v>209</v>
      </c>
      <c r="O446" t="s">
        <v>215</v>
      </c>
      <c r="P446" t="s">
        <v>216</v>
      </c>
      <c r="Q446" t="s">
        <v>217</v>
      </c>
      <c r="R446" t="s">
        <v>218</v>
      </c>
      <c r="S446" t="s">
        <v>265</v>
      </c>
    </row>
    <row r="447" spans="1:19" x14ac:dyDescent="0.35">
      <c r="A447" t="s">
        <v>102</v>
      </c>
      <c r="B447" t="s">
        <v>20</v>
      </c>
      <c r="C447" t="s">
        <v>38</v>
      </c>
      <c r="D447" t="s">
        <v>26</v>
      </c>
      <c r="E447" t="s">
        <v>22</v>
      </c>
      <c r="F447" t="s">
        <v>52</v>
      </c>
      <c r="G447" t="s">
        <v>36</v>
      </c>
      <c r="H447" t="s">
        <v>291</v>
      </c>
      <c r="I447" t="s">
        <v>210</v>
      </c>
      <c r="J447" t="s">
        <v>54</v>
      </c>
      <c r="K447" t="s">
        <v>292</v>
      </c>
      <c r="L447" t="s">
        <v>339</v>
      </c>
      <c r="M447" t="s">
        <v>299</v>
      </c>
      <c r="N447" t="s">
        <v>233</v>
      </c>
      <c r="O447" t="s">
        <v>215</v>
      </c>
      <c r="P447" t="s">
        <v>216</v>
      </c>
      <c r="Q447" t="s">
        <v>217</v>
      </c>
      <c r="R447" t="s">
        <v>218</v>
      </c>
      <c r="S447" t="s">
        <v>238</v>
      </c>
    </row>
    <row r="448" spans="1:19" x14ac:dyDescent="0.35">
      <c r="A448" t="s">
        <v>90</v>
      </c>
      <c r="B448" t="s">
        <v>29</v>
      </c>
      <c r="C448" t="s">
        <v>38</v>
      </c>
      <c r="D448" t="s">
        <v>26</v>
      </c>
      <c r="E448" t="s">
        <v>22</v>
      </c>
      <c r="F448" t="s">
        <v>31</v>
      </c>
      <c r="G448" t="s">
        <v>24</v>
      </c>
      <c r="H448" t="s">
        <v>252</v>
      </c>
      <c r="I448" t="s">
        <v>210</v>
      </c>
      <c r="J448" t="s">
        <v>27</v>
      </c>
      <c r="K448" t="s">
        <v>253</v>
      </c>
      <c r="L448" t="s">
        <v>289</v>
      </c>
      <c r="M448" t="s">
        <v>297</v>
      </c>
      <c r="N448" t="s">
        <v>231</v>
      </c>
      <c r="O448" t="s">
        <v>215</v>
      </c>
      <c r="P448" t="s">
        <v>216</v>
      </c>
      <c r="Q448" t="s">
        <v>217</v>
      </c>
      <c r="R448" t="s">
        <v>218</v>
      </c>
      <c r="S448" t="s">
        <v>244</v>
      </c>
    </row>
    <row r="449" spans="1:19" x14ac:dyDescent="0.35">
      <c r="A449" t="s">
        <v>93</v>
      </c>
      <c r="B449" t="s">
        <v>12</v>
      </c>
      <c r="C449" t="s">
        <v>38</v>
      </c>
      <c r="D449" t="s">
        <v>14</v>
      </c>
      <c r="E449" t="s">
        <v>15</v>
      </c>
      <c r="F449" t="s">
        <v>16</v>
      </c>
      <c r="G449" t="s">
        <v>17</v>
      </c>
      <c r="H449" t="s">
        <v>275</v>
      </c>
      <c r="I449" t="s">
        <v>230</v>
      </c>
      <c r="J449" t="s">
        <v>54</v>
      </c>
      <c r="K449" t="s">
        <v>276</v>
      </c>
      <c r="L449" t="s">
        <v>374</v>
      </c>
      <c r="M449" t="s">
        <v>375</v>
      </c>
      <c r="N449" t="s">
        <v>376</v>
      </c>
      <c r="O449" t="s">
        <v>215</v>
      </c>
      <c r="P449" t="s">
        <v>216</v>
      </c>
      <c r="Q449" t="s">
        <v>217</v>
      </c>
      <c r="R449" t="s">
        <v>218</v>
      </c>
      <c r="S449" t="s">
        <v>220</v>
      </c>
    </row>
    <row r="450" spans="1:19" x14ac:dyDescent="0.35">
      <c r="A450" t="s">
        <v>142</v>
      </c>
      <c r="B450" t="s">
        <v>20</v>
      </c>
      <c r="C450" t="s">
        <v>38</v>
      </c>
      <c r="D450" t="s">
        <v>26</v>
      </c>
      <c r="E450" t="s">
        <v>15</v>
      </c>
      <c r="F450" t="s">
        <v>56</v>
      </c>
      <c r="G450" t="s">
        <v>36</v>
      </c>
      <c r="H450" t="s">
        <v>260</v>
      </c>
      <c r="I450" t="s">
        <v>238</v>
      </c>
      <c r="J450" t="s">
        <v>54</v>
      </c>
      <c r="K450" t="s">
        <v>261</v>
      </c>
      <c r="L450" t="s">
        <v>260</v>
      </c>
      <c r="M450" t="s">
        <v>261</v>
      </c>
      <c r="N450" t="s">
        <v>352</v>
      </c>
      <c r="O450" t="s">
        <v>215</v>
      </c>
      <c r="P450" t="s">
        <v>216</v>
      </c>
      <c r="Q450" t="s">
        <v>217</v>
      </c>
      <c r="R450" t="s">
        <v>218</v>
      </c>
      <c r="S450" t="s">
        <v>220</v>
      </c>
    </row>
    <row r="451" spans="1:19" x14ac:dyDescent="0.35">
      <c r="A451" t="s">
        <v>101</v>
      </c>
      <c r="B451" t="s">
        <v>34</v>
      </c>
      <c r="C451" t="s">
        <v>38</v>
      </c>
      <c r="D451" t="s">
        <v>26</v>
      </c>
      <c r="E451" t="s">
        <v>22</v>
      </c>
      <c r="F451" t="s">
        <v>58</v>
      </c>
      <c r="G451" t="s">
        <v>24</v>
      </c>
      <c r="H451" t="s">
        <v>255</v>
      </c>
      <c r="I451" t="s">
        <v>249</v>
      </c>
      <c r="J451" t="s">
        <v>27</v>
      </c>
      <c r="K451" t="s">
        <v>256</v>
      </c>
      <c r="L451" t="s">
        <v>286</v>
      </c>
      <c r="M451" t="s">
        <v>295</v>
      </c>
      <c r="N451" t="s">
        <v>296</v>
      </c>
      <c r="O451" t="s">
        <v>215</v>
      </c>
      <c r="P451" t="s">
        <v>216</v>
      </c>
      <c r="Q451" t="s">
        <v>217</v>
      </c>
      <c r="R451" t="s">
        <v>218</v>
      </c>
      <c r="S451" t="s">
        <v>220</v>
      </c>
    </row>
    <row r="452" spans="1:19" x14ac:dyDescent="0.35">
      <c r="A452" t="s">
        <v>51</v>
      </c>
      <c r="B452" t="s">
        <v>34</v>
      </c>
      <c r="C452" t="s">
        <v>38</v>
      </c>
      <c r="D452" t="s">
        <v>14</v>
      </c>
      <c r="E452" t="s">
        <v>15</v>
      </c>
      <c r="F452" t="s">
        <v>16</v>
      </c>
      <c r="G452" t="s">
        <v>17</v>
      </c>
      <c r="H452" t="s">
        <v>275</v>
      </c>
      <c r="I452" t="s">
        <v>230</v>
      </c>
      <c r="J452" t="s">
        <v>43</v>
      </c>
      <c r="K452" t="s">
        <v>276</v>
      </c>
      <c r="L452" t="s">
        <v>374</v>
      </c>
      <c r="M452" t="s">
        <v>375</v>
      </c>
      <c r="N452" t="s">
        <v>376</v>
      </c>
      <c r="O452" t="s">
        <v>215</v>
      </c>
      <c r="P452" t="s">
        <v>216</v>
      </c>
      <c r="Q452" t="s">
        <v>217</v>
      </c>
      <c r="R452" t="s">
        <v>218</v>
      </c>
      <c r="S452" t="s">
        <v>244</v>
      </c>
    </row>
    <row r="453" spans="1:19" x14ac:dyDescent="0.35">
      <c r="A453" t="s">
        <v>73</v>
      </c>
      <c r="B453" t="s">
        <v>20</v>
      </c>
      <c r="C453" t="s">
        <v>38</v>
      </c>
      <c r="D453" t="s">
        <v>26</v>
      </c>
      <c r="E453" t="s">
        <v>22</v>
      </c>
      <c r="F453" t="s">
        <v>52</v>
      </c>
      <c r="G453" t="s">
        <v>36</v>
      </c>
      <c r="H453" t="s">
        <v>291</v>
      </c>
      <c r="I453" t="s">
        <v>240</v>
      </c>
      <c r="J453" t="s">
        <v>18</v>
      </c>
      <c r="K453" t="s">
        <v>292</v>
      </c>
      <c r="L453" t="s">
        <v>349</v>
      </c>
      <c r="M453" t="s">
        <v>350</v>
      </c>
      <c r="N453" t="s">
        <v>351</v>
      </c>
      <c r="O453" t="s">
        <v>215</v>
      </c>
      <c r="P453" t="s">
        <v>216</v>
      </c>
      <c r="Q453" t="s">
        <v>217</v>
      </c>
      <c r="R453" t="s">
        <v>218</v>
      </c>
      <c r="S453" t="s">
        <v>265</v>
      </c>
    </row>
    <row r="454" spans="1:19" x14ac:dyDescent="0.35">
      <c r="A454" t="s">
        <v>131</v>
      </c>
      <c r="B454" t="s">
        <v>34</v>
      </c>
      <c r="C454" t="s">
        <v>38</v>
      </c>
      <c r="D454" t="s">
        <v>26</v>
      </c>
      <c r="E454" t="s">
        <v>15</v>
      </c>
      <c r="F454" t="s">
        <v>41</v>
      </c>
      <c r="G454" t="s">
        <v>17</v>
      </c>
      <c r="H454" t="s">
        <v>219</v>
      </c>
      <c r="I454" t="s">
        <v>269</v>
      </c>
      <c r="J454" t="s">
        <v>43</v>
      </c>
      <c r="K454" t="s">
        <v>221</v>
      </c>
      <c r="L454" t="s">
        <v>362</v>
      </c>
      <c r="M454" t="s">
        <v>363</v>
      </c>
      <c r="N454" t="s">
        <v>342</v>
      </c>
      <c r="O454" t="s">
        <v>215</v>
      </c>
      <c r="P454" t="s">
        <v>216</v>
      </c>
      <c r="Q454" t="s">
        <v>217</v>
      </c>
      <c r="R454" t="s">
        <v>218</v>
      </c>
      <c r="S454" t="s">
        <v>238</v>
      </c>
    </row>
    <row r="455" spans="1:19" x14ac:dyDescent="0.35">
      <c r="A455" t="s">
        <v>82</v>
      </c>
      <c r="B455" t="s">
        <v>34</v>
      </c>
      <c r="C455" t="s">
        <v>38</v>
      </c>
      <c r="D455" t="s">
        <v>26</v>
      </c>
      <c r="E455" t="s">
        <v>15</v>
      </c>
      <c r="F455" t="s">
        <v>56</v>
      </c>
      <c r="G455" t="s">
        <v>36</v>
      </c>
      <c r="H455" t="s">
        <v>260</v>
      </c>
      <c r="I455" t="s">
        <v>210</v>
      </c>
      <c r="J455" t="s">
        <v>18</v>
      </c>
      <c r="K455" t="s">
        <v>261</v>
      </c>
      <c r="L455" t="s">
        <v>364</v>
      </c>
      <c r="M455" t="s">
        <v>262</v>
      </c>
      <c r="N455" t="s">
        <v>360</v>
      </c>
      <c r="O455" t="s">
        <v>215</v>
      </c>
      <c r="P455" t="s">
        <v>216</v>
      </c>
      <c r="Q455" t="s">
        <v>217</v>
      </c>
      <c r="R455" t="s">
        <v>218</v>
      </c>
      <c r="S455" t="s">
        <v>238</v>
      </c>
    </row>
    <row r="456" spans="1:19" x14ac:dyDescent="0.35">
      <c r="A456" t="s">
        <v>131</v>
      </c>
      <c r="B456" t="s">
        <v>29</v>
      </c>
      <c r="C456" t="s">
        <v>38</v>
      </c>
      <c r="D456" t="s">
        <v>14</v>
      </c>
      <c r="E456" t="s">
        <v>15</v>
      </c>
      <c r="F456" t="s">
        <v>47</v>
      </c>
      <c r="G456" t="s">
        <v>36</v>
      </c>
      <c r="H456" t="s">
        <v>229</v>
      </c>
      <c r="I456" t="s">
        <v>230</v>
      </c>
      <c r="J456" t="s">
        <v>50</v>
      </c>
      <c r="K456" t="s">
        <v>231</v>
      </c>
      <c r="L456" t="s">
        <v>232</v>
      </c>
      <c r="M456" t="s">
        <v>233</v>
      </c>
      <c r="N456" t="s">
        <v>234</v>
      </c>
      <c r="O456" t="s">
        <v>215</v>
      </c>
      <c r="P456" t="s">
        <v>216</v>
      </c>
      <c r="Q456" t="s">
        <v>217</v>
      </c>
      <c r="R456" t="s">
        <v>218</v>
      </c>
      <c r="S456" t="s">
        <v>238</v>
      </c>
    </row>
    <row r="457" spans="1:19" x14ac:dyDescent="0.35">
      <c r="A457" t="s">
        <v>68</v>
      </c>
      <c r="B457" t="s">
        <v>34</v>
      </c>
      <c r="C457" t="s">
        <v>38</v>
      </c>
      <c r="D457" t="s">
        <v>14</v>
      </c>
      <c r="E457" t="s">
        <v>15</v>
      </c>
      <c r="F457" t="s">
        <v>58</v>
      </c>
      <c r="G457" t="s">
        <v>24</v>
      </c>
      <c r="H457" t="s">
        <v>255</v>
      </c>
      <c r="I457" t="s">
        <v>225</v>
      </c>
      <c r="J457" t="s">
        <v>43</v>
      </c>
      <c r="K457" t="s">
        <v>256</v>
      </c>
      <c r="L457" t="s">
        <v>324</v>
      </c>
      <c r="M457" t="s">
        <v>303</v>
      </c>
      <c r="N457" t="s">
        <v>255</v>
      </c>
      <c r="O457" t="s">
        <v>215</v>
      </c>
      <c r="P457" t="s">
        <v>216</v>
      </c>
      <c r="Q457" t="s">
        <v>217</v>
      </c>
      <c r="R457" t="s">
        <v>218</v>
      </c>
      <c r="S457" t="s">
        <v>238</v>
      </c>
    </row>
    <row r="458" spans="1:19" x14ac:dyDescent="0.35">
      <c r="A458" t="s">
        <v>72</v>
      </c>
      <c r="B458" t="s">
        <v>29</v>
      </c>
      <c r="C458" t="s">
        <v>38</v>
      </c>
      <c r="D458" t="s">
        <v>14</v>
      </c>
      <c r="E458" t="s">
        <v>15</v>
      </c>
      <c r="F458" t="s">
        <v>58</v>
      </c>
      <c r="G458" t="s">
        <v>24</v>
      </c>
      <c r="H458" t="s">
        <v>255</v>
      </c>
      <c r="I458" t="s">
        <v>238</v>
      </c>
      <c r="J458" t="s">
        <v>50</v>
      </c>
      <c r="K458" t="s">
        <v>256</v>
      </c>
      <c r="L458" t="s">
        <v>255</v>
      </c>
      <c r="M458" t="s">
        <v>256</v>
      </c>
      <c r="N458" t="s">
        <v>334</v>
      </c>
      <c r="O458" t="s">
        <v>215</v>
      </c>
      <c r="P458" t="s">
        <v>216</v>
      </c>
      <c r="Q458" t="s">
        <v>217</v>
      </c>
      <c r="R458" t="s">
        <v>218</v>
      </c>
      <c r="S458" t="s">
        <v>244</v>
      </c>
    </row>
    <row r="459" spans="1:19" x14ac:dyDescent="0.35">
      <c r="A459" t="s">
        <v>107</v>
      </c>
      <c r="B459" t="s">
        <v>12</v>
      </c>
      <c r="C459" t="s">
        <v>38</v>
      </c>
      <c r="D459" t="s">
        <v>26</v>
      </c>
      <c r="E459" t="s">
        <v>22</v>
      </c>
      <c r="F459" t="s">
        <v>23</v>
      </c>
      <c r="G459" t="s">
        <v>24</v>
      </c>
      <c r="H459" t="s">
        <v>239</v>
      </c>
      <c r="I459" t="s">
        <v>225</v>
      </c>
      <c r="J459" t="s">
        <v>50</v>
      </c>
      <c r="K459" t="s">
        <v>245</v>
      </c>
      <c r="L459" t="s">
        <v>229</v>
      </c>
      <c r="M459" t="s">
        <v>231</v>
      </c>
      <c r="N459" t="s">
        <v>239</v>
      </c>
      <c r="O459" t="s">
        <v>215</v>
      </c>
      <c r="P459" t="s">
        <v>216</v>
      </c>
      <c r="Q459" t="s">
        <v>217</v>
      </c>
      <c r="R459" t="s">
        <v>218</v>
      </c>
      <c r="S459" t="s">
        <v>244</v>
      </c>
    </row>
    <row r="460" spans="1:19" x14ac:dyDescent="0.35">
      <c r="A460" t="s">
        <v>124</v>
      </c>
      <c r="B460" t="s">
        <v>29</v>
      </c>
      <c r="C460" t="s">
        <v>38</v>
      </c>
      <c r="D460" t="s">
        <v>14</v>
      </c>
      <c r="E460" t="s">
        <v>15</v>
      </c>
      <c r="F460" t="s">
        <v>31</v>
      </c>
      <c r="G460" t="s">
        <v>24</v>
      </c>
      <c r="H460" t="s">
        <v>252</v>
      </c>
      <c r="I460" t="s">
        <v>249</v>
      </c>
      <c r="J460" t="s">
        <v>54</v>
      </c>
      <c r="K460" t="s">
        <v>253</v>
      </c>
      <c r="L460" t="s">
        <v>297</v>
      </c>
      <c r="M460" t="s">
        <v>243</v>
      </c>
      <c r="N460" t="s">
        <v>311</v>
      </c>
      <c r="O460" t="s">
        <v>215</v>
      </c>
      <c r="P460" t="s">
        <v>216</v>
      </c>
      <c r="Q460" t="s">
        <v>217</v>
      </c>
      <c r="R460" t="s">
        <v>218</v>
      </c>
      <c r="S460" t="s">
        <v>238</v>
      </c>
    </row>
    <row r="461" spans="1:19" x14ac:dyDescent="0.35">
      <c r="A461" t="s">
        <v>159</v>
      </c>
      <c r="B461" t="s">
        <v>34</v>
      </c>
      <c r="C461" t="s">
        <v>38</v>
      </c>
      <c r="D461" t="s">
        <v>14</v>
      </c>
      <c r="E461" t="s">
        <v>22</v>
      </c>
      <c r="F461" t="s">
        <v>31</v>
      </c>
      <c r="G461" t="s">
        <v>24</v>
      </c>
      <c r="H461" t="s">
        <v>252</v>
      </c>
      <c r="I461" t="s">
        <v>210</v>
      </c>
      <c r="J461" t="s">
        <v>50</v>
      </c>
      <c r="K461" t="s">
        <v>253</v>
      </c>
      <c r="L461" t="s">
        <v>289</v>
      </c>
      <c r="M461" t="s">
        <v>297</v>
      </c>
      <c r="N461" t="s">
        <v>231</v>
      </c>
      <c r="O461" t="s">
        <v>215</v>
      </c>
      <c r="P461" t="s">
        <v>216</v>
      </c>
      <c r="Q461" t="s">
        <v>217</v>
      </c>
      <c r="R461" t="s">
        <v>218</v>
      </c>
      <c r="S461" t="s">
        <v>265</v>
      </c>
    </row>
    <row r="462" spans="1:19" x14ac:dyDescent="0.35">
      <c r="A462" t="s">
        <v>55</v>
      </c>
      <c r="B462" t="s">
        <v>34</v>
      </c>
      <c r="C462" t="s">
        <v>38</v>
      </c>
      <c r="D462" t="s">
        <v>14</v>
      </c>
      <c r="E462" t="s">
        <v>15</v>
      </c>
      <c r="F462" t="s">
        <v>31</v>
      </c>
      <c r="G462" t="s">
        <v>24</v>
      </c>
      <c r="H462" t="s">
        <v>252</v>
      </c>
      <c r="I462" t="s">
        <v>225</v>
      </c>
      <c r="J462" t="s">
        <v>54</v>
      </c>
      <c r="K462" t="s">
        <v>253</v>
      </c>
      <c r="L462" t="s">
        <v>224</v>
      </c>
      <c r="M462" t="s">
        <v>226</v>
      </c>
      <c r="N462" t="s">
        <v>252</v>
      </c>
      <c r="O462" t="s">
        <v>215</v>
      </c>
      <c r="P462" t="s">
        <v>216</v>
      </c>
      <c r="Q462" t="s">
        <v>217</v>
      </c>
      <c r="R462" t="s">
        <v>218</v>
      </c>
      <c r="S462" t="s">
        <v>220</v>
      </c>
    </row>
    <row r="463" spans="1:19" x14ac:dyDescent="0.35">
      <c r="A463" t="s">
        <v>33</v>
      </c>
      <c r="B463" t="s">
        <v>29</v>
      </c>
      <c r="C463" t="s">
        <v>38</v>
      </c>
      <c r="D463" t="s">
        <v>14</v>
      </c>
      <c r="E463" t="s">
        <v>22</v>
      </c>
      <c r="F463" t="s">
        <v>41</v>
      </c>
      <c r="G463" t="s">
        <v>17</v>
      </c>
      <c r="H463" t="s">
        <v>219</v>
      </c>
      <c r="I463" t="s">
        <v>230</v>
      </c>
      <c r="J463" t="s">
        <v>50</v>
      </c>
      <c r="K463" t="s">
        <v>221</v>
      </c>
      <c r="L463" t="s">
        <v>235</v>
      </c>
      <c r="M463" t="s">
        <v>236</v>
      </c>
      <c r="N463" t="s">
        <v>237</v>
      </c>
      <c r="O463" t="s">
        <v>215</v>
      </c>
      <c r="P463" t="s">
        <v>216</v>
      </c>
      <c r="Q463" t="s">
        <v>217</v>
      </c>
      <c r="R463" t="s">
        <v>218</v>
      </c>
      <c r="S463" t="s">
        <v>220</v>
      </c>
    </row>
    <row r="464" spans="1:19" x14ac:dyDescent="0.35">
      <c r="A464" t="s">
        <v>59</v>
      </c>
      <c r="B464" t="s">
        <v>29</v>
      </c>
      <c r="C464" t="s">
        <v>38</v>
      </c>
      <c r="D464" t="s">
        <v>14</v>
      </c>
      <c r="E464" t="s">
        <v>15</v>
      </c>
      <c r="F464" t="s">
        <v>56</v>
      </c>
      <c r="G464" t="s">
        <v>36</v>
      </c>
      <c r="H464" t="s">
        <v>260</v>
      </c>
      <c r="I464" t="s">
        <v>220</v>
      </c>
      <c r="J464" t="s">
        <v>18</v>
      </c>
      <c r="K464" t="s">
        <v>261</v>
      </c>
      <c r="L464" t="s">
        <v>335</v>
      </c>
      <c r="M464" t="s">
        <v>336</v>
      </c>
      <c r="N464" t="s">
        <v>261</v>
      </c>
      <c r="O464" t="s">
        <v>215</v>
      </c>
      <c r="P464" t="s">
        <v>216</v>
      </c>
      <c r="Q464" t="s">
        <v>217</v>
      </c>
      <c r="R464" t="s">
        <v>218</v>
      </c>
      <c r="S464" t="s">
        <v>265</v>
      </c>
    </row>
    <row r="465" spans="1:19" x14ac:dyDescent="0.35">
      <c r="A465" t="s">
        <v>157</v>
      </c>
      <c r="B465" t="s">
        <v>34</v>
      </c>
      <c r="C465" t="s">
        <v>38</v>
      </c>
      <c r="D465" t="s">
        <v>14</v>
      </c>
      <c r="E465" t="s">
        <v>15</v>
      </c>
      <c r="F465" t="s">
        <v>35</v>
      </c>
      <c r="G465" t="s">
        <v>36</v>
      </c>
      <c r="H465" t="s">
        <v>224</v>
      </c>
      <c r="I465" t="s">
        <v>249</v>
      </c>
      <c r="J465" t="s">
        <v>27</v>
      </c>
      <c r="K465" t="s">
        <v>226</v>
      </c>
      <c r="L465" t="s">
        <v>366</v>
      </c>
      <c r="M465" t="s">
        <v>241</v>
      </c>
      <c r="N465" t="s">
        <v>297</v>
      </c>
      <c r="O465" t="s">
        <v>215</v>
      </c>
      <c r="P465" t="s">
        <v>216</v>
      </c>
      <c r="Q465" t="s">
        <v>217</v>
      </c>
      <c r="R465" t="s">
        <v>218</v>
      </c>
      <c r="S465" t="s">
        <v>244</v>
      </c>
    </row>
    <row r="466" spans="1:19" x14ac:dyDescent="0.35">
      <c r="A466" t="s">
        <v>94</v>
      </c>
      <c r="B466" t="s">
        <v>29</v>
      </c>
      <c r="C466" t="s">
        <v>38</v>
      </c>
      <c r="D466" t="s">
        <v>14</v>
      </c>
      <c r="E466" t="s">
        <v>15</v>
      </c>
      <c r="F466" t="s">
        <v>31</v>
      </c>
      <c r="G466" t="s">
        <v>24</v>
      </c>
      <c r="H466" t="s">
        <v>252</v>
      </c>
      <c r="I466" t="s">
        <v>265</v>
      </c>
      <c r="J466" t="s">
        <v>43</v>
      </c>
      <c r="K466" t="s">
        <v>253</v>
      </c>
      <c r="L466" t="s">
        <v>231</v>
      </c>
      <c r="M466" t="s">
        <v>311</v>
      </c>
      <c r="N466" t="s">
        <v>245</v>
      </c>
      <c r="O466" t="s">
        <v>215</v>
      </c>
      <c r="P466" t="s">
        <v>216</v>
      </c>
      <c r="Q466" t="s">
        <v>217</v>
      </c>
      <c r="R466" t="s">
        <v>218</v>
      </c>
      <c r="S466" t="s">
        <v>244</v>
      </c>
    </row>
    <row r="467" spans="1:19" x14ac:dyDescent="0.35">
      <c r="A467" t="s">
        <v>11</v>
      </c>
      <c r="B467" t="s">
        <v>20</v>
      </c>
      <c r="C467" t="s">
        <v>38</v>
      </c>
      <c r="D467" t="s">
        <v>26</v>
      </c>
      <c r="E467" t="s">
        <v>22</v>
      </c>
      <c r="F467" t="s">
        <v>52</v>
      </c>
      <c r="G467" t="s">
        <v>36</v>
      </c>
      <c r="H467" t="s">
        <v>291</v>
      </c>
      <c r="I467" t="s">
        <v>244</v>
      </c>
      <c r="J467" t="s">
        <v>27</v>
      </c>
      <c r="K467" t="s">
        <v>292</v>
      </c>
      <c r="L467" t="s">
        <v>317</v>
      </c>
      <c r="M467" t="s">
        <v>318</v>
      </c>
      <c r="N467" t="s">
        <v>319</v>
      </c>
      <c r="O467" t="s">
        <v>215</v>
      </c>
      <c r="P467" t="s">
        <v>216</v>
      </c>
      <c r="Q467" t="s">
        <v>217</v>
      </c>
      <c r="R467" t="s">
        <v>218</v>
      </c>
      <c r="S467" t="s">
        <v>238</v>
      </c>
    </row>
    <row r="468" spans="1:19" x14ac:dyDescent="0.35">
      <c r="A468" t="s">
        <v>126</v>
      </c>
      <c r="B468" t="s">
        <v>20</v>
      </c>
      <c r="C468" t="s">
        <v>38</v>
      </c>
      <c r="D468" t="s">
        <v>26</v>
      </c>
      <c r="E468" t="s">
        <v>15</v>
      </c>
      <c r="F468" t="s">
        <v>35</v>
      </c>
      <c r="G468" t="s">
        <v>36</v>
      </c>
      <c r="H468" t="s">
        <v>224</v>
      </c>
      <c r="I468" t="s">
        <v>265</v>
      </c>
      <c r="J468" t="s">
        <v>50</v>
      </c>
      <c r="K468" t="s">
        <v>226</v>
      </c>
      <c r="L468" t="s">
        <v>289</v>
      </c>
      <c r="M468" t="s">
        <v>297</v>
      </c>
      <c r="N468" t="s">
        <v>231</v>
      </c>
      <c r="O468" t="s">
        <v>215</v>
      </c>
      <c r="P468" t="s">
        <v>216</v>
      </c>
      <c r="Q468" t="s">
        <v>217</v>
      </c>
      <c r="R468" t="s">
        <v>218</v>
      </c>
      <c r="S468" t="s">
        <v>244</v>
      </c>
    </row>
    <row r="469" spans="1:19" x14ac:dyDescent="0.35">
      <c r="A469" t="s">
        <v>128</v>
      </c>
      <c r="B469" t="s">
        <v>34</v>
      </c>
      <c r="C469" t="s">
        <v>38</v>
      </c>
      <c r="D469" t="s">
        <v>26</v>
      </c>
      <c r="E469" t="s">
        <v>22</v>
      </c>
      <c r="F469" t="s">
        <v>47</v>
      </c>
      <c r="G469" t="s">
        <v>36</v>
      </c>
      <c r="H469" t="s">
        <v>229</v>
      </c>
      <c r="I469" t="s">
        <v>225</v>
      </c>
      <c r="J469" t="s">
        <v>27</v>
      </c>
      <c r="K469" t="s">
        <v>231</v>
      </c>
      <c r="L469" t="s">
        <v>288</v>
      </c>
      <c r="M469" t="s">
        <v>289</v>
      </c>
      <c r="N469" t="s">
        <v>229</v>
      </c>
      <c r="O469" t="s">
        <v>215</v>
      </c>
      <c r="P469" t="s">
        <v>216</v>
      </c>
      <c r="Q469" t="s">
        <v>217</v>
      </c>
      <c r="R469" t="s">
        <v>218</v>
      </c>
      <c r="S469" t="s">
        <v>220</v>
      </c>
    </row>
    <row r="470" spans="1:19" x14ac:dyDescent="0.35">
      <c r="A470" t="s">
        <v>99</v>
      </c>
      <c r="B470" t="s">
        <v>34</v>
      </c>
      <c r="C470" t="s">
        <v>38</v>
      </c>
      <c r="D470" t="s">
        <v>14</v>
      </c>
      <c r="E470" t="s">
        <v>22</v>
      </c>
      <c r="F470" t="s">
        <v>31</v>
      </c>
      <c r="G470" t="s">
        <v>24</v>
      </c>
      <c r="H470" t="s">
        <v>252</v>
      </c>
      <c r="I470" t="s">
        <v>238</v>
      </c>
      <c r="J470" t="s">
        <v>18</v>
      </c>
      <c r="K470" t="s">
        <v>253</v>
      </c>
      <c r="L470" t="s">
        <v>252</v>
      </c>
      <c r="M470" t="s">
        <v>253</v>
      </c>
      <c r="N470" t="s">
        <v>313</v>
      </c>
      <c r="O470" t="s">
        <v>215</v>
      </c>
      <c r="P470" t="s">
        <v>216</v>
      </c>
      <c r="Q470" t="s">
        <v>217</v>
      </c>
      <c r="R470" t="s">
        <v>218</v>
      </c>
      <c r="S470" t="s">
        <v>220</v>
      </c>
    </row>
    <row r="471" spans="1:19" x14ac:dyDescent="0.35">
      <c r="A471" t="s">
        <v>110</v>
      </c>
      <c r="B471" t="s">
        <v>12</v>
      </c>
      <c r="C471" t="s">
        <v>38</v>
      </c>
      <c r="D471" t="s">
        <v>26</v>
      </c>
      <c r="E471" t="s">
        <v>15</v>
      </c>
      <c r="F471" t="s">
        <v>39</v>
      </c>
      <c r="G471" t="s">
        <v>24</v>
      </c>
      <c r="H471" t="s">
        <v>209</v>
      </c>
      <c r="I471" t="s">
        <v>265</v>
      </c>
      <c r="J471" t="s">
        <v>50</v>
      </c>
      <c r="K471" t="s">
        <v>211</v>
      </c>
      <c r="L471" t="s">
        <v>214</v>
      </c>
      <c r="M471" t="s">
        <v>251</v>
      </c>
      <c r="N471" t="s">
        <v>247</v>
      </c>
      <c r="O471" t="s">
        <v>215</v>
      </c>
      <c r="P471" t="s">
        <v>216</v>
      </c>
      <c r="Q471" t="s">
        <v>217</v>
      </c>
      <c r="R471" t="s">
        <v>218</v>
      </c>
      <c r="S471" t="s">
        <v>265</v>
      </c>
    </row>
    <row r="472" spans="1:19" x14ac:dyDescent="0.35">
      <c r="A472" t="s">
        <v>71</v>
      </c>
      <c r="B472" t="s">
        <v>34</v>
      </c>
      <c r="C472" t="s">
        <v>38</v>
      </c>
      <c r="D472" t="s">
        <v>26</v>
      </c>
      <c r="E472" t="s">
        <v>22</v>
      </c>
      <c r="F472" t="s">
        <v>16</v>
      </c>
      <c r="G472" t="s">
        <v>17</v>
      </c>
      <c r="H472" t="s">
        <v>275</v>
      </c>
      <c r="I472" t="s">
        <v>269</v>
      </c>
      <c r="J472" t="s">
        <v>32</v>
      </c>
      <c r="K472" t="s">
        <v>276</v>
      </c>
      <c r="L472" t="s">
        <v>380</v>
      </c>
      <c r="M472" t="s">
        <v>381</v>
      </c>
      <c r="N472" t="s">
        <v>382</v>
      </c>
      <c r="O472" t="s">
        <v>215</v>
      </c>
      <c r="P472" t="s">
        <v>216</v>
      </c>
      <c r="Q472" t="s">
        <v>217</v>
      </c>
      <c r="R472" t="s">
        <v>218</v>
      </c>
      <c r="S472" t="s">
        <v>265</v>
      </c>
    </row>
    <row r="473" spans="1:19" x14ac:dyDescent="0.35">
      <c r="A473" t="s">
        <v>127</v>
      </c>
      <c r="B473" t="s">
        <v>29</v>
      </c>
      <c r="C473" t="s">
        <v>38</v>
      </c>
      <c r="D473" t="s">
        <v>14</v>
      </c>
      <c r="E473" t="s">
        <v>22</v>
      </c>
      <c r="F473" t="s">
        <v>52</v>
      </c>
      <c r="G473" t="s">
        <v>36</v>
      </c>
      <c r="H473" t="s">
        <v>291</v>
      </c>
      <c r="I473" t="s">
        <v>230</v>
      </c>
      <c r="J473" t="s">
        <v>43</v>
      </c>
      <c r="K473" t="s">
        <v>292</v>
      </c>
      <c r="L473" t="s">
        <v>357</v>
      </c>
      <c r="M473" t="s">
        <v>358</v>
      </c>
      <c r="N473" t="s">
        <v>359</v>
      </c>
      <c r="O473" t="s">
        <v>215</v>
      </c>
      <c r="P473" t="s">
        <v>216</v>
      </c>
      <c r="Q473" t="s">
        <v>217</v>
      </c>
      <c r="R473" t="s">
        <v>218</v>
      </c>
      <c r="S473" t="s">
        <v>220</v>
      </c>
    </row>
    <row r="474" spans="1:19" x14ac:dyDescent="0.35">
      <c r="A474" t="s">
        <v>151</v>
      </c>
      <c r="B474" t="s">
        <v>20</v>
      </c>
      <c r="C474" t="s">
        <v>38</v>
      </c>
      <c r="D474" t="s">
        <v>14</v>
      </c>
      <c r="E474" t="s">
        <v>15</v>
      </c>
      <c r="F474" t="s">
        <v>39</v>
      </c>
      <c r="G474" t="s">
        <v>24</v>
      </c>
      <c r="H474" t="s">
        <v>209</v>
      </c>
      <c r="I474" t="s">
        <v>265</v>
      </c>
      <c r="J474" t="s">
        <v>43</v>
      </c>
      <c r="K474" t="s">
        <v>211</v>
      </c>
      <c r="L474" t="s">
        <v>214</v>
      </c>
      <c r="M474" t="s">
        <v>251</v>
      </c>
      <c r="N474" t="s">
        <v>247</v>
      </c>
      <c r="O474" t="s">
        <v>215</v>
      </c>
      <c r="P474" t="s">
        <v>216</v>
      </c>
      <c r="Q474" t="s">
        <v>217</v>
      </c>
      <c r="R474" t="s">
        <v>218</v>
      </c>
      <c r="S474" t="s">
        <v>238</v>
      </c>
    </row>
    <row r="475" spans="1:19" x14ac:dyDescent="0.35">
      <c r="A475" t="s">
        <v>122</v>
      </c>
      <c r="B475" t="s">
        <v>20</v>
      </c>
      <c r="C475" t="s">
        <v>38</v>
      </c>
      <c r="D475" t="s">
        <v>14</v>
      </c>
      <c r="E475" t="s">
        <v>22</v>
      </c>
      <c r="F475" t="s">
        <v>16</v>
      </c>
      <c r="G475" t="s">
        <v>17</v>
      </c>
      <c r="H475" t="s">
        <v>275</v>
      </c>
      <c r="I475" t="s">
        <v>265</v>
      </c>
      <c r="J475" t="s">
        <v>54</v>
      </c>
      <c r="K475" t="s">
        <v>276</v>
      </c>
      <c r="L475" t="s">
        <v>316</v>
      </c>
      <c r="M475" t="s">
        <v>323</v>
      </c>
      <c r="N475" t="s">
        <v>344</v>
      </c>
      <c r="O475" t="s">
        <v>215</v>
      </c>
      <c r="P475" t="s">
        <v>216</v>
      </c>
      <c r="Q475" t="s">
        <v>217</v>
      </c>
      <c r="R475" t="s">
        <v>218</v>
      </c>
      <c r="S475" t="s">
        <v>220</v>
      </c>
    </row>
    <row r="476" spans="1:19" x14ac:dyDescent="0.35">
      <c r="A476" t="s">
        <v>141</v>
      </c>
      <c r="B476" t="s">
        <v>34</v>
      </c>
      <c r="C476" t="s">
        <v>38</v>
      </c>
      <c r="D476" t="s">
        <v>26</v>
      </c>
      <c r="E476" t="s">
        <v>22</v>
      </c>
      <c r="F476" t="s">
        <v>56</v>
      </c>
      <c r="G476" t="s">
        <v>36</v>
      </c>
      <c r="H476" t="s">
        <v>260</v>
      </c>
      <c r="I476" t="s">
        <v>225</v>
      </c>
      <c r="J476" t="s">
        <v>32</v>
      </c>
      <c r="K476" t="s">
        <v>261</v>
      </c>
      <c r="L476" t="s">
        <v>379</v>
      </c>
      <c r="M476" t="s">
        <v>335</v>
      </c>
      <c r="N476" t="s">
        <v>260</v>
      </c>
      <c r="O476" t="s">
        <v>215</v>
      </c>
      <c r="P476" t="s">
        <v>216</v>
      </c>
      <c r="Q476" t="s">
        <v>217</v>
      </c>
      <c r="R476" t="s">
        <v>218</v>
      </c>
      <c r="S476" t="s">
        <v>265</v>
      </c>
    </row>
    <row r="477" spans="1:19" x14ac:dyDescent="0.35">
      <c r="A477" t="s">
        <v>123</v>
      </c>
      <c r="B477" t="s">
        <v>29</v>
      </c>
      <c r="C477" t="s">
        <v>38</v>
      </c>
      <c r="D477" t="s">
        <v>14</v>
      </c>
      <c r="E477" t="s">
        <v>15</v>
      </c>
      <c r="F477" t="s">
        <v>23</v>
      </c>
      <c r="G477" t="s">
        <v>24</v>
      </c>
      <c r="H477" t="s">
        <v>239</v>
      </c>
      <c r="I477" t="s">
        <v>265</v>
      </c>
      <c r="J477" t="s">
        <v>27</v>
      </c>
      <c r="K477" t="s">
        <v>245</v>
      </c>
      <c r="L477" t="s">
        <v>252</v>
      </c>
      <c r="M477" t="s">
        <v>253</v>
      </c>
      <c r="N477" t="s">
        <v>313</v>
      </c>
      <c r="O477" t="s">
        <v>215</v>
      </c>
      <c r="P477" t="s">
        <v>216</v>
      </c>
      <c r="Q477" t="s">
        <v>217</v>
      </c>
      <c r="R477" t="s">
        <v>218</v>
      </c>
      <c r="S477" t="s">
        <v>220</v>
      </c>
    </row>
    <row r="478" spans="1:19" x14ac:dyDescent="0.35">
      <c r="A478" t="s">
        <v>59</v>
      </c>
      <c r="B478" t="s">
        <v>34</v>
      </c>
      <c r="C478" t="s">
        <v>38</v>
      </c>
      <c r="D478" t="s">
        <v>26</v>
      </c>
      <c r="E478" t="s">
        <v>15</v>
      </c>
      <c r="F478" t="s">
        <v>58</v>
      </c>
      <c r="G478" t="s">
        <v>24</v>
      </c>
      <c r="H478" t="s">
        <v>255</v>
      </c>
      <c r="I478" t="s">
        <v>265</v>
      </c>
      <c r="J478" t="s">
        <v>43</v>
      </c>
      <c r="K478" t="s">
        <v>256</v>
      </c>
      <c r="L478" t="s">
        <v>287</v>
      </c>
      <c r="M478" t="s">
        <v>296</v>
      </c>
      <c r="N478" t="s">
        <v>341</v>
      </c>
      <c r="O478" t="s">
        <v>215</v>
      </c>
      <c r="P478" t="s">
        <v>216</v>
      </c>
      <c r="Q478" t="s">
        <v>217</v>
      </c>
      <c r="R478" t="s">
        <v>218</v>
      </c>
      <c r="S478" t="s">
        <v>265</v>
      </c>
    </row>
    <row r="479" spans="1:19" x14ac:dyDescent="0.35">
      <c r="A479" t="s">
        <v>99</v>
      </c>
      <c r="B479" t="s">
        <v>20</v>
      </c>
      <c r="C479" t="s">
        <v>38</v>
      </c>
      <c r="D479" t="s">
        <v>14</v>
      </c>
      <c r="E479" t="s">
        <v>22</v>
      </c>
      <c r="F479" t="s">
        <v>58</v>
      </c>
      <c r="G479" t="s">
        <v>24</v>
      </c>
      <c r="H479" t="s">
        <v>255</v>
      </c>
      <c r="I479" t="s">
        <v>269</v>
      </c>
      <c r="J479" t="s">
        <v>43</v>
      </c>
      <c r="K479" t="s">
        <v>256</v>
      </c>
      <c r="L479" t="s">
        <v>346</v>
      </c>
      <c r="M479" t="s">
        <v>347</v>
      </c>
      <c r="N479" t="s">
        <v>348</v>
      </c>
      <c r="O479" t="s">
        <v>215</v>
      </c>
      <c r="P479" t="s">
        <v>216</v>
      </c>
      <c r="Q479" t="s">
        <v>217</v>
      </c>
      <c r="R479" t="s">
        <v>218</v>
      </c>
      <c r="S479" t="s">
        <v>220</v>
      </c>
    </row>
    <row r="480" spans="1:19" x14ac:dyDescent="0.35">
      <c r="A480" t="s">
        <v>105</v>
      </c>
      <c r="B480" t="s">
        <v>29</v>
      </c>
      <c r="C480" t="s">
        <v>38</v>
      </c>
      <c r="D480" t="s">
        <v>14</v>
      </c>
      <c r="E480" t="s">
        <v>15</v>
      </c>
      <c r="F480" t="s">
        <v>47</v>
      </c>
      <c r="G480" t="s">
        <v>36</v>
      </c>
      <c r="H480" t="s">
        <v>229</v>
      </c>
      <c r="I480" t="s">
        <v>220</v>
      </c>
      <c r="J480" t="s">
        <v>50</v>
      </c>
      <c r="K480" t="s">
        <v>231</v>
      </c>
      <c r="L480" t="s">
        <v>289</v>
      </c>
      <c r="M480" t="s">
        <v>297</v>
      </c>
      <c r="N480" t="s">
        <v>231</v>
      </c>
      <c r="O480" t="s">
        <v>215</v>
      </c>
      <c r="P480" t="s">
        <v>216</v>
      </c>
      <c r="Q480" t="s">
        <v>217</v>
      </c>
      <c r="R480" t="s">
        <v>218</v>
      </c>
      <c r="S480" t="s">
        <v>244</v>
      </c>
    </row>
    <row r="481" spans="1:19" x14ac:dyDescent="0.35">
      <c r="A481" t="s">
        <v>78</v>
      </c>
      <c r="B481" t="s">
        <v>34</v>
      </c>
      <c r="C481" t="s">
        <v>38</v>
      </c>
      <c r="D481" t="s">
        <v>26</v>
      </c>
      <c r="E481" t="s">
        <v>15</v>
      </c>
      <c r="F481" t="s">
        <v>31</v>
      </c>
      <c r="G481" t="s">
        <v>24</v>
      </c>
      <c r="H481" t="s">
        <v>252</v>
      </c>
      <c r="I481" t="s">
        <v>220</v>
      </c>
      <c r="J481" t="s">
        <v>43</v>
      </c>
      <c r="K481" t="s">
        <v>253</v>
      </c>
      <c r="L481" t="s">
        <v>226</v>
      </c>
      <c r="M481" t="s">
        <v>284</v>
      </c>
      <c r="N481" t="s">
        <v>253</v>
      </c>
      <c r="O481" t="s">
        <v>215</v>
      </c>
      <c r="P481" t="s">
        <v>216</v>
      </c>
      <c r="Q481" t="s">
        <v>217</v>
      </c>
      <c r="R481" t="s">
        <v>218</v>
      </c>
      <c r="S481" t="s">
        <v>220</v>
      </c>
    </row>
    <row r="482" spans="1:19" x14ac:dyDescent="0.35">
      <c r="A482" t="s">
        <v>108</v>
      </c>
      <c r="B482" t="s">
        <v>20</v>
      </c>
      <c r="C482" t="s">
        <v>38</v>
      </c>
      <c r="D482" t="s">
        <v>26</v>
      </c>
      <c r="E482" t="s">
        <v>22</v>
      </c>
      <c r="F482" t="s">
        <v>39</v>
      </c>
      <c r="G482" t="s">
        <v>24</v>
      </c>
      <c r="H482" t="s">
        <v>209</v>
      </c>
      <c r="I482" t="s">
        <v>269</v>
      </c>
      <c r="J482" t="s">
        <v>18</v>
      </c>
      <c r="K482" t="s">
        <v>211</v>
      </c>
      <c r="L482" t="s">
        <v>371</v>
      </c>
      <c r="M482" t="s">
        <v>372</v>
      </c>
      <c r="N482" t="s">
        <v>373</v>
      </c>
      <c r="O482" t="s">
        <v>215</v>
      </c>
      <c r="P482" t="s">
        <v>216</v>
      </c>
      <c r="Q482" t="s">
        <v>217</v>
      </c>
      <c r="R482" t="s">
        <v>218</v>
      </c>
      <c r="S482" t="s">
        <v>220</v>
      </c>
    </row>
    <row r="483" spans="1:19" x14ac:dyDescent="0.35">
      <c r="A483" t="s">
        <v>157</v>
      </c>
      <c r="B483" t="s">
        <v>29</v>
      </c>
      <c r="C483" t="s">
        <v>38</v>
      </c>
      <c r="D483" t="s">
        <v>26</v>
      </c>
      <c r="E483" t="s">
        <v>22</v>
      </c>
      <c r="F483" t="s">
        <v>31</v>
      </c>
      <c r="G483" t="s">
        <v>24</v>
      </c>
      <c r="H483" t="s">
        <v>252</v>
      </c>
      <c r="I483" t="s">
        <v>238</v>
      </c>
      <c r="J483" t="s">
        <v>18</v>
      </c>
      <c r="K483" t="s">
        <v>253</v>
      </c>
      <c r="L483" t="s">
        <v>252</v>
      </c>
      <c r="M483" t="s">
        <v>253</v>
      </c>
      <c r="N483" t="s">
        <v>313</v>
      </c>
      <c r="O483" t="s">
        <v>215</v>
      </c>
      <c r="P483" t="s">
        <v>216</v>
      </c>
      <c r="Q483" t="s">
        <v>217</v>
      </c>
      <c r="R483" t="s">
        <v>218</v>
      </c>
      <c r="S483" t="s">
        <v>244</v>
      </c>
    </row>
    <row r="484" spans="1:19" x14ac:dyDescent="0.35">
      <c r="A484" t="s">
        <v>149</v>
      </c>
      <c r="B484" t="s">
        <v>34</v>
      </c>
      <c r="C484" t="s">
        <v>38</v>
      </c>
      <c r="D484" t="s">
        <v>26</v>
      </c>
      <c r="E484" t="s">
        <v>22</v>
      </c>
      <c r="F484" t="s">
        <v>41</v>
      </c>
      <c r="G484" t="s">
        <v>17</v>
      </c>
      <c r="H484" t="s">
        <v>219</v>
      </c>
      <c r="I484" t="s">
        <v>220</v>
      </c>
      <c r="J484" t="s">
        <v>27</v>
      </c>
      <c r="K484" t="s">
        <v>221</v>
      </c>
      <c r="L484" t="s">
        <v>222</v>
      </c>
      <c r="M484" t="s">
        <v>223</v>
      </c>
      <c r="N484" t="s">
        <v>221</v>
      </c>
      <c r="O484" t="s">
        <v>215</v>
      </c>
      <c r="P484" t="s">
        <v>216</v>
      </c>
      <c r="Q484" t="s">
        <v>217</v>
      </c>
      <c r="R484" t="s">
        <v>218</v>
      </c>
      <c r="S484" t="s">
        <v>244</v>
      </c>
    </row>
    <row r="485" spans="1:19" x14ac:dyDescent="0.35">
      <c r="A485" t="s">
        <v>90</v>
      </c>
      <c r="B485" t="s">
        <v>29</v>
      </c>
      <c r="C485" t="s">
        <v>38</v>
      </c>
      <c r="D485" t="s">
        <v>14</v>
      </c>
      <c r="E485" t="s">
        <v>22</v>
      </c>
      <c r="F485" t="s">
        <v>31</v>
      </c>
      <c r="G485" t="s">
        <v>24</v>
      </c>
      <c r="H485" t="s">
        <v>252</v>
      </c>
      <c r="I485" t="s">
        <v>210</v>
      </c>
      <c r="J485" t="s">
        <v>32</v>
      </c>
      <c r="K485" t="s">
        <v>253</v>
      </c>
      <c r="L485" t="s">
        <v>289</v>
      </c>
      <c r="M485" t="s">
        <v>297</v>
      </c>
      <c r="N485" t="s">
        <v>231</v>
      </c>
      <c r="O485" t="s">
        <v>215</v>
      </c>
      <c r="P485" t="s">
        <v>216</v>
      </c>
      <c r="Q485" t="s">
        <v>217</v>
      </c>
      <c r="R485" t="s">
        <v>218</v>
      </c>
      <c r="S485" t="s">
        <v>244</v>
      </c>
    </row>
    <row r="486" spans="1:19" x14ac:dyDescent="0.35">
      <c r="A486" t="s">
        <v>66</v>
      </c>
      <c r="B486" t="s">
        <v>12</v>
      </c>
      <c r="C486" t="s">
        <v>38</v>
      </c>
      <c r="D486" t="s">
        <v>14</v>
      </c>
      <c r="E486" t="s">
        <v>22</v>
      </c>
      <c r="F486" t="s">
        <v>16</v>
      </c>
      <c r="G486" t="s">
        <v>17</v>
      </c>
      <c r="H486" t="s">
        <v>275</v>
      </c>
      <c r="I486" t="s">
        <v>269</v>
      </c>
      <c r="J486" t="s">
        <v>50</v>
      </c>
      <c r="K486" t="s">
        <v>276</v>
      </c>
      <c r="L486" t="s">
        <v>380</v>
      </c>
      <c r="M486" t="s">
        <v>381</v>
      </c>
      <c r="N486" t="s">
        <v>382</v>
      </c>
      <c r="O486" t="s">
        <v>215</v>
      </c>
      <c r="P486" t="s">
        <v>216</v>
      </c>
      <c r="Q486" t="s">
        <v>217</v>
      </c>
      <c r="R486" t="s">
        <v>218</v>
      </c>
      <c r="S486" t="s">
        <v>244</v>
      </c>
    </row>
    <row r="487" spans="1:19" x14ac:dyDescent="0.35">
      <c r="A487" t="s">
        <v>153</v>
      </c>
      <c r="B487" t="s">
        <v>34</v>
      </c>
      <c r="C487" t="s">
        <v>38</v>
      </c>
      <c r="D487" t="s">
        <v>14</v>
      </c>
      <c r="E487" t="s">
        <v>22</v>
      </c>
      <c r="F487" t="s">
        <v>35</v>
      </c>
      <c r="G487" t="s">
        <v>36</v>
      </c>
      <c r="H487" t="s">
        <v>224</v>
      </c>
      <c r="I487" t="s">
        <v>244</v>
      </c>
      <c r="J487" t="s">
        <v>18</v>
      </c>
      <c r="K487" t="s">
        <v>226</v>
      </c>
      <c r="L487" t="s">
        <v>301</v>
      </c>
      <c r="M487" t="s">
        <v>302</v>
      </c>
      <c r="N487" t="s">
        <v>209</v>
      </c>
      <c r="O487" t="s">
        <v>215</v>
      </c>
      <c r="P487" t="s">
        <v>216</v>
      </c>
      <c r="Q487" t="s">
        <v>217</v>
      </c>
      <c r="R487" t="s">
        <v>218</v>
      </c>
      <c r="S487" t="s">
        <v>220</v>
      </c>
    </row>
    <row r="488" spans="1:19" x14ac:dyDescent="0.35">
      <c r="A488" t="s">
        <v>133</v>
      </c>
      <c r="B488" t="s">
        <v>12</v>
      </c>
      <c r="C488" t="s">
        <v>38</v>
      </c>
      <c r="D488" t="s">
        <v>26</v>
      </c>
      <c r="E488" t="s">
        <v>15</v>
      </c>
      <c r="F488" t="s">
        <v>35</v>
      </c>
      <c r="G488" t="s">
        <v>36</v>
      </c>
      <c r="H488" t="s">
        <v>224</v>
      </c>
      <c r="I488" t="s">
        <v>238</v>
      </c>
      <c r="J488" t="s">
        <v>27</v>
      </c>
      <c r="K488" t="s">
        <v>226</v>
      </c>
      <c r="L488" t="s">
        <v>224</v>
      </c>
      <c r="M488" t="s">
        <v>226</v>
      </c>
      <c r="N488" t="s">
        <v>252</v>
      </c>
      <c r="O488" t="s">
        <v>215</v>
      </c>
      <c r="P488" t="s">
        <v>216</v>
      </c>
      <c r="Q488" t="s">
        <v>217</v>
      </c>
      <c r="R488" t="s">
        <v>218</v>
      </c>
      <c r="S488" t="s">
        <v>265</v>
      </c>
    </row>
    <row r="489" spans="1:19" x14ac:dyDescent="0.35">
      <c r="A489" t="s">
        <v>101</v>
      </c>
      <c r="B489" t="s">
        <v>29</v>
      </c>
      <c r="C489" t="s">
        <v>38</v>
      </c>
      <c r="D489" t="s">
        <v>26</v>
      </c>
      <c r="E489" t="s">
        <v>22</v>
      </c>
      <c r="F489" t="s">
        <v>47</v>
      </c>
      <c r="G489" t="s">
        <v>36</v>
      </c>
      <c r="H489" t="s">
        <v>229</v>
      </c>
      <c r="I489" t="s">
        <v>265</v>
      </c>
      <c r="J489" t="s">
        <v>18</v>
      </c>
      <c r="K489" t="s">
        <v>231</v>
      </c>
      <c r="L489" t="s">
        <v>224</v>
      </c>
      <c r="M489" t="s">
        <v>226</v>
      </c>
      <c r="N489" t="s">
        <v>252</v>
      </c>
      <c r="O489" t="s">
        <v>215</v>
      </c>
      <c r="P489" t="s">
        <v>216</v>
      </c>
      <c r="Q489" t="s">
        <v>217</v>
      </c>
      <c r="R489" t="s">
        <v>218</v>
      </c>
      <c r="S489" t="s">
        <v>220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3"/>
  <sheetViews>
    <sheetView workbookViewId="0">
      <selection activeCell="A14" sqref="A14"/>
    </sheetView>
  </sheetViews>
  <sheetFormatPr defaultRowHeight="14.5" x14ac:dyDescent="0.35"/>
  <cols>
    <col min="1" max="1" width="17.7265625" bestFit="1" customWidth="1"/>
    <col min="2" max="2" width="19.54296875" bestFit="1" customWidth="1"/>
    <col min="3" max="3" width="16.90625" bestFit="1" customWidth="1"/>
    <col min="4" max="4" width="26.54296875" bestFit="1" customWidth="1"/>
    <col min="5" max="5" width="20.7265625" bestFit="1" customWidth="1"/>
    <col min="6" max="6" width="20.36328125" bestFit="1" customWidth="1"/>
    <col min="7" max="7" width="21.26953125" bestFit="1" customWidth="1"/>
    <col min="8" max="8" width="21.81640625" bestFit="1" customWidth="1"/>
    <col min="9" max="9" width="21.08984375" bestFit="1" customWidth="1"/>
    <col min="10" max="10" width="21.7265625" bestFit="1" customWidth="1"/>
    <col min="11" max="11" width="22" bestFit="1" customWidth="1"/>
    <col min="12" max="12" width="21.08984375" bestFit="1" customWidth="1"/>
    <col min="13" max="13" width="18.453125" bestFit="1" customWidth="1"/>
    <col min="14" max="14" width="19.81640625" bestFit="1" customWidth="1"/>
    <col min="15" max="15" width="25.81640625" bestFit="1" customWidth="1"/>
    <col min="16" max="17" width="23.1796875" bestFit="1" customWidth="1"/>
    <col min="18" max="18" width="28.453125" bestFit="1" customWidth="1"/>
    <col min="19" max="19" width="20.54296875" customWidth="1"/>
  </cols>
  <sheetData>
    <row r="1" spans="1:19" x14ac:dyDescent="0.35">
      <c r="A1" t="s">
        <v>385</v>
      </c>
    </row>
    <row r="3" spans="1:19" x14ac:dyDescent="0.35">
      <c r="A3" t="s">
        <v>191</v>
      </c>
      <c r="B3" t="s">
        <v>192</v>
      </c>
      <c r="C3" t="s">
        <v>193</v>
      </c>
      <c r="D3" t="s">
        <v>194</v>
      </c>
      <c r="E3" t="s">
        <v>195</v>
      </c>
      <c r="F3" t="s">
        <v>196</v>
      </c>
      <c r="G3" t="s">
        <v>197</v>
      </c>
      <c r="H3" t="s">
        <v>198</v>
      </c>
      <c r="I3" t="s">
        <v>199</v>
      </c>
      <c r="J3" t="s">
        <v>200</v>
      </c>
      <c r="K3" t="s">
        <v>201</v>
      </c>
      <c r="L3" t="s">
        <v>202</v>
      </c>
      <c r="M3" t="s">
        <v>203</v>
      </c>
      <c r="N3" t="s">
        <v>204</v>
      </c>
      <c r="O3" t="s">
        <v>205</v>
      </c>
      <c r="P3" t="s">
        <v>206</v>
      </c>
      <c r="Q3" t="s">
        <v>207</v>
      </c>
      <c r="R3" t="s">
        <v>208</v>
      </c>
      <c r="S3" t="s">
        <v>386</v>
      </c>
    </row>
    <row r="4" spans="1:19" x14ac:dyDescent="0.35">
      <c r="A4" t="s">
        <v>387</v>
      </c>
      <c r="B4" t="s">
        <v>12</v>
      </c>
      <c r="C4" t="s">
        <v>13</v>
      </c>
      <c r="D4" t="s">
        <v>14</v>
      </c>
      <c r="E4" t="s">
        <v>15</v>
      </c>
      <c r="F4" t="s">
        <v>16</v>
      </c>
      <c r="G4" t="s">
        <v>17</v>
      </c>
      <c r="H4" t="s">
        <v>275</v>
      </c>
      <c r="I4" t="s">
        <v>238</v>
      </c>
      <c r="J4" t="s">
        <v>18</v>
      </c>
      <c r="K4" t="s">
        <v>276</v>
      </c>
      <c r="L4" t="s">
        <v>275</v>
      </c>
      <c r="M4" t="s">
        <v>276</v>
      </c>
      <c r="N4" t="s">
        <v>277</v>
      </c>
      <c r="O4" t="s">
        <v>215</v>
      </c>
      <c r="P4" t="s">
        <v>216</v>
      </c>
      <c r="Q4" t="s">
        <v>217</v>
      </c>
      <c r="R4" t="s">
        <v>218</v>
      </c>
      <c r="S4" t="s">
        <v>238</v>
      </c>
    </row>
    <row r="5" spans="1:19" x14ac:dyDescent="0.35">
      <c r="A5" t="s">
        <v>19</v>
      </c>
      <c r="B5" t="s">
        <v>20</v>
      </c>
      <c r="C5" t="s">
        <v>21</v>
      </c>
      <c r="D5" t="s">
        <v>14</v>
      </c>
      <c r="E5" t="s">
        <v>22</v>
      </c>
      <c r="F5" t="s">
        <v>23</v>
      </c>
      <c r="G5" t="s">
        <v>24</v>
      </c>
      <c r="H5" t="s">
        <v>239</v>
      </c>
      <c r="I5" t="s">
        <v>249</v>
      </c>
      <c r="J5" t="s">
        <v>18</v>
      </c>
      <c r="K5" t="s">
        <v>245</v>
      </c>
      <c r="L5" t="s">
        <v>226</v>
      </c>
      <c r="M5" t="s">
        <v>284</v>
      </c>
      <c r="N5" t="s">
        <v>253</v>
      </c>
      <c r="O5" t="s">
        <v>215</v>
      </c>
      <c r="P5" t="s">
        <v>216</v>
      </c>
      <c r="Q5" t="s">
        <v>217</v>
      </c>
      <c r="R5" t="s">
        <v>218</v>
      </c>
      <c r="S5" t="s">
        <v>220</v>
      </c>
    </row>
    <row r="6" spans="1:19" x14ac:dyDescent="0.35">
      <c r="A6" t="s">
        <v>25</v>
      </c>
      <c r="B6" t="s">
        <v>20</v>
      </c>
      <c r="C6" t="s">
        <v>13</v>
      </c>
      <c r="D6" t="s">
        <v>26</v>
      </c>
      <c r="E6" t="s">
        <v>15</v>
      </c>
      <c r="F6" t="s">
        <v>16</v>
      </c>
      <c r="G6" t="s">
        <v>17</v>
      </c>
      <c r="H6" t="s">
        <v>275</v>
      </c>
      <c r="I6" t="s">
        <v>265</v>
      </c>
      <c r="J6" t="s">
        <v>27</v>
      </c>
      <c r="K6" t="s">
        <v>276</v>
      </c>
      <c r="L6" t="s">
        <v>316</v>
      </c>
      <c r="M6" t="s">
        <v>323</v>
      </c>
      <c r="N6" t="s">
        <v>344</v>
      </c>
      <c r="O6" t="s">
        <v>215</v>
      </c>
      <c r="P6" t="s">
        <v>216</v>
      </c>
      <c r="Q6" t="s">
        <v>217</v>
      </c>
      <c r="R6" t="s">
        <v>218</v>
      </c>
      <c r="S6" t="s">
        <v>265</v>
      </c>
    </row>
    <row r="7" spans="1:19" x14ac:dyDescent="0.35">
      <c r="A7" t="s">
        <v>28</v>
      </c>
      <c r="B7" t="s">
        <v>29</v>
      </c>
      <c r="C7" t="s">
        <v>30</v>
      </c>
      <c r="D7" t="s">
        <v>14</v>
      </c>
      <c r="E7" t="s">
        <v>15</v>
      </c>
      <c r="F7" t="s">
        <v>31</v>
      </c>
      <c r="G7" t="s">
        <v>24</v>
      </c>
      <c r="H7" t="s">
        <v>252</v>
      </c>
      <c r="I7" t="s">
        <v>265</v>
      </c>
      <c r="J7" t="s">
        <v>32</v>
      </c>
      <c r="K7" t="s">
        <v>253</v>
      </c>
      <c r="L7" t="s">
        <v>231</v>
      </c>
      <c r="M7" t="s">
        <v>311</v>
      </c>
      <c r="N7" t="s">
        <v>245</v>
      </c>
      <c r="O7" t="s">
        <v>215</v>
      </c>
      <c r="P7" t="s">
        <v>216</v>
      </c>
      <c r="Q7" t="s">
        <v>217</v>
      </c>
      <c r="R7" t="s">
        <v>218</v>
      </c>
      <c r="S7" t="s">
        <v>220</v>
      </c>
    </row>
    <row r="8" spans="1:19" x14ac:dyDescent="0.35">
      <c r="A8" t="s">
        <v>33</v>
      </c>
      <c r="B8" t="s">
        <v>34</v>
      </c>
      <c r="C8" t="s">
        <v>30</v>
      </c>
      <c r="D8" t="s">
        <v>26</v>
      </c>
      <c r="E8" t="s">
        <v>15</v>
      </c>
      <c r="F8" t="s">
        <v>35</v>
      </c>
      <c r="G8" t="s">
        <v>36</v>
      </c>
      <c r="H8" t="s">
        <v>224</v>
      </c>
      <c r="I8" t="s">
        <v>265</v>
      </c>
      <c r="J8" t="s">
        <v>18</v>
      </c>
      <c r="K8" t="s">
        <v>226</v>
      </c>
      <c r="L8" t="s">
        <v>289</v>
      </c>
      <c r="M8" t="s">
        <v>297</v>
      </c>
      <c r="N8" t="s">
        <v>231</v>
      </c>
      <c r="O8" t="s">
        <v>215</v>
      </c>
      <c r="P8" t="s">
        <v>216</v>
      </c>
      <c r="Q8" t="s">
        <v>217</v>
      </c>
      <c r="R8" t="s">
        <v>218</v>
      </c>
      <c r="S8" t="s">
        <v>220</v>
      </c>
    </row>
    <row r="9" spans="1:19" x14ac:dyDescent="0.35">
      <c r="A9" t="s">
        <v>37</v>
      </c>
      <c r="B9" t="s">
        <v>29</v>
      </c>
      <c r="C9" t="s">
        <v>38</v>
      </c>
      <c r="D9" t="s">
        <v>14</v>
      </c>
      <c r="E9" t="s">
        <v>15</v>
      </c>
      <c r="F9" t="s">
        <v>39</v>
      </c>
      <c r="G9" t="s">
        <v>24</v>
      </c>
      <c r="H9" t="s">
        <v>209</v>
      </c>
      <c r="I9" t="s">
        <v>210</v>
      </c>
      <c r="J9" t="s">
        <v>18</v>
      </c>
      <c r="K9" t="s">
        <v>211</v>
      </c>
      <c r="L9" t="s">
        <v>212</v>
      </c>
      <c r="M9" t="s">
        <v>213</v>
      </c>
      <c r="N9" t="s">
        <v>214</v>
      </c>
      <c r="O9" t="s">
        <v>215</v>
      </c>
      <c r="P9" t="s">
        <v>216</v>
      </c>
      <c r="Q9" t="s">
        <v>217</v>
      </c>
      <c r="R9" t="s">
        <v>218</v>
      </c>
      <c r="S9" t="s">
        <v>244</v>
      </c>
    </row>
    <row r="10" spans="1:19" x14ac:dyDescent="0.35">
      <c r="A10" t="s">
        <v>40</v>
      </c>
      <c r="B10" t="s">
        <v>29</v>
      </c>
      <c r="C10" t="s">
        <v>38</v>
      </c>
      <c r="D10" t="s">
        <v>26</v>
      </c>
      <c r="E10" t="s">
        <v>15</v>
      </c>
      <c r="F10" t="s">
        <v>41</v>
      </c>
      <c r="G10" t="s">
        <v>17</v>
      </c>
      <c r="H10" t="s">
        <v>219</v>
      </c>
      <c r="I10" t="s">
        <v>220</v>
      </c>
      <c r="J10" t="s">
        <v>32</v>
      </c>
      <c r="K10" t="s">
        <v>221</v>
      </c>
      <c r="L10" t="s">
        <v>222</v>
      </c>
      <c r="M10" t="s">
        <v>223</v>
      </c>
      <c r="N10" t="s">
        <v>221</v>
      </c>
      <c r="O10" t="s">
        <v>215</v>
      </c>
      <c r="P10" t="s">
        <v>216</v>
      </c>
      <c r="Q10" t="s">
        <v>217</v>
      </c>
      <c r="R10" t="s">
        <v>218</v>
      </c>
      <c r="S10" t="s">
        <v>244</v>
      </c>
    </row>
    <row r="11" spans="1:19" x14ac:dyDescent="0.35">
      <c r="A11" t="s">
        <v>42</v>
      </c>
      <c r="B11" t="s">
        <v>29</v>
      </c>
      <c r="C11" t="s">
        <v>30</v>
      </c>
      <c r="D11" t="s">
        <v>14</v>
      </c>
      <c r="E11" t="s">
        <v>15</v>
      </c>
      <c r="F11" t="s">
        <v>41</v>
      </c>
      <c r="G11" t="s">
        <v>17</v>
      </c>
      <c r="H11" t="s">
        <v>219</v>
      </c>
      <c r="I11" t="s">
        <v>238</v>
      </c>
      <c r="J11" t="s">
        <v>43</v>
      </c>
      <c r="K11" t="s">
        <v>221</v>
      </c>
      <c r="L11" t="s">
        <v>219</v>
      </c>
      <c r="M11" t="s">
        <v>221</v>
      </c>
      <c r="N11" t="s">
        <v>308</v>
      </c>
      <c r="O11" t="s">
        <v>215</v>
      </c>
      <c r="P11" t="s">
        <v>216</v>
      </c>
      <c r="Q11" t="s">
        <v>217</v>
      </c>
      <c r="R11" t="s">
        <v>218</v>
      </c>
      <c r="S11" t="s">
        <v>265</v>
      </c>
    </row>
    <row r="12" spans="1:19" x14ac:dyDescent="0.35">
      <c r="A12" t="s">
        <v>44</v>
      </c>
      <c r="B12" t="s">
        <v>20</v>
      </c>
      <c r="C12" t="s">
        <v>21</v>
      </c>
      <c r="D12" t="s">
        <v>14</v>
      </c>
      <c r="E12" t="s">
        <v>22</v>
      </c>
      <c r="F12" t="s">
        <v>41</v>
      </c>
      <c r="G12" t="s">
        <v>17</v>
      </c>
      <c r="H12" t="s">
        <v>219</v>
      </c>
      <c r="I12" t="s">
        <v>269</v>
      </c>
      <c r="J12" t="s">
        <v>32</v>
      </c>
      <c r="K12" t="s">
        <v>221</v>
      </c>
      <c r="L12" t="s">
        <v>362</v>
      </c>
      <c r="M12" t="s">
        <v>363</v>
      </c>
      <c r="N12" t="s">
        <v>342</v>
      </c>
      <c r="O12" t="s">
        <v>215</v>
      </c>
      <c r="P12" t="s">
        <v>216</v>
      </c>
      <c r="Q12" t="s">
        <v>217</v>
      </c>
      <c r="R12" t="s">
        <v>218</v>
      </c>
      <c r="S12" t="s">
        <v>244</v>
      </c>
    </row>
    <row r="13" spans="1:19" x14ac:dyDescent="0.35">
      <c r="A13" t="s">
        <v>45</v>
      </c>
      <c r="B13" t="s">
        <v>29</v>
      </c>
      <c r="C13" t="s">
        <v>21</v>
      </c>
      <c r="D13" t="s">
        <v>14</v>
      </c>
      <c r="E13" t="s">
        <v>15</v>
      </c>
      <c r="F13" t="s">
        <v>41</v>
      </c>
      <c r="G13" t="s">
        <v>17</v>
      </c>
      <c r="H13" t="s">
        <v>219</v>
      </c>
      <c r="I13" t="s">
        <v>244</v>
      </c>
      <c r="J13" t="s">
        <v>32</v>
      </c>
      <c r="K13" t="s">
        <v>221</v>
      </c>
      <c r="L13" t="s">
        <v>290</v>
      </c>
      <c r="M13" t="s">
        <v>298</v>
      </c>
      <c r="N13" t="s">
        <v>284</v>
      </c>
      <c r="O13" t="s">
        <v>215</v>
      </c>
      <c r="P13" t="s">
        <v>216</v>
      </c>
      <c r="Q13" t="s">
        <v>217</v>
      </c>
      <c r="R13" t="s">
        <v>218</v>
      </c>
      <c r="S13" t="s">
        <v>244</v>
      </c>
    </row>
    <row r="14" spans="1:19" x14ac:dyDescent="0.35">
      <c r="A14" s="20" t="s">
        <v>46</v>
      </c>
      <c r="B14" t="s">
        <v>29</v>
      </c>
      <c r="C14" t="s">
        <v>13</v>
      </c>
      <c r="D14" t="s">
        <v>14</v>
      </c>
      <c r="E14" t="s">
        <v>15</v>
      </c>
      <c r="F14" t="s">
        <v>47</v>
      </c>
      <c r="G14" t="s">
        <v>36</v>
      </c>
      <c r="H14" t="s">
        <v>229</v>
      </c>
      <c r="I14" t="s">
        <v>220</v>
      </c>
      <c r="J14" t="s">
        <v>43</v>
      </c>
      <c r="K14" t="s">
        <v>231</v>
      </c>
      <c r="L14" t="s">
        <v>289</v>
      </c>
      <c r="M14" t="s">
        <v>297</v>
      </c>
      <c r="N14" t="s">
        <v>231</v>
      </c>
      <c r="O14" t="s">
        <v>215</v>
      </c>
      <c r="P14" t="s">
        <v>216</v>
      </c>
      <c r="Q14" t="s">
        <v>217</v>
      </c>
      <c r="R14" t="s">
        <v>218</v>
      </c>
      <c r="S14" t="s">
        <v>238</v>
      </c>
    </row>
    <row r="15" spans="1:19" x14ac:dyDescent="0.35">
      <c r="A15" t="s">
        <v>48</v>
      </c>
      <c r="B15" t="s">
        <v>12</v>
      </c>
      <c r="C15" t="s">
        <v>30</v>
      </c>
      <c r="D15" t="s">
        <v>26</v>
      </c>
      <c r="E15" t="s">
        <v>15</v>
      </c>
      <c r="F15" t="s">
        <v>41</v>
      </c>
      <c r="G15" t="s">
        <v>17</v>
      </c>
      <c r="H15" t="s">
        <v>219</v>
      </c>
      <c r="I15" t="s">
        <v>230</v>
      </c>
      <c r="J15" t="s">
        <v>43</v>
      </c>
      <c r="K15" t="s">
        <v>221</v>
      </c>
      <c r="L15" t="s">
        <v>235</v>
      </c>
      <c r="M15" t="s">
        <v>236</v>
      </c>
      <c r="N15" t="s">
        <v>237</v>
      </c>
      <c r="O15" t="s">
        <v>215</v>
      </c>
      <c r="P15" t="s">
        <v>216</v>
      </c>
      <c r="Q15" t="s">
        <v>217</v>
      </c>
      <c r="R15" t="s">
        <v>218</v>
      </c>
      <c r="S15" t="s">
        <v>238</v>
      </c>
    </row>
    <row r="16" spans="1:19" x14ac:dyDescent="0.35">
      <c r="A16" t="s">
        <v>49</v>
      </c>
      <c r="B16" t="s">
        <v>29</v>
      </c>
      <c r="C16" t="s">
        <v>13</v>
      </c>
      <c r="D16" t="s">
        <v>14</v>
      </c>
      <c r="E16" t="s">
        <v>22</v>
      </c>
      <c r="F16" t="s">
        <v>47</v>
      </c>
      <c r="G16" t="s">
        <v>36</v>
      </c>
      <c r="H16" t="s">
        <v>229</v>
      </c>
      <c r="I16" t="s">
        <v>265</v>
      </c>
      <c r="J16" t="s">
        <v>50</v>
      </c>
      <c r="K16" t="s">
        <v>231</v>
      </c>
      <c r="L16" t="s">
        <v>224</v>
      </c>
      <c r="M16" t="s">
        <v>226</v>
      </c>
      <c r="N16" t="s">
        <v>252</v>
      </c>
      <c r="O16" t="s">
        <v>215</v>
      </c>
      <c r="P16" t="s">
        <v>216</v>
      </c>
      <c r="Q16" t="s">
        <v>217</v>
      </c>
      <c r="R16" t="s">
        <v>218</v>
      </c>
      <c r="S16" t="s">
        <v>220</v>
      </c>
    </row>
    <row r="17" spans="1:19" x14ac:dyDescent="0.35">
      <c r="A17" t="s">
        <v>51</v>
      </c>
      <c r="B17" t="s">
        <v>12</v>
      </c>
      <c r="C17" t="s">
        <v>21</v>
      </c>
      <c r="D17" t="s">
        <v>14</v>
      </c>
      <c r="E17" t="s">
        <v>15</v>
      </c>
      <c r="F17" t="s">
        <v>52</v>
      </c>
      <c r="G17" t="s">
        <v>36</v>
      </c>
      <c r="H17" t="s">
        <v>291</v>
      </c>
      <c r="I17" t="s">
        <v>269</v>
      </c>
      <c r="J17" t="s">
        <v>32</v>
      </c>
      <c r="K17" t="s">
        <v>292</v>
      </c>
      <c r="L17" t="s">
        <v>328</v>
      </c>
      <c r="M17" t="s">
        <v>329</v>
      </c>
      <c r="N17" t="s">
        <v>330</v>
      </c>
      <c r="O17" t="s">
        <v>215</v>
      </c>
      <c r="P17" t="s">
        <v>216</v>
      </c>
      <c r="Q17" t="s">
        <v>217</v>
      </c>
      <c r="R17" t="s">
        <v>218</v>
      </c>
      <c r="S17" t="s">
        <v>244</v>
      </c>
    </row>
    <row r="18" spans="1:19" x14ac:dyDescent="0.35">
      <c r="A18" t="s">
        <v>53</v>
      </c>
      <c r="B18" t="s">
        <v>34</v>
      </c>
      <c r="C18" t="s">
        <v>21</v>
      </c>
      <c r="D18" t="s">
        <v>14</v>
      </c>
      <c r="E18" t="s">
        <v>15</v>
      </c>
      <c r="F18" t="s">
        <v>52</v>
      </c>
      <c r="G18" t="s">
        <v>36</v>
      </c>
      <c r="H18" t="s">
        <v>291</v>
      </c>
      <c r="I18" t="s">
        <v>225</v>
      </c>
      <c r="J18" t="s">
        <v>54</v>
      </c>
      <c r="K18" t="s">
        <v>292</v>
      </c>
      <c r="L18" t="s">
        <v>332</v>
      </c>
      <c r="M18" t="s">
        <v>333</v>
      </c>
      <c r="N18" t="s">
        <v>291</v>
      </c>
      <c r="O18" t="s">
        <v>215</v>
      </c>
      <c r="P18" t="s">
        <v>216</v>
      </c>
      <c r="Q18" t="s">
        <v>217</v>
      </c>
      <c r="R18" t="s">
        <v>218</v>
      </c>
      <c r="S18" t="s">
        <v>244</v>
      </c>
    </row>
    <row r="19" spans="1:19" x14ac:dyDescent="0.35">
      <c r="A19" t="s">
        <v>55</v>
      </c>
      <c r="B19" t="s">
        <v>12</v>
      </c>
      <c r="C19" t="s">
        <v>30</v>
      </c>
      <c r="D19" t="s">
        <v>26</v>
      </c>
      <c r="E19" t="s">
        <v>22</v>
      </c>
      <c r="F19" t="s">
        <v>56</v>
      </c>
      <c r="G19" t="s">
        <v>36</v>
      </c>
      <c r="H19" t="s">
        <v>260</v>
      </c>
      <c r="I19" t="s">
        <v>220</v>
      </c>
      <c r="J19" t="s">
        <v>43</v>
      </c>
      <c r="K19" t="s">
        <v>261</v>
      </c>
      <c r="L19" t="s">
        <v>335</v>
      </c>
      <c r="M19" t="s">
        <v>336</v>
      </c>
      <c r="N19" t="s">
        <v>261</v>
      </c>
      <c r="O19" t="s">
        <v>215</v>
      </c>
      <c r="P19" t="s">
        <v>216</v>
      </c>
      <c r="Q19" t="s">
        <v>217</v>
      </c>
      <c r="R19" t="s">
        <v>218</v>
      </c>
      <c r="S19" t="s">
        <v>220</v>
      </c>
    </row>
    <row r="20" spans="1:19" x14ac:dyDescent="0.35">
      <c r="A20" t="s">
        <v>57</v>
      </c>
      <c r="B20" t="s">
        <v>12</v>
      </c>
      <c r="C20" t="s">
        <v>21</v>
      </c>
      <c r="D20" t="s">
        <v>14</v>
      </c>
      <c r="E20" t="s">
        <v>15</v>
      </c>
      <c r="F20" t="s">
        <v>58</v>
      </c>
      <c r="G20" t="s">
        <v>24</v>
      </c>
      <c r="H20" t="s">
        <v>255</v>
      </c>
      <c r="I20" t="s">
        <v>265</v>
      </c>
      <c r="J20" t="s">
        <v>43</v>
      </c>
      <c r="K20" t="s">
        <v>256</v>
      </c>
      <c r="L20" t="s">
        <v>287</v>
      </c>
      <c r="M20" t="s">
        <v>296</v>
      </c>
      <c r="N20" t="s">
        <v>341</v>
      </c>
      <c r="O20" t="s">
        <v>215</v>
      </c>
      <c r="P20" t="s">
        <v>216</v>
      </c>
      <c r="Q20" t="s">
        <v>217</v>
      </c>
      <c r="R20" t="s">
        <v>218</v>
      </c>
      <c r="S20" t="s">
        <v>265</v>
      </c>
    </row>
    <row r="21" spans="1:19" x14ac:dyDescent="0.35">
      <c r="A21" t="s">
        <v>59</v>
      </c>
      <c r="B21" t="s">
        <v>20</v>
      </c>
      <c r="C21" t="s">
        <v>30</v>
      </c>
      <c r="D21" t="s">
        <v>14</v>
      </c>
      <c r="E21" t="s">
        <v>22</v>
      </c>
      <c r="F21" t="s">
        <v>47</v>
      </c>
      <c r="G21" t="s">
        <v>36</v>
      </c>
      <c r="H21" t="s">
        <v>229</v>
      </c>
      <c r="I21" t="s">
        <v>230</v>
      </c>
      <c r="J21" t="s">
        <v>32</v>
      </c>
      <c r="K21" t="s">
        <v>231</v>
      </c>
      <c r="L21" t="s">
        <v>232</v>
      </c>
      <c r="M21" t="s">
        <v>233</v>
      </c>
      <c r="N21" t="s">
        <v>234</v>
      </c>
      <c r="O21" t="s">
        <v>215</v>
      </c>
      <c r="P21" t="s">
        <v>216</v>
      </c>
      <c r="Q21" t="s">
        <v>217</v>
      </c>
      <c r="R21" t="s">
        <v>218</v>
      </c>
      <c r="S21" t="s">
        <v>265</v>
      </c>
    </row>
    <row r="22" spans="1:19" x14ac:dyDescent="0.35">
      <c r="A22" t="s">
        <v>60</v>
      </c>
      <c r="B22" t="s">
        <v>29</v>
      </c>
      <c r="C22" t="s">
        <v>38</v>
      </c>
      <c r="D22" t="s">
        <v>26</v>
      </c>
      <c r="E22" t="s">
        <v>22</v>
      </c>
      <c r="F22" t="s">
        <v>35</v>
      </c>
      <c r="G22" t="s">
        <v>36</v>
      </c>
      <c r="H22" t="s">
        <v>224</v>
      </c>
      <c r="I22" t="s">
        <v>225</v>
      </c>
      <c r="J22" t="s">
        <v>43</v>
      </c>
      <c r="K22" t="s">
        <v>226</v>
      </c>
      <c r="L22" t="s">
        <v>227</v>
      </c>
      <c r="M22" t="s">
        <v>228</v>
      </c>
      <c r="N22" t="s">
        <v>224</v>
      </c>
      <c r="O22" t="s">
        <v>215</v>
      </c>
      <c r="P22" t="s">
        <v>216</v>
      </c>
      <c r="Q22" t="s">
        <v>217</v>
      </c>
      <c r="R22" t="s">
        <v>218</v>
      </c>
      <c r="S22" t="s">
        <v>244</v>
      </c>
    </row>
    <row r="23" spans="1:19" x14ac:dyDescent="0.35">
      <c r="A23" t="s">
        <v>59</v>
      </c>
      <c r="B23" t="s">
        <v>34</v>
      </c>
      <c r="C23" t="s">
        <v>30</v>
      </c>
      <c r="D23" t="s">
        <v>14</v>
      </c>
      <c r="E23" t="s">
        <v>15</v>
      </c>
      <c r="F23" t="s">
        <v>47</v>
      </c>
      <c r="G23" t="s">
        <v>36</v>
      </c>
      <c r="H23" t="s">
        <v>229</v>
      </c>
      <c r="I23" t="s">
        <v>220</v>
      </c>
      <c r="J23" t="s">
        <v>43</v>
      </c>
      <c r="K23" t="s">
        <v>231</v>
      </c>
      <c r="L23" t="s">
        <v>289</v>
      </c>
      <c r="M23" t="s">
        <v>297</v>
      </c>
      <c r="N23" t="s">
        <v>231</v>
      </c>
      <c r="O23" t="s">
        <v>215</v>
      </c>
      <c r="P23" t="s">
        <v>216</v>
      </c>
      <c r="Q23" t="s">
        <v>217</v>
      </c>
      <c r="R23" t="s">
        <v>218</v>
      </c>
      <c r="S23" t="s">
        <v>265</v>
      </c>
    </row>
    <row r="24" spans="1:19" x14ac:dyDescent="0.35">
      <c r="A24" t="s">
        <v>61</v>
      </c>
      <c r="B24" t="s">
        <v>34</v>
      </c>
      <c r="C24" t="s">
        <v>30</v>
      </c>
      <c r="D24" t="s">
        <v>26</v>
      </c>
      <c r="E24" t="s">
        <v>22</v>
      </c>
      <c r="F24" t="s">
        <v>16</v>
      </c>
      <c r="G24" t="s">
        <v>17</v>
      </c>
      <c r="H24" t="s">
        <v>275</v>
      </c>
      <c r="I24" t="s">
        <v>238</v>
      </c>
      <c r="J24" t="s">
        <v>54</v>
      </c>
      <c r="K24" t="s">
        <v>276</v>
      </c>
      <c r="L24" t="s">
        <v>275</v>
      </c>
      <c r="M24" t="s">
        <v>276</v>
      </c>
      <c r="N24" t="s">
        <v>277</v>
      </c>
      <c r="O24" t="s">
        <v>215</v>
      </c>
      <c r="P24" t="s">
        <v>216</v>
      </c>
      <c r="Q24" t="s">
        <v>217</v>
      </c>
      <c r="R24" t="s">
        <v>218</v>
      </c>
      <c r="S24" t="s">
        <v>225</v>
      </c>
    </row>
    <row r="25" spans="1:19" x14ac:dyDescent="0.35">
      <c r="A25" t="s">
        <v>51</v>
      </c>
      <c r="B25" t="s">
        <v>20</v>
      </c>
      <c r="C25" t="s">
        <v>13</v>
      </c>
      <c r="D25" t="s">
        <v>14</v>
      </c>
      <c r="E25" t="s">
        <v>22</v>
      </c>
      <c r="F25" t="s">
        <v>16</v>
      </c>
      <c r="G25" t="s">
        <v>17</v>
      </c>
      <c r="H25" t="s">
        <v>275</v>
      </c>
      <c r="I25" t="s">
        <v>269</v>
      </c>
      <c r="J25" t="s">
        <v>27</v>
      </c>
      <c r="K25" t="s">
        <v>276</v>
      </c>
      <c r="L25" t="s">
        <v>380</v>
      </c>
      <c r="M25" t="s">
        <v>381</v>
      </c>
      <c r="N25" t="s">
        <v>382</v>
      </c>
      <c r="O25" t="s">
        <v>215</v>
      </c>
      <c r="P25" t="s">
        <v>216</v>
      </c>
      <c r="Q25" t="s">
        <v>217</v>
      </c>
      <c r="R25" t="s">
        <v>218</v>
      </c>
      <c r="S25" t="s">
        <v>244</v>
      </c>
    </row>
    <row r="26" spans="1:19" x14ac:dyDescent="0.35">
      <c r="A26" t="s">
        <v>62</v>
      </c>
      <c r="B26" t="s">
        <v>20</v>
      </c>
      <c r="C26" t="s">
        <v>21</v>
      </c>
      <c r="D26" t="s">
        <v>14</v>
      </c>
      <c r="E26" t="s">
        <v>22</v>
      </c>
      <c r="F26" t="s">
        <v>52</v>
      </c>
      <c r="G26" t="s">
        <v>36</v>
      </c>
      <c r="H26" t="s">
        <v>291</v>
      </c>
      <c r="I26" t="s">
        <v>249</v>
      </c>
      <c r="J26" t="s">
        <v>54</v>
      </c>
      <c r="K26" t="s">
        <v>292</v>
      </c>
      <c r="L26" t="s">
        <v>299</v>
      </c>
      <c r="M26" t="s">
        <v>300</v>
      </c>
      <c r="N26" t="s">
        <v>293</v>
      </c>
      <c r="O26" t="s">
        <v>215</v>
      </c>
      <c r="P26" t="s">
        <v>216</v>
      </c>
      <c r="Q26" t="s">
        <v>217</v>
      </c>
      <c r="R26" t="s">
        <v>218</v>
      </c>
      <c r="S26" t="s">
        <v>220</v>
      </c>
    </row>
    <row r="27" spans="1:19" x14ac:dyDescent="0.35">
      <c r="A27" t="s">
        <v>63</v>
      </c>
      <c r="B27" t="s">
        <v>34</v>
      </c>
      <c r="C27" t="s">
        <v>21</v>
      </c>
      <c r="D27" t="s">
        <v>26</v>
      </c>
      <c r="E27" t="s">
        <v>15</v>
      </c>
      <c r="F27" t="s">
        <v>52</v>
      </c>
      <c r="G27" t="s">
        <v>36</v>
      </c>
      <c r="H27" t="s">
        <v>291</v>
      </c>
      <c r="I27" t="s">
        <v>210</v>
      </c>
      <c r="J27" t="s">
        <v>54</v>
      </c>
      <c r="K27" t="s">
        <v>292</v>
      </c>
      <c r="L27" t="s">
        <v>339</v>
      </c>
      <c r="M27" t="s">
        <v>299</v>
      </c>
      <c r="N27" t="s">
        <v>233</v>
      </c>
      <c r="O27" t="s">
        <v>215</v>
      </c>
      <c r="P27" t="s">
        <v>216</v>
      </c>
      <c r="Q27" t="s">
        <v>217</v>
      </c>
      <c r="R27" t="s">
        <v>218</v>
      </c>
      <c r="S27" t="s">
        <v>220</v>
      </c>
    </row>
    <row r="28" spans="1:19" x14ac:dyDescent="0.35">
      <c r="A28" t="s">
        <v>64</v>
      </c>
      <c r="B28" t="s">
        <v>20</v>
      </c>
      <c r="C28" t="s">
        <v>13</v>
      </c>
      <c r="D28" t="s">
        <v>14</v>
      </c>
      <c r="E28" t="s">
        <v>22</v>
      </c>
      <c r="F28" t="s">
        <v>56</v>
      </c>
      <c r="G28" t="s">
        <v>36</v>
      </c>
      <c r="H28" t="s">
        <v>260</v>
      </c>
      <c r="I28" t="s">
        <v>225</v>
      </c>
      <c r="J28" t="s">
        <v>50</v>
      </c>
      <c r="K28" t="s">
        <v>261</v>
      </c>
      <c r="L28" t="s">
        <v>379</v>
      </c>
      <c r="M28" t="s">
        <v>335</v>
      </c>
      <c r="N28" t="s">
        <v>260</v>
      </c>
      <c r="O28" t="s">
        <v>215</v>
      </c>
      <c r="P28" t="s">
        <v>216</v>
      </c>
      <c r="Q28" t="s">
        <v>217</v>
      </c>
      <c r="R28" t="s">
        <v>218</v>
      </c>
      <c r="S28" t="s">
        <v>265</v>
      </c>
    </row>
    <row r="29" spans="1:19" x14ac:dyDescent="0.35">
      <c r="A29" t="s">
        <v>65</v>
      </c>
      <c r="B29" t="s">
        <v>34</v>
      </c>
      <c r="C29" t="s">
        <v>21</v>
      </c>
      <c r="D29" t="s">
        <v>26</v>
      </c>
      <c r="E29" t="s">
        <v>22</v>
      </c>
      <c r="F29" t="s">
        <v>58</v>
      </c>
      <c r="G29" t="s">
        <v>24</v>
      </c>
      <c r="H29" t="s">
        <v>255</v>
      </c>
      <c r="I29" t="s">
        <v>220</v>
      </c>
      <c r="J29" t="s">
        <v>54</v>
      </c>
      <c r="K29" t="s">
        <v>256</v>
      </c>
      <c r="L29" t="s">
        <v>303</v>
      </c>
      <c r="M29" t="s">
        <v>304</v>
      </c>
      <c r="N29" t="s">
        <v>256</v>
      </c>
      <c r="O29" t="s">
        <v>215</v>
      </c>
      <c r="P29" t="s">
        <v>216</v>
      </c>
      <c r="Q29" t="s">
        <v>217</v>
      </c>
      <c r="R29" t="s">
        <v>218</v>
      </c>
      <c r="S29" t="s">
        <v>265</v>
      </c>
    </row>
    <row r="30" spans="1:19" x14ac:dyDescent="0.35">
      <c r="A30" t="s">
        <v>66</v>
      </c>
      <c r="B30" t="s">
        <v>12</v>
      </c>
      <c r="C30" t="s">
        <v>38</v>
      </c>
      <c r="D30" t="s">
        <v>26</v>
      </c>
      <c r="E30" t="s">
        <v>15</v>
      </c>
      <c r="F30" t="s">
        <v>47</v>
      </c>
      <c r="G30" t="s">
        <v>36</v>
      </c>
      <c r="H30" t="s">
        <v>229</v>
      </c>
      <c r="I30" t="s">
        <v>230</v>
      </c>
      <c r="J30" t="s">
        <v>32</v>
      </c>
      <c r="K30" t="s">
        <v>231</v>
      </c>
      <c r="L30" t="s">
        <v>232</v>
      </c>
      <c r="M30" t="s">
        <v>233</v>
      </c>
      <c r="N30" t="s">
        <v>234</v>
      </c>
      <c r="O30" t="s">
        <v>215</v>
      </c>
      <c r="P30" t="s">
        <v>216</v>
      </c>
      <c r="Q30" t="s">
        <v>217</v>
      </c>
      <c r="R30" t="s">
        <v>218</v>
      </c>
      <c r="S30" t="s">
        <v>244</v>
      </c>
    </row>
    <row r="31" spans="1:19" x14ac:dyDescent="0.35">
      <c r="A31" t="s">
        <v>67</v>
      </c>
      <c r="B31" t="s">
        <v>29</v>
      </c>
      <c r="C31" t="s">
        <v>30</v>
      </c>
      <c r="D31" t="s">
        <v>14</v>
      </c>
      <c r="E31" t="s">
        <v>15</v>
      </c>
      <c r="F31" t="s">
        <v>16</v>
      </c>
      <c r="G31" t="s">
        <v>17</v>
      </c>
      <c r="H31" t="s">
        <v>275</v>
      </c>
      <c r="I31" t="s">
        <v>244</v>
      </c>
      <c r="J31" t="s">
        <v>43</v>
      </c>
      <c r="K31" t="s">
        <v>276</v>
      </c>
      <c r="L31" t="s">
        <v>325</v>
      </c>
      <c r="M31" t="s">
        <v>326</v>
      </c>
      <c r="N31" t="s">
        <v>327</v>
      </c>
      <c r="O31" t="s">
        <v>215</v>
      </c>
      <c r="P31" t="s">
        <v>216</v>
      </c>
      <c r="Q31" t="s">
        <v>217</v>
      </c>
      <c r="R31" t="s">
        <v>218</v>
      </c>
      <c r="S31" t="s">
        <v>244</v>
      </c>
    </row>
    <row r="32" spans="1:19" x14ac:dyDescent="0.35">
      <c r="A32" t="s">
        <v>59</v>
      </c>
      <c r="B32" t="s">
        <v>20</v>
      </c>
      <c r="C32" t="s">
        <v>13</v>
      </c>
      <c r="D32" t="s">
        <v>14</v>
      </c>
      <c r="E32" t="s">
        <v>22</v>
      </c>
      <c r="F32" t="s">
        <v>35</v>
      </c>
      <c r="G32" t="s">
        <v>36</v>
      </c>
      <c r="H32" t="s">
        <v>224</v>
      </c>
      <c r="I32" t="s">
        <v>249</v>
      </c>
      <c r="J32" t="s">
        <v>54</v>
      </c>
      <c r="K32" t="s">
        <v>226</v>
      </c>
      <c r="L32" t="s">
        <v>366</v>
      </c>
      <c r="M32" t="s">
        <v>241</v>
      </c>
      <c r="N32" t="s">
        <v>297</v>
      </c>
      <c r="O32" t="s">
        <v>215</v>
      </c>
      <c r="P32" t="s">
        <v>216</v>
      </c>
      <c r="Q32" t="s">
        <v>217</v>
      </c>
      <c r="R32" t="s">
        <v>218</v>
      </c>
      <c r="S32" t="s">
        <v>265</v>
      </c>
    </row>
    <row r="33" spans="1:19" x14ac:dyDescent="0.35">
      <c r="A33" t="s">
        <v>65</v>
      </c>
      <c r="B33" t="s">
        <v>12</v>
      </c>
      <c r="C33" t="s">
        <v>21</v>
      </c>
      <c r="D33" t="s">
        <v>26</v>
      </c>
      <c r="E33" t="s">
        <v>15</v>
      </c>
      <c r="F33" t="s">
        <v>58</v>
      </c>
      <c r="G33" t="s">
        <v>24</v>
      </c>
      <c r="H33" t="s">
        <v>255</v>
      </c>
      <c r="I33" t="s">
        <v>238</v>
      </c>
      <c r="J33" t="s">
        <v>27</v>
      </c>
      <c r="K33" t="s">
        <v>256</v>
      </c>
      <c r="L33" t="s">
        <v>255</v>
      </c>
      <c r="M33" t="s">
        <v>256</v>
      </c>
      <c r="N33" t="s">
        <v>334</v>
      </c>
      <c r="O33" t="s">
        <v>215</v>
      </c>
      <c r="P33" t="s">
        <v>216</v>
      </c>
      <c r="Q33" t="s">
        <v>217</v>
      </c>
      <c r="R33" t="s">
        <v>218</v>
      </c>
      <c r="S33" t="s">
        <v>265</v>
      </c>
    </row>
    <row r="34" spans="1:19" x14ac:dyDescent="0.35">
      <c r="A34" t="s">
        <v>68</v>
      </c>
      <c r="B34" t="s">
        <v>29</v>
      </c>
      <c r="C34" t="s">
        <v>38</v>
      </c>
      <c r="D34" t="s">
        <v>26</v>
      </c>
      <c r="E34" t="s">
        <v>15</v>
      </c>
      <c r="F34" t="s">
        <v>41</v>
      </c>
      <c r="G34" t="s">
        <v>17</v>
      </c>
      <c r="H34" t="s">
        <v>219</v>
      </c>
      <c r="I34" t="s">
        <v>230</v>
      </c>
      <c r="J34" t="s">
        <v>54</v>
      </c>
      <c r="K34" t="s">
        <v>221</v>
      </c>
      <c r="L34" t="s">
        <v>235</v>
      </c>
      <c r="M34" t="s">
        <v>236</v>
      </c>
      <c r="N34" t="s">
        <v>237</v>
      </c>
      <c r="O34" t="s">
        <v>215</v>
      </c>
      <c r="P34" t="s">
        <v>216</v>
      </c>
      <c r="Q34" t="s">
        <v>217</v>
      </c>
      <c r="R34" t="s">
        <v>218</v>
      </c>
      <c r="S34" t="s">
        <v>238</v>
      </c>
    </row>
    <row r="35" spans="1:19" x14ac:dyDescent="0.35">
      <c r="A35" t="s">
        <v>69</v>
      </c>
      <c r="B35" t="s">
        <v>12</v>
      </c>
      <c r="C35" t="s">
        <v>38</v>
      </c>
      <c r="D35" t="s">
        <v>14</v>
      </c>
      <c r="E35" t="s">
        <v>22</v>
      </c>
      <c r="F35" t="s">
        <v>47</v>
      </c>
      <c r="G35" t="s">
        <v>36</v>
      </c>
      <c r="H35" t="s">
        <v>229</v>
      </c>
      <c r="I35" t="s">
        <v>238</v>
      </c>
      <c r="J35" t="s">
        <v>18</v>
      </c>
      <c r="K35" t="s">
        <v>231</v>
      </c>
      <c r="L35" t="s">
        <v>229</v>
      </c>
      <c r="M35" t="s">
        <v>231</v>
      </c>
      <c r="N35" t="s">
        <v>239</v>
      </c>
      <c r="O35" t="s">
        <v>215</v>
      </c>
      <c r="P35" t="s">
        <v>216</v>
      </c>
      <c r="Q35" t="s">
        <v>217</v>
      </c>
      <c r="R35" t="s">
        <v>218</v>
      </c>
      <c r="S35" t="s">
        <v>238</v>
      </c>
    </row>
    <row r="36" spans="1:19" x14ac:dyDescent="0.35">
      <c r="A36" t="s">
        <v>70</v>
      </c>
      <c r="B36" t="s">
        <v>20</v>
      </c>
      <c r="C36" t="s">
        <v>30</v>
      </c>
      <c r="D36" t="s">
        <v>14</v>
      </c>
      <c r="E36" t="s">
        <v>15</v>
      </c>
      <c r="F36" t="s">
        <v>39</v>
      </c>
      <c r="G36" t="s">
        <v>24</v>
      </c>
      <c r="H36" t="s">
        <v>209</v>
      </c>
      <c r="I36" t="s">
        <v>269</v>
      </c>
      <c r="J36" t="s">
        <v>54</v>
      </c>
      <c r="K36" t="s">
        <v>211</v>
      </c>
      <c r="L36" t="s">
        <v>371</v>
      </c>
      <c r="M36" t="s">
        <v>372</v>
      </c>
      <c r="N36" t="s">
        <v>373</v>
      </c>
      <c r="O36" t="s">
        <v>215</v>
      </c>
      <c r="P36" t="s">
        <v>216</v>
      </c>
      <c r="Q36" t="s">
        <v>217</v>
      </c>
      <c r="R36" t="s">
        <v>218</v>
      </c>
      <c r="S36" t="s">
        <v>265</v>
      </c>
    </row>
    <row r="37" spans="1:19" x14ac:dyDescent="0.35">
      <c r="A37" t="s">
        <v>40</v>
      </c>
      <c r="B37" t="s">
        <v>29</v>
      </c>
      <c r="C37" t="s">
        <v>30</v>
      </c>
      <c r="D37" t="s">
        <v>14</v>
      </c>
      <c r="E37" t="s">
        <v>15</v>
      </c>
      <c r="F37" t="s">
        <v>41</v>
      </c>
      <c r="G37" t="s">
        <v>17</v>
      </c>
      <c r="H37" t="s">
        <v>219</v>
      </c>
      <c r="I37" t="s">
        <v>225</v>
      </c>
      <c r="J37" t="s">
        <v>54</v>
      </c>
      <c r="K37" t="s">
        <v>221</v>
      </c>
      <c r="L37" t="s">
        <v>263</v>
      </c>
      <c r="M37" t="s">
        <v>222</v>
      </c>
      <c r="N37" t="s">
        <v>219</v>
      </c>
      <c r="O37" t="s">
        <v>215</v>
      </c>
      <c r="P37" t="s">
        <v>216</v>
      </c>
      <c r="Q37" t="s">
        <v>217</v>
      </c>
      <c r="R37" t="s">
        <v>218</v>
      </c>
      <c r="S37" t="s">
        <v>244</v>
      </c>
    </row>
    <row r="38" spans="1:19" x14ac:dyDescent="0.35">
      <c r="A38" t="s">
        <v>65</v>
      </c>
      <c r="B38" t="s">
        <v>29</v>
      </c>
      <c r="C38" t="s">
        <v>30</v>
      </c>
      <c r="D38" t="s">
        <v>26</v>
      </c>
      <c r="E38" t="s">
        <v>22</v>
      </c>
      <c r="F38" t="s">
        <v>47</v>
      </c>
      <c r="G38" t="s">
        <v>36</v>
      </c>
      <c r="H38" t="s">
        <v>229</v>
      </c>
      <c r="I38" t="s">
        <v>249</v>
      </c>
      <c r="J38" t="s">
        <v>50</v>
      </c>
      <c r="K38" t="s">
        <v>231</v>
      </c>
      <c r="L38" t="s">
        <v>228</v>
      </c>
      <c r="M38" t="s">
        <v>290</v>
      </c>
      <c r="N38" t="s">
        <v>226</v>
      </c>
      <c r="O38" t="s">
        <v>215</v>
      </c>
      <c r="P38" t="s">
        <v>216</v>
      </c>
      <c r="Q38" t="s">
        <v>217</v>
      </c>
      <c r="R38" t="s">
        <v>218</v>
      </c>
      <c r="S38" t="s">
        <v>265</v>
      </c>
    </row>
    <row r="39" spans="1:19" x14ac:dyDescent="0.35">
      <c r="A39" t="s">
        <v>71</v>
      </c>
      <c r="B39" t="s">
        <v>12</v>
      </c>
      <c r="C39" t="s">
        <v>13</v>
      </c>
      <c r="D39" t="s">
        <v>26</v>
      </c>
      <c r="E39" t="s">
        <v>22</v>
      </c>
      <c r="F39" t="s">
        <v>16</v>
      </c>
      <c r="G39" t="s">
        <v>17</v>
      </c>
      <c r="H39" t="s">
        <v>275</v>
      </c>
      <c r="I39" t="s">
        <v>230</v>
      </c>
      <c r="J39" t="s">
        <v>27</v>
      </c>
      <c r="K39" t="s">
        <v>276</v>
      </c>
      <c r="L39" t="s">
        <v>374</v>
      </c>
      <c r="M39" t="s">
        <v>375</v>
      </c>
      <c r="N39" t="s">
        <v>376</v>
      </c>
      <c r="O39" t="s">
        <v>215</v>
      </c>
      <c r="P39" t="s">
        <v>216</v>
      </c>
      <c r="Q39" t="s">
        <v>217</v>
      </c>
      <c r="R39" t="s">
        <v>218</v>
      </c>
      <c r="S39" t="s">
        <v>265</v>
      </c>
    </row>
    <row r="40" spans="1:19" x14ac:dyDescent="0.35">
      <c r="A40" t="s">
        <v>72</v>
      </c>
      <c r="B40" t="s">
        <v>29</v>
      </c>
      <c r="C40" t="s">
        <v>38</v>
      </c>
      <c r="D40" t="s">
        <v>26</v>
      </c>
      <c r="E40" t="s">
        <v>15</v>
      </c>
      <c r="F40" t="s">
        <v>41</v>
      </c>
      <c r="G40" t="s">
        <v>17</v>
      </c>
      <c r="H40" t="s">
        <v>219</v>
      </c>
      <c r="I40" t="s">
        <v>240</v>
      </c>
      <c r="J40" t="s">
        <v>27</v>
      </c>
      <c r="K40" t="s">
        <v>221</v>
      </c>
      <c r="L40" t="s">
        <v>241</v>
      </c>
      <c r="M40" t="s">
        <v>242</v>
      </c>
      <c r="N40" t="s">
        <v>243</v>
      </c>
      <c r="O40" t="s">
        <v>215</v>
      </c>
      <c r="P40" t="s">
        <v>216</v>
      </c>
      <c r="Q40" t="s">
        <v>217</v>
      </c>
      <c r="R40" t="s">
        <v>218</v>
      </c>
      <c r="S40" t="s">
        <v>244</v>
      </c>
    </row>
    <row r="41" spans="1:19" x14ac:dyDescent="0.35">
      <c r="A41" t="s">
        <v>73</v>
      </c>
      <c r="B41" t="s">
        <v>12</v>
      </c>
      <c r="C41" t="s">
        <v>30</v>
      </c>
      <c r="D41" t="s">
        <v>14</v>
      </c>
      <c r="E41" t="s">
        <v>22</v>
      </c>
      <c r="F41" t="s">
        <v>52</v>
      </c>
      <c r="G41" t="s">
        <v>36</v>
      </c>
      <c r="H41" t="s">
        <v>291</v>
      </c>
      <c r="I41" t="s">
        <v>249</v>
      </c>
      <c r="J41" t="s">
        <v>50</v>
      </c>
      <c r="K41" t="s">
        <v>292</v>
      </c>
      <c r="L41" t="s">
        <v>299</v>
      </c>
      <c r="M41" t="s">
        <v>300</v>
      </c>
      <c r="N41" t="s">
        <v>293</v>
      </c>
      <c r="O41" t="s">
        <v>215</v>
      </c>
      <c r="P41" t="s">
        <v>216</v>
      </c>
      <c r="Q41" t="s">
        <v>217</v>
      </c>
      <c r="R41" t="s">
        <v>218</v>
      </c>
      <c r="S41" t="s">
        <v>265</v>
      </c>
    </row>
    <row r="42" spans="1:19" x14ac:dyDescent="0.35">
      <c r="A42" t="s">
        <v>74</v>
      </c>
      <c r="B42" t="s">
        <v>29</v>
      </c>
      <c r="C42" t="s">
        <v>13</v>
      </c>
      <c r="D42" t="s">
        <v>26</v>
      </c>
      <c r="E42" t="s">
        <v>15</v>
      </c>
      <c r="F42" t="s">
        <v>35</v>
      </c>
      <c r="G42" t="s">
        <v>36</v>
      </c>
      <c r="H42" t="s">
        <v>224</v>
      </c>
      <c r="I42" t="s">
        <v>230</v>
      </c>
      <c r="J42" t="s">
        <v>43</v>
      </c>
      <c r="K42" t="s">
        <v>226</v>
      </c>
      <c r="L42" t="s">
        <v>332</v>
      </c>
      <c r="M42" t="s">
        <v>333</v>
      </c>
      <c r="N42" t="s">
        <v>291</v>
      </c>
      <c r="O42" t="s">
        <v>215</v>
      </c>
      <c r="P42" t="s">
        <v>216</v>
      </c>
      <c r="Q42" t="s">
        <v>217</v>
      </c>
      <c r="R42" t="s">
        <v>218</v>
      </c>
      <c r="S42" t="s">
        <v>265</v>
      </c>
    </row>
    <row r="43" spans="1:19" x14ac:dyDescent="0.35">
      <c r="A43" t="s">
        <v>75</v>
      </c>
      <c r="B43" t="s">
        <v>12</v>
      </c>
      <c r="C43" t="s">
        <v>13</v>
      </c>
      <c r="D43" t="s">
        <v>14</v>
      </c>
      <c r="E43" t="s">
        <v>15</v>
      </c>
      <c r="F43" t="s">
        <v>23</v>
      </c>
      <c r="G43" t="s">
        <v>24</v>
      </c>
      <c r="H43" t="s">
        <v>239</v>
      </c>
      <c r="I43" t="s">
        <v>240</v>
      </c>
      <c r="J43" t="s">
        <v>27</v>
      </c>
      <c r="K43" t="s">
        <v>245</v>
      </c>
      <c r="L43" t="s">
        <v>209</v>
      </c>
      <c r="M43" t="s">
        <v>211</v>
      </c>
      <c r="N43" t="s">
        <v>254</v>
      </c>
      <c r="O43" t="s">
        <v>215</v>
      </c>
      <c r="P43" t="s">
        <v>216</v>
      </c>
      <c r="Q43" t="s">
        <v>217</v>
      </c>
      <c r="R43" t="s">
        <v>218</v>
      </c>
      <c r="S43" t="s">
        <v>265</v>
      </c>
    </row>
    <row r="44" spans="1:19" x14ac:dyDescent="0.35">
      <c r="A44" t="s">
        <v>76</v>
      </c>
      <c r="B44" t="s">
        <v>12</v>
      </c>
      <c r="C44" t="s">
        <v>13</v>
      </c>
      <c r="D44" t="s">
        <v>26</v>
      </c>
      <c r="E44" t="s">
        <v>22</v>
      </c>
      <c r="F44" t="s">
        <v>58</v>
      </c>
      <c r="G44" t="s">
        <v>24</v>
      </c>
      <c r="H44" t="s">
        <v>255</v>
      </c>
      <c r="I44" t="s">
        <v>265</v>
      </c>
      <c r="J44" t="s">
        <v>43</v>
      </c>
      <c r="K44" t="s">
        <v>256</v>
      </c>
      <c r="L44" t="s">
        <v>287</v>
      </c>
      <c r="M44" t="s">
        <v>296</v>
      </c>
      <c r="N44" t="s">
        <v>341</v>
      </c>
      <c r="O44" t="s">
        <v>215</v>
      </c>
      <c r="P44" t="s">
        <v>216</v>
      </c>
      <c r="Q44" t="s">
        <v>217</v>
      </c>
      <c r="R44" t="s">
        <v>218</v>
      </c>
      <c r="S44" t="s">
        <v>265</v>
      </c>
    </row>
    <row r="45" spans="1:19" x14ac:dyDescent="0.35">
      <c r="A45" t="s">
        <v>46</v>
      </c>
      <c r="B45" t="s">
        <v>12</v>
      </c>
      <c r="C45" t="s">
        <v>38</v>
      </c>
      <c r="D45" t="s">
        <v>14</v>
      </c>
      <c r="E45" t="s">
        <v>15</v>
      </c>
      <c r="F45" t="s">
        <v>47</v>
      </c>
      <c r="G45" t="s">
        <v>36</v>
      </c>
      <c r="H45" t="s">
        <v>229</v>
      </c>
      <c r="I45" t="s">
        <v>238</v>
      </c>
      <c r="J45" t="s">
        <v>27</v>
      </c>
      <c r="K45" t="s">
        <v>231</v>
      </c>
      <c r="L45" t="s">
        <v>229</v>
      </c>
      <c r="M45" t="s">
        <v>231</v>
      </c>
      <c r="N45" t="s">
        <v>239</v>
      </c>
      <c r="O45" t="s">
        <v>215</v>
      </c>
      <c r="P45" t="s">
        <v>216</v>
      </c>
      <c r="Q45" t="s">
        <v>217</v>
      </c>
      <c r="R45" t="s">
        <v>218</v>
      </c>
      <c r="S45" t="s">
        <v>238</v>
      </c>
    </row>
    <row r="46" spans="1:19" x14ac:dyDescent="0.35">
      <c r="A46" t="s">
        <v>77</v>
      </c>
      <c r="B46" t="s">
        <v>34</v>
      </c>
      <c r="C46" t="s">
        <v>21</v>
      </c>
      <c r="D46" t="s">
        <v>14</v>
      </c>
      <c r="E46" t="s">
        <v>22</v>
      </c>
      <c r="F46" t="s">
        <v>41</v>
      </c>
      <c r="G46" t="s">
        <v>17</v>
      </c>
      <c r="H46" t="s">
        <v>219</v>
      </c>
      <c r="I46" t="s">
        <v>238</v>
      </c>
      <c r="J46" t="s">
        <v>54</v>
      </c>
      <c r="K46" t="s">
        <v>221</v>
      </c>
      <c r="L46" t="s">
        <v>219</v>
      </c>
      <c r="M46" t="s">
        <v>221</v>
      </c>
      <c r="N46" t="s">
        <v>308</v>
      </c>
      <c r="O46" t="s">
        <v>215</v>
      </c>
      <c r="P46" t="s">
        <v>216</v>
      </c>
      <c r="Q46" t="s">
        <v>217</v>
      </c>
      <c r="R46" t="s">
        <v>218</v>
      </c>
      <c r="S46" t="s">
        <v>238</v>
      </c>
    </row>
    <row r="47" spans="1:19" x14ac:dyDescent="0.35">
      <c r="A47" t="s">
        <v>78</v>
      </c>
      <c r="B47" t="s">
        <v>34</v>
      </c>
      <c r="C47" t="s">
        <v>38</v>
      </c>
      <c r="D47" t="s">
        <v>26</v>
      </c>
      <c r="E47" t="s">
        <v>22</v>
      </c>
      <c r="F47" t="s">
        <v>23</v>
      </c>
      <c r="G47" t="s">
        <v>24</v>
      </c>
      <c r="H47" t="s">
        <v>239</v>
      </c>
      <c r="I47" t="s">
        <v>244</v>
      </c>
      <c r="J47" t="s">
        <v>27</v>
      </c>
      <c r="K47" t="s">
        <v>245</v>
      </c>
      <c r="L47" t="s">
        <v>246</v>
      </c>
      <c r="M47" t="s">
        <v>247</v>
      </c>
      <c r="N47" t="s">
        <v>248</v>
      </c>
      <c r="O47" t="s">
        <v>215</v>
      </c>
      <c r="P47" t="s">
        <v>216</v>
      </c>
      <c r="Q47" t="s">
        <v>217</v>
      </c>
      <c r="R47" t="s">
        <v>218</v>
      </c>
      <c r="S47" t="s">
        <v>220</v>
      </c>
    </row>
    <row r="48" spans="1:19" x14ac:dyDescent="0.35">
      <c r="A48" t="s">
        <v>79</v>
      </c>
      <c r="B48" t="s">
        <v>12</v>
      </c>
      <c r="C48" t="s">
        <v>13</v>
      </c>
      <c r="D48" t="s">
        <v>26</v>
      </c>
      <c r="E48" t="s">
        <v>15</v>
      </c>
      <c r="F48" t="s">
        <v>31</v>
      </c>
      <c r="G48" t="s">
        <v>24</v>
      </c>
      <c r="H48" t="s">
        <v>252</v>
      </c>
      <c r="I48" t="s">
        <v>225</v>
      </c>
      <c r="J48" t="s">
        <v>32</v>
      </c>
      <c r="K48" t="s">
        <v>253</v>
      </c>
      <c r="L48" t="s">
        <v>224</v>
      </c>
      <c r="M48" t="s">
        <v>226</v>
      </c>
      <c r="N48" t="s">
        <v>252</v>
      </c>
      <c r="O48" t="s">
        <v>215</v>
      </c>
      <c r="P48" t="s">
        <v>216</v>
      </c>
      <c r="Q48" t="s">
        <v>217</v>
      </c>
      <c r="R48" t="s">
        <v>218</v>
      </c>
      <c r="S48" t="s">
        <v>238</v>
      </c>
    </row>
    <row r="49" spans="1:19" x14ac:dyDescent="0.35">
      <c r="A49" t="s">
        <v>66</v>
      </c>
      <c r="B49" t="s">
        <v>20</v>
      </c>
      <c r="C49" t="s">
        <v>30</v>
      </c>
      <c r="D49" t="s">
        <v>26</v>
      </c>
      <c r="E49" t="s">
        <v>15</v>
      </c>
      <c r="F49" t="s">
        <v>47</v>
      </c>
      <c r="G49" t="s">
        <v>36</v>
      </c>
      <c r="H49" t="s">
        <v>229</v>
      </c>
      <c r="I49" t="s">
        <v>244</v>
      </c>
      <c r="J49" t="s">
        <v>32</v>
      </c>
      <c r="K49" t="s">
        <v>231</v>
      </c>
      <c r="L49" t="s">
        <v>312</v>
      </c>
      <c r="M49" t="s">
        <v>214</v>
      </c>
      <c r="N49" t="s">
        <v>246</v>
      </c>
      <c r="O49" t="s">
        <v>215</v>
      </c>
      <c r="P49" t="s">
        <v>216</v>
      </c>
      <c r="Q49" t="s">
        <v>217</v>
      </c>
      <c r="R49" t="s">
        <v>218</v>
      </c>
      <c r="S49" t="s">
        <v>244</v>
      </c>
    </row>
    <row r="50" spans="1:19" x14ac:dyDescent="0.35">
      <c r="A50" t="s">
        <v>62</v>
      </c>
      <c r="B50" t="s">
        <v>20</v>
      </c>
      <c r="C50" t="s">
        <v>21</v>
      </c>
      <c r="D50" t="s">
        <v>14</v>
      </c>
      <c r="E50" t="s">
        <v>15</v>
      </c>
      <c r="F50" t="s">
        <v>41</v>
      </c>
      <c r="G50" t="s">
        <v>17</v>
      </c>
      <c r="H50" t="s">
        <v>219</v>
      </c>
      <c r="I50" t="s">
        <v>210</v>
      </c>
      <c r="J50" t="s">
        <v>32</v>
      </c>
      <c r="K50" t="s">
        <v>221</v>
      </c>
      <c r="L50" t="s">
        <v>278</v>
      </c>
      <c r="M50" t="s">
        <v>279</v>
      </c>
      <c r="N50" t="s">
        <v>280</v>
      </c>
      <c r="O50" t="s">
        <v>215</v>
      </c>
      <c r="P50" t="s">
        <v>216</v>
      </c>
      <c r="Q50" t="s">
        <v>217</v>
      </c>
      <c r="R50" t="s">
        <v>218</v>
      </c>
      <c r="S50" t="s">
        <v>220</v>
      </c>
    </row>
    <row r="51" spans="1:19" x14ac:dyDescent="0.35">
      <c r="A51" t="s">
        <v>80</v>
      </c>
      <c r="B51" t="s">
        <v>20</v>
      </c>
      <c r="C51" t="s">
        <v>13</v>
      </c>
      <c r="D51" t="s">
        <v>26</v>
      </c>
      <c r="E51" t="s">
        <v>15</v>
      </c>
      <c r="F51" t="s">
        <v>58</v>
      </c>
      <c r="G51" t="s">
        <v>24</v>
      </c>
      <c r="H51" t="s">
        <v>255</v>
      </c>
      <c r="I51" t="s">
        <v>240</v>
      </c>
      <c r="J51" t="s">
        <v>18</v>
      </c>
      <c r="K51" t="s">
        <v>256</v>
      </c>
      <c r="L51" t="s">
        <v>305</v>
      </c>
      <c r="M51" t="s">
        <v>306</v>
      </c>
      <c r="N51" t="s">
        <v>307</v>
      </c>
      <c r="O51" t="s">
        <v>215</v>
      </c>
      <c r="P51" t="s">
        <v>216</v>
      </c>
      <c r="Q51" t="s">
        <v>217</v>
      </c>
      <c r="R51" t="s">
        <v>218</v>
      </c>
      <c r="S51" t="s">
        <v>265</v>
      </c>
    </row>
    <row r="52" spans="1:19" x14ac:dyDescent="0.35">
      <c r="A52" t="s">
        <v>81</v>
      </c>
      <c r="B52" t="s">
        <v>12</v>
      </c>
      <c r="C52" t="s">
        <v>38</v>
      </c>
      <c r="D52" t="s">
        <v>26</v>
      </c>
      <c r="E52" t="s">
        <v>15</v>
      </c>
      <c r="F52" t="s">
        <v>39</v>
      </c>
      <c r="G52" t="s">
        <v>24</v>
      </c>
      <c r="H52" t="s">
        <v>209</v>
      </c>
      <c r="I52" t="s">
        <v>249</v>
      </c>
      <c r="J52" t="s">
        <v>32</v>
      </c>
      <c r="K52" t="s">
        <v>211</v>
      </c>
      <c r="L52" t="s">
        <v>213</v>
      </c>
      <c r="M52" t="s">
        <v>250</v>
      </c>
      <c r="N52" t="s">
        <v>251</v>
      </c>
      <c r="O52" t="s">
        <v>215</v>
      </c>
      <c r="P52" t="s">
        <v>216</v>
      </c>
      <c r="Q52" t="s">
        <v>217</v>
      </c>
      <c r="R52" t="s">
        <v>218</v>
      </c>
      <c r="S52" t="s">
        <v>244</v>
      </c>
    </row>
    <row r="53" spans="1:19" x14ac:dyDescent="0.35">
      <c r="A53" t="s">
        <v>82</v>
      </c>
      <c r="B53" t="s">
        <v>12</v>
      </c>
      <c r="C53" t="s">
        <v>30</v>
      </c>
      <c r="D53" t="s">
        <v>14</v>
      </c>
      <c r="E53" t="s">
        <v>22</v>
      </c>
      <c r="F53" t="s">
        <v>41</v>
      </c>
      <c r="G53" t="s">
        <v>17</v>
      </c>
      <c r="H53" t="s">
        <v>219</v>
      </c>
      <c r="I53" t="s">
        <v>265</v>
      </c>
      <c r="J53" t="s">
        <v>27</v>
      </c>
      <c r="K53" t="s">
        <v>221</v>
      </c>
      <c r="L53" t="s">
        <v>280</v>
      </c>
      <c r="M53" t="s">
        <v>321</v>
      </c>
      <c r="N53" t="s">
        <v>340</v>
      </c>
      <c r="O53" t="s">
        <v>215</v>
      </c>
      <c r="P53" t="s">
        <v>216</v>
      </c>
      <c r="Q53" t="s">
        <v>217</v>
      </c>
      <c r="R53" t="s">
        <v>218</v>
      </c>
      <c r="S53" t="s">
        <v>238</v>
      </c>
    </row>
    <row r="54" spans="1:19" x14ac:dyDescent="0.35">
      <c r="A54" t="s">
        <v>42</v>
      </c>
      <c r="B54" t="s">
        <v>12</v>
      </c>
      <c r="C54" t="s">
        <v>21</v>
      </c>
      <c r="D54" t="s">
        <v>14</v>
      </c>
      <c r="E54" t="s">
        <v>22</v>
      </c>
      <c r="F54" t="s">
        <v>35</v>
      </c>
      <c r="G54" t="s">
        <v>36</v>
      </c>
      <c r="H54" t="s">
        <v>224</v>
      </c>
      <c r="I54" t="s">
        <v>269</v>
      </c>
      <c r="J54" t="s">
        <v>43</v>
      </c>
      <c r="K54" t="s">
        <v>226</v>
      </c>
      <c r="L54" t="s">
        <v>270</v>
      </c>
      <c r="M54" t="s">
        <v>271</v>
      </c>
      <c r="N54" t="s">
        <v>272</v>
      </c>
      <c r="O54" t="s">
        <v>215</v>
      </c>
      <c r="P54" t="s">
        <v>216</v>
      </c>
      <c r="Q54" t="s">
        <v>217</v>
      </c>
      <c r="R54" t="s">
        <v>218</v>
      </c>
      <c r="S54" t="s">
        <v>265</v>
      </c>
    </row>
    <row r="55" spans="1:19" x14ac:dyDescent="0.35">
      <c r="A55" t="s">
        <v>83</v>
      </c>
      <c r="B55" t="s">
        <v>34</v>
      </c>
      <c r="C55" t="s">
        <v>30</v>
      </c>
      <c r="D55" t="s">
        <v>14</v>
      </c>
      <c r="E55" t="s">
        <v>22</v>
      </c>
      <c r="F55" t="s">
        <v>52</v>
      </c>
      <c r="G55" t="s">
        <v>36</v>
      </c>
      <c r="H55" t="s">
        <v>291</v>
      </c>
      <c r="I55" t="s">
        <v>238</v>
      </c>
      <c r="J55" t="s">
        <v>43</v>
      </c>
      <c r="K55" t="s">
        <v>292</v>
      </c>
      <c r="L55" t="s">
        <v>291</v>
      </c>
      <c r="M55" t="s">
        <v>292</v>
      </c>
      <c r="N55" t="s">
        <v>343</v>
      </c>
      <c r="O55" t="s">
        <v>215</v>
      </c>
      <c r="P55" t="s">
        <v>216</v>
      </c>
      <c r="Q55" t="s">
        <v>217</v>
      </c>
      <c r="R55" t="s">
        <v>218</v>
      </c>
      <c r="S55" t="s">
        <v>238</v>
      </c>
    </row>
    <row r="56" spans="1:19" x14ac:dyDescent="0.35">
      <c r="A56" t="s">
        <v>84</v>
      </c>
      <c r="B56" t="s">
        <v>20</v>
      </c>
      <c r="C56" t="s">
        <v>30</v>
      </c>
      <c r="D56" t="s">
        <v>14</v>
      </c>
      <c r="E56" t="s">
        <v>15</v>
      </c>
      <c r="F56" t="s">
        <v>31</v>
      </c>
      <c r="G56" t="s">
        <v>24</v>
      </c>
      <c r="H56" t="s">
        <v>252</v>
      </c>
      <c r="I56" t="s">
        <v>238</v>
      </c>
      <c r="J56" t="s">
        <v>32</v>
      </c>
      <c r="K56" t="s">
        <v>253</v>
      </c>
      <c r="L56" t="s">
        <v>252</v>
      </c>
      <c r="M56" t="s">
        <v>253</v>
      </c>
      <c r="N56" t="s">
        <v>313</v>
      </c>
      <c r="O56" t="s">
        <v>215</v>
      </c>
      <c r="P56" t="s">
        <v>216</v>
      </c>
      <c r="Q56" t="s">
        <v>217</v>
      </c>
      <c r="R56" t="s">
        <v>218</v>
      </c>
      <c r="S56" t="s">
        <v>220</v>
      </c>
    </row>
    <row r="57" spans="1:19" x14ac:dyDescent="0.35">
      <c r="A57" t="s">
        <v>40</v>
      </c>
      <c r="B57" t="s">
        <v>20</v>
      </c>
      <c r="C57" t="s">
        <v>21</v>
      </c>
      <c r="D57" t="s">
        <v>26</v>
      </c>
      <c r="E57" t="s">
        <v>22</v>
      </c>
      <c r="F57" t="s">
        <v>35</v>
      </c>
      <c r="G57" t="s">
        <v>36</v>
      </c>
      <c r="H57" t="s">
        <v>224</v>
      </c>
      <c r="I57" t="s">
        <v>269</v>
      </c>
      <c r="J57" t="s">
        <v>43</v>
      </c>
      <c r="K57" t="s">
        <v>226</v>
      </c>
      <c r="L57" t="s">
        <v>270</v>
      </c>
      <c r="M57" t="s">
        <v>271</v>
      </c>
      <c r="N57" t="s">
        <v>272</v>
      </c>
      <c r="O57" t="s">
        <v>215</v>
      </c>
      <c r="P57" t="s">
        <v>216</v>
      </c>
      <c r="Q57" t="s">
        <v>217</v>
      </c>
      <c r="R57" t="s">
        <v>218</v>
      </c>
      <c r="S57" t="s">
        <v>244</v>
      </c>
    </row>
    <row r="58" spans="1:19" x14ac:dyDescent="0.35">
      <c r="A58" t="s">
        <v>85</v>
      </c>
      <c r="B58" t="s">
        <v>12</v>
      </c>
      <c r="C58" t="s">
        <v>30</v>
      </c>
      <c r="D58" t="s">
        <v>26</v>
      </c>
      <c r="E58" t="s">
        <v>15</v>
      </c>
      <c r="F58" t="s">
        <v>52</v>
      </c>
      <c r="G58" t="s">
        <v>36</v>
      </c>
      <c r="H58" t="s">
        <v>291</v>
      </c>
      <c r="I58" t="s">
        <v>269</v>
      </c>
      <c r="J58" t="s">
        <v>27</v>
      </c>
      <c r="K58" t="s">
        <v>292</v>
      </c>
      <c r="L58" t="s">
        <v>328</v>
      </c>
      <c r="M58" t="s">
        <v>329</v>
      </c>
      <c r="N58" t="s">
        <v>330</v>
      </c>
      <c r="O58" t="s">
        <v>215</v>
      </c>
      <c r="P58" t="s">
        <v>216</v>
      </c>
      <c r="Q58" t="s">
        <v>217</v>
      </c>
      <c r="R58" t="s">
        <v>218</v>
      </c>
      <c r="S58" t="s">
        <v>238</v>
      </c>
    </row>
    <row r="59" spans="1:19" x14ac:dyDescent="0.35">
      <c r="A59" t="s">
        <v>70</v>
      </c>
      <c r="B59" t="s">
        <v>20</v>
      </c>
      <c r="C59" t="s">
        <v>21</v>
      </c>
      <c r="D59" t="s">
        <v>14</v>
      </c>
      <c r="E59" t="s">
        <v>15</v>
      </c>
      <c r="F59" t="s">
        <v>58</v>
      </c>
      <c r="G59" t="s">
        <v>24</v>
      </c>
      <c r="H59" t="s">
        <v>255</v>
      </c>
      <c r="I59" t="s">
        <v>249</v>
      </c>
      <c r="J59" t="s">
        <v>50</v>
      </c>
      <c r="K59" t="s">
        <v>256</v>
      </c>
      <c r="L59" t="s">
        <v>286</v>
      </c>
      <c r="M59" t="s">
        <v>295</v>
      </c>
      <c r="N59" t="s">
        <v>296</v>
      </c>
      <c r="O59" t="s">
        <v>215</v>
      </c>
      <c r="P59" t="s">
        <v>216</v>
      </c>
      <c r="Q59" t="s">
        <v>217</v>
      </c>
      <c r="R59" t="s">
        <v>218</v>
      </c>
      <c r="S59" t="s">
        <v>265</v>
      </c>
    </row>
    <row r="60" spans="1:19" x14ac:dyDescent="0.35">
      <c r="A60" t="s">
        <v>86</v>
      </c>
      <c r="B60" t="s">
        <v>29</v>
      </c>
      <c r="C60" t="s">
        <v>13</v>
      </c>
      <c r="D60" t="s">
        <v>14</v>
      </c>
      <c r="E60" t="s">
        <v>15</v>
      </c>
      <c r="F60" t="s">
        <v>16</v>
      </c>
      <c r="G60" t="s">
        <v>17</v>
      </c>
      <c r="H60" t="s">
        <v>275</v>
      </c>
      <c r="I60" t="s">
        <v>210</v>
      </c>
      <c r="J60" t="s">
        <v>43</v>
      </c>
      <c r="K60" t="s">
        <v>276</v>
      </c>
      <c r="L60" t="s">
        <v>314</v>
      </c>
      <c r="M60" t="s">
        <v>315</v>
      </c>
      <c r="N60" t="s">
        <v>316</v>
      </c>
      <c r="O60" t="s">
        <v>215</v>
      </c>
      <c r="P60" t="s">
        <v>216</v>
      </c>
      <c r="Q60" t="s">
        <v>217</v>
      </c>
      <c r="R60" t="s">
        <v>218</v>
      </c>
      <c r="S60" t="s">
        <v>238</v>
      </c>
    </row>
    <row r="61" spans="1:19" x14ac:dyDescent="0.35">
      <c r="A61" t="s">
        <v>71</v>
      </c>
      <c r="B61" t="s">
        <v>12</v>
      </c>
      <c r="C61" t="s">
        <v>30</v>
      </c>
      <c r="D61" t="s">
        <v>26</v>
      </c>
      <c r="E61" t="s">
        <v>15</v>
      </c>
      <c r="F61" t="s">
        <v>47</v>
      </c>
      <c r="G61" t="s">
        <v>36</v>
      </c>
      <c r="H61" t="s">
        <v>229</v>
      </c>
      <c r="I61" t="s">
        <v>220</v>
      </c>
      <c r="J61" t="s">
        <v>18</v>
      </c>
      <c r="K61" t="s">
        <v>231</v>
      </c>
      <c r="L61" t="s">
        <v>289</v>
      </c>
      <c r="M61" t="s">
        <v>297</v>
      </c>
      <c r="N61" t="s">
        <v>231</v>
      </c>
      <c r="O61" t="s">
        <v>215</v>
      </c>
      <c r="P61" t="s">
        <v>216</v>
      </c>
      <c r="Q61" t="s">
        <v>217</v>
      </c>
      <c r="R61" t="s">
        <v>218</v>
      </c>
      <c r="S61" t="s">
        <v>265</v>
      </c>
    </row>
    <row r="62" spans="1:19" x14ac:dyDescent="0.35">
      <c r="A62" t="s">
        <v>48</v>
      </c>
      <c r="B62" t="s">
        <v>20</v>
      </c>
      <c r="C62" t="s">
        <v>21</v>
      </c>
      <c r="D62" t="s">
        <v>26</v>
      </c>
      <c r="E62" t="s">
        <v>22</v>
      </c>
      <c r="F62" t="s">
        <v>56</v>
      </c>
      <c r="G62" t="s">
        <v>36</v>
      </c>
      <c r="H62" t="s">
        <v>260</v>
      </c>
      <c r="I62" t="s">
        <v>238</v>
      </c>
      <c r="J62" t="s">
        <v>32</v>
      </c>
      <c r="K62" t="s">
        <v>261</v>
      </c>
      <c r="L62" t="s">
        <v>260</v>
      </c>
      <c r="M62" t="s">
        <v>261</v>
      </c>
      <c r="N62" t="s">
        <v>352</v>
      </c>
      <c r="O62" t="s">
        <v>215</v>
      </c>
      <c r="P62" t="s">
        <v>216</v>
      </c>
      <c r="Q62" t="s">
        <v>217</v>
      </c>
      <c r="R62" t="s">
        <v>218</v>
      </c>
      <c r="S62" t="s">
        <v>238</v>
      </c>
    </row>
    <row r="63" spans="1:19" x14ac:dyDescent="0.35">
      <c r="A63" t="s">
        <v>87</v>
      </c>
      <c r="B63" t="s">
        <v>29</v>
      </c>
      <c r="C63" t="s">
        <v>21</v>
      </c>
      <c r="D63" t="s">
        <v>14</v>
      </c>
      <c r="E63" t="s">
        <v>15</v>
      </c>
      <c r="F63" t="s">
        <v>23</v>
      </c>
      <c r="G63" t="s">
        <v>24</v>
      </c>
      <c r="H63" t="s">
        <v>239</v>
      </c>
      <c r="I63" t="s">
        <v>210</v>
      </c>
      <c r="J63" t="s">
        <v>32</v>
      </c>
      <c r="K63" t="s">
        <v>245</v>
      </c>
      <c r="L63" t="s">
        <v>224</v>
      </c>
      <c r="M63" t="s">
        <v>226</v>
      </c>
      <c r="N63" t="s">
        <v>252</v>
      </c>
      <c r="O63" t="s">
        <v>215</v>
      </c>
      <c r="P63" t="s">
        <v>216</v>
      </c>
      <c r="Q63" t="s">
        <v>217</v>
      </c>
      <c r="R63" t="s">
        <v>218</v>
      </c>
      <c r="S63" t="s">
        <v>244</v>
      </c>
    </row>
    <row r="64" spans="1:19" x14ac:dyDescent="0.35">
      <c r="A64" t="s">
        <v>88</v>
      </c>
      <c r="B64" t="s">
        <v>29</v>
      </c>
      <c r="C64" t="s">
        <v>21</v>
      </c>
      <c r="D64" t="s">
        <v>26</v>
      </c>
      <c r="E64" t="s">
        <v>15</v>
      </c>
      <c r="F64" t="s">
        <v>52</v>
      </c>
      <c r="G64" t="s">
        <v>36</v>
      </c>
      <c r="H64" t="s">
        <v>291</v>
      </c>
      <c r="I64" t="s">
        <v>220</v>
      </c>
      <c r="J64" t="s">
        <v>27</v>
      </c>
      <c r="K64" t="s">
        <v>292</v>
      </c>
      <c r="L64" t="s">
        <v>333</v>
      </c>
      <c r="M64" t="s">
        <v>345</v>
      </c>
      <c r="N64" t="s">
        <v>292</v>
      </c>
      <c r="O64" t="s">
        <v>215</v>
      </c>
      <c r="P64" t="s">
        <v>216</v>
      </c>
      <c r="Q64" t="s">
        <v>217</v>
      </c>
      <c r="R64" t="s">
        <v>218</v>
      </c>
      <c r="S64" t="s">
        <v>244</v>
      </c>
    </row>
    <row r="65" spans="1:19" x14ac:dyDescent="0.35">
      <c r="A65" t="s">
        <v>89</v>
      </c>
      <c r="B65" t="s">
        <v>20</v>
      </c>
      <c r="C65" t="s">
        <v>21</v>
      </c>
      <c r="D65" t="s">
        <v>14</v>
      </c>
      <c r="E65" t="s">
        <v>22</v>
      </c>
      <c r="F65" t="s">
        <v>16</v>
      </c>
      <c r="G65" t="s">
        <v>17</v>
      </c>
      <c r="H65" t="s">
        <v>275</v>
      </c>
      <c r="I65" t="s">
        <v>265</v>
      </c>
      <c r="J65" t="s">
        <v>43</v>
      </c>
      <c r="K65" t="s">
        <v>276</v>
      </c>
      <c r="L65" t="s">
        <v>316</v>
      </c>
      <c r="M65" t="s">
        <v>323</v>
      </c>
      <c r="N65" t="s">
        <v>344</v>
      </c>
      <c r="O65" t="s">
        <v>215</v>
      </c>
      <c r="P65" t="s">
        <v>216</v>
      </c>
      <c r="Q65" t="s">
        <v>217</v>
      </c>
      <c r="R65" t="s">
        <v>218</v>
      </c>
      <c r="S65" t="s">
        <v>244</v>
      </c>
    </row>
    <row r="66" spans="1:19" x14ac:dyDescent="0.35">
      <c r="A66" t="s">
        <v>90</v>
      </c>
      <c r="B66" t="s">
        <v>20</v>
      </c>
      <c r="C66" t="s">
        <v>21</v>
      </c>
      <c r="D66" t="s">
        <v>14</v>
      </c>
      <c r="E66" t="s">
        <v>15</v>
      </c>
      <c r="F66" t="s">
        <v>58</v>
      </c>
      <c r="G66" t="s">
        <v>24</v>
      </c>
      <c r="H66" t="s">
        <v>255</v>
      </c>
      <c r="I66" t="s">
        <v>238</v>
      </c>
      <c r="J66" t="s">
        <v>32</v>
      </c>
      <c r="K66" t="s">
        <v>256</v>
      </c>
      <c r="L66" t="s">
        <v>255</v>
      </c>
      <c r="M66" t="s">
        <v>256</v>
      </c>
      <c r="N66" t="s">
        <v>334</v>
      </c>
      <c r="O66" t="s">
        <v>215</v>
      </c>
      <c r="P66" t="s">
        <v>216</v>
      </c>
      <c r="Q66" t="s">
        <v>217</v>
      </c>
      <c r="R66" t="s">
        <v>218</v>
      </c>
      <c r="S66" t="s">
        <v>244</v>
      </c>
    </row>
    <row r="67" spans="1:19" x14ac:dyDescent="0.35">
      <c r="A67" t="s">
        <v>68</v>
      </c>
      <c r="B67" t="s">
        <v>12</v>
      </c>
      <c r="C67" t="s">
        <v>13</v>
      </c>
      <c r="D67" t="s">
        <v>14</v>
      </c>
      <c r="E67" t="s">
        <v>22</v>
      </c>
      <c r="F67" t="s">
        <v>39</v>
      </c>
      <c r="G67" t="s">
        <v>24</v>
      </c>
      <c r="H67" t="s">
        <v>209</v>
      </c>
      <c r="I67" t="s">
        <v>269</v>
      </c>
      <c r="J67" t="s">
        <v>54</v>
      </c>
      <c r="K67" t="s">
        <v>211</v>
      </c>
      <c r="L67" t="s">
        <v>371</v>
      </c>
      <c r="M67" t="s">
        <v>372</v>
      </c>
      <c r="N67" t="s">
        <v>373</v>
      </c>
      <c r="O67" t="s">
        <v>215</v>
      </c>
      <c r="P67" t="s">
        <v>216</v>
      </c>
      <c r="Q67" t="s">
        <v>217</v>
      </c>
      <c r="R67" t="s">
        <v>218</v>
      </c>
      <c r="S67" t="s">
        <v>238</v>
      </c>
    </row>
    <row r="68" spans="1:19" x14ac:dyDescent="0.35">
      <c r="A68" t="s">
        <v>63</v>
      </c>
      <c r="B68" t="s">
        <v>12</v>
      </c>
      <c r="C68" t="s">
        <v>30</v>
      </c>
      <c r="D68" t="s">
        <v>14</v>
      </c>
      <c r="E68" t="s">
        <v>22</v>
      </c>
      <c r="F68" t="s">
        <v>56</v>
      </c>
      <c r="G68" t="s">
        <v>36</v>
      </c>
      <c r="H68" t="s">
        <v>260</v>
      </c>
      <c r="I68" t="s">
        <v>240</v>
      </c>
      <c r="J68" t="s">
        <v>18</v>
      </c>
      <c r="K68" t="s">
        <v>261</v>
      </c>
      <c r="L68" t="s">
        <v>227</v>
      </c>
      <c r="M68" t="s">
        <v>228</v>
      </c>
      <c r="N68" t="s">
        <v>224</v>
      </c>
      <c r="O68" t="s">
        <v>215</v>
      </c>
      <c r="P68" t="s">
        <v>216</v>
      </c>
      <c r="Q68" t="s">
        <v>217</v>
      </c>
      <c r="R68" t="s">
        <v>218</v>
      </c>
      <c r="S68" t="s">
        <v>220</v>
      </c>
    </row>
    <row r="69" spans="1:19" x14ac:dyDescent="0.35">
      <c r="A69" t="s">
        <v>91</v>
      </c>
      <c r="B69" t="s">
        <v>12</v>
      </c>
      <c r="C69" t="s">
        <v>13</v>
      </c>
      <c r="D69" t="s">
        <v>14</v>
      </c>
      <c r="E69" t="s">
        <v>22</v>
      </c>
      <c r="F69" t="s">
        <v>39</v>
      </c>
      <c r="G69" t="s">
        <v>24</v>
      </c>
      <c r="H69" t="s">
        <v>209</v>
      </c>
      <c r="I69" t="s">
        <v>244</v>
      </c>
      <c r="J69" t="s">
        <v>54</v>
      </c>
      <c r="K69" t="s">
        <v>211</v>
      </c>
      <c r="L69" t="s">
        <v>272</v>
      </c>
      <c r="M69" t="s">
        <v>273</v>
      </c>
      <c r="N69" t="s">
        <v>274</v>
      </c>
      <c r="O69" t="s">
        <v>215</v>
      </c>
      <c r="P69" t="s">
        <v>216</v>
      </c>
      <c r="Q69" t="s">
        <v>217</v>
      </c>
      <c r="R69" t="s">
        <v>218</v>
      </c>
      <c r="S69" t="s">
        <v>220</v>
      </c>
    </row>
    <row r="70" spans="1:19" x14ac:dyDescent="0.35">
      <c r="A70" t="s">
        <v>92</v>
      </c>
      <c r="B70" t="s">
        <v>29</v>
      </c>
      <c r="C70" t="s">
        <v>13</v>
      </c>
      <c r="D70" t="s">
        <v>26</v>
      </c>
      <c r="E70" t="s">
        <v>15</v>
      </c>
      <c r="F70" t="s">
        <v>31</v>
      </c>
      <c r="G70" t="s">
        <v>24</v>
      </c>
      <c r="H70" t="s">
        <v>252</v>
      </c>
      <c r="I70" t="s">
        <v>249</v>
      </c>
      <c r="J70" t="s">
        <v>43</v>
      </c>
      <c r="K70" t="s">
        <v>253</v>
      </c>
      <c r="L70" t="s">
        <v>297</v>
      </c>
      <c r="M70" t="s">
        <v>243</v>
      </c>
      <c r="N70" t="s">
        <v>311</v>
      </c>
      <c r="O70" t="s">
        <v>215</v>
      </c>
      <c r="P70" t="s">
        <v>216</v>
      </c>
      <c r="Q70" t="s">
        <v>217</v>
      </c>
      <c r="R70" t="s">
        <v>218</v>
      </c>
      <c r="S70" t="s">
        <v>265</v>
      </c>
    </row>
    <row r="71" spans="1:19" x14ac:dyDescent="0.35">
      <c r="A71" t="s">
        <v>93</v>
      </c>
      <c r="B71" t="s">
        <v>34</v>
      </c>
      <c r="C71" t="s">
        <v>13</v>
      </c>
      <c r="D71" t="s">
        <v>14</v>
      </c>
      <c r="E71" t="s">
        <v>15</v>
      </c>
      <c r="F71" t="s">
        <v>31</v>
      </c>
      <c r="G71" t="s">
        <v>24</v>
      </c>
      <c r="H71" t="s">
        <v>252</v>
      </c>
      <c r="I71" t="s">
        <v>244</v>
      </c>
      <c r="J71" t="s">
        <v>18</v>
      </c>
      <c r="K71" t="s">
        <v>253</v>
      </c>
      <c r="L71" t="s">
        <v>209</v>
      </c>
      <c r="M71" t="s">
        <v>211</v>
      </c>
      <c r="N71" t="s">
        <v>254</v>
      </c>
      <c r="O71" t="s">
        <v>215</v>
      </c>
      <c r="P71" t="s">
        <v>216</v>
      </c>
      <c r="Q71" t="s">
        <v>217</v>
      </c>
      <c r="R71" t="s">
        <v>218</v>
      </c>
      <c r="S71" t="s">
        <v>220</v>
      </c>
    </row>
    <row r="72" spans="1:19" x14ac:dyDescent="0.35">
      <c r="A72" t="s">
        <v>94</v>
      </c>
      <c r="B72" t="s">
        <v>12</v>
      </c>
      <c r="C72" t="s">
        <v>30</v>
      </c>
      <c r="D72" t="s">
        <v>26</v>
      </c>
      <c r="E72" t="s">
        <v>15</v>
      </c>
      <c r="F72" t="s">
        <v>23</v>
      </c>
      <c r="G72" t="s">
        <v>24</v>
      </c>
      <c r="H72" t="s">
        <v>239</v>
      </c>
      <c r="I72" t="s">
        <v>249</v>
      </c>
      <c r="J72" t="s">
        <v>32</v>
      </c>
      <c r="K72" t="s">
        <v>245</v>
      </c>
      <c r="L72" t="s">
        <v>226</v>
      </c>
      <c r="M72" t="s">
        <v>284</v>
      </c>
      <c r="N72" t="s">
        <v>253</v>
      </c>
      <c r="O72" t="s">
        <v>215</v>
      </c>
      <c r="P72" t="s">
        <v>216</v>
      </c>
      <c r="Q72" t="s">
        <v>217</v>
      </c>
      <c r="R72" t="s">
        <v>218</v>
      </c>
      <c r="S72" t="s">
        <v>244</v>
      </c>
    </row>
    <row r="73" spans="1:19" x14ac:dyDescent="0.35">
      <c r="A73" t="s">
        <v>95</v>
      </c>
      <c r="B73" t="s">
        <v>29</v>
      </c>
      <c r="C73" t="s">
        <v>21</v>
      </c>
      <c r="D73" t="s">
        <v>14</v>
      </c>
      <c r="E73" t="s">
        <v>22</v>
      </c>
      <c r="F73" t="s">
        <v>31</v>
      </c>
      <c r="G73" t="s">
        <v>24</v>
      </c>
      <c r="H73" t="s">
        <v>252</v>
      </c>
      <c r="I73" t="s">
        <v>220</v>
      </c>
      <c r="J73" t="s">
        <v>54</v>
      </c>
      <c r="K73" t="s">
        <v>253</v>
      </c>
      <c r="L73" t="s">
        <v>226</v>
      </c>
      <c r="M73" t="s">
        <v>284</v>
      </c>
      <c r="N73" t="s">
        <v>253</v>
      </c>
      <c r="O73" t="s">
        <v>215</v>
      </c>
      <c r="P73" t="s">
        <v>216</v>
      </c>
      <c r="Q73" t="s">
        <v>217</v>
      </c>
      <c r="R73" t="s">
        <v>218</v>
      </c>
      <c r="S73" t="s">
        <v>238</v>
      </c>
    </row>
    <row r="74" spans="1:19" x14ac:dyDescent="0.35">
      <c r="A74" t="s">
        <v>96</v>
      </c>
      <c r="B74" t="s">
        <v>29</v>
      </c>
      <c r="C74" t="s">
        <v>13</v>
      </c>
      <c r="D74" t="s">
        <v>26</v>
      </c>
      <c r="E74" t="s">
        <v>22</v>
      </c>
      <c r="F74" t="s">
        <v>23</v>
      </c>
      <c r="G74" t="s">
        <v>24</v>
      </c>
      <c r="H74" t="s">
        <v>239</v>
      </c>
      <c r="I74" t="s">
        <v>244</v>
      </c>
      <c r="J74" t="s">
        <v>27</v>
      </c>
      <c r="K74" t="s">
        <v>245</v>
      </c>
      <c r="L74" t="s">
        <v>246</v>
      </c>
      <c r="M74" t="s">
        <v>247</v>
      </c>
      <c r="N74" t="s">
        <v>248</v>
      </c>
      <c r="O74" t="s">
        <v>215</v>
      </c>
      <c r="P74" t="s">
        <v>216</v>
      </c>
      <c r="Q74" t="s">
        <v>217</v>
      </c>
      <c r="R74" t="s">
        <v>218</v>
      </c>
      <c r="S74" t="s">
        <v>265</v>
      </c>
    </row>
    <row r="75" spans="1:19" x14ac:dyDescent="0.35">
      <c r="A75" t="s">
        <v>97</v>
      </c>
      <c r="B75" t="s">
        <v>20</v>
      </c>
      <c r="C75" t="s">
        <v>30</v>
      </c>
      <c r="D75" t="s">
        <v>14</v>
      </c>
      <c r="E75" t="s">
        <v>15</v>
      </c>
      <c r="F75" t="s">
        <v>39</v>
      </c>
      <c r="G75" t="s">
        <v>24</v>
      </c>
      <c r="H75" t="s">
        <v>209</v>
      </c>
      <c r="I75" t="s">
        <v>225</v>
      </c>
      <c r="J75" t="s">
        <v>32</v>
      </c>
      <c r="K75" t="s">
        <v>211</v>
      </c>
      <c r="L75" t="s">
        <v>301</v>
      </c>
      <c r="M75" t="s">
        <v>302</v>
      </c>
      <c r="N75" t="s">
        <v>209</v>
      </c>
      <c r="O75" t="s">
        <v>215</v>
      </c>
      <c r="P75" t="s">
        <v>216</v>
      </c>
      <c r="Q75" t="s">
        <v>217</v>
      </c>
      <c r="R75" t="s">
        <v>218</v>
      </c>
      <c r="S75" t="s">
        <v>265</v>
      </c>
    </row>
    <row r="76" spans="1:19" x14ac:dyDescent="0.35">
      <c r="A76" t="s">
        <v>98</v>
      </c>
      <c r="B76" t="s">
        <v>34</v>
      </c>
      <c r="C76" t="s">
        <v>13</v>
      </c>
      <c r="D76" t="s">
        <v>14</v>
      </c>
      <c r="E76" t="s">
        <v>22</v>
      </c>
      <c r="F76" t="s">
        <v>58</v>
      </c>
      <c r="G76" t="s">
        <v>24</v>
      </c>
      <c r="H76" t="s">
        <v>255</v>
      </c>
      <c r="I76" t="s">
        <v>244</v>
      </c>
      <c r="J76" t="s">
        <v>54</v>
      </c>
      <c r="K76" t="s">
        <v>256</v>
      </c>
      <c r="L76" t="s">
        <v>257</v>
      </c>
      <c r="M76" t="s">
        <v>258</v>
      </c>
      <c r="N76" t="s">
        <v>259</v>
      </c>
      <c r="O76" t="s">
        <v>215</v>
      </c>
      <c r="P76" t="s">
        <v>216</v>
      </c>
      <c r="Q76" t="s">
        <v>217</v>
      </c>
      <c r="R76" t="s">
        <v>218</v>
      </c>
      <c r="S76" t="s">
        <v>220</v>
      </c>
    </row>
    <row r="77" spans="1:19" x14ac:dyDescent="0.35">
      <c r="A77" t="s">
        <v>98</v>
      </c>
      <c r="B77" t="s">
        <v>12</v>
      </c>
      <c r="C77" t="s">
        <v>21</v>
      </c>
      <c r="D77" t="s">
        <v>14</v>
      </c>
      <c r="E77" t="s">
        <v>15</v>
      </c>
      <c r="F77" t="s">
        <v>31</v>
      </c>
      <c r="G77" t="s">
        <v>24</v>
      </c>
      <c r="H77" t="s">
        <v>252</v>
      </c>
      <c r="I77" t="s">
        <v>220</v>
      </c>
      <c r="J77" t="s">
        <v>50</v>
      </c>
      <c r="K77" t="s">
        <v>253</v>
      </c>
      <c r="L77" t="s">
        <v>226</v>
      </c>
      <c r="M77" t="s">
        <v>284</v>
      </c>
      <c r="N77" t="s">
        <v>253</v>
      </c>
      <c r="O77" t="s">
        <v>215</v>
      </c>
      <c r="P77" t="s">
        <v>216</v>
      </c>
      <c r="Q77" t="s">
        <v>217</v>
      </c>
      <c r="R77" t="s">
        <v>218</v>
      </c>
      <c r="S77" t="s">
        <v>220</v>
      </c>
    </row>
    <row r="78" spans="1:19" x14ac:dyDescent="0.35">
      <c r="A78" t="s">
        <v>99</v>
      </c>
      <c r="B78" t="s">
        <v>34</v>
      </c>
      <c r="C78" t="s">
        <v>13</v>
      </c>
      <c r="D78" t="s">
        <v>26</v>
      </c>
      <c r="E78" t="s">
        <v>15</v>
      </c>
      <c r="F78" t="s">
        <v>16</v>
      </c>
      <c r="G78" t="s">
        <v>17</v>
      </c>
      <c r="H78" t="s">
        <v>275</v>
      </c>
      <c r="I78" t="s">
        <v>238</v>
      </c>
      <c r="J78" t="s">
        <v>50</v>
      </c>
      <c r="K78" t="s">
        <v>276</v>
      </c>
      <c r="L78" t="s">
        <v>275</v>
      </c>
      <c r="M78" t="s">
        <v>276</v>
      </c>
      <c r="N78" t="s">
        <v>277</v>
      </c>
      <c r="O78" t="s">
        <v>215</v>
      </c>
      <c r="P78" t="s">
        <v>216</v>
      </c>
      <c r="Q78" t="s">
        <v>217</v>
      </c>
      <c r="R78" t="s">
        <v>218</v>
      </c>
      <c r="S78" t="s">
        <v>220</v>
      </c>
    </row>
    <row r="79" spans="1:19" x14ac:dyDescent="0.35">
      <c r="A79" t="s">
        <v>96</v>
      </c>
      <c r="B79" t="s">
        <v>20</v>
      </c>
      <c r="C79" t="s">
        <v>13</v>
      </c>
      <c r="D79" t="s">
        <v>14</v>
      </c>
      <c r="E79" t="s">
        <v>15</v>
      </c>
      <c r="F79" t="s">
        <v>23</v>
      </c>
      <c r="G79" t="s">
        <v>24</v>
      </c>
      <c r="H79" t="s">
        <v>239</v>
      </c>
      <c r="I79" t="s">
        <v>225</v>
      </c>
      <c r="J79" t="s">
        <v>27</v>
      </c>
      <c r="K79" t="s">
        <v>245</v>
      </c>
      <c r="L79" t="s">
        <v>229</v>
      </c>
      <c r="M79" t="s">
        <v>231</v>
      </c>
      <c r="N79" t="s">
        <v>239</v>
      </c>
      <c r="O79" t="s">
        <v>215</v>
      </c>
      <c r="P79" t="s">
        <v>216</v>
      </c>
      <c r="Q79" t="s">
        <v>217</v>
      </c>
      <c r="R79" t="s">
        <v>218</v>
      </c>
      <c r="S79" t="s">
        <v>265</v>
      </c>
    </row>
    <row r="80" spans="1:19" x14ac:dyDescent="0.35">
      <c r="A80" t="s">
        <v>75</v>
      </c>
      <c r="B80" t="s">
        <v>20</v>
      </c>
      <c r="C80" t="s">
        <v>38</v>
      </c>
      <c r="D80" t="s">
        <v>14</v>
      </c>
      <c r="E80" t="s">
        <v>22</v>
      </c>
      <c r="F80" t="s">
        <v>31</v>
      </c>
      <c r="G80" t="s">
        <v>24</v>
      </c>
      <c r="H80" t="s">
        <v>252</v>
      </c>
      <c r="I80" t="s">
        <v>244</v>
      </c>
      <c r="J80" t="s">
        <v>50</v>
      </c>
      <c r="K80" t="s">
        <v>253</v>
      </c>
      <c r="L80" t="s">
        <v>209</v>
      </c>
      <c r="M80" t="s">
        <v>211</v>
      </c>
      <c r="N80" t="s">
        <v>254</v>
      </c>
      <c r="O80" t="s">
        <v>215</v>
      </c>
      <c r="P80" t="s">
        <v>216</v>
      </c>
      <c r="Q80" t="s">
        <v>217</v>
      </c>
      <c r="R80" t="s">
        <v>218</v>
      </c>
      <c r="S80" t="s">
        <v>265</v>
      </c>
    </row>
    <row r="81" spans="1:19" x14ac:dyDescent="0.35">
      <c r="A81" t="s">
        <v>73</v>
      </c>
      <c r="B81" t="s">
        <v>12</v>
      </c>
      <c r="C81" t="s">
        <v>38</v>
      </c>
      <c r="D81" t="s">
        <v>14</v>
      </c>
      <c r="E81" t="s">
        <v>15</v>
      </c>
      <c r="F81" t="s">
        <v>31</v>
      </c>
      <c r="G81" t="s">
        <v>24</v>
      </c>
      <c r="H81" t="s">
        <v>252</v>
      </c>
      <c r="I81" t="s">
        <v>240</v>
      </c>
      <c r="J81" t="s">
        <v>18</v>
      </c>
      <c r="K81" t="s">
        <v>253</v>
      </c>
      <c r="L81" t="s">
        <v>214</v>
      </c>
      <c r="M81" t="s">
        <v>251</v>
      </c>
      <c r="N81" t="s">
        <v>247</v>
      </c>
      <c r="O81" t="s">
        <v>215</v>
      </c>
      <c r="P81" t="s">
        <v>216</v>
      </c>
      <c r="Q81" t="s">
        <v>217</v>
      </c>
      <c r="R81" t="s">
        <v>218</v>
      </c>
      <c r="S81" t="s">
        <v>265</v>
      </c>
    </row>
    <row r="82" spans="1:19" x14ac:dyDescent="0.35">
      <c r="A82" t="s">
        <v>68</v>
      </c>
      <c r="B82" t="s">
        <v>29</v>
      </c>
      <c r="C82" t="s">
        <v>30</v>
      </c>
      <c r="D82" t="s">
        <v>26</v>
      </c>
      <c r="E82" t="s">
        <v>15</v>
      </c>
      <c r="F82" t="s">
        <v>35</v>
      </c>
      <c r="G82" t="s">
        <v>36</v>
      </c>
      <c r="H82" t="s">
        <v>224</v>
      </c>
      <c r="I82" t="s">
        <v>265</v>
      </c>
      <c r="J82" t="s">
        <v>18</v>
      </c>
      <c r="K82" t="s">
        <v>226</v>
      </c>
      <c r="L82" t="s">
        <v>289</v>
      </c>
      <c r="M82" t="s">
        <v>297</v>
      </c>
      <c r="N82" t="s">
        <v>231</v>
      </c>
      <c r="O82" t="s">
        <v>215</v>
      </c>
      <c r="P82" t="s">
        <v>216</v>
      </c>
      <c r="Q82" t="s">
        <v>217</v>
      </c>
      <c r="R82" t="s">
        <v>218</v>
      </c>
      <c r="S82" t="s">
        <v>238</v>
      </c>
    </row>
    <row r="83" spans="1:19" x14ac:dyDescent="0.35">
      <c r="A83" t="s">
        <v>100</v>
      </c>
      <c r="B83" t="s">
        <v>12</v>
      </c>
      <c r="C83" t="s">
        <v>30</v>
      </c>
      <c r="D83" t="s">
        <v>14</v>
      </c>
      <c r="E83" t="s">
        <v>15</v>
      </c>
      <c r="F83" t="s">
        <v>47</v>
      </c>
      <c r="G83" t="s">
        <v>36</v>
      </c>
      <c r="H83" t="s">
        <v>229</v>
      </c>
      <c r="I83" t="s">
        <v>230</v>
      </c>
      <c r="J83" t="s">
        <v>27</v>
      </c>
      <c r="K83" t="s">
        <v>231</v>
      </c>
      <c r="L83" t="s">
        <v>232</v>
      </c>
      <c r="M83" t="s">
        <v>233</v>
      </c>
      <c r="N83" t="s">
        <v>234</v>
      </c>
      <c r="O83" t="s">
        <v>215</v>
      </c>
      <c r="P83" t="s">
        <v>216</v>
      </c>
      <c r="Q83" t="s">
        <v>217</v>
      </c>
      <c r="R83" t="s">
        <v>218</v>
      </c>
      <c r="S83" t="s">
        <v>238</v>
      </c>
    </row>
    <row r="84" spans="1:19" x14ac:dyDescent="0.35">
      <c r="A84" t="s">
        <v>101</v>
      </c>
      <c r="B84" t="s">
        <v>34</v>
      </c>
      <c r="C84" t="s">
        <v>30</v>
      </c>
      <c r="D84" t="s">
        <v>26</v>
      </c>
      <c r="E84" t="s">
        <v>22</v>
      </c>
      <c r="F84" t="s">
        <v>58</v>
      </c>
      <c r="G84" t="s">
        <v>24</v>
      </c>
      <c r="H84" t="s">
        <v>255</v>
      </c>
      <c r="I84" t="s">
        <v>244</v>
      </c>
      <c r="J84" t="s">
        <v>32</v>
      </c>
      <c r="K84" t="s">
        <v>256</v>
      </c>
      <c r="L84" t="s">
        <v>257</v>
      </c>
      <c r="M84" t="s">
        <v>258</v>
      </c>
      <c r="N84" t="s">
        <v>259</v>
      </c>
      <c r="O84" t="s">
        <v>215</v>
      </c>
      <c r="P84" t="s">
        <v>216</v>
      </c>
      <c r="Q84" t="s">
        <v>217</v>
      </c>
      <c r="R84" t="s">
        <v>218</v>
      </c>
      <c r="S84" t="s">
        <v>220</v>
      </c>
    </row>
    <row r="85" spans="1:19" x14ac:dyDescent="0.35">
      <c r="A85" t="s">
        <v>85</v>
      </c>
      <c r="B85" t="s">
        <v>12</v>
      </c>
      <c r="C85" t="s">
        <v>30</v>
      </c>
      <c r="D85" t="s">
        <v>14</v>
      </c>
      <c r="E85" t="s">
        <v>22</v>
      </c>
      <c r="F85" t="s">
        <v>31</v>
      </c>
      <c r="G85" t="s">
        <v>24</v>
      </c>
      <c r="H85" t="s">
        <v>252</v>
      </c>
      <c r="I85" t="s">
        <v>269</v>
      </c>
      <c r="J85" t="s">
        <v>43</v>
      </c>
      <c r="K85" t="s">
        <v>253</v>
      </c>
      <c r="L85" t="s">
        <v>272</v>
      </c>
      <c r="M85" t="s">
        <v>273</v>
      </c>
      <c r="N85" t="s">
        <v>274</v>
      </c>
      <c r="O85" t="s">
        <v>215</v>
      </c>
      <c r="P85" t="s">
        <v>216</v>
      </c>
      <c r="Q85" t="s">
        <v>217</v>
      </c>
      <c r="R85" t="s">
        <v>218</v>
      </c>
      <c r="S85" t="s">
        <v>238</v>
      </c>
    </row>
    <row r="86" spans="1:19" x14ac:dyDescent="0.35">
      <c r="A86" t="s">
        <v>64</v>
      </c>
      <c r="B86" t="s">
        <v>12</v>
      </c>
      <c r="C86" t="s">
        <v>21</v>
      </c>
      <c r="D86" t="s">
        <v>26</v>
      </c>
      <c r="E86" t="s">
        <v>22</v>
      </c>
      <c r="F86" t="s">
        <v>41</v>
      </c>
      <c r="G86" t="s">
        <v>17</v>
      </c>
      <c r="H86" t="s">
        <v>219</v>
      </c>
      <c r="I86" t="s">
        <v>265</v>
      </c>
      <c r="J86" t="s">
        <v>32</v>
      </c>
      <c r="K86" t="s">
        <v>221</v>
      </c>
      <c r="L86" t="s">
        <v>280</v>
      </c>
      <c r="M86" t="s">
        <v>321</v>
      </c>
      <c r="N86" t="s">
        <v>340</v>
      </c>
      <c r="O86" t="s">
        <v>215</v>
      </c>
      <c r="P86" t="s">
        <v>216</v>
      </c>
      <c r="Q86" t="s">
        <v>217</v>
      </c>
      <c r="R86" t="s">
        <v>218</v>
      </c>
      <c r="S86" t="s">
        <v>265</v>
      </c>
    </row>
    <row r="87" spans="1:19" x14ac:dyDescent="0.35">
      <c r="A87" t="s">
        <v>65</v>
      </c>
      <c r="B87" t="s">
        <v>12</v>
      </c>
      <c r="C87" t="s">
        <v>30</v>
      </c>
      <c r="D87" t="s">
        <v>26</v>
      </c>
      <c r="E87" t="s">
        <v>15</v>
      </c>
      <c r="F87" t="s">
        <v>58</v>
      </c>
      <c r="G87" t="s">
        <v>24</v>
      </c>
      <c r="H87" t="s">
        <v>255</v>
      </c>
      <c r="I87" t="s">
        <v>225</v>
      </c>
      <c r="J87" t="s">
        <v>18</v>
      </c>
      <c r="K87" t="s">
        <v>256</v>
      </c>
      <c r="L87" t="s">
        <v>324</v>
      </c>
      <c r="M87" t="s">
        <v>303</v>
      </c>
      <c r="N87" t="s">
        <v>255</v>
      </c>
      <c r="O87" t="s">
        <v>215</v>
      </c>
      <c r="P87" t="s">
        <v>216</v>
      </c>
      <c r="Q87" t="s">
        <v>217</v>
      </c>
      <c r="R87" t="s">
        <v>218</v>
      </c>
      <c r="S87" t="s">
        <v>265</v>
      </c>
    </row>
    <row r="88" spans="1:19" x14ac:dyDescent="0.35">
      <c r="A88" t="s">
        <v>100</v>
      </c>
      <c r="B88" t="s">
        <v>12</v>
      </c>
      <c r="C88" t="s">
        <v>13</v>
      </c>
      <c r="D88" t="s">
        <v>26</v>
      </c>
      <c r="E88" t="s">
        <v>15</v>
      </c>
      <c r="F88" t="s">
        <v>47</v>
      </c>
      <c r="G88" t="s">
        <v>36</v>
      </c>
      <c r="H88" t="s">
        <v>229</v>
      </c>
      <c r="I88" t="s">
        <v>238</v>
      </c>
      <c r="J88" t="s">
        <v>54</v>
      </c>
      <c r="K88" t="s">
        <v>231</v>
      </c>
      <c r="L88" t="s">
        <v>229</v>
      </c>
      <c r="M88" t="s">
        <v>231</v>
      </c>
      <c r="N88" t="s">
        <v>239</v>
      </c>
      <c r="O88" t="s">
        <v>215</v>
      </c>
      <c r="P88" t="s">
        <v>216</v>
      </c>
      <c r="Q88" t="s">
        <v>217</v>
      </c>
      <c r="R88" t="s">
        <v>218</v>
      </c>
      <c r="S88" t="s">
        <v>238</v>
      </c>
    </row>
    <row r="89" spans="1:19" x14ac:dyDescent="0.35">
      <c r="A89" t="s">
        <v>71</v>
      </c>
      <c r="B89" t="s">
        <v>29</v>
      </c>
      <c r="C89" t="s">
        <v>21</v>
      </c>
      <c r="D89" t="s">
        <v>14</v>
      </c>
      <c r="E89" t="s">
        <v>22</v>
      </c>
      <c r="F89" t="s">
        <v>35</v>
      </c>
      <c r="G89" t="s">
        <v>36</v>
      </c>
      <c r="H89" t="s">
        <v>224</v>
      </c>
      <c r="I89" t="s">
        <v>249</v>
      </c>
      <c r="J89" t="s">
        <v>18</v>
      </c>
      <c r="K89" t="s">
        <v>226</v>
      </c>
      <c r="L89" t="s">
        <v>366</v>
      </c>
      <c r="M89" t="s">
        <v>241</v>
      </c>
      <c r="N89" t="s">
        <v>297</v>
      </c>
      <c r="O89" t="s">
        <v>215</v>
      </c>
      <c r="P89" t="s">
        <v>216</v>
      </c>
      <c r="Q89" t="s">
        <v>217</v>
      </c>
      <c r="R89" t="s">
        <v>218</v>
      </c>
      <c r="S89" t="s">
        <v>265</v>
      </c>
    </row>
    <row r="90" spans="1:19" x14ac:dyDescent="0.35">
      <c r="A90" t="s">
        <v>70</v>
      </c>
      <c r="B90" t="s">
        <v>20</v>
      </c>
      <c r="C90" t="s">
        <v>38</v>
      </c>
      <c r="D90" t="s">
        <v>14</v>
      </c>
      <c r="E90" t="s">
        <v>15</v>
      </c>
      <c r="F90" t="s">
        <v>58</v>
      </c>
      <c r="G90" t="s">
        <v>24</v>
      </c>
      <c r="H90" t="s">
        <v>255</v>
      </c>
      <c r="I90" t="s">
        <v>244</v>
      </c>
      <c r="J90" t="s">
        <v>50</v>
      </c>
      <c r="K90" t="s">
        <v>256</v>
      </c>
      <c r="L90" t="s">
        <v>257</v>
      </c>
      <c r="M90" t="s">
        <v>258</v>
      </c>
      <c r="N90" t="s">
        <v>259</v>
      </c>
      <c r="O90" t="s">
        <v>215</v>
      </c>
      <c r="P90" t="s">
        <v>216</v>
      </c>
      <c r="Q90" t="s">
        <v>217</v>
      </c>
      <c r="R90" t="s">
        <v>218</v>
      </c>
      <c r="S90" t="s">
        <v>265</v>
      </c>
    </row>
    <row r="91" spans="1:19" x14ac:dyDescent="0.35">
      <c r="A91" t="s">
        <v>102</v>
      </c>
      <c r="B91" t="s">
        <v>12</v>
      </c>
      <c r="C91" t="s">
        <v>13</v>
      </c>
      <c r="D91" t="s">
        <v>14</v>
      </c>
      <c r="E91" t="s">
        <v>15</v>
      </c>
      <c r="F91" t="s">
        <v>56</v>
      </c>
      <c r="G91" t="s">
        <v>36</v>
      </c>
      <c r="H91" t="s">
        <v>260</v>
      </c>
      <c r="I91" t="s">
        <v>249</v>
      </c>
      <c r="J91" t="s">
        <v>18</v>
      </c>
      <c r="K91" t="s">
        <v>261</v>
      </c>
      <c r="L91" t="s">
        <v>262</v>
      </c>
      <c r="M91" t="s">
        <v>263</v>
      </c>
      <c r="N91" t="s">
        <v>264</v>
      </c>
      <c r="O91" t="s">
        <v>215</v>
      </c>
      <c r="P91" t="s">
        <v>216</v>
      </c>
      <c r="Q91" t="s">
        <v>217</v>
      </c>
      <c r="R91" t="s">
        <v>218</v>
      </c>
      <c r="S91" t="s">
        <v>238</v>
      </c>
    </row>
    <row r="92" spans="1:19" x14ac:dyDescent="0.35">
      <c r="A92" t="s">
        <v>101</v>
      </c>
      <c r="B92" t="s">
        <v>29</v>
      </c>
      <c r="C92" t="s">
        <v>21</v>
      </c>
      <c r="D92" t="s">
        <v>26</v>
      </c>
      <c r="E92" t="s">
        <v>15</v>
      </c>
      <c r="F92" t="s">
        <v>35</v>
      </c>
      <c r="G92" t="s">
        <v>36</v>
      </c>
      <c r="H92" t="s">
        <v>224</v>
      </c>
      <c r="I92" t="s">
        <v>220</v>
      </c>
      <c r="J92" t="s">
        <v>32</v>
      </c>
      <c r="K92" t="s">
        <v>226</v>
      </c>
      <c r="L92" t="s">
        <v>228</v>
      </c>
      <c r="M92" t="s">
        <v>290</v>
      </c>
      <c r="N92" t="s">
        <v>226</v>
      </c>
      <c r="O92" t="s">
        <v>215</v>
      </c>
      <c r="P92" t="s">
        <v>216</v>
      </c>
      <c r="Q92" t="s">
        <v>217</v>
      </c>
      <c r="R92" t="s">
        <v>218</v>
      </c>
      <c r="S92" t="s">
        <v>220</v>
      </c>
    </row>
    <row r="93" spans="1:19" x14ac:dyDescent="0.35">
      <c r="A93" t="s">
        <v>61</v>
      </c>
      <c r="B93" t="s">
        <v>29</v>
      </c>
      <c r="C93" t="s">
        <v>30</v>
      </c>
      <c r="D93" t="s">
        <v>26</v>
      </c>
      <c r="E93" t="s">
        <v>22</v>
      </c>
      <c r="F93" t="s">
        <v>35</v>
      </c>
      <c r="G93" t="s">
        <v>36</v>
      </c>
      <c r="H93" t="s">
        <v>224</v>
      </c>
      <c r="I93" t="s">
        <v>238</v>
      </c>
      <c r="J93" t="s">
        <v>32</v>
      </c>
      <c r="K93" t="s">
        <v>226</v>
      </c>
      <c r="L93" t="s">
        <v>224</v>
      </c>
      <c r="M93" t="s">
        <v>226</v>
      </c>
      <c r="N93" t="s">
        <v>252</v>
      </c>
      <c r="O93" t="s">
        <v>215</v>
      </c>
      <c r="P93" t="s">
        <v>216</v>
      </c>
      <c r="Q93" t="s">
        <v>217</v>
      </c>
      <c r="R93" t="s">
        <v>218</v>
      </c>
      <c r="S93" t="s">
        <v>225</v>
      </c>
    </row>
    <row r="94" spans="1:19" x14ac:dyDescent="0.35">
      <c r="A94" t="s">
        <v>33</v>
      </c>
      <c r="B94" t="s">
        <v>20</v>
      </c>
      <c r="C94" t="s">
        <v>38</v>
      </c>
      <c r="D94" t="s">
        <v>14</v>
      </c>
      <c r="E94" t="s">
        <v>15</v>
      </c>
      <c r="F94" t="s">
        <v>56</v>
      </c>
      <c r="G94" t="s">
        <v>36</v>
      </c>
      <c r="H94" t="s">
        <v>260</v>
      </c>
      <c r="I94" t="s">
        <v>249</v>
      </c>
      <c r="J94" t="s">
        <v>32</v>
      </c>
      <c r="K94" t="s">
        <v>261</v>
      </c>
      <c r="L94" t="s">
        <v>262</v>
      </c>
      <c r="M94" t="s">
        <v>263</v>
      </c>
      <c r="N94" t="s">
        <v>264</v>
      </c>
      <c r="O94" t="s">
        <v>215</v>
      </c>
      <c r="P94" t="s">
        <v>216</v>
      </c>
      <c r="Q94" t="s">
        <v>217</v>
      </c>
      <c r="R94" t="s">
        <v>218</v>
      </c>
      <c r="S94" t="s">
        <v>220</v>
      </c>
    </row>
    <row r="95" spans="1:19" x14ac:dyDescent="0.35">
      <c r="A95" t="s">
        <v>103</v>
      </c>
      <c r="B95" t="s">
        <v>12</v>
      </c>
      <c r="C95" t="s">
        <v>38</v>
      </c>
      <c r="D95" t="s">
        <v>26</v>
      </c>
      <c r="E95" t="s">
        <v>22</v>
      </c>
      <c r="F95" t="s">
        <v>39</v>
      </c>
      <c r="G95" t="s">
        <v>24</v>
      </c>
      <c r="H95" t="s">
        <v>209</v>
      </c>
      <c r="I95" t="s">
        <v>265</v>
      </c>
      <c r="J95" t="s">
        <v>50</v>
      </c>
      <c r="K95" t="s">
        <v>211</v>
      </c>
      <c r="L95" t="s">
        <v>214</v>
      </c>
      <c r="M95" t="s">
        <v>251</v>
      </c>
      <c r="N95" t="s">
        <v>247</v>
      </c>
      <c r="O95" t="s">
        <v>215</v>
      </c>
      <c r="P95" t="s">
        <v>216</v>
      </c>
      <c r="Q95" t="s">
        <v>217</v>
      </c>
      <c r="R95" t="s">
        <v>218</v>
      </c>
      <c r="S95" t="s">
        <v>244</v>
      </c>
    </row>
    <row r="96" spans="1:19" x14ac:dyDescent="0.35">
      <c r="A96" t="s">
        <v>73</v>
      </c>
      <c r="B96" t="s">
        <v>12</v>
      </c>
      <c r="C96" t="s">
        <v>38</v>
      </c>
      <c r="D96" t="s">
        <v>14</v>
      </c>
      <c r="E96" t="s">
        <v>22</v>
      </c>
      <c r="F96" t="s">
        <v>39</v>
      </c>
      <c r="G96" t="s">
        <v>24</v>
      </c>
      <c r="H96" t="s">
        <v>209</v>
      </c>
      <c r="I96" t="s">
        <v>240</v>
      </c>
      <c r="J96" t="s">
        <v>32</v>
      </c>
      <c r="K96" t="s">
        <v>211</v>
      </c>
      <c r="L96" t="s">
        <v>266</v>
      </c>
      <c r="M96" t="s">
        <v>267</v>
      </c>
      <c r="N96" t="s">
        <v>268</v>
      </c>
      <c r="O96" t="s">
        <v>215</v>
      </c>
      <c r="P96" t="s">
        <v>216</v>
      </c>
      <c r="Q96" t="s">
        <v>217</v>
      </c>
      <c r="R96" t="s">
        <v>218</v>
      </c>
      <c r="S96" t="s">
        <v>265</v>
      </c>
    </row>
    <row r="97" spans="1:19" x14ac:dyDescent="0.35">
      <c r="A97" t="s">
        <v>104</v>
      </c>
      <c r="B97" t="s">
        <v>34</v>
      </c>
      <c r="C97" t="s">
        <v>21</v>
      </c>
      <c r="D97" t="s">
        <v>26</v>
      </c>
      <c r="E97" t="s">
        <v>15</v>
      </c>
      <c r="F97" t="s">
        <v>35</v>
      </c>
      <c r="G97" t="s">
        <v>36</v>
      </c>
      <c r="H97" t="s">
        <v>224</v>
      </c>
      <c r="I97" t="s">
        <v>265</v>
      </c>
      <c r="J97" t="s">
        <v>32</v>
      </c>
      <c r="K97" t="s">
        <v>226</v>
      </c>
      <c r="L97" t="s">
        <v>289</v>
      </c>
      <c r="M97" t="s">
        <v>297</v>
      </c>
      <c r="N97" t="s">
        <v>231</v>
      </c>
      <c r="O97" t="s">
        <v>215</v>
      </c>
      <c r="P97" t="s">
        <v>216</v>
      </c>
      <c r="Q97" t="s">
        <v>217</v>
      </c>
      <c r="R97" t="s">
        <v>218</v>
      </c>
      <c r="S97" t="s">
        <v>265</v>
      </c>
    </row>
    <row r="98" spans="1:19" x14ac:dyDescent="0.35">
      <c r="A98" t="s">
        <v>19</v>
      </c>
      <c r="B98" t="s">
        <v>20</v>
      </c>
      <c r="C98" t="s">
        <v>13</v>
      </c>
      <c r="D98" t="s">
        <v>26</v>
      </c>
      <c r="E98" t="s">
        <v>22</v>
      </c>
      <c r="F98" t="s">
        <v>47</v>
      </c>
      <c r="G98" t="s">
        <v>36</v>
      </c>
      <c r="H98" t="s">
        <v>229</v>
      </c>
      <c r="I98" t="s">
        <v>240</v>
      </c>
      <c r="J98" t="s">
        <v>18</v>
      </c>
      <c r="K98" t="s">
        <v>231</v>
      </c>
      <c r="L98" t="s">
        <v>301</v>
      </c>
      <c r="M98" t="s">
        <v>302</v>
      </c>
      <c r="N98" t="s">
        <v>209</v>
      </c>
      <c r="O98" t="s">
        <v>215</v>
      </c>
      <c r="P98" t="s">
        <v>216</v>
      </c>
      <c r="Q98" t="s">
        <v>217</v>
      </c>
      <c r="R98" t="s">
        <v>218</v>
      </c>
      <c r="S98" t="s">
        <v>220</v>
      </c>
    </row>
    <row r="99" spans="1:19" x14ac:dyDescent="0.35">
      <c r="A99" t="s">
        <v>105</v>
      </c>
      <c r="B99" t="s">
        <v>29</v>
      </c>
      <c r="C99" t="s">
        <v>21</v>
      </c>
      <c r="D99" t="s">
        <v>26</v>
      </c>
      <c r="E99" t="s">
        <v>22</v>
      </c>
      <c r="F99" t="s">
        <v>52</v>
      </c>
      <c r="G99" t="s">
        <v>36</v>
      </c>
      <c r="H99" t="s">
        <v>291</v>
      </c>
      <c r="I99" t="s">
        <v>210</v>
      </c>
      <c r="J99" t="s">
        <v>18</v>
      </c>
      <c r="K99" t="s">
        <v>292</v>
      </c>
      <c r="L99" t="s">
        <v>339</v>
      </c>
      <c r="M99" t="s">
        <v>299</v>
      </c>
      <c r="N99" t="s">
        <v>233</v>
      </c>
      <c r="O99" t="s">
        <v>215</v>
      </c>
      <c r="P99" t="s">
        <v>216</v>
      </c>
      <c r="Q99" t="s">
        <v>217</v>
      </c>
      <c r="R99" t="s">
        <v>218</v>
      </c>
      <c r="S99" t="s">
        <v>244</v>
      </c>
    </row>
    <row r="100" spans="1:19" x14ac:dyDescent="0.35">
      <c r="A100" t="s">
        <v>106</v>
      </c>
      <c r="B100" t="s">
        <v>20</v>
      </c>
      <c r="C100" t="s">
        <v>30</v>
      </c>
      <c r="D100" t="s">
        <v>14</v>
      </c>
      <c r="E100" t="s">
        <v>15</v>
      </c>
      <c r="F100" t="s">
        <v>52</v>
      </c>
      <c r="G100" t="s">
        <v>36</v>
      </c>
      <c r="H100" t="s">
        <v>291</v>
      </c>
      <c r="I100" t="s">
        <v>249</v>
      </c>
      <c r="J100" t="s">
        <v>32</v>
      </c>
      <c r="K100" t="s">
        <v>292</v>
      </c>
      <c r="L100" t="s">
        <v>299</v>
      </c>
      <c r="M100" t="s">
        <v>300</v>
      </c>
      <c r="N100" t="s">
        <v>293</v>
      </c>
      <c r="O100" t="s">
        <v>215</v>
      </c>
      <c r="P100" t="s">
        <v>216</v>
      </c>
      <c r="Q100" t="s">
        <v>217</v>
      </c>
      <c r="R100" t="s">
        <v>218</v>
      </c>
      <c r="S100" t="s">
        <v>220</v>
      </c>
    </row>
    <row r="101" spans="1:19" x14ac:dyDescent="0.35">
      <c r="A101" t="s">
        <v>48</v>
      </c>
      <c r="B101" t="s">
        <v>29</v>
      </c>
      <c r="C101" t="s">
        <v>21</v>
      </c>
      <c r="D101" t="s">
        <v>14</v>
      </c>
      <c r="E101" t="s">
        <v>22</v>
      </c>
      <c r="F101" t="s">
        <v>39</v>
      </c>
      <c r="G101" t="s">
        <v>24</v>
      </c>
      <c r="H101" t="s">
        <v>209</v>
      </c>
      <c r="I101" t="s">
        <v>249</v>
      </c>
      <c r="J101" t="s">
        <v>18</v>
      </c>
      <c r="K101" t="s">
        <v>211</v>
      </c>
      <c r="L101" t="s">
        <v>213</v>
      </c>
      <c r="M101" t="s">
        <v>250</v>
      </c>
      <c r="N101" t="s">
        <v>251</v>
      </c>
      <c r="O101" t="s">
        <v>215</v>
      </c>
      <c r="P101" t="s">
        <v>216</v>
      </c>
      <c r="Q101" t="s">
        <v>217</v>
      </c>
      <c r="R101" t="s">
        <v>218</v>
      </c>
      <c r="S101" t="s">
        <v>238</v>
      </c>
    </row>
    <row r="102" spans="1:19" x14ac:dyDescent="0.35">
      <c r="A102" t="s">
        <v>79</v>
      </c>
      <c r="B102" t="s">
        <v>29</v>
      </c>
      <c r="C102" t="s">
        <v>30</v>
      </c>
      <c r="D102" t="s">
        <v>14</v>
      </c>
      <c r="E102" t="s">
        <v>22</v>
      </c>
      <c r="F102" t="s">
        <v>35</v>
      </c>
      <c r="G102" t="s">
        <v>36</v>
      </c>
      <c r="H102" t="s">
        <v>224</v>
      </c>
      <c r="I102" t="s">
        <v>220</v>
      </c>
      <c r="J102" t="s">
        <v>50</v>
      </c>
      <c r="K102" t="s">
        <v>226</v>
      </c>
      <c r="L102" t="s">
        <v>228</v>
      </c>
      <c r="M102" t="s">
        <v>290</v>
      </c>
      <c r="N102" t="s">
        <v>226</v>
      </c>
      <c r="O102" t="s">
        <v>215</v>
      </c>
      <c r="P102" t="s">
        <v>216</v>
      </c>
      <c r="Q102" t="s">
        <v>217</v>
      </c>
      <c r="R102" t="s">
        <v>218</v>
      </c>
      <c r="S102" t="s">
        <v>238</v>
      </c>
    </row>
    <row r="103" spans="1:19" x14ac:dyDescent="0.35">
      <c r="A103" t="s">
        <v>102</v>
      </c>
      <c r="B103" t="s">
        <v>29</v>
      </c>
      <c r="C103" t="s">
        <v>30</v>
      </c>
      <c r="D103" t="s">
        <v>14</v>
      </c>
      <c r="E103" t="s">
        <v>22</v>
      </c>
      <c r="F103" t="s">
        <v>52</v>
      </c>
      <c r="G103" t="s">
        <v>36</v>
      </c>
      <c r="H103" t="s">
        <v>291</v>
      </c>
      <c r="I103" t="s">
        <v>238</v>
      </c>
      <c r="J103" t="s">
        <v>43</v>
      </c>
      <c r="K103" t="s">
        <v>292</v>
      </c>
      <c r="L103" t="s">
        <v>291</v>
      </c>
      <c r="M103" t="s">
        <v>292</v>
      </c>
      <c r="N103" t="s">
        <v>343</v>
      </c>
      <c r="O103" t="s">
        <v>215</v>
      </c>
      <c r="P103" t="s">
        <v>216</v>
      </c>
      <c r="Q103" t="s">
        <v>217</v>
      </c>
      <c r="R103" t="s">
        <v>218</v>
      </c>
      <c r="S103" t="s">
        <v>238</v>
      </c>
    </row>
    <row r="104" spans="1:19" x14ac:dyDescent="0.35">
      <c r="A104" t="s">
        <v>107</v>
      </c>
      <c r="B104" t="s">
        <v>12</v>
      </c>
      <c r="C104" t="s">
        <v>30</v>
      </c>
      <c r="D104" t="s">
        <v>26</v>
      </c>
      <c r="E104" t="s">
        <v>15</v>
      </c>
      <c r="F104" t="s">
        <v>23</v>
      </c>
      <c r="G104" t="s">
        <v>24</v>
      </c>
      <c r="H104" t="s">
        <v>239</v>
      </c>
      <c r="I104" t="s">
        <v>230</v>
      </c>
      <c r="J104" t="s">
        <v>32</v>
      </c>
      <c r="K104" t="s">
        <v>245</v>
      </c>
      <c r="L104" t="s">
        <v>234</v>
      </c>
      <c r="M104" t="s">
        <v>294</v>
      </c>
      <c r="N104" t="s">
        <v>331</v>
      </c>
      <c r="O104" t="s">
        <v>215</v>
      </c>
      <c r="P104" t="s">
        <v>216</v>
      </c>
      <c r="Q104" t="s">
        <v>217</v>
      </c>
      <c r="R104" t="s">
        <v>218</v>
      </c>
      <c r="S104" t="s">
        <v>244</v>
      </c>
    </row>
    <row r="105" spans="1:19" x14ac:dyDescent="0.35">
      <c r="A105" t="s">
        <v>64</v>
      </c>
      <c r="B105" t="s">
        <v>29</v>
      </c>
      <c r="C105" t="s">
        <v>13</v>
      </c>
      <c r="D105" t="s">
        <v>14</v>
      </c>
      <c r="E105" t="s">
        <v>15</v>
      </c>
      <c r="F105" t="s">
        <v>52</v>
      </c>
      <c r="G105" t="s">
        <v>36</v>
      </c>
      <c r="H105" t="s">
        <v>291</v>
      </c>
      <c r="I105" t="s">
        <v>244</v>
      </c>
      <c r="J105" t="s">
        <v>32</v>
      </c>
      <c r="K105" t="s">
        <v>292</v>
      </c>
      <c r="L105" t="s">
        <v>317</v>
      </c>
      <c r="M105" t="s">
        <v>318</v>
      </c>
      <c r="N105" t="s">
        <v>319</v>
      </c>
      <c r="O105" t="s">
        <v>215</v>
      </c>
      <c r="P105" t="s">
        <v>216</v>
      </c>
      <c r="Q105" t="s">
        <v>217</v>
      </c>
      <c r="R105" t="s">
        <v>218</v>
      </c>
      <c r="S105" t="s">
        <v>265</v>
      </c>
    </row>
    <row r="106" spans="1:19" x14ac:dyDescent="0.35">
      <c r="A106" t="s">
        <v>108</v>
      </c>
      <c r="B106" t="s">
        <v>29</v>
      </c>
      <c r="C106" t="s">
        <v>13</v>
      </c>
      <c r="D106" t="s">
        <v>14</v>
      </c>
      <c r="E106" t="s">
        <v>22</v>
      </c>
      <c r="F106" t="s">
        <v>31</v>
      </c>
      <c r="G106" t="s">
        <v>24</v>
      </c>
      <c r="H106" t="s">
        <v>252</v>
      </c>
      <c r="I106" t="s">
        <v>225</v>
      </c>
      <c r="J106" t="s">
        <v>54</v>
      </c>
      <c r="K106" t="s">
        <v>253</v>
      </c>
      <c r="L106" t="s">
        <v>224</v>
      </c>
      <c r="M106" t="s">
        <v>226</v>
      </c>
      <c r="N106" t="s">
        <v>252</v>
      </c>
      <c r="O106" t="s">
        <v>215</v>
      </c>
      <c r="P106" t="s">
        <v>216</v>
      </c>
      <c r="Q106" t="s">
        <v>217</v>
      </c>
      <c r="R106" t="s">
        <v>218</v>
      </c>
      <c r="S106" t="s">
        <v>220</v>
      </c>
    </row>
    <row r="107" spans="1:19" x14ac:dyDescent="0.35">
      <c r="A107" t="s">
        <v>98</v>
      </c>
      <c r="B107" t="s">
        <v>12</v>
      </c>
      <c r="C107" t="s">
        <v>38</v>
      </c>
      <c r="D107" t="s">
        <v>26</v>
      </c>
      <c r="E107" t="s">
        <v>15</v>
      </c>
      <c r="F107" t="s">
        <v>35</v>
      </c>
      <c r="G107" t="s">
        <v>36</v>
      </c>
      <c r="H107" t="s">
        <v>224</v>
      </c>
      <c r="I107" t="s">
        <v>269</v>
      </c>
      <c r="J107" t="s">
        <v>54</v>
      </c>
      <c r="K107" t="s">
        <v>226</v>
      </c>
      <c r="L107" t="s">
        <v>270</v>
      </c>
      <c r="M107" t="s">
        <v>271</v>
      </c>
      <c r="N107" t="s">
        <v>272</v>
      </c>
      <c r="O107" t="s">
        <v>215</v>
      </c>
      <c r="P107" t="s">
        <v>216</v>
      </c>
      <c r="Q107" t="s">
        <v>217</v>
      </c>
      <c r="R107" t="s">
        <v>218</v>
      </c>
      <c r="S107" t="s">
        <v>220</v>
      </c>
    </row>
    <row r="108" spans="1:19" x14ac:dyDescent="0.35">
      <c r="A108" t="s">
        <v>49</v>
      </c>
      <c r="B108" t="s">
        <v>20</v>
      </c>
      <c r="C108" t="s">
        <v>30</v>
      </c>
      <c r="D108" t="s">
        <v>14</v>
      </c>
      <c r="E108" t="s">
        <v>22</v>
      </c>
      <c r="F108" t="s">
        <v>41</v>
      </c>
      <c r="G108" t="s">
        <v>17</v>
      </c>
      <c r="H108" t="s">
        <v>219</v>
      </c>
      <c r="I108" t="s">
        <v>220</v>
      </c>
      <c r="J108" t="s">
        <v>43</v>
      </c>
      <c r="K108" t="s">
        <v>221</v>
      </c>
      <c r="L108" t="s">
        <v>222</v>
      </c>
      <c r="M108" t="s">
        <v>223</v>
      </c>
      <c r="N108" t="s">
        <v>221</v>
      </c>
      <c r="O108" t="s">
        <v>215</v>
      </c>
      <c r="P108" t="s">
        <v>216</v>
      </c>
      <c r="Q108" t="s">
        <v>217</v>
      </c>
      <c r="R108" t="s">
        <v>218</v>
      </c>
      <c r="S108" t="s">
        <v>220</v>
      </c>
    </row>
    <row r="109" spans="1:19" x14ac:dyDescent="0.35">
      <c r="A109" t="s">
        <v>77</v>
      </c>
      <c r="B109" t="s">
        <v>34</v>
      </c>
      <c r="C109" t="s">
        <v>21</v>
      </c>
      <c r="D109" t="s">
        <v>14</v>
      </c>
      <c r="E109" t="s">
        <v>22</v>
      </c>
      <c r="F109" t="s">
        <v>39</v>
      </c>
      <c r="G109" t="s">
        <v>24</v>
      </c>
      <c r="H109" t="s">
        <v>209</v>
      </c>
      <c r="I109" t="s">
        <v>265</v>
      </c>
      <c r="J109" t="s">
        <v>54</v>
      </c>
      <c r="K109" t="s">
        <v>211</v>
      </c>
      <c r="L109" t="s">
        <v>214</v>
      </c>
      <c r="M109" t="s">
        <v>251</v>
      </c>
      <c r="N109" t="s">
        <v>247</v>
      </c>
      <c r="O109" t="s">
        <v>215</v>
      </c>
      <c r="P109" t="s">
        <v>216</v>
      </c>
      <c r="Q109" t="s">
        <v>217</v>
      </c>
      <c r="R109" t="s">
        <v>218</v>
      </c>
      <c r="S109" t="s">
        <v>238</v>
      </c>
    </row>
    <row r="110" spans="1:19" x14ac:dyDescent="0.35">
      <c r="A110" t="s">
        <v>109</v>
      </c>
      <c r="B110" t="s">
        <v>20</v>
      </c>
      <c r="C110" t="s">
        <v>21</v>
      </c>
      <c r="D110" t="s">
        <v>14</v>
      </c>
      <c r="E110" t="s">
        <v>15</v>
      </c>
      <c r="F110" t="s">
        <v>16</v>
      </c>
      <c r="G110" t="s">
        <v>17</v>
      </c>
      <c r="H110" t="s">
        <v>275</v>
      </c>
      <c r="I110" t="s">
        <v>238</v>
      </c>
      <c r="J110" t="s">
        <v>43</v>
      </c>
      <c r="K110" t="s">
        <v>276</v>
      </c>
      <c r="L110" t="s">
        <v>275</v>
      </c>
      <c r="M110" t="s">
        <v>276</v>
      </c>
      <c r="N110" t="s">
        <v>277</v>
      </c>
      <c r="O110" t="s">
        <v>215</v>
      </c>
      <c r="P110" t="s">
        <v>216</v>
      </c>
      <c r="Q110" t="s">
        <v>217</v>
      </c>
      <c r="R110" t="s">
        <v>218</v>
      </c>
      <c r="S110" t="s">
        <v>265</v>
      </c>
    </row>
    <row r="111" spans="1:19" x14ac:dyDescent="0.35">
      <c r="A111" t="s">
        <v>110</v>
      </c>
      <c r="B111" t="s">
        <v>34</v>
      </c>
      <c r="C111" t="s">
        <v>30</v>
      </c>
      <c r="D111" t="s">
        <v>26</v>
      </c>
      <c r="E111" t="s">
        <v>22</v>
      </c>
      <c r="F111" t="s">
        <v>41</v>
      </c>
      <c r="G111" t="s">
        <v>17</v>
      </c>
      <c r="H111" t="s">
        <v>219</v>
      </c>
      <c r="I111" t="s">
        <v>230</v>
      </c>
      <c r="J111" t="s">
        <v>43</v>
      </c>
      <c r="K111" t="s">
        <v>221</v>
      </c>
      <c r="L111" t="s">
        <v>235</v>
      </c>
      <c r="M111" t="s">
        <v>236</v>
      </c>
      <c r="N111" t="s">
        <v>237</v>
      </c>
      <c r="O111" t="s">
        <v>215</v>
      </c>
      <c r="P111" t="s">
        <v>216</v>
      </c>
      <c r="Q111" t="s">
        <v>217</v>
      </c>
      <c r="R111" t="s">
        <v>218</v>
      </c>
      <c r="S111" t="s">
        <v>265</v>
      </c>
    </row>
    <row r="112" spans="1:19" x14ac:dyDescent="0.35">
      <c r="A112" t="s">
        <v>80</v>
      </c>
      <c r="B112" t="s">
        <v>20</v>
      </c>
      <c r="C112" t="s">
        <v>38</v>
      </c>
      <c r="D112" t="s">
        <v>26</v>
      </c>
      <c r="E112" t="s">
        <v>15</v>
      </c>
      <c r="F112" t="s">
        <v>31</v>
      </c>
      <c r="G112" t="s">
        <v>24</v>
      </c>
      <c r="H112" t="s">
        <v>252</v>
      </c>
      <c r="I112" t="s">
        <v>269</v>
      </c>
      <c r="J112" t="s">
        <v>18</v>
      </c>
      <c r="K112" t="s">
        <v>253</v>
      </c>
      <c r="L112" t="s">
        <v>272</v>
      </c>
      <c r="M112" t="s">
        <v>273</v>
      </c>
      <c r="N112" t="s">
        <v>274</v>
      </c>
      <c r="O112" t="s">
        <v>215</v>
      </c>
      <c r="P112" t="s">
        <v>216</v>
      </c>
      <c r="Q112" t="s">
        <v>217</v>
      </c>
      <c r="R112" t="s">
        <v>218</v>
      </c>
      <c r="S112" t="s">
        <v>265</v>
      </c>
    </row>
    <row r="113" spans="1:19" x14ac:dyDescent="0.35">
      <c r="A113" t="s">
        <v>79</v>
      </c>
      <c r="B113" t="s">
        <v>34</v>
      </c>
      <c r="C113" t="s">
        <v>38</v>
      </c>
      <c r="D113" t="s">
        <v>26</v>
      </c>
      <c r="E113" t="s">
        <v>22</v>
      </c>
      <c r="F113" t="s">
        <v>16</v>
      </c>
      <c r="G113" t="s">
        <v>17</v>
      </c>
      <c r="H113" t="s">
        <v>275</v>
      </c>
      <c r="I113" t="s">
        <v>238</v>
      </c>
      <c r="J113" t="s">
        <v>27</v>
      </c>
      <c r="K113" t="s">
        <v>276</v>
      </c>
      <c r="L113" t="s">
        <v>275</v>
      </c>
      <c r="M113" t="s">
        <v>276</v>
      </c>
      <c r="N113" t="s">
        <v>277</v>
      </c>
      <c r="O113" t="s">
        <v>215</v>
      </c>
      <c r="P113" t="s">
        <v>216</v>
      </c>
      <c r="Q113" t="s">
        <v>217</v>
      </c>
      <c r="R113" t="s">
        <v>218</v>
      </c>
      <c r="S113" t="s">
        <v>238</v>
      </c>
    </row>
    <row r="114" spans="1:19" x14ac:dyDescent="0.35">
      <c r="A114" t="s">
        <v>45</v>
      </c>
      <c r="B114" t="s">
        <v>20</v>
      </c>
      <c r="C114" t="s">
        <v>21</v>
      </c>
      <c r="D114" t="s">
        <v>14</v>
      </c>
      <c r="E114" t="s">
        <v>15</v>
      </c>
      <c r="F114" t="s">
        <v>35</v>
      </c>
      <c r="G114" t="s">
        <v>36</v>
      </c>
      <c r="H114" t="s">
        <v>224</v>
      </c>
      <c r="I114" t="s">
        <v>240</v>
      </c>
      <c r="J114" t="s">
        <v>54</v>
      </c>
      <c r="K114" t="s">
        <v>226</v>
      </c>
      <c r="L114" t="s">
        <v>212</v>
      </c>
      <c r="M114" t="s">
        <v>213</v>
      </c>
      <c r="N114" t="s">
        <v>214</v>
      </c>
      <c r="O114" t="s">
        <v>215</v>
      </c>
      <c r="P114" t="s">
        <v>216</v>
      </c>
      <c r="Q114" t="s">
        <v>217</v>
      </c>
      <c r="R114" t="s">
        <v>218</v>
      </c>
      <c r="S114" t="s">
        <v>244</v>
      </c>
    </row>
    <row r="115" spans="1:19" x14ac:dyDescent="0.35">
      <c r="A115" t="s">
        <v>83</v>
      </c>
      <c r="B115" t="s">
        <v>34</v>
      </c>
      <c r="C115" t="s">
        <v>21</v>
      </c>
      <c r="D115" t="s">
        <v>26</v>
      </c>
      <c r="E115" t="s">
        <v>15</v>
      </c>
      <c r="F115" t="s">
        <v>23</v>
      </c>
      <c r="G115" t="s">
        <v>24</v>
      </c>
      <c r="H115" t="s">
        <v>239</v>
      </c>
      <c r="I115" t="s">
        <v>225</v>
      </c>
      <c r="J115" t="s">
        <v>18</v>
      </c>
      <c r="K115" t="s">
        <v>245</v>
      </c>
      <c r="L115" t="s">
        <v>229</v>
      </c>
      <c r="M115" t="s">
        <v>231</v>
      </c>
      <c r="N115" t="s">
        <v>239</v>
      </c>
      <c r="O115" t="s">
        <v>215</v>
      </c>
      <c r="P115" t="s">
        <v>216</v>
      </c>
      <c r="Q115" t="s">
        <v>217</v>
      </c>
      <c r="R115" t="s">
        <v>218</v>
      </c>
      <c r="S115" t="s">
        <v>238</v>
      </c>
    </row>
    <row r="116" spans="1:19" x14ac:dyDescent="0.35">
      <c r="A116" t="s">
        <v>40</v>
      </c>
      <c r="B116" t="s">
        <v>34</v>
      </c>
      <c r="C116" t="s">
        <v>13</v>
      </c>
      <c r="D116" t="s">
        <v>14</v>
      </c>
      <c r="E116" t="s">
        <v>22</v>
      </c>
      <c r="F116" t="s">
        <v>47</v>
      </c>
      <c r="G116" t="s">
        <v>36</v>
      </c>
      <c r="H116" t="s">
        <v>229</v>
      </c>
      <c r="I116" t="s">
        <v>220</v>
      </c>
      <c r="J116" t="s">
        <v>50</v>
      </c>
      <c r="K116" t="s">
        <v>231</v>
      </c>
      <c r="L116" t="s">
        <v>289</v>
      </c>
      <c r="M116" t="s">
        <v>297</v>
      </c>
      <c r="N116" t="s">
        <v>231</v>
      </c>
      <c r="O116" t="s">
        <v>215</v>
      </c>
      <c r="P116" t="s">
        <v>216</v>
      </c>
      <c r="Q116" t="s">
        <v>217</v>
      </c>
      <c r="R116" t="s">
        <v>218</v>
      </c>
      <c r="S116" t="s">
        <v>244</v>
      </c>
    </row>
    <row r="117" spans="1:19" x14ac:dyDescent="0.35">
      <c r="A117" t="s">
        <v>45</v>
      </c>
      <c r="B117" t="s">
        <v>29</v>
      </c>
      <c r="C117" t="s">
        <v>13</v>
      </c>
      <c r="D117" t="s">
        <v>26</v>
      </c>
      <c r="E117" t="s">
        <v>22</v>
      </c>
      <c r="F117" t="s">
        <v>47</v>
      </c>
      <c r="G117" t="s">
        <v>36</v>
      </c>
      <c r="H117" t="s">
        <v>229</v>
      </c>
      <c r="I117" t="s">
        <v>240</v>
      </c>
      <c r="J117" t="s">
        <v>50</v>
      </c>
      <c r="K117" t="s">
        <v>231</v>
      </c>
      <c r="L117" t="s">
        <v>301</v>
      </c>
      <c r="M117" t="s">
        <v>302</v>
      </c>
      <c r="N117" t="s">
        <v>209</v>
      </c>
      <c r="O117" t="s">
        <v>215</v>
      </c>
      <c r="P117" t="s">
        <v>216</v>
      </c>
      <c r="Q117" t="s">
        <v>217</v>
      </c>
      <c r="R117" t="s">
        <v>218</v>
      </c>
      <c r="S117" t="s">
        <v>244</v>
      </c>
    </row>
    <row r="118" spans="1:19" x14ac:dyDescent="0.35">
      <c r="A118" t="s">
        <v>101</v>
      </c>
      <c r="B118" t="s">
        <v>34</v>
      </c>
      <c r="C118" t="s">
        <v>21</v>
      </c>
      <c r="D118" t="s">
        <v>26</v>
      </c>
      <c r="E118" t="s">
        <v>22</v>
      </c>
      <c r="F118" t="s">
        <v>47</v>
      </c>
      <c r="G118" t="s">
        <v>36</v>
      </c>
      <c r="H118" t="s">
        <v>229</v>
      </c>
      <c r="I118" t="s">
        <v>249</v>
      </c>
      <c r="J118" t="s">
        <v>50</v>
      </c>
      <c r="K118" t="s">
        <v>231</v>
      </c>
      <c r="L118" t="s">
        <v>228</v>
      </c>
      <c r="M118" t="s">
        <v>290</v>
      </c>
      <c r="N118" t="s">
        <v>226</v>
      </c>
      <c r="O118" t="s">
        <v>215</v>
      </c>
      <c r="P118" t="s">
        <v>216</v>
      </c>
      <c r="Q118" t="s">
        <v>217</v>
      </c>
      <c r="R118" t="s">
        <v>218</v>
      </c>
      <c r="S118" t="s">
        <v>220</v>
      </c>
    </row>
    <row r="119" spans="1:19" x14ac:dyDescent="0.35">
      <c r="A119" t="s">
        <v>111</v>
      </c>
      <c r="B119" t="s">
        <v>29</v>
      </c>
      <c r="C119" t="s">
        <v>21</v>
      </c>
      <c r="D119" t="s">
        <v>14</v>
      </c>
      <c r="E119" t="s">
        <v>22</v>
      </c>
      <c r="F119" t="s">
        <v>23</v>
      </c>
      <c r="G119" t="s">
        <v>24</v>
      </c>
      <c r="H119" t="s">
        <v>239</v>
      </c>
      <c r="I119" t="s">
        <v>240</v>
      </c>
      <c r="J119" t="s">
        <v>18</v>
      </c>
      <c r="K119" t="s">
        <v>245</v>
      </c>
      <c r="L119" t="s">
        <v>209</v>
      </c>
      <c r="M119" t="s">
        <v>211</v>
      </c>
      <c r="N119" t="s">
        <v>254</v>
      </c>
      <c r="O119" t="s">
        <v>215</v>
      </c>
      <c r="P119" t="s">
        <v>216</v>
      </c>
      <c r="Q119" t="s">
        <v>217</v>
      </c>
      <c r="R119" t="s">
        <v>218</v>
      </c>
      <c r="S119" t="s">
        <v>238</v>
      </c>
    </row>
    <row r="120" spans="1:19" x14ac:dyDescent="0.35">
      <c r="A120" t="s">
        <v>112</v>
      </c>
      <c r="B120" t="s">
        <v>12</v>
      </c>
      <c r="C120" t="s">
        <v>21</v>
      </c>
      <c r="D120" t="s">
        <v>14</v>
      </c>
      <c r="E120" t="s">
        <v>15</v>
      </c>
      <c r="F120" t="s">
        <v>56</v>
      </c>
      <c r="G120" t="s">
        <v>36</v>
      </c>
      <c r="H120" t="s">
        <v>260</v>
      </c>
      <c r="I120" t="s">
        <v>244</v>
      </c>
      <c r="J120" t="s">
        <v>43</v>
      </c>
      <c r="K120" t="s">
        <v>261</v>
      </c>
      <c r="L120" t="s">
        <v>288</v>
      </c>
      <c r="M120" t="s">
        <v>289</v>
      </c>
      <c r="N120" t="s">
        <v>229</v>
      </c>
      <c r="O120" t="s">
        <v>215</v>
      </c>
      <c r="P120" t="s">
        <v>216</v>
      </c>
      <c r="Q120" t="s">
        <v>217</v>
      </c>
      <c r="R120" t="s">
        <v>218</v>
      </c>
      <c r="S120" t="s">
        <v>238</v>
      </c>
    </row>
    <row r="121" spans="1:19" x14ac:dyDescent="0.35">
      <c r="A121" t="s">
        <v>113</v>
      </c>
      <c r="B121" t="s">
        <v>29</v>
      </c>
      <c r="C121" t="s">
        <v>21</v>
      </c>
      <c r="D121" t="s">
        <v>26</v>
      </c>
      <c r="E121" t="s">
        <v>15</v>
      </c>
      <c r="F121" t="s">
        <v>47</v>
      </c>
      <c r="G121" t="s">
        <v>36</v>
      </c>
      <c r="H121" t="s">
        <v>229</v>
      </c>
      <c r="I121" t="s">
        <v>225</v>
      </c>
      <c r="J121" t="s">
        <v>18</v>
      </c>
      <c r="K121" t="s">
        <v>231</v>
      </c>
      <c r="L121" t="s">
        <v>288</v>
      </c>
      <c r="M121" t="s">
        <v>289</v>
      </c>
      <c r="N121" t="s">
        <v>229</v>
      </c>
      <c r="O121" t="s">
        <v>215</v>
      </c>
      <c r="P121" t="s">
        <v>216</v>
      </c>
      <c r="Q121" t="s">
        <v>217</v>
      </c>
      <c r="R121" t="s">
        <v>218</v>
      </c>
      <c r="S121" t="s">
        <v>244</v>
      </c>
    </row>
    <row r="122" spans="1:19" x14ac:dyDescent="0.35">
      <c r="A122" t="s">
        <v>114</v>
      </c>
      <c r="B122" t="s">
        <v>12</v>
      </c>
      <c r="C122" t="s">
        <v>21</v>
      </c>
      <c r="D122" t="s">
        <v>14</v>
      </c>
      <c r="E122" t="s">
        <v>15</v>
      </c>
      <c r="F122" t="s">
        <v>58</v>
      </c>
      <c r="G122" t="s">
        <v>24</v>
      </c>
      <c r="H122" t="s">
        <v>255</v>
      </c>
      <c r="I122" t="s">
        <v>238</v>
      </c>
      <c r="J122" t="s">
        <v>50</v>
      </c>
      <c r="K122" t="s">
        <v>256</v>
      </c>
      <c r="L122" t="s">
        <v>255</v>
      </c>
      <c r="M122" t="s">
        <v>256</v>
      </c>
      <c r="N122" t="s">
        <v>334</v>
      </c>
      <c r="O122" t="s">
        <v>215</v>
      </c>
      <c r="P122" t="s">
        <v>216</v>
      </c>
      <c r="Q122" t="s">
        <v>217</v>
      </c>
      <c r="R122" t="s">
        <v>218</v>
      </c>
      <c r="S122" t="s">
        <v>244</v>
      </c>
    </row>
    <row r="123" spans="1:19" x14ac:dyDescent="0.35">
      <c r="A123" t="s">
        <v>115</v>
      </c>
      <c r="B123" t="s">
        <v>34</v>
      </c>
      <c r="C123" t="s">
        <v>21</v>
      </c>
      <c r="D123" t="s">
        <v>14</v>
      </c>
      <c r="E123" t="s">
        <v>22</v>
      </c>
      <c r="F123" t="s">
        <v>41</v>
      </c>
      <c r="G123" t="s">
        <v>17</v>
      </c>
      <c r="H123" t="s">
        <v>219</v>
      </c>
      <c r="I123" t="s">
        <v>210</v>
      </c>
      <c r="J123" t="s">
        <v>43</v>
      </c>
      <c r="K123" t="s">
        <v>221</v>
      </c>
      <c r="L123" t="s">
        <v>278</v>
      </c>
      <c r="M123" t="s">
        <v>279</v>
      </c>
      <c r="N123" t="s">
        <v>280</v>
      </c>
      <c r="O123" t="s">
        <v>215</v>
      </c>
      <c r="P123" t="s">
        <v>216</v>
      </c>
      <c r="Q123" t="s">
        <v>217</v>
      </c>
      <c r="R123" t="s">
        <v>218</v>
      </c>
      <c r="S123" t="s">
        <v>238</v>
      </c>
    </row>
    <row r="124" spans="1:19" x14ac:dyDescent="0.35">
      <c r="A124" t="s">
        <v>82</v>
      </c>
      <c r="B124" t="s">
        <v>29</v>
      </c>
      <c r="C124" t="s">
        <v>13</v>
      </c>
      <c r="D124" t="s">
        <v>26</v>
      </c>
      <c r="E124" t="s">
        <v>22</v>
      </c>
      <c r="F124" t="s">
        <v>31</v>
      </c>
      <c r="G124" t="s">
        <v>24</v>
      </c>
      <c r="H124" t="s">
        <v>252</v>
      </c>
      <c r="I124" t="s">
        <v>225</v>
      </c>
      <c r="J124" t="s">
        <v>27</v>
      </c>
      <c r="K124" t="s">
        <v>253</v>
      </c>
      <c r="L124" t="s">
        <v>224</v>
      </c>
      <c r="M124" t="s">
        <v>226</v>
      </c>
      <c r="N124" t="s">
        <v>252</v>
      </c>
      <c r="O124" t="s">
        <v>215</v>
      </c>
      <c r="P124" t="s">
        <v>216</v>
      </c>
      <c r="Q124" t="s">
        <v>217</v>
      </c>
      <c r="R124" t="s">
        <v>218</v>
      </c>
      <c r="S124" t="s">
        <v>238</v>
      </c>
    </row>
    <row r="125" spans="1:19" x14ac:dyDescent="0.35">
      <c r="A125" t="s">
        <v>93</v>
      </c>
      <c r="B125" t="s">
        <v>20</v>
      </c>
      <c r="C125" t="s">
        <v>38</v>
      </c>
      <c r="D125" t="s">
        <v>14</v>
      </c>
      <c r="E125" t="s">
        <v>22</v>
      </c>
      <c r="F125" t="s">
        <v>47</v>
      </c>
      <c r="G125" t="s">
        <v>36</v>
      </c>
      <c r="H125" t="s">
        <v>229</v>
      </c>
      <c r="I125" t="s">
        <v>230</v>
      </c>
      <c r="J125" t="s">
        <v>54</v>
      </c>
      <c r="K125" t="s">
        <v>231</v>
      </c>
      <c r="L125" t="s">
        <v>232</v>
      </c>
      <c r="M125" t="s">
        <v>233</v>
      </c>
      <c r="N125" t="s">
        <v>234</v>
      </c>
      <c r="O125" t="s">
        <v>215</v>
      </c>
      <c r="P125" t="s">
        <v>216</v>
      </c>
      <c r="Q125" t="s">
        <v>217</v>
      </c>
      <c r="R125" t="s">
        <v>218</v>
      </c>
      <c r="S125" t="s">
        <v>220</v>
      </c>
    </row>
    <row r="126" spans="1:19" x14ac:dyDescent="0.35">
      <c r="A126" t="s">
        <v>33</v>
      </c>
      <c r="B126" t="s">
        <v>34</v>
      </c>
      <c r="C126" t="s">
        <v>30</v>
      </c>
      <c r="D126" t="s">
        <v>14</v>
      </c>
      <c r="E126" t="s">
        <v>15</v>
      </c>
      <c r="F126" t="s">
        <v>31</v>
      </c>
      <c r="G126" t="s">
        <v>24</v>
      </c>
      <c r="H126" t="s">
        <v>252</v>
      </c>
      <c r="I126" t="s">
        <v>230</v>
      </c>
      <c r="J126" t="s">
        <v>32</v>
      </c>
      <c r="K126" t="s">
        <v>253</v>
      </c>
      <c r="L126" t="s">
        <v>291</v>
      </c>
      <c r="M126" t="s">
        <v>292</v>
      </c>
      <c r="N126" t="s">
        <v>343</v>
      </c>
      <c r="O126" t="s">
        <v>215</v>
      </c>
      <c r="P126" t="s">
        <v>216</v>
      </c>
      <c r="Q126" t="s">
        <v>217</v>
      </c>
      <c r="R126" t="s">
        <v>218</v>
      </c>
      <c r="S126" t="s">
        <v>220</v>
      </c>
    </row>
    <row r="127" spans="1:19" x14ac:dyDescent="0.35">
      <c r="A127" t="s">
        <v>59</v>
      </c>
      <c r="B127" t="s">
        <v>34</v>
      </c>
      <c r="C127" t="s">
        <v>13</v>
      </c>
      <c r="D127" t="s">
        <v>26</v>
      </c>
      <c r="E127" t="s">
        <v>22</v>
      </c>
      <c r="F127" t="s">
        <v>58</v>
      </c>
      <c r="G127" t="s">
        <v>24</v>
      </c>
      <c r="H127" t="s">
        <v>255</v>
      </c>
      <c r="I127" t="s">
        <v>220</v>
      </c>
      <c r="J127" t="s">
        <v>43</v>
      </c>
      <c r="K127" t="s">
        <v>256</v>
      </c>
      <c r="L127" t="s">
        <v>303</v>
      </c>
      <c r="M127" t="s">
        <v>304</v>
      </c>
      <c r="N127" t="s">
        <v>256</v>
      </c>
      <c r="O127" t="s">
        <v>215</v>
      </c>
      <c r="P127" t="s">
        <v>216</v>
      </c>
      <c r="Q127" t="s">
        <v>217</v>
      </c>
      <c r="R127" t="s">
        <v>218</v>
      </c>
      <c r="S127" t="s">
        <v>265</v>
      </c>
    </row>
    <row r="128" spans="1:19" x14ac:dyDescent="0.35">
      <c r="A128" t="s">
        <v>76</v>
      </c>
      <c r="B128" t="s">
        <v>20</v>
      </c>
      <c r="C128" t="s">
        <v>30</v>
      </c>
      <c r="D128" t="s">
        <v>26</v>
      </c>
      <c r="E128" t="s">
        <v>22</v>
      </c>
      <c r="F128" t="s">
        <v>56</v>
      </c>
      <c r="G128" t="s">
        <v>36</v>
      </c>
      <c r="H128" t="s">
        <v>260</v>
      </c>
      <c r="I128" t="s">
        <v>240</v>
      </c>
      <c r="J128" t="s">
        <v>27</v>
      </c>
      <c r="K128" t="s">
        <v>261</v>
      </c>
      <c r="L128" t="s">
        <v>227</v>
      </c>
      <c r="M128" t="s">
        <v>228</v>
      </c>
      <c r="N128" t="s">
        <v>224</v>
      </c>
      <c r="O128" t="s">
        <v>215</v>
      </c>
      <c r="P128" t="s">
        <v>216</v>
      </c>
      <c r="Q128" t="s">
        <v>217</v>
      </c>
      <c r="R128" t="s">
        <v>218</v>
      </c>
      <c r="S128" t="s">
        <v>265</v>
      </c>
    </row>
    <row r="129" spans="1:19" x14ac:dyDescent="0.35">
      <c r="A129" t="s">
        <v>89</v>
      </c>
      <c r="B129" t="s">
        <v>34</v>
      </c>
      <c r="C129" t="s">
        <v>13</v>
      </c>
      <c r="D129" t="s">
        <v>26</v>
      </c>
      <c r="E129" t="s">
        <v>15</v>
      </c>
      <c r="F129" t="s">
        <v>52</v>
      </c>
      <c r="G129" t="s">
        <v>36</v>
      </c>
      <c r="H129" t="s">
        <v>291</v>
      </c>
      <c r="I129" t="s">
        <v>210</v>
      </c>
      <c r="J129" t="s">
        <v>18</v>
      </c>
      <c r="K129" t="s">
        <v>292</v>
      </c>
      <c r="L129" t="s">
        <v>339</v>
      </c>
      <c r="M129" t="s">
        <v>299</v>
      </c>
      <c r="N129" t="s">
        <v>233</v>
      </c>
      <c r="O129" t="s">
        <v>215</v>
      </c>
      <c r="P129" t="s">
        <v>216</v>
      </c>
      <c r="Q129" t="s">
        <v>217</v>
      </c>
      <c r="R129" t="s">
        <v>218</v>
      </c>
      <c r="S129" t="s">
        <v>244</v>
      </c>
    </row>
    <row r="130" spans="1:19" x14ac:dyDescent="0.35">
      <c r="A130" t="s">
        <v>66</v>
      </c>
      <c r="B130" t="s">
        <v>20</v>
      </c>
      <c r="C130" t="s">
        <v>13</v>
      </c>
      <c r="D130" t="s">
        <v>14</v>
      </c>
      <c r="E130" t="s">
        <v>15</v>
      </c>
      <c r="F130" t="s">
        <v>23</v>
      </c>
      <c r="G130" t="s">
        <v>24</v>
      </c>
      <c r="H130" t="s">
        <v>239</v>
      </c>
      <c r="I130" t="s">
        <v>269</v>
      </c>
      <c r="J130" t="s">
        <v>54</v>
      </c>
      <c r="K130" t="s">
        <v>245</v>
      </c>
      <c r="L130" t="s">
        <v>309</v>
      </c>
      <c r="M130" t="s">
        <v>268</v>
      </c>
      <c r="N130" t="s">
        <v>310</v>
      </c>
      <c r="O130" t="s">
        <v>215</v>
      </c>
      <c r="P130" t="s">
        <v>216</v>
      </c>
      <c r="Q130" t="s">
        <v>217</v>
      </c>
      <c r="R130" t="s">
        <v>218</v>
      </c>
      <c r="S130" t="s">
        <v>244</v>
      </c>
    </row>
    <row r="131" spans="1:19" x14ac:dyDescent="0.35">
      <c r="A131" t="s">
        <v>116</v>
      </c>
      <c r="B131" t="s">
        <v>12</v>
      </c>
      <c r="C131" t="s">
        <v>30</v>
      </c>
      <c r="D131" t="s">
        <v>14</v>
      </c>
      <c r="E131" t="s">
        <v>22</v>
      </c>
      <c r="F131" t="s">
        <v>39</v>
      </c>
      <c r="G131" t="s">
        <v>24</v>
      </c>
      <c r="H131" t="s">
        <v>209</v>
      </c>
      <c r="I131" t="s">
        <v>249</v>
      </c>
      <c r="J131" t="s">
        <v>32</v>
      </c>
      <c r="K131" t="s">
        <v>211</v>
      </c>
      <c r="L131" t="s">
        <v>213</v>
      </c>
      <c r="M131" t="s">
        <v>250</v>
      </c>
      <c r="N131" t="s">
        <v>251</v>
      </c>
      <c r="O131" t="s">
        <v>215</v>
      </c>
      <c r="P131" t="s">
        <v>216</v>
      </c>
      <c r="Q131" t="s">
        <v>217</v>
      </c>
      <c r="R131" t="s">
        <v>218</v>
      </c>
      <c r="S131" t="s">
        <v>244</v>
      </c>
    </row>
    <row r="132" spans="1:19" x14ac:dyDescent="0.35">
      <c r="A132" t="s">
        <v>100</v>
      </c>
      <c r="B132" t="s">
        <v>34</v>
      </c>
      <c r="C132" t="s">
        <v>21</v>
      </c>
      <c r="D132" t="s">
        <v>14</v>
      </c>
      <c r="E132" t="s">
        <v>15</v>
      </c>
      <c r="F132" t="s">
        <v>52</v>
      </c>
      <c r="G132" t="s">
        <v>36</v>
      </c>
      <c r="H132" t="s">
        <v>291</v>
      </c>
      <c r="I132" t="s">
        <v>225</v>
      </c>
      <c r="J132" t="s">
        <v>50</v>
      </c>
      <c r="K132" t="s">
        <v>292</v>
      </c>
      <c r="L132" t="s">
        <v>332</v>
      </c>
      <c r="M132" t="s">
        <v>333</v>
      </c>
      <c r="N132" t="s">
        <v>291</v>
      </c>
      <c r="O132" t="s">
        <v>215</v>
      </c>
      <c r="P132" t="s">
        <v>216</v>
      </c>
      <c r="Q132" t="s">
        <v>217</v>
      </c>
      <c r="R132" t="s">
        <v>218</v>
      </c>
      <c r="S132" t="s">
        <v>238</v>
      </c>
    </row>
    <row r="133" spans="1:19" x14ac:dyDescent="0.35">
      <c r="A133" t="s">
        <v>95</v>
      </c>
      <c r="B133" t="s">
        <v>12</v>
      </c>
      <c r="C133" t="s">
        <v>13</v>
      </c>
      <c r="D133" t="s">
        <v>26</v>
      </c>
      <c r="E133" t="s">
        <v>15</v>
      </c>
      <c r="F133" t="s">
        <v>31</v>
      </c>
      <c r="G133" t="s">
        <v>24</v>
      </c>
      <c r="H133" t="s">
        <v>252</v>
      </c>
      <c r="I133" t="s">
        <v>269</v>
      </c>
      <c r="J133" t="s">
        <v>18</v>
      </c>
      <c r="K133" t="s">
        <v>253</v>
      </c>
      <c r="L133" t="s">
        <v>272</v>
      </c>
      <c r="M133" t="s">
        <v>273</v>
      </c>
      <c r="N133" t="s">
        <v>274</v>
      </c>
      <c r="O133" t="s">
        <v>215</v>
      </c>
      <c r="P133" t="s">
        <v>216</v>
      </c>
      <c r="Q133" t="s">
        <v>217</v>
      </c>
      <c r="R133" t="s">
        <v>218</v>
      </c>
      <c r="S133" t="s">
        <v>238</v>
      </c>
    </row>
    <row r="134" spans="1:19" x14ac:dyDescent="0.35">
      <c r="A134" t="s">
        <v>57</v>
      </c>
      <c r="B134" t="s">
        <v>29</v>
      </c>
      <c r="C134" t="s">
        <v>30</v>
      </c>
      <c r="D134" t="s">
        <v>26</v>
      </c>
      <c r="E134" t="s">
        <v>22</v>
      </c>
      <c r="F134" t="s">
        <v>16</v>
      </c>
      <c r="G134" t="s">
        <v>17</v>
      </c>
      <c r="H134" t="s">
        <v>275</v>
      </c>
      <c r="I134" t="s">
        <v>225</v>
      </c>
      <c r="J134" t="s">
        <v>27</v>
      </c>
      <c r="K134" t="s">
        <v>276</v>
      </c>
      <c r="L134" t="s">
        <v>378</v>
      </c>
      <c r="M134" t="s">
        <v>337</v>
      </c>
      <c r="N134" t="s">
        <v>275</v>
      </c>
      <c r="O134" t="s">
        <v>215</v>
      </c>
      <c r="P134" t="s">
        <v>216</v>
      </c>
      <c r="Q134" t="s">
        <v>217</v>
      </c>
      <c r="R134" t="s">
        <v>218</v>
      </c>
      <c r="S134" t="s">
        <v>265</v>
      </c>
    </row>
    <row r="135" spans="1:19" x14ac:dyDescent="0.35">
      <c r="A135" t="s">
        <v>117</v>
      </c>
      <c r="B135" t="s">
        <v>29</v>
      </c>
      <c r="C135" t="s">
        <v>30</v>
      </c>
      <c r="D135" t="s">
        <v>26</v>
      </c>
      <c r="E135" t="s">
        <v>15</v>
      </c>
      <c r="F135" t="s">
        <v>16</v>
      </c>
      <c r="G135" t="s">
        <v>17</v>
      </c>
      <c r="H135" t="s">
        <v>275</v>
      </c>
      <c r="I135" t="s">
        <v>238</v>
      </c>
      <c r="J135" t="s">
        <v>32</v>
      </c>
      <c r="K135" t="s">
        <v>276</v>
      </c>
      <c r="L135" t="s">
        <v>275</v>
      </c>
      <c r="M135" t="s">
        <v>276</v>
      </c>
      <c r="N135" t="s">
        <v>277</v>
      </c>
      <c r="O135" t="s">
        <v>215</v>
      </c>
      <c r="P135" t="s">
        <v>216</v>
      </c>
      <c r="Q135" t="s">
        <v>217</v>
      </c>
      <c r="R135" t="s">
        <v>218</v>
      </c>
      <c r="S135" t="s">
        <v>220</v>
      </c>
    </row>
    <row r="136" spans="1:19" x14ac:dyDescent="0.35">
      <c r="A136" t="s">
        <v>82</v>
      </c>
      <c r="B136" t="s">
        <v>20</v>
      </c>
      <c r="C136" t="s">
        <v>21</v>
      </c>
      <c r="D136" t="s">
        <v>14</v>
      </c>
      <c r="E136" t="s">
        <v>22</v>
      </c>
      <c r="F136" t="s">
        <v>31</v>
      </c>
      <c r="G136" t="s">
        <v>24</v>
      </c>
      <c r="H136" t="s">
        <v>252</v>
      </c>
      <c r="I136" t="s">
        <v>249</v>
      </c>
      <c r="J136" t="s">
        <v>43</v>
      </c>
      <c r="K136" t="s">
        <v>253</v>
      </c>
      <c r="L136" t="s">
        <v>297</v>
      </c>
      <c r="M136" t="s">
        <v>243</v>
      </c>
      <c r="N136" t="s">
        <v>311</v>
      </c>
      <c r="O136" t="s">
        <v>215</v>
      </c>
      <c r="P136" t="s">
        <v>216</v>
      </c>
      <c r="Q136" t="s">
        <v>217</v>
      </c>
      <c r="R136" t="s">
        <v>218</v>
      </c>
      <c r="S136" t="s">
        <v>238</v>
      </c>
    </row>
    <row r="137" spans="1:19" x14ac:dyDescent="0.35">
      <c r="A137" t="s">
        <v>33</v>
      </c>
      <c r="B137" t="s">
        <v>12</v>
      </c>
      <c r="C137" t="s">
        <v>30</v>
      </c>
      <c r="D137" t="s">
        <v>26</v>
      </c>
      <c r="E137" t="s">
        <v>15</v>
      </c>
      <c r="F137" t="s">
        <v>47</v>
      </c>
      <c r="G137" t="s">
        <v>36</v>
      </c>
      <c r="H137" t="s">
        <v>229</v>
      </c>
      <c r="I137" t="s">
        <v>225</v>
      </c>
      <c r="J137" t="s">
        <v>50</v>
      </c>
      <c r="K137" t="s">
        <v>231</v>
      </c>
      <c r="L137" t="s">
        <v>288</v>
      </c>
      <c r="M137" t="s">
        <v>289</v>
      </c>
      <c r="N137" t="s">
        <v>229</v>
      </c>
      <c r="O137" t="s">
        <v>215</v>
      </c>
      <c r="P137" t="s">
        <v>216</v>
      </c>
      <c r="Q137" t="s">
        <v>217</v>
      </c>
      <c r="R137" t="s">
        <v>218</v>
      </c>
      <c r="S137" t="s">
        <v>220</v>
      </c>
    </row>
    <row r="138" spans="1:19" x14ac:dyDescent="0.35">
      <c r="A138" t="s">
        <v>66</v>
      </c>
      <c r="B138" t="s">
        <v>12</v>
      </c>
      <c r="C138" t="s">
        <v>38</v>
      </c>
      <c r="D138" t="s">
        <v>14</v>
      </c>
      <c r="E138" t="s">
        <v>15</v>
      </c>
      <c r="F138" t="s">
        <v>41</v>
      </c>
      <c r="G138" t="s">
        <v>17</v>
      </c>
      <c r="H138" t="s">
        <v>219</v>
      </c>
      <c r="I138" t="s">
        <v>210</v>
      </c>
      <c r="J138" t="s">
        <v>43</v>
      </c>
      <c r="K138" t="s">
        <v>221</v>
      </c>
      <c r="L138" t="s">
        <v>278</v>
      </c>
      <c r="M138" t="s">
        <v>279</v>
      </c>
      <c r="N138" t="s">
        <v>280</v>
      </c>
      <c r="O138" t="s">
        <v>215</v>
      </c>
      <c r="P138" t="s">
        <v>216</v>
      </c>
      <c r="Q138" t="s">
        <v>217</v>
      </c>
      <c r="R138" t="s">
        <v>218</v>
      </c>
      <c r="S138" t="s">
        <v>244</v>
      </c>
    </row>
    <row r="139" spans="1:19" x14ac:dyDescent="0.35">
      <c r="A139" t="s">
        <v>118</v>
      </c>
      <c r="B139" t="s">
        <v>12</v>
      </c>
      <c r="C139" t="s">
        <v>38</v>
      </c>
      <c r="D139" t="s">
        <v>26</v>
      </c>
      <c r="E139" t="s">
        <v>15</v>
      </c>
      <c r="F139" t="s">
        <v>56</v>
      </c>
      <c r="G139" t="s">
        <v>36</v>
      </c>
      <c r="H139" t="s">
        <v>260</v>
      </c>
      <c r="I139" t="s">
        <v>240</v>
      </c>
      <c r="J139" t="s">
        <v>54</v>
      </c>
      <c r="K139" t="s">
        <v>261</v>
      </c>
      <c r="L139" t="s">
        <v>227</v>
      </c>
      <c r="M139" t="s">
        <v>228</v>
      </c>
      <c r="N139" t="s">
        <v>224</v>
      </c>
      <c r="O139" t="s">
        <v>215</v>
      </c>
      <c r="P139" t="s">
        <v>216</v>
      </c>
      <c r="Q139" t="s">
        <v>217</v>
      </c>
      <c r="R139" t="s">
        <v>218</v>
      </c>
      <c r="S139" t="s">
        <v>238</v>
      </c>
    </row>
    <row r="140" spans="1:19" x14ac:dyDescent="0.35">
      <c r="A140" t="s">
        <v>112</v>
      </c>
      <c r="B140" t="s">
        <v>29</v>
      </c>
      <c r="C140" t="s">
        <v>30</v>
      </c>
      <c r="D140" t="s">
        <v>26</v>
      </c>
      <c r="E140" t="s">
        <v>15</v>
      </c>
      <c r="F140" t="s">
        <v>47</v>
      </c>
      <c r="G140" t="s">
        <v>36</v>
      </c>
      <c r="H140" t="s">
        <v>229</v>
      </c>
      <c r="I140" t="s">
        <v>244</v>
      </c>
      <c r="J140" t="s">
        <v>18</v>
      </c>
      <c r="K140" t="s">
        <v>231</v>
      </c>
      <c r="L140" t="s">
        <v>312</v>
      </c>
      <c r="M140" t="s">
        <v>214</v>
      </c>
      <c r="N140" t="s">
        <v>246</v>
      </c>
      <c r="O140" t="s">
        <v>215</v>
      </c>
      <c r="P140" t="s">
        <v>216</v>
      </c>
      <c r="Q140" t="s">
        <v>217</v>
      </c>
      <c r="R140" t="s">
        <v>218</v>
      </c>
      <c r="S140" t="s">
        <v>238</v>
      </c>
    </row>
    <row r="141" spans="1:19" x14ac:dyDescent="0.35">
      <c r="A141" t="s">
        <v>116</v>
      </c>
      <c r="B141" t="s">
        <v>12</v>
      </c>
      <c r="C141" t="s">
        <v>21</v>
      </c>
      <c r="D141" t="s">
        <v>26</v>
      </c>
      <c r="E141" t="s">
        <v>15</v>
      </c>
      <c r="F141" t="s">
        <v>31</v>
      </c>
      <c r="G141" t="s">
        <v>24</v>
      </c>
      <c r="H141" t="s">
        <v>252</v>
      </c>
      <c r="I141" t="s">
        <v>210</v>
      </c>
      <c r="J141" t="s">
        <v>50</v>
      </c>
      <c r="K141" t="s">
        <v>253</v>
      </c>
      <c r="L141" t="s">
        <v>289</v>
      </c>
      <c r="M141" t="s">
        <v>297</v>
      </c>
      <c r="N141" t="s">
        <v>231</v>
      </c>
      <c r="O141" t="s">
        <v>215</v>
      </c>
      <c r="P141" t="s">
        <v>216</v>
      </c>
      <c r="Q141" t="s">
        <v>217</v>
      </c>
      <c r="R141" t="s">
        <v>218</v>
      </c>
      <c r="S141" t="s">
        <v>244</v>
      </c>
    </row>
    <row r="142" spans="1:19" x14ac:dyDescent="0.35">
      <c r="A142" t="s">
        <v>55</v>
      </c>
      <c r="B142" t="s">
        <v>34</v>
      </c>
      <c r="C142" t="s">
        <v>30</v>
      </c>
      <c r="D142" t="s">
        <v>14</v>
      </c>
      <c r="E142" t="s">
        <v>15</v>
      </c>
      <c r="F142" t="s">
        <v>47</v>
      </c>
      <c r="G142" t="s">
        <v>36</v>
      </c>
      <c r="H142" t="s">
        <v>229</v>
      </c>
      <c r="I142" t="s">
        <v>249</v>
      </c>
      <c r="J142" t="s">
        <v>32</v>
      </c>
      <c r="K142" t="s">
        <v>231</v>
      </c>
      <c r="L142" t="s">
        <v>228</v>
      </c>
      <c r="M142" t="s">
        <v>290</v>
      </c>
      <c r="N142" t="s">
        <v>226</v>
      </c>
      <c r="O142" t="s">
        <v>215</v>
      </c>
      <c r="P142" t="s">
        <v>216</v>
      </c>
      <c r="Q142" t="s">
        <v>217</v>
      </c>
      <c r="R142" t="s">
        <v>218</v>
      </c>
      <c r="S142" t="s">
        <v>220</v>
      </c>
    </row>
    <row r="143" spans="1:19" x14ac:dyDescent="0.35">
      <c r="A143" t="s">
        <v>108</v>
      </c>
      <c r="B143" t="s">
        <v>29</v>
      </c>
      <c r="C143" t="s">
        <v>13</v>
      </c>
      <c r="D143" t="s">
        <v>14</v>
      </c>
      <c r="E143" t="s">
        <v>15</v>
      </c>
      <c r="F143" t="s">
        <v>56</v>
      </c>
      <c r="G143" t="s">
        <v>36</v>
      </c>
      <c r="H143" t="s">
        <v>260</v>
      </c>
      <c r="I143" t="s">
        <v>230</v>
      </c>
      <c r="J143" t="s">
        <v>50</v>
      </c>
      <c r="K143" t="s">
        <v>261</v>
      </c>
      <c r="L143" t="s">
        <v>368</v>
      </c>
      <c r="M143" t="s">
        <v>369</v>
      </c>
      <c r="N143" t="s">
        <v>370</v>
      </c>
      <c r="O143" t="s">
        <v>215</v>
      </c>
      <c r="P143" t="s">
        <v>216</v>
      </c>
      <c r="Q143" t="s">
        <v>217</v>
      </c>
      <c r="R143" t="s">
        <v>218</v>
      </c>
      <c r="S143" t="s">
        <v>220</v>
      </c>
    </row>
    <row r="144" spans="1:19" x14ac:dyDescent="0.35">
      <c r="A144" t="s">
        <v>33</v>
      </c>
      <c r="B144" t="s">
        <v>29</v>
      </c>
      <c r="C144" t="s">
        <v>38</v>
      </c>
      <c r="D144" t="s">
        <v>26</v>
      </c>
      <c r="E144" t="s">
        <v>15</v>
      </c>
      <c r="F144" t="s">
        <v>16</v>
      </c>
      <c r="G144" t="s">
        <v>17</v>
      </c>
      <c r="H144" t="s">
        <v>275</v>
      </c>
      <c r="I144" t="s">
        <v>240</v>
      </c>
      <c r="J144" t="s">
        <v>43</v>
      </c>
      <c r="K144" t="s">
        <v>276</v>
      </c>
      <c r="L144" t="s">
        <v>281</v>
      </c>
      <c r="M144" t="s">
        <v>282</v>
      </c>
      <c r="N144" t="s">
        <v>283</v>
      </c>
      <c r="O144" t="s">
        <v>215</v>
      </c>
      <c r="P144" t="s">
        <v>216</v>
      </c>
      <c r="Q144" t="s">
        <v>217</v>
      </c>
      <c r="R144" t="s">
        <v>218</v>
      </c>
      <c r="S144" t="s">
        <v>220</v>
      </c>
    </row>
    <row r="145" spans="1:19" x14ac:dyDescent="0.35">
      <c r="A145" t="s">
        <v>110</v>
      </c>
      <c r="B145" t="s">
        <v>34</v>
      </c>
      <c r="C145" t="s">
        <v>13</v>
      </c>
      <c r="D145" t="s">
        <v>26</v>
      </c>
      <c r="E145" t="s">
        <v>15</v>
      </c>
      <c r="F145" t="s">
        <v>39</v>
      </c>
      <c r="G145" t="s">
        <v>24</v>
      </c>
      <c r="H145" t="s">
        <v>209</v>
      </c>
      <c r="I145" t="s">
        <v>269</v>
      </c>
      <c r="J145" t="s">
        <v>50</v>
      </c>
      <c r="K145" t="s">
        <v>211</v>
      </c>
      <c r="L145" t="s">
        <v>371</v>
      </c>
      <c r="M145" t="s">
        <v>372</v>
      </c>
      <c r="N145" t="s">
        <v>373</v>
      </c>
      <c r="O145" t="s">
        <v>215</v>
      </c>
      <c r="P145" t="s">
        <v>216</v>
      </c>
      <c r="Q145" t="s">
        <v>217</v>
      </c>
      <c r="R145" t="s">
        <v>218</v>
      </c>
      <c r="S145" t="s">
        <v>265</v>
      </c>
    </row>
    <row r="146" spans="1:19" x14ac:dyDescent="0.35">
      <c r="A146" t="s">
        <v>44</v>
      </c>
      <c r="B146" t="s">
        <v>12</v>
      </c>
      <c r="C146" t="s">
        <v>38</v>
      </c>
      <c r="D146" t="s">
        <v>26</v>
      </c>
      <c r="E146" t="s">
        <v>15</v>
      </c>
      <c r="F146" t="s">
        <v>23</v>
      </c>
      <c r="G146" t="s">
        <v>24</v>
      </c>
      <c r="H146" t="s">
        <v>239</v>
      </c>
      <c r="I146" t="s">
        <v>249</v>
      </c>
      <c r="J146" t="s">
        <v>50</v>
      </c>
      <c r="K146" t="s">
        <v>245</v>
      </c>
      <c r="L146" t="s">
        <v>226</v>
      </c>
      <c r="M146" t="s">
        <v>284</v>
      </c>
      <c r="N146" t="s">
        <v>253</v>
      </c>
      <c r="O146" t="s">
        <v>215</v>
      </c>
      <c r="P146" t="s">
        <v>216</v>
      </c>
      <c r="Q146" t="s">
        <v>217</v>
      </c>
      <c r="R146" t="s">
        <v>218</v>
      </c>
      <c r="S146" t="s">
        <v>244</v>
      </c>
    </row>
    <row r="147" spans="1:19" x14ac:dyDescent="0.35">
      <c r="A147" t="s">
        <v>119</v>
      </c>
      <c r="B147" t="s">
        <v>29</v>
      </c>
      <c r="C147" t="s">
        <v>13</v>
      </c>
      <c r="D147" t="s">
        <v>26</v>
      </c>
      <c r="E147" t="s">
        <v>22</v>
      </c>
      <c r="F147" t="s">
        <v>16</v>
      </c>
      <c r="G147" t="s">
        <v>17</v>
      </c>
      <c r="H147" t="s">
        <v>275</v>
      </c>
      <c r="I147" t="s">
        <v>238</v>
      </c>
      <c r="J147" t="s">
        <v>27</v>
      </c>
      <c r="K147" t="s">
        <v>276</v>
      </c>
      <c r="L147" t="s">
        <v>275</v>
      </c>
      <c r="M147" t="s">
        <v>276</v>
      </c>
      <c r="N147" t="s">
        <v>277</v>
      </c>
      <c r="O147" t="s">
        <v>215</v>
      </c>
      <c r="P147" t="s">
        <v>216</v>
      </c>
      <c r="Q147" t="s">
        <v>217</v>
      </c>
      <c r="R147" t="s">
        <v>218</v>
      </c>
      <c r="S147" t="s">
        <v>238</v>
      </c>
    </row>
    <row r="148" spans="1:19" x14ac:dyDescent="0.35">
      <c r="A148" t="s">
        <v>92</v>
      </c>
      <c r="B148" t="s">
        <v>12</v>
      </c>
      <c r="C148" t="s">
        <v>38</v>
      </c>
      <c r="D148" t="s">
        <v>26</v>
      </c>
      <c r="E148" t="s">
        <v>15</v>
      </c>
      <c r="F148" t="s">
        <v>23</v>
      </c>
      <c r="G148" t="s">
        <v>24</v>
      </c>
      <c r="H148" t="s">
        <v>239</v>
      </c>
      <c r="I148" t="s">
        <v>249</v>
      </c>
      <c r="J148" t="s">
        <v>54</v>
      </c>
      <c r="K148" t="s">
        <v>245</v>
      </c>
      <c r="L148" t="s">
        <v>226</v>
      </c>
      <c r="M148" t="s">
        <v>284</v>
      </c>
      <c r="N148" t="s">
        <v>253</v>
      </c>
      <c r="O148" t="s">
        <v>215</v>
      </c>
      <c r="P148" t="s">
        <v>216</v>
      </c>
      <c r="Q148" t="s">
        <v>217</v>
      </c>
      <c r="R148" t="s">
        <v>218</v>
      </c>
      <c r="S148" t="s">
        <v>265</v>
      </c>
    </row>
    <row r="149" spans="1:19" x14ac:dyDescent="0.35">
      <c r="A149" t="s">
        <v>111</v>
      </c>
      <c r="B149" t="s">
        <v>34</v>
      </c>
      <c r="C149" t="s">
        <v>30</v>
      </c>
      <c r="D149" t="s">
        <v>14</v>
      </c>
      <c r="E149" t="s">
        <v>15</v>
      </c>
      <c r="F149" t="s">
        <v>41</v>
      </c>
      <c r="G149" t="s">
        <v>17</v>
      </c>
      <c r="H149" t="s">
        <v>219</v>
      </c>
      <c r="I149" t="s">
        <v>265</v>
      </c>
      <c r="J149" t="s">
        <v>50</v>
      </c>
      <c r="K149" t="s">
        <v>221</v>
      </c>
      <c r="L149" t="s">
        <v>280</v>
      </c>
      <c r="M149" t="s">
        <v>321</v>
      </c>
      <c r="N149" t="s">
        <v>340</v>
      </c>
      <c r="O149" t="s">
        <v>215</v>
      </c>
      <c r="P149" t="s">
        <v>216</v>
      </c>
      <c r="Q149" t="s">
        <v>217</v>
      </c>
      <c r="R149" t="s">
        <v>218</v>
      </c>
      <c r="S149" t="s">
        <v>238</v>
      </c>
    </row>
    <row r="150" spans="1:19" x14ac:dyDescent="0.35">
      <c r="A150" t="s">
        <v>51</v>
      </c>
      <c r="B150" t="s">
        <v>20</v>
      </c>
      <c r="C150" t="s">
        <v>13</v>
      </c>
      <c r="D150" t="s">
        <v>14</v>
      </c>
      <c r="E150" t="s">
        <v>15</v>
      </c>
      <c r="F150" t="s">
        <v>47</v>
      </c>
      <c r="G150" t="s">
        <v>36</v>
      </c>
      <c r="H150" t="s">
        <v>229</v>
      </c>
      <c r="I150" t="s">
        <v>225</v>
      </c>
      <c r="J150" t="s">
        <v>50</v>
      </c>
      <c r="K150" t="s">
        <v>231</v>
      </c>
      <c r="L150" t="s">
        <v>288</v>
      </c>
      <c r="M150" t="s">
        <v>289</v>
      </c>
      <c r="N150" t="s">
        <v>229</v>
      </c>
      <c r="O150" t="s">
        <v>215</v>
      </c>
      <c r="P150" t="s">
        <v>216</v>
      </c>
      <c r="Q150" t="s">
        <v>217</v>
      </c>
      <c r="R150" t="s">
        <v>218</v>
      </c>
      <c r="S150" t="s">
        <v>244</v>
      </c>
    </row>
    <row r="151" spans="1:19" x14ac:dyDescent="0.35">
      <c r="A151" t="s">
        <v>120</v>
      </c>
      <c r="B151" t="s">
        <v>20</v>
      </c>
      <c r="C151" t="s">
        <v>30</v>
      </c>
      <c r="D151" t="s">
        <v>26</v>
      </c>
      <c r="E151" t="s">
        <v>15</v>
      </c>
      <c r="F151" t="s">
        <v>56</v>
      </c>
      <c r="G151" t="s">
        <v>36</v>
      </c>
      <c r="H151" t="s">
        <v>260</v>
      </c>
      <c r="I151" t="s">
        <v>225</v>
      </c>
      <c r="J151" t="s">
        <v>54</v>
      </c>
      <c r="K151" t="s">
        <v>261</v>
      </c>
      <c r="L151" t="s">
        <v>379</v>
      </c>
      <c r="M151" t="s">
        <v>335</v>
      </c>
      <c r="N151" t="s">
        <v>260</v>
      </c>
      <c r="O151" t="s">
        <v>215</v>
      </c>
      <c r="P151" t="s">
        <v>216</v>
      </c>
      <c r="Q151" t="s">
        <v>217</v>
      </c>
      <c r="R151" t="s">
        <v>218</v>
      </c>
      <c r="S151" t="s">
        <v>244</v>
      </c>
    </row>
    <row r="152" spans="1:19" x14ac:dyDescent="0.35">
      <c r="A152" t="s">
        <v>11</v>
      </c>
      <c r="B152" t="s">
        <v>34</v>
      </c>
      <c r="C152" t="s">
        <v>38</v>
      </c>
      <c r="D152" t="s">
        <v>26</v>
      </c>
      <c r="E152" t="s">
        <v>15</v>
      </c>
      <c r="F152" t="s">
        <v>58</v>
      </c>
      <c r="G152" t="s">
        <v>24</v>
      </c>
      <c r="H152" t="s">
        <v>255</v>
      </c>
      <c r="I152" t="s">
        <v>210</v>
      </c>
      <c r="J152" t="s">
        <v>27</v>
      </c>
      <c r="K152" t="s">
        <v>256</v>
      </c>
      <c r="L152" t="s">
        <v>285</v>
      </c>
      <c r="M152" t="s">
        <v>286</v>
      </c>
      <c r="N152" t="s">
        <v>287</v>
      </c>
      <c r="O152" t="s">
        <v>215</v>
      </c>
      <c r="P152" t="s">
        <v>216</v>
      </c>
      <c r="Q152" t="s">
        <v>217</v>
      </c>
      <c r="R152" t="s">
        <v>218</v>
      </c>
      <c r="S152" t="s">
        <v>238</v>
      </c>
    </row>
    <row r="153" spans="1:19" x14ac:dyDescent="0.35">
      <c r="A153" t="s">
        <v>99</v>
      </c>
      <c r="B153" t="s">
        <v>34</v>
      </c>
      <c r="C153" t="s">
        <v>30</v>
      </c>
      <c r="D153" t="s">
        <v>26</v>
      </c>
      <c r="E153" t="s">
        <v>15</v>
      </c>
      <c r="F153" t="s">
        <v>31</v>
      </c>
      <c r="G153" t="s">
        <v>24</v>
      </c>
      <c r="H153" t="s">
        <v>252</v>
      </c>
      <c r="I153" t="s">
        <v>265</v>
      </c>
      <c r="J153" t="s">
        <v>43</v>
      </c>
      <c r="K153" t="s">
        <v>253</v>
      </c>
      <c r="L153" t="s">
        <v>231</v>
      </c>
      <c r="M153" t="s">
        <v>311</v>
      </c>
      <c r="N153" t="s">
        <v>245</v>
      </c>
      <c r="O153" t="s">
        <v>215</v>
      </c>
      <c r="P153" t="s">
        <v>216</v>
      </c>
      <c r="Q153" t="s">
        <v>217</v>
      </c>
      <c r="R153" t="s">
        <v>218</v>
      </c>
      <c r="S153" t="s">
        <v>220</v>
      </c>
    </row>
    <row r="154" spans="1:19" x14ac:dyDescent="0.35">
      <c r="A154" t="s">
        <v>111</v>
      </c>
      <c r="B154" t="s">
        <v>34</v>
      </c>
      <c r="C154" t="s">
        <v>30</v>
      </c>
      <c r="D154" t="s">
        <v>26</v>
      </c>
      <c r="E154" t="s">
        <v>22</v>
      </c>
      <c r="F154" t="s">
        <v>56</v>
      </c>
      <c r="G154" t="s">
        <v>36</v>
      </c>
      <c r="H154" t="s">
        <v>260</v>
      </c>
      <c r="I154" t="s">
        <v>238</v>
      </c>
      <c r="J154" t="s">
        <v>50</v>
      </c>
      <c r="K154" t="s">
        <v>261</v>
      </c>
      <c r="L154" t="s">
        <v>260</v>
      </c>
      <c r="M154" t="s">
        <v>261</v>
      </c>
      <c r="N154" t="s">
        <v>352</v>
      </c>
      <c r="O154" t="s">
        <v>215</v>
      </c>
      <c r="P154" t="s">
        <v>216</v>
      </c>
      <c r="Q154" t="s">
        <v>217</v>
      </c>
      <c r="R154" t="s">
        <v>218</v>
      </c>
      <c r="S154" t="s">
        <v>238</v>
      </c>
    </row>
    <row r="155" spans="1:19" x14ac:dyDescent="0.35">
      <c r="A155" t="s">
        <v>102</v>
      </c>
      <c r="B155" t="s">
        <v>12</v>
      </c>
      <c r="C155" t="s">
        <v>13</v>
      </c>
      <c r="D155" t="s">
        <v>14</v>
      </c>
      <c r="E155" t="s">
        <v>15</v>
      </c>
      <c r="F155" t="s">
        <v>39</v>
      </c>
      <c r="G155" t="s">
        <v>24</v>
      </c>
      <c r="H155" t="s">
        <v>209</v>
      </c>
      <c r="I155" t="s">
        <v>249</v>
      </c>
      <c r="J155" t="s">
        <v>54</v>
      </c>
      <c r="K155" t="s">
        <v>211</v>
      </c>
      <c r="L155" t="s">
        <v>213</v>
      </c>
      <c r="M155" t="s">
        <v>250</v>
      </c>
      <c r="N155" t="s">
        <v>251</v>
      </c>
      <c r="O155" t="s">
        <v>215</v>
      </c>
      <c r="P155" t="s">
        <v>216</v>
      </c>
      <c r="Q155" t="s">
        <v>217</v>
      </c>
      <c r="R155" t="s">
        <v>218</v>
      </c>
      <c r="S155" t="s">
        <v>238</v>
      </c>
    </row>
    <row r="156" spans="1:19" x14ac:dyDescent="0.35">
      <c r="A156" t="s">
        <v>69</v>
      </c>
      <c r="B156" t="s">
        <v>34</v>
      </c>
      <c r="C156" t="s">
        <v>21</v>
      </c>
      <c r="D156" t="s">
        <v>14</v>
      </c>
      <c r="E156" t="s">
        <v>15</v>
      </c>
      <c r="F156" t="s">
        <v>47</v>
      </c>
      <c r="G156" t="s">
        <v>36</v>
      </c>
      <c r="H156" t="s">
        <v>229</v>
      </c>
      <c r="I156" t="s">
        <v>238</v>
      </c>
      <c r="J156" t="s">
        <v>18</v>
      </c>
      <c r="K156" t="s">
        <v>231</v>
      </c>
      <c r="L156" t="s">
        <v>229</v>
      </c>
      <c r="M156" t="s">
        <v>231</v>
      </c>
      <c r="N156" t="s">
        <v>239</v>
      </c>
      <c r="O156" t="s">
        <v>215</v>
      </c>
      <c r="P156" t="s">
        <v>216</v>
      </c>
      <c r="Q156" t="s">
        <v>217</v>
      </c>
      <c r="R156" t="s">
        <v>218</v>
      </c>
      <c r="S156" t="s">
        <v>238</v>
      </c>
    </row>
    <row r="157" spans="1:19" x14ac:dyDescent="0.35">
      <c r="A157" t="s">
        <v>121</v>
      </c>
      <c r="B157" t="s">
        <v>34</v>
      </c>
      <c r="C157" t="s">
        <v>38</v>
      </c>
      <c r="D157" t="s">
        <v>14</v>
      </c>
      <c r="E157" t="s">
        <v>15</v>
      </c>
      <c r="F157" t="s">
        <v>23</v>
      </c>
      <c r="G157" t="s">
        <v>24</v>
      </c>
      <c r="H157" t="s">
        <v>239</v>
      </c>
      <c r="I157" t="s">
        <v>240</v>
      </c>
      <c r="J157" t="s">
        <v>27</v>
      </c>
      <c r="K157" t="s">
        <v>245</v>
      </c>
      <c r="L157" t="s">
        <v>209</v>
      </c>
      <c r="M157" t="s">
        <v>211</v>
      </c>
      <c r="N157" t="s">
        <v>254</v>
      </c>
      <c r="O157" t="s">
        <v>215</v>
      </c>
      <c r="P157" t="s">
        <v>216</v>
      </c>
      <c r="Q157" t="s">
        <v>217</v>
      </c>
      <c r="R157" t="s">
        <v>218</v>
      </c>
      <c r="S157" t="s">
        <v>265</v>
      </c>
    </row>
    <row r="158" spans="1:19" x14ac:dyDescent="0.35">
      <c r="A158" t="s">
        <v>112</v>
      </c>
      <c r="B158" t="s">
        <v>12</v>
      </c>
      <c r="C158" t="s">
        <v>13</v>
      </c>
      <c r="D158" t="s">
        <v>26</v>
      </c>
      <c r="E158" t="s">
        <v>15</v>
      </c>
      <c r="F158" t="s">
        <v>58</v>
      </c>
      <c r="G158" t="s">
        <v>24</v>
      </c>
      <c r="H158" t="s">
        <v>255</v>
      </c>
      <c r="I158" t="s">
        <v>210</v>
      </c>
      <c r="J158" t="s">
        <v>54</v>
      </c>
      <c r="K158" t="s">
        <v>256</v>
      </c>
      <c r="L158" t="s">
        <v>285</v>
      </c>
      <c r="M158" t="s">
        <v>286</v>
      </c>
      <c r="N158" t="s">
        <v>287</v>
      </c>
      <c r="O158" t="s">
        <v>215</v>
      </c>
      <c r="P158" t="s">
        <v>216</v>
      </c>
      <c r="Q158" t="s">
        <v>217</v>
      </c>
      <c r="R158" t="s">
        <v>218</v>
      </c>
      <c r="S158" t="s">
        <v>238</v>
      </c>
    </row>
    <row r="159" spans="1:19" x14ac:dyDescent="0.35">
      <c r="A159" t="s">
        <v>83</v>
      </c>
      <c r="B159" t="s">
        <v>12</v>
      </c>
      <c r="C159" t="s">
        <v>13</v>
      </c>
      <c r="D159" t="s">
        <v>14</v>
      </c>
      <c r="E159" t="s">
        <v>22</v>
      </c>
      <c r="F159" t="s">
        <v>52</v>
      </c>
      <c r="G159" t="s">
        <v>36</v>
      </c>
      <c r="H159" t="s">
        <v>291</v>
      </c>
      <c r="I159" t="s">
        <v>238</v>
      </c>
      <c r="J159" t="s">
        <v>27</v>
      </c>
      <c r="K159" t="s">
        <v>292</v>
      </c>
      <c r="L159" t="s">
        <v>291</v>
      </c>
      <c r="M159" t="s">
        <v>292</v>
      </c>
      <c r="N159" t="s">
        <v>343</v>
      </c>
      <c r="O159" t="s">
        <v>215</v>
      </c>
      <c r="P159" t="s">
        <v>216</v>
      </c>
      <c r="Q159" t="s">
        <v>217</v>
      </c>
      <c r="R159" t="s">
        <v>218</v>
      </c>
      <c r="S159" t="s">
        <v>238</v>
      </c>
    </row>
    <row r="160" spans="1:19" x14ac:dyDescent="0.35">
      <c r="A160" t="s">
        <v>68</v>
      </c>
      <c r="B160" t="s">
        <v>12</v>
      </c>
      <c r="C160" t="s">
        <v>21</v>
      </c>
      <c r="D160" t="s">
        <v>26</v>
      </c>
      <c r="E160" t="s">
        <v>22</v>
      </c>
      <c r="F160" t="s">
        <v>35</v>
      </c>
      <c r="G160" t="s">
        <v>36</v>
      </c>
      <c r="H160" t="s">
        <v>224</v>
      </c>
      <c r="I160" t="s">
        <v>249</v>
      </c>
      <c r="J160" t="s">
        <v>27</v>
      </c>
      <c r="K160" t="s">
        <v>226</v>
      </c>
      <c r="L160" t="s">
        <v>366</v>
      </c>
      <c r="M160" t="s">
        <v>241</v>
      </c>
      <c r="N160" t="s">
        <v>297</v>
      </c>
      <c r="O160" t="s">
        <v>215</v>
      </c>
      <c r="P160" t="s">
        <v>216</v>
      </c>
      <c r="Q160" t="s">
        <v>217</v>
      </c>
      <c r="R160" t="s">
        <v>218</v>
      </c>
      <c r="S160" t="s">
        <v>238</v>
      </c>
    </row>
    <row r="161" spans="1:19" x14ac:dyDescent="0.35">
      <c r="A161" t="s">
        <v>64</v>
      </c>
      <c r="B161" t="s">
        <v>34</v>
      </c>
      <c r="C161" t="s">
        <v>38</v>
      </c>
      <c r="D161" t="s">
        <v>26</v>
      </c>
      <c r="E161" t="s">
        <v>15</v>
      </c>
      <c r="F161" t="s">
        <v>56</v>
      </c>
      <c r="G161" t="s">
        <v>36</v>
      </c>
      <c r="H161" t="s">
        <v>260</v>
      </c>
      <c r="I161" t="s">
        <v>244</v>
      </c>
      <c r="J161" t="s">
        <v>18</v>
      </c>
      <c r="K161" t="s">
        <v>261</v>
      </c>
      <c r="L161" t="s">
        <v>288</v>
      </c>
      <c r="M161" t="s">
        <v>289</v>
      </c>
      <c r="N161" t="s">
        <v>229</v>
      </c>
      <c r="O161" t="s">
        <v>215</v>
      </c>
      <c r="P161" t="s">
        <v>216</v>
      </c>
      <c r="Q161" t="s">
        <v>217</v>
      </c>
      <c r="R161" t="s">
        <v>218</v>
      </c>
      <c r="S161" t="s">
        <v>265</v>
      </c>
    </row>
    <row r="162" spans="1:19" x14ac:dyDescent="0.35">
      <c r="A162" t="s">
        <v>72</v>
      </c>
      <c r="B162" t="s">
        <v>12</v>
      </c>
      <c r="C162" t="s">
        <v>38</v>
      </c>
      <c r="D162" t="s">
        <v>26</v>
      </c>
      <c r="E162" t="s">
        <v>15</v>
      </c>
      <c r="F162" t="s">
        <v>35</v>
      </c>
      <c r="G162" t="s">
        <v>36</v>
      </c>
      <c r="H162" t="s">
        <v>224</v>
      </c>
      <c r="I162" t="s">
        <v>220</v>
      </c>
      <c r="J162" t="s">
        <v>43</v>
      </c>
      <c r="K162" t="s">
        <v>226</v>
      </c>
      <c r="L162" t="s">
        <v>228</v>
      </c>
      <c r="M162" t="s">
        <v>290</v>
      </c>
      <c r="N162" t="s">
        <v>226</v>
      </c>
      <c r="O162" t="s">
        <v>215</v>
      </c>
      <c r="P162" t="s">
        <v>216</v>
      </c>
      <c r="Q162" t="s">
        <v>217</v>
      </c>
      <c r="R162" t="s">
        <v>218</v>
      </c>
      <c r="S162" t="s">
        <v>244</v>
      </c>
    </row>
    <row r="163" spans="1:19" x14ac:dyDescent="0.35">
      <c r="A163" t="s">
        <v>122</v>
      </c>
      <c r="B163" t="s">
        <v>12</v>
      </c>
      <c r="C163" t="s">
        <v>30</v>
      </c>
      <c r="D163" t="s">
        <v>14</v>
      </c>
      <c r="E163" t="s">
        <v>15</v>
      </c>
      <c r="F163" t="s">
        <v>47</v>
      </c>
      <c r="G163" t="s">
        <v>36</v>
      </c>
      <c r="H163" t="s">
        <v>229</v>
      </c>
      <c r="I163" t="s">
        <v>240</v>
      </c>
      <c r="J163" t="s">
        <v>43</v>
      </c>
      <c r="K163" t="s">
        <v>231</v>
      </c>
      <c r="L163" t="s">
        <v>301</v>
      </c>
      <c r="M163" t="s">
        <v>302</v>
      </c>
      <c r="N163" t="s">
        <v>209</v>
      </c>
      <c r="O163" t="s">
        <v>215</v>
      </c>
      <c r="P163" t="s">
        <v>216</v>
      </c>
      <c r="Q163" t="s">
        <v>217</v>
      </c>
      <c r="R163" t="s">
        <v>218</v>
      </c>
      <c r="S163" t="s">
        <v>220</v>
      </c>
    </row>
    <row r="164" spans="1:19" x14ac:dyDescent="0.35">
      <c r="A164" t="s">
        <v>123</v>
      </c>
      <c r="B164" t="s">
        <v>12</v>
      </c>
      <c r="C164" t="s">
        <v>38</v>
      </c>
      <c r="D164" t="s">
        <v>14</v>
      </c>
      <c r="E164" t="s">
        <v>15</v>
      </c>
      <c r="F164" t="s">
        <v>52</v>
      </c>
      <c r="G164" t="s">
        <v>36</v>
      </c>
      <c r="H164" t="s">
        <v>291</v>
      </c>
      <c r="I164" t="s">
        <v>265</v>
      </c>
      <c r="J164" t="s">
        <v>18</v>
      </c>
      <c r="K164" t="s">
        <v>292</v>
      </c>
      <c r="L164" t="s">
        <v>233</v>
      </c>
      <c r="M164" t="s">
        <v>293</v>
      </c>
      <c r="N164" t="s">
        <v>294</v>
      </c>
      <c r="O164" t="s">
        <v>215</v>
      </c>
      <c r="P164" t="s">
        <v>216</v>
      </c>
      <c r="Q164" t="s">
        <v>217</v>
      </c>
      <c r="R164" t="s">
        <v>218</v>
      </c>
      <c r="S164" t="s">
        <v>220</v>
      </c>
    </row>
    <row r="165" spans="1:19" x14ac:dyDescent="0.35">
      <c r="A165" t="s">
        <v>124</v>
      </c>
      <c r="B165" t="s">
        <v>29</v>
      </c>
      <c r="C165" t="s">
        <v>21</v>
      </c>
      <c r="D165" t="s">
        <v>14</v>
      </c>
      <c r="E165" t="s">
        <v>15</v>
      </c>
      <c r="F165" t="s">
        <v>58</v>
      </c>
      <c r="G165" t="s">
        <v>24</v>
      </c>
      <c r="H165" t="s">
        <v>255</v>
      </c>
      <c r="I165" t="s">
        <v>238</v>
      </c>
      <c r="J165" t="s">
        <v>27</v>
      </c>
      <c r="K165" t="s">
        <v>256</v>
      </c>
      <c r="L165" t="s">
        <v>255</v>
      </c>
      <c r="M165" t="s">
        <v>256</v>
      </c>
      <c r="N165" t="s">
        <v>334</v>
      </c>
      <c r="O165" t="s">
        <v>215</v>
      </c>
      <c r="P165" t="s">
        <v>216</v>
      </c>
      <c r="Q165" t="s">
        <v>217</v>
      </c>
      <c r="R165" t="s">
        <v>218</v>
      </c>
      <c r="S165" t="s">
        <v>238</v>
      </c>
    </row>
    <row r="166" spans="1:19" x14ac:dyDescent="0.35">
      <c r="A166" t="s">
        <v>125</v>
      </c>
      <c r="B166" t="s">
        <v>29</v>
      </c>
      <c r="C166" t="s">
        <v>38</v>
      </c>
      <c r="D166" t="s">
        <v>14</v>
      </c>
      <c r="E166" t="s">
        <v>22</v>
      </c>
      <c r="F166" t="s">
        <v>58</v>
      </c>
      <c r="G166" t="s">
        <v>24</v>
      </c>
      <c r="H166" t="s">
        <v>255</v>
      </c>
      <c r="I166" t="s">
        <v>249</v>
      </c>
      <c r="J166" t="s">
        <v>50</v>
      </c>
      <c r="K166" t="s">
        <v>256</v>
      </c>
      <c r="L166" t="s">
        <v>286</v>
      </c>
      <c r="M166" t="s">
        <v>295</v>
      </c>
      <c r="N166" t="s">
        <v>296</v>
      </c>
      <c r="O166" t="s">
        <v>215</v>
      </c>
      <c r="P166" t="s">
        <v>216</v>
      </c>
      <c r="Q166" t="s">
        <v>217</v>
      </c>
      <c r="R166" t="s">
        <v>218</v>
      </c>
      <c r="S166" t="s">
        <v>220</v>
      </c>
    </row>
    <row r="167" spans="1:19" x14ac:dyDescent="0.35">
      <c r="A167" t="s">
        <v>87</v>
      </c>
      <c r="B167" t="s">
        <v>34</v>
      </c>
      <c r="C167" t="s">
        <v>30</v>
      </c>
      <c r="D167" t="s">
        <v>14</v>
      </c>
      <c r="E167" t="s">
        <v>22</v>
      </c>
      <c r="F167" t="s">
        <v>23</v>
      </c>
      <c r="G167" t="s">
        <v>24</v>
      </c>
      <c r="H167" t="s">
        <v>239</v>
      </c>
      <c r="I167" t="s">
        <v>210</v>
      </c>
      <c r="J167" t="s">
        <v>54</v>
      </c>
      <c r="K167" t="s">
        <v>245</v>
      </c>
      <c r="L167" t="s">
        <v>224</v>
      </c>
      <c r="M167" t="s">
        <v>226</v>
      </c>
      <c r="N167" t="s">
        <v>252</v>
      </c>
      <c r="O167" t="s">
        <v>215</v>
      </c>
      <c r="P167" t="s">
        <v>216</v>
      </c>
      <c r="Q167" t="s">
        <v>217</v>
      </c>
      <c r="R167" t="s">
        <v>218</v>
      </c>
      <c r="S167" t="s">
        <v>244</v>
      </c>
    </row>
    <row r="168" spans="1:19" x14ac:dyDescent="0.35">
      <c r="A168" t="s">
        <v>126</v>
      </c>
      <c r="B168" t="s">
        <v>34</v>
      </c>
      <c r="C168" t="s">
        <v>21</v>
      </c>
      <c r="D168" t="s">
        <v>26</v>
      </c>
      <c r="E168" t="s">
        <v>15</v>
      </c>
      <c r="F168" t="s">
        <v>23</v>
      </c>
      <c r="G168" t="s">
        <v>24</v>
      </c>
      <c r="H168" t="s">
        <v>239</v>
      </c>
      <c r="I168" t="s">
        <v>220</v>
      </c>
      <c r="J168" t="s">
        <v>54</v>
      </c>
      <c r="K168" t="s">
        <v>245</v>
      </c>
      <c r="L168" t="s">
        <v>231</v>
      </c>
      <c r="M168" t="s">
        <v>311</v>
      </c>
      <c r="N168" t="s">
        <v>245</v>
      </c>
      <c r="O168" t="s">
        <v>215</v>
      </c>
      <c r="P168" t="s">
        <v>216</v>
      </c>
      <c r="Q168" t="s">
        <v>217</v>
      </c>
      <c r="R168" t="s">
        <v>218</v>
      </c>
      <c r="S168" t="s">
        <v>244</v>
      </c>
    </row>
    <row r="169" spans="1:19" x14ac:dyDescent="0.35">
      <c r="A169" t="s">
        <v>127</v>
      </c>
      <c r="B169" t="s">
        <v>12</v>
      </c>
      <c r="C169" t="s">
        <v>13</v>
      </c>
      <c r="D169" t="s">
        <v>26</v>
      </c>
      <c r="E169" t="s">
        <v>15</v>
      </c>
      <c r="F169" t="s">
        <v>39</v>
      </c>
      <c r="G169" t="s">
        <v>24</v>
      </c>
      <c r="H169" t="s">
        <v>209</v>
      </c>
      <c r="I169" t="s">
        <v>240</v>
      </c>
      <c r="J169" t="s">
        <v>18</v>
      </c>
      <c r="K169" t="s">
        <v>211</v>
      </c>
      <c r="L169" t="s">
        <v>266</v>
      </c>
      <c r="M169" t="s">
        <v>267</v>
      </c>
      <c r="N169" t="s">
        <v>268</v>
      </c>
      <c r="O169" t="s">
        <v>215</v>
      </c>
      <c r="P169" t="s">
        <v>216</v>
      </c>
      <c r="Q169" t="s">
        <v>217</v>
      </c>
      <c r="R169" t="s">
        <v>218</v>
      </c>
      <c r="S169" t="s">
        <v>220</v>
      </c>
    </row>
    <row r="170" spans="1:19" x14ac:dyDescent="0.35">
      <c r="A170" t="s">
        <v>128</v>
      </c>
      <c r="B170" t="s">
        <v>12</v>
      </c>
      <c r="C170" t="s">
        <v>38</v>
      </c>
      <c r="D170" t="s">
        <v>26</v>
      </c>
      <c r="E170" t="s">
        <v>15</v>
      </c>
      <c r="F170" t="s">
        <v>35</v>
      </c>
      <c r="G170" t="s">
        <v>36</v>
      </c>
      <c r="H170" t="s">
        <v>224</v>
      </c>
      <c r="I170" t="s">
        <v>265</v>
      </c>
      <c r="J170" t="s">
        <v>54</v>
      </c>
      <c r="K170" t="s">
        <v>226</v>
      </c>
      <c r="L170" t="s">
        <v>289</v>
      </c>
      <c r="M170" t="s">
        <v>297</v>
      </c>
      <c r="N170" t="s">
        <v>231</v>
      </c>
      <c r="O170" t="s">
        <v>215</v>
      </c>
      <c r="P170" t="s">
        <v>216</v>
      </c>
      <c r="Q170" t="s">
        <v>217</v>
      </c>
      <c r="R170" t="s">
        <v>218</v>
      </c>
      <c r="S170" t="s">
        <v>220</v>
      </c>
    </row>
    <row r="171" spans="1:19" x14ac:dyDescent="0.35">
      <c r="A171" t="s">
        <v>124</v>
      </c>
      <c r="B171" t="s">
        <v>20</v>
      </c>
      <c r="C171" t="s">
        <v>21</v>
      </c>
      <c r="D171" t="s">
        <v>14</v>
      </c>
      <c r="E171" t="s">
        <v>15</v>
      </c>
      <c r="F171" t="s">
        <v>47</v>
      </c>
      <c r="G171" t="s">
        <v>36</v>
      </c>
      <c r="H171" t="s">
        <v>229</v>
      </c>
      <c r="I171" t="s">
        <v>269</v>
      </c>
      <c r="J171" t="s">
        <v>18</v>
      </c>
      <c r="K171" t="s">
        <v>231</v>
      </c>
      <c r="L171" t="s">
        <v>367</v>
      </c>
      <c r="M171" t="s">
        <v>266</v>
      </c>
      <c r="N171" t="s">
        <v>309</v>
      </c>
      <c r="O171" t="s">
        <v>215</v>
      </c>
      <c r="P171" t="s">
        <v>216</v>
      </c>
      <c r="Q171" t="s">
        <v>217</v>
      </c>
      <c r="R171" t="s">
        <v>218</v>
      </c>
      <c r="S171" t="s">
        <v>238</v>
      </c>
    </row>
    <row r="172" spans="1:19" x14ac:dyDescent="0.35">
      <c r="A172" t="s">
        <v>66</v>
      </c>
      <c r="B172" t="s">
        <v>34</v>
      </c>
      <c r="C172" t="s">
        <v>13</v>
      </c>
      <c r="D172" t="s">
        <v>14</v>
      </c>
      <c r="E172" t="s">
        <v>22</v>
      </c>
      <c r="F172" t="s">
        <v>47</v>
      </c>
      <c r="G172" t="s">
        <v>36</v>
      </c>
      <c r="H172" t="s">
        <v>229</v>
      </c>
      <c r="I172" t="s">
        <v>269</v>
      </c>
      <c r="J172" t="s">
        <v>27</v>
      </c>
      <c r="K172" t="s">
        <v>231</v>
      </c>
      <c r="L172" t="s">
        <v>367</v>
      </c>
      <c r="M172" t="s">
        <v>266</v>
      </c>
      <c r="N172" t="s">
        <v>309</v>
      </c>
      <c r="O172" t="s">
        <v>215</v>
      </c>
      <c r="P172" t="s">
        <v>216</v>
      </c>
      <c r="Q172" t="s">
        <v>217</v>
      </c>
      <c r="R172" t="s">
        <v>218</v>
      </c>
      <c r="S172" t="s">
        <v>244</v>
      </c>
    </row>
    <row r="173" spans="1:19" x14ac:dyDescent="0.35">
      <c r="A173" t="s">
        <v>129</v>
      </c>
      <c r="B173" t="s">
        <v>12</v>
      </c>
      <c r="C173" t="s">
        <v>13</v>
      </c>
      <c r="D173" t="s">
        <v>14</v>
      </c>
      <c r="E173" t="s">
        <v>15</v>
      </c>
      <c r="F173" t="s">
        <v>23</v>
      </c>
      <c r="G173" t="s">
        <v>24</v>
      </c>
      <c r="H173" t="s">
        <v>239</v>
      </c>
      <c r="I173" t="s">
        <v>220</v>
      </c>
      <c r="J173" t="s">
        <v>18</v>
      </c>
      <c r="K173" t="s">
        <v>245</v>
      </c>
      <c r="L173" t="s">
        <v>231</v>
      </c>
      <c r="M173" t="s">
        <v>311</v>
      </c>
      <c r="N173" t="s">
        <v>245</v>
      </c>
      <c r="O173" t="s">
        <v>215</v>
      </c>
      <c r="P173" t="s">
        <v>216</v>
      </c>
      <c r="Q173" t="s">
        <v>217</v>
      </c>
      <c r="R173" t="s">
        <v>218</v>
      </c>
      <c r="S173" t="s">
        <v>265</v>
      </c>
    </row>
    <row r="174" spans="1:19" x14ac:dyDescent="0.35">
      <c r="A174" t="s">
        <v>61</v>
      </c>
      <c r="B174" t="s">
        <v>20</v>
      </c>
      <c r="C174" t="s">
        <v>30</v>
      </c>
      <c r="D174" t="s">
        <v>26</v>
      </c>
      <c r="E174" t="s">
        <v>15</v>
      </c>
      <c r="F174" t="s">
        <v>31</v>
      </c>
      <c r="G174" t="s">
        <v>24</v>
      </c>
      <c r="H174" t="s">
        <v>252</v>
      </c>
      <c r="I174" t="s">
        <v>269</v>
      </c>
      <c r="J174" t="s">
        <v>32</v>
      </c>
      <c r="K174" t="s">
        <v>253</v>
      </c>
      <c r="L174" t="s">
        <v>272</v>
      </c>
      <c r="M174" t="s">
        <v>273</v>
      </c>
      <c r="N174" t="s">
        <v>274</v>
      </c>
      <c r="O174" t="s">
        <v>215</v>
      </c>
      <c r="P174" t="s">
        <v>216</v>
      </c>
      <c r="Q174" t="s">
        <v>217</v>
      </c>
      <c r="R174" t="s">
        <v>218</v>
      </c>
      <c r="S174" t="s">
        <v>225</v>
      </c>
    </row>
    <row r="175" spans="1:19" x14ac:dyDescent="0.35">
      <c r="A175" t="s">
        <v>130</v>
      </c>
      <c r="B175" t="s">
        <v>29</v>
      </c>
      <c r="C175" t="s">
        <v>21</v>
      </c>
      <c r="D175" t="s">
        <v>14</v>
      </c>
      <c r="E175" t="s">
        <v>22</v>
      </c>
      <c r="F175" t="s">
        <v>35</v>
      </c>
      <c r="G175" t="s">
        <v>36</v>
      </c>
      <c r="H175" t="s">
        <v>224</v>
      </c>
      <c r="I175" t="s">
        <v>269</v>
      </c>
      <c r="J175" t="s">
        <v>32</v>
      </c>
      <c r="K175" t="s">
        <v>226</v>
      </c>
      <c r="L175" t="s">
        <v>270</v>
      </c>
      <c r="M175" t="s">
        <v>271</v>
      </c>
      <c r="N175" t="s">
        <v>272</v>
      </c>
      <c r="O175" t="s">
        <v>215</v>
      </c>
      <c r="P175" t="s">
        <v>216</v>
      </c>
      <c r="Q175" t="s">
        <v>217</v>
      </c>
      <c r="R175" t="s">
        <v>218</v>
      </c>
      <c r="S175" t="s">
        <v>238</v>
      </c>
    </row>
    <row r="176" spans="1:19" x14ac:dyDescent="0.35">
      <c r="A176" t="s">
        <v>98</v>
      </c>
      <c r="B176" t="s">
        <v>34</v>
      </c>
      <c r="C176" t="s">
        <v>38</v>
      </c>
      <c r="D176" t="s">
        <v>14</v>
      </c>
      <c r="E176" t="s">
        <v>15</v>
      </c>
      <c r="F176" t="s">
        <v>41</v>
      </c>
      <c r="G176" t="s">
        <v>17</v>
      </c>
      <c r="H176" t="s">
        <v>219</v>
      </c>
      <c r="I176" t="s">
        <v>244</v>
      </c>
      <c r="J176" t="s">
        <v>54</v>
      </c>
      <c r="K176" t="s">
        <v>221</v>
      </c>
      <c r="L176" t="s">
        <v>290</v>
      </c>
      <c r="M176" t="s">
        <v>298</v>
      </c>
      <c r="N176" t="s">
        <v>284</v>
      </c>
      <c r="O176" t="s">
        <v>215</v>
      </c>
      <c r="P176" t="s">
        <v>216</v>
      </c>
      <c r="Q176" t="s">
        <v>217</v>
      </c>
      <c r="R176" t="s">
        <v>218</v>
      </c>
      <c r="S176" t="s">
        <v>220</v>
      </c>
    </row>
    <row r="177" spans="1:19" x14ac:dyDescent="0.35">
      <c r="A177" t="s">
        <v>28</v>
      </c>
      <c r="B177" t="s">
        <v>12</v>
      </c>
      <c r="C177" t="s">
        <v>13</v>
      </c>
      <c r="D177" t="s">
        <v>14</v>
      </c>
      <c r="E177" t="s">
        <v>15</v>
      </c>
      <c r="F177" t="s">
        <v>47</v>
      </c>
      <c r="G177" t="s">
        <v>36</v>
      </c>
      <c r="H177" t="s">
        <v>229</v>
      </c>
      <c r="I177" t="s">
        <v>238</v>
      </c>
      <c r="J177" t="s">
        <v>18</v>
      </c>
      <c r="K177" t="s">
        <v>231</v>
      </c>
      <c r="L177" t="s">
        <v>229</v>
      </c>
      <c r="M177" t="s">
        <v>231</v>
      </c>
      <c r="N177" t="s">
        <v>239</v>
      </c>
      <c r="O177" t="s">
        <v>215</v>
      </c>
      <c r="P177" t="s">
        <v>216</v>
      </c>
      <c r="Q177" t="s">
        <v>217</v>
      </c>
      <c r="R177" t="s">
        <v>218</v>
      </c>
      <c r="S177" t="s">
        <v>220</v>
      </c>
    </row>
    <row r="178" spans="1:19" x14ac:dyDescent="0.35">
      <c r="A178" t="s">
        <v>122</v>
      </c>
      <c r="B178" t="s">
        <v>34</v>
      </c>
      <c r="C178" t="s">
        <v>21</v>
      </c>
      <c r="D178" t="s">
        <v>26</v>
      </c>
      <c r="E178" t="s">
        <v>15</v>
      </c>
      <c r="F178" t="s">
        <v>35</v>
      </c>
      <c r="G178" t="s">
        <v>36</v>
      </c>
      <c r="H178" t="s">
        <v>224</v>
      </c>
      <c r="I178" t="s">
        <v>269</v>
      </c>
      <c r="J178" t="s">
        <v>32</v>
      </c>
      <c r="K178" t="s">
        <v>226</v>
      </c>
      <c r="L178" t="s">
        <v>270</v>
      </c>
      <c r="M178" t="s">
        <v>271</v>
      </c>
      <c r="N178" t="s">
        <v>272</v>
      </c>
      <c r="O178" t="s">
        <v>215</v>
      </c>
      <c r="P178" t="s">
        <v>216</v>
      </c>
      <c r="Q178" t="s">
        <v>217</v>
      </c>
      <c r="R178" t="s">
        <v>218</v>
      </c>
      <c r="S178" t="s">
        <v>220</v>
      </c>
    </row>
    <row r="179" spans="1:19" x14ac:dyDescent="0.35">
      <c r="A179" t="s">
        <v>68</v>
      </c>
      <c r="B179" t="s">
        <v>20</v>
      </c>
      <c r="C179" t="s">
        <v>21</v>
      </c>
      <c r="D179" t="s">
        <v>14</v>
      </c>
      <c r="E179" t="s">
        <v>15</v>
      </c>
      <c r="F179" t="s">
        <v>58</v>
      </c>
      <c r="G179" t="s">
        <v>24</v>
      </c>
      <c r="H179" t="s">
        <v>255</v>
      </c>
      <c r="I179" t="s">
        <v>244</v>
      </c>
      <c r="J179" t="s">
        <v>27</v>
      </c>
      <c r="K179" t="s">
        <v>256</v>
      </c>
      <c r="L179" t="s">
        <v>257</v>
      </c>
      <c r="M179" t="s">
        <v>258</v>
      </c>
      <c r="N179" t="s">
        <v>259</v>
      </c>
      <c r="O179" t="s">
        <v>215</v>
      </c>
      <c r="P179" t="s">
        <v>216</v>
      </c>
      <c r="Q179" t="s">
        <v>217</v>
      </c>
      <c r="R179" t="s">
        <v>218</v>
      </c>
      <c r="S179" t="s">
        <v>238</v>
      </c>
    </row>
    <row r="180" spans="1:19" x14ac:dyDescent="0.35">
      <c r="A180" t="s">
        <v>101</v>
      </c>
      <c r="B180" t="s">
        <v>12</v>
      </c>
      <c r="C180" t="s">
        <v>30</v>
      </c>
      <c r="D180" t="s">
        <v>26</v>
      </c>
      <c r="E180" t="s">
        <v>15</v>
      </c>
      <c r="F180" t="s">
        <v>58</v>
      </c>
      <c r="G180" t="s">
        <v>24</v>
      </c>
      <c r="H180" t="s">
        <v>255</v>
      </c>
      <c r="I180" t="s">
        <v>269</v>
      </c>
      <c r="J180" t="s">
        <v>54</v>
      </c>
      <c r="K180" t="s">
        <v>256</v>
      </c>
      <c r="L180" t="s">
        <v>346</v>
      </c>
      <c r="M180" t="s">
        <v>347</v>
      </c>
      <c r="N180" t="s">
        <v>348</v>
      </c>
      <c r="O180" t="s">
        <v>215</v>
      </c>
      <c r="P180" t="s">
        <v>216</v>
      </c>
      <c r="Q180" t="s">
        <v>217</v>
      </c>
      <c r="R180" t="s">
        <v>218</v>
      </c>
      <c r="S180" t="s">
        <v>220</v>
      </c>
    </row>
    <row r="181" spans="1:19" x14ac:dyDescent="0.35">
      <c r="A181" t="s">
        <v>131</v>
      </c>
      <c r="B181" t="s">
        <v>20</v>
      </c>
      <c r="C181" t="s">
        <v>30</v>
      </c>
      <c r="D181" t="s">
        <v>26</v>
      </c>
      <c r="E181" t="s">
        <v>22</v>
      </c>
      <c r="F181" t="s">
        <v>31</v>
      </c>
      <c r="G181" t="s">
        <v>24</v>
      </c>
      <c r="H181" t="s">
        <v>252</v>
      </c>
      <c r="I181" t="s">
        <v>240</v>
      </c>
      <c r="J181" t="s">
        <v>54</v>
      </c>
      <c r="K181" t="s">
        <v>253</v>
      </c>
      <c r="L181" t="s">
        <v>214</v>
      </c>
      <c r="M181" t="s">
        <v>251</v>
      </c>
      <c r="N181" t="s">
        <v>247</v>
      </c>
      <c r="O181" t="s">
        <v>215</v>
      </c>
      <c r="P181" t="s">
        <v>216</v>
      </c>
      <c r="Q181" t="s">
        <v>217</v>
      </c>
      <c r="R181" t="s">
        <v>218</v>
      </c>
      <c r="S181" t="s">
        <v>238</v>
      </c>
    </row>
    <row r="182" spans="1:19" x14ac:dyDescent="0.35">
      <c r="A182" t="s">
        <v>74</v>
      </c>
      <c r="B182" t="s">
        <v>34</v>
      </c>
      <c r="C182" t="s">
        <v>30</v>
      </c>
      <c r="D182" t="s">
        <v>14</v>
      </c>
      <c r="E182" t="s">
        <v>22</v>
      </c>
      <c r="F182" t="s">
        <v>23</v>
      </c>
      <c r="G182" t="s">
        <v>24</v>
      </c>
      <c r="H182" t="s">
        <v>239</v>
      </c>
      <c r="I182" t="s">
        <v>210</v>
      </c>
      <c r="J182" t="s">
        <v>43</v>
      </c>
      <c r="K182" t="s">
        <v>245</v>
      </c>
      <c r="L182" t="s">
        <v>224</v>
      </c>
      <c r="M182" t="s">
        <v>226</v>
      </c>
      <c r="N182" t="s">
        <v>252</v>
      </c>
      <c r="O182" t="s">
        <v>215</v>
      </c>
      <c r="P182" t="s">
        <v>216</v>
      </c>
      <c r="Q182" t="s">
        <v>217</v>
      </c>
      <c r="R182" t="s">
        <v>218</v>
      </c>
      <c r="S182" t="s">
        <v>265</v>
      </c>
    </row>
    <row r="183" spans="1:19" x14ac:dyDescent="0.35">
      <c r="A183" t="s">
        <v>86</v>
      </c>
      <c r="B183" t="s">
        <v>29</v>
      </c>
      <c r="C183" t="s">
        <v>30</v>
      </c>
      <c r="D183" t="s">
        <v>26</v>
      </c>
      <c r="E183" t="s">
        <v>22</v>
      </c>
      <c r="F183" t="s">
        <v>52</v>
      </c>
      <c r="G183" t="s">
        <v>36</v>
      </c>
      <c r="H183" t="s">
        <v>291</v>
      </c>
      <c r="I183" t="s">
        <v>249</v>
      </c>
      <c r="J183" t="s">
        <v>54</v>
      </c>
      <c r="K183" t="s">
        <v>292</v>
      </c>
      <c r="L183" t="s">
        <v>299</v>
      </c>
      <c r="M183" t="s">
        <v>300</v>
      </c>
      <c r="N183" t="s">
        <v>293</v>
      </c>
      <c r="O183" t="s">
        <v>215</v>
      </c>
      <c r="P183" t="s">
        <v>216</v>
      </c>
      <c r="Q183" t="s">
        <v>217</v>
      </c>
      <c r="R183" t="s">
        <v>218</v>
      </c>
      <c r="S183" t="s">
        <v>238</v>
      </c>
    </row>
    <row r="184" spans="1:19" x14ac:dyDescent="0.35">
      <c r="A184" t="s">
        <v>45</v>
      </c>
      <c r="B184" t="s">
        <v>29</v>
      </c>
      <c r="C184" t="s">
        <v>30</v>
      </c>
      <c r="D184" t="s">
        <v>26</v>
      </c>
      <c r="E184" t="s">
        <v>15</v>
      </c>
      <c r="F184" t="s">
        <v>31</v>
      </c>
      <c r="G184" t="s">
        <v>24</v>
      </c>
      <c r="H184" t="s">
        <v>252</v>
      </c>
      <c r="I184" t="s">
        <v>269</v>
      </c>
      <c r="J184" t="s">
        <v>18</v>
      </c>
      <c r="K184" t="s">
        <v>253</v>
      </c>
      <c r="L184" t="s">
        <v>272</v>
      </c>
      <c r="M184" t="s">
        <v>273</v>
      </c>
      <c r="N184" t="s">
        <v>274</v>
      </c>
      <c r="O184" t="s">
        <v>215</v>
      </c>
      <c r="P184" t="s">
        <v>216</v>
      </c>
      <c r="Q184" t="s">
        <v>217</v>
      </c>
      <c r="R184" t="s">
        <v>218</v>
      </c>
      <c r="S184" t="s">
        <v>244</v>
      </c>
    </row>
    <row r="185" spans="1:19" x14ac:dyDescent="0.35">
      <c r="A185" t="s">
        <v>132</v>
      </c>
      <c r="B185" t="s">
        <v>20</v>
      </c>
      <c r="C185" t="s">
        <v>30</v>
      </c>
      <c r="D185" t="s">
        <v>26</v>
      </c>
      <c r="E185" t="s">
        <v>15</v>
      </c>
      <c r="F185" t="s">
        <v>56</v>
      </c>
      <c r="G185" t="s">
        <v>36</v>
      </c>
      <c r="H185" t="s">
        <v>260</v>
      </c>
      <c r="I185" t="s">
        <v>238</v>
      </c>
      <c r="J185" t="s">
        <v>43</v>
      </c>
      <c r="K185" t="s">
        <v>261</v>
      </c>
      <c r="L185" t="s">
        <v>260</v>
      </c>
      <c r="M185" t="s">
        <v>261</v>
      </c>
      <c r="N185" t="s">
        <v>352</v>
      </c>
      <c r="O185" t="s">
        <v>215</v>
      </c>
      <c r="P185" t="s">
        <v>216</v>
      </c>
      <c r="Q185" t="s">
        <v>217</v>
      </c>
      <c r="R185" t="s">
        <v>218</v>
      </c>
      <c r="S185" t="s">
        <v>238</v>
      </c>
    </row>
    <row r="186" spans="1:19" x14ac:dyDescent="0.35">
      <c r="A186" t="s">
        <v>133</v>
      </c>
      <c r="B186" t="s">
        <v>29</v>
      </c>
      <c r="C186" t="s">
        <v>30</v>
      </c>
      <c r="D186" t="s">
        <v>14</v>
      </c>
      <c r="E186" t="s">
        <v>15</v>
      </c>
      <c r="F186" t="s">
        <v>31</v>
      </c>
      <c r="G186" t="s">
        <v>24</v>
      </c>
      <c r="H186" t="s">
        <v>252</v>
      </c>
      <c r="I186" t="s">
        <v>238</v>
      </c>
      <c r="J186" t="s">
        <v>54</v>
      </c>
      <c r="K186" t="s">
        <v>253</v>
      </c>
      <c r="L186" t="s">
        <v>252</v>
      </c>
      <c r="M186" t="s">
        <v>253</v>
      </c>
      <c r="N186" t="s">
        <v>313</v>
      </c>
      <c r="O186" t="s">
        <v>215</v>
      </c>
      <c r="P186" t="s">
        <v>216</v>
      </c>
      <c r="Q186" t="s">
        <v>217</v>
      </c>
      <c r="R186" t="s">
        <v>218</v>
      </c>
      <c r="S186" t="s">
        <v>265</v>
      </c>
    </row>
    <row r="187" spans="1:19" x14ac:dyDescent="0.35">
      <c r="A187" t="s">
        <v>91</v>
      </c>
      <c r="B187" t="s">
        <v>29</v>
      </c>
      <c r="C187" t="s">
        <v>38</v>
      </c>
      <c r="D187" t="s">
        <v>14</v>
      </c>
      <c r="E187" t="s">
        <v>15</v>
      </c>
      <c r="F187" t="s">
        <v>52</v>
      </c>
      <c r="G187" t="s">
        <v>36</v>
      </c>
      <c r="H187" t="s">
        <v>291</v>
      </c>
      <c r="I187" t="s">
        <v>249</v>
      </c>
      <c r="J187" t="s">
        <v>54</v>
      </c>
      <c r="K187" t="s">
        <v>292</v>
      </c>
      <c r="L187" t="s">
        <v>299</v>
      </c>
      <c r="M187" t="s">
        <v>300</v>
      </c>
      <c r="N187" t="s">
        <v>293</v>
      </c>
      <c r="O187" t="s">
        <v>215</v>
      </c>
      <c r="P187" t="s">
        <v>216</v>
      </c>
      <c r="Q187" t="s">
        <v>217</v>
      </c>
      <c r="R187" t="s">
        <v>218</v>
      </c>
      <c r="S187" t="s">
        <v>220</v>
      </c>
    </row>
    <row r="188" spans="1:19" x14ac:dyDescent="0.35">
      <c r="A188" t="s">
        <v>73</v>
      </c>
      <c r="B188" t="s">
        <v>29</v>
      </c>
      <c r="C188" t="s">
        <v>13</v>
      </c>
      <c r="D188" t="s">
        <v>26</v>
      </c>
      <c r="E188" t="s">
        <v>22</v>
      </c>
      <c r="F188" t="s">
        <v>39</v>
      </c>
      <c r="G188" t="s">
        <v>24</v>
      </c>
      <c r="H188" t="s">
        <v>209</v>
      </c>
      <c r="I188" t="s">
        <v>220</v>
      </c>
      <c r="J188" t="s">
        <v>54</v>
      </c>
      <c r="K188" t="s">
        <v>211</v>
      </c>
      <c r="L188" t="s">
        <v>302</v>
      </c>
      <c r="M188" t="s">
        <v>342</v>
      </c>
      <c r="N188" t="s">
        <v>211</v>
      </c>
      <c r="O188" t="s">
        <v>215</v>
      </c>
      <c r="P188" t="s">
        <v>216</v>
      </c>
      <c r="Q188" t="s">
        <v>217</v>
      </c>
      <c r="R188" t="s">
        <v>218</v>
      </c>
      <c r="S188" t="s">
        <v>265</v>
      </c>
    </row>
    <row r="189" spans="1:19" x14ac:dyDescent="0.35">
      <c r="A189" t="s">
        <v>53</v>
      </c>
      <c r="B189" t="s">
        <v>20</v>
      </c>
      <c r="C189" t="s">
        <v>30</v>
      </c>
      <c r="D189" t="s">
        <v>14</v>
      </c>
      <c r="E189" t="s">
        <v>22</v>
      </c>
      <c r="F189" t="s">
        <v>39</v>
      </c>
      <c r="G189" t="s">
        <v>24</v>
      </c>
      <c r="H189" t="s">
        <v>209</v>
      </c>
      <c r="I189" t="s">
        <v>230</v>
      </c>
      <c r="J189" t="s">
        <v>54</v>
      </c>
      <c r="K189" t="s">
        <v>211</v>
      </c>
      <c r="L189" t="s">
        <v>317</v>
      </c>
      <c r="M189" t="s">
        <v>318</v>
      </c>
      <c r="N189" t="s">
        <v>319</v>
      </c>
      <c r="O189" t="s">
        <v>215</v>
      </c>
      <c r="P189" t="s">
        <v>216</v>
      </c>
      <c r="Q189" t="s">
        <v>217</v>
      </c>
      <c r="R189" t="s">
        <v>218</v>
      </c>
      <c r="S189" t="s">
        <v>244</v>
      </c>
    </row>
    <row r="190" spans="1:19" x14ac:dyDescent="0.35">
      <c r="A190" t="s">
        <v>79</v>
      </c>
      <c r="B190" t="s">
        <v>34</v>
      </c>
      <c r="C190" t="s">
        <v>30</v>
      </c>
      <c r="D190" t="s">
        <v>14</v>
      </c>
      <c r="E190" t="s">
        <v>15</v>
      </c>
      <c r="F190" t="s">
        <v>23</v>
      </c>
      <c r="G190" t="s">
        <v>24</v>
      </c>
      <c r="H190" t="s">
        <v>239</v>
      </c>
      <c r="I190" t="s">
        <v>240</v>
      </c>
      <c r="J190" t="s">
        <v>50</v>
      </c>
      <c r="K190" t="s">
        <v>245</v>
      </c>
      <c r="L190" t="s">
        <v>209</v>
      </c>
      <c r="M190" t="s">
        <v>211</v>
      </c>
      <c r="N190" t="s">
        <v>254</v>
      </c>
      <c r="O190" t="s">
        <v>215</v>
      </c>
      <c r="P190" t="s">
        <v>216</v>
      </c>
      <c r="Q190" t="s">
        <v>217</v>
      </c>
      <c r="R190" t="s">
        <v>218</v>
      </c>
      <c r="S190" t="s">
        <v>238</v>
      </c>
    </row>
    <row r="191" spans="1:19" x14ac:dyDescent="0.35">
      <c r="A191" t="s">
        <v>70</v>
      </c>
      <c r="B191" t="s">
        <v>20</v>
      </c>
      <c r="C191" t="s">
        <v>13</v>
      </c>
      <c r="D191" t="s">
        <v>14</v>
      </c>
      <c r="E191" t="s">
        <v>15</v>
      </c>
      <c r="F191" t="s">
        <v>39</v>
      </c>
      <c r="G191" t="s">
        <v>24</v>
      </c>
      <c r="H191" t="s">
        <v>209</v>
      </c>
      <c r="I191" t="s">
        <v>220</v>
      </c>
      <c r="J191" t="s">
        <v>27</v>
      </c>
      <c r="K191" t="s">
        <v>211</v>
      </c>
      <c r="L191" t="s">
        <v>302</v>
      </c>
      <c r="M191" t="s">
        <v>342</v>
      </c>
      <c r="N191" t="s">
        <v>211</v>
      </c>
      <c r="O191" t="s">
        <v>215</v>
      </c>
      <c r="P191" t="s">
        <v>216</v>
      </c>
      <c r="Q191" t="s">
        <v>217</v>
      </c>
      <c r="R191" t="s">
        <v>218</v>
      </c>
      <c r="S191" t="s">
        <v>265</v>
      </c>
    </row>
    <row r="192" spans="1:19" x14ac:dyDescent="0.35">
      <c r="A192" t="s">
        <v>28</v>
      </c>
      <c r="B192" t="s">
        <v>20</v>
      </c>
      <c r="C192" t="s">
        <v>38</v>
      </c>
      <c r="D192" t="s">
        <v>26</v>
      </c>
      <c r="E192" t="s">
        <v>22</v>
      </c>
      <c r="F192" t="s">
        <v>35</v>
      </c>
      <c r="G192" t="s">
        <v>36</v>
      </c>
      <c r="H192" t="s">
        <v>224</v>
      </c>
      <c r="I192" t="s">
        <v>244</v>
      </c>
      <c r="J192" t="s">
        <v>32</v>
      </c>
      <c r="K192" t="s">
        <v>226</v>
      </c>
      <c r="L192" t="s">
        <v>301</v>
      </c>
      <c r="M192" t="s">
        <v>302</v>
      </c>
      <c r="N192" t="s">
        <v>209</v>
      </c>
      <c r="O192" t="s">
        <v>215</v>
      </c>
      <c r="P192" t="s">
        <v>216</v>
      </c>
      <c r="Q192" t="s">
        <v>217</v>
      </c>
      <c r="R192" t="s">
        <v>218</v>
      </c>
      <c r="S192" t="s">
        <v>220</v>
      </c>
    </row>
    <row r="193" spans="1:19" x14ac:dyDescent="0.35">
      <c r="A193" t="s">
        <v>112</v>
      </c>
      <c r="B193" t="s">
        <v>12</v>
      </c>
      <c r="C193" t="s">
        <v>21</v>
      </c>
      <c r="D193" t="s">
        <v>14</v>
      </c>
      <c r="E193" t="s">
        <v>15</v>
      </c>
      <c r="F193" t="s">
        <v>31</v>
      </c>
      <c r="G193" t="s">
        <v>24</v>
      </c>
      <c r="H193" t="s">
        <v>252</v>
      </c>
      <c r="I193" t="s">
        <v>244</v>
      </c>
      <c r="J193" t="s">
        <v>18</v>
      </c>
      <c r="K193" t="s">
        <v>253</v>
      </c>
      <c r="L193" t="s">
        <v>209</v>
      </c>
      <c r="M193" t="s">
        <v>211</v>
      </c>
      <c r="N193" t="s">
        <v>254</v>
      </c>
      <c r="O193" t="s">
        <v>215</v>
      </c>
      <c r="P193" t="s">
        <v>216</v>
      </c>
      <c r="Q193" t="s">
        <v>217</v>
      </c>
      <c r="R193" t="s">
        <v>218</v>
      </c>
      <c r="S193" t="s">
        <v>238</v>
      </c>
    </row>
    <row r="194" spans="1:19" x14ac:dyDescent="0.35">
      <c r="A194" t="s">
        <v>70</v>
      </c>
      <c r="B194" t="s">
        <v>20</v>
      </c>
      <c r="C194" t="s">
        <v>13</v>
      </c>
      <c r="D194" t="s">
        <v>26</v>
      </c>
      <c r="E194" t="s">
        <v>15</v>
      </c>
      <c r="F194" t="s">
        <v>58</v>
      </c>
      <c r="G194" t="s">
        <v>24</v>
      </c>
      <c r="H194" t="s">
        <v>255</v>
      </c>
      <c r="I194" t="s">
        <v>238</v>
      </c>
      <c r="J194" t="s">
        <v>32</v>
      </c>
      <c r="K194" t="s">
        <v>256</v>
      </c>
      <c r="L194" t="s">
        <v>255</v>
      </c>
      <c r="M194" t="s">
        <v>256</v>
      </c>
      <c r="N194" t="s">
        <v>334</v>
      </c>
      <c r="O194" t="s">
        <v>215</v>
      </c>
      <c r="P194" t="s">
        <v>216</v>
      </c>
      <c r="Q194" t="s">
        <v>217</v>
      </c>
      <c r="R194" t="s">
        <v>218</v>
      </c>
      <c r="S194" t="s">
        <v>265</v>
      </c>
    </row>
    <row r="195" spans="1:19" x14ac:dyDescent="0.35">
      <c r="A195" t="s">
        <v>92</v>
      </c>
      <c r="B195" t="s">
        <v>34</v>
      </c>
      <c r="C195" t="s">
        <v>21</v>
      </c>
      <c r="D195" t="s">
        <v>14</v>
      </c>
      <c r="E195" t="s">
        <v>15</v>
      </c>
      <c r="F195" t="s">
        <v>35</v>
      </c>
      <c r="G195" t="s">
        <v>36</v>
      </c>
      <c r="H195" t="s">
        <v>224</v>
      </c>
      <c r="I195" t="s">
        <v>265</v>
      </c>
      <c r="J195" t="s">
        <v>27</v>
      </c>
      <c r="K195" t="s">
        <v>226</v>
      </c>
      <c r="L195" t="s">
        <v>289</v>
      </c>
      <c r="M195" t="s">
        <v>297</v>
      </c>
      <c r="N195" t="s">
        <v>231</v>
      </c>
      <c r="O195" t="s">
        <v>215</v>
      </c>
      <c r="P195" t="s">
        <v>216</v>
      </c>
      <c r="Q195" t="s">
        <v>217</v>
      </c>
      <c r="R195" t="s">
        <v>218</v>
      </c>
      <c r="S195" t="s">
        <v>265</v>
      </c>
    </row>
    <row r="196" spans="1:19" x14ac:dyDescent="0.35">
      <c r="A196" t="s">
        <v>88</v>
      </c>
      <c r="B196" t="s">
        <v>29</v>
      </c>
      <c r="C196" t="s">
        <v>30</v>
      </c>
      <c r="D196" t="s">
        <v>14</v>
      </c>
      <c r="E196" t="s">
        <v>15</v>
      </c>
      <c r="F196" t="s">
        <v>47</v>
      </c>
      <c r="G196" t="s">
        <v>36</v>
      </c>
      <c r="H196" t="s">
        <v>229</v>
      </c>
      <c r="I196" t="s">
        <v>244</v>
      </c>
      <c r="J196" t="s">
        <v>27</v>
      </c>
      <c r="K196" t="s">
        <v>231</v>
      </c>
      <c r="L196" t="s">
        <v>312</v>
      </c>
      <c r="M196" t="s">
        <v>214</v>
      </c>
      <c r="N196" t="s">
        <v>246</v>
      </c>
      <c r="O196" t="s">
        <v>215</v>
      </c>
      <c r="P196" t="s">
        <v>216</v>
      </c>
      <c r="Q196" t="s">
        <v>217</v>
      </c>
      <c r="R196" t="s">
        <v>218</v>
      </c>
      <c r="S196" t="s">
        <v>244</v>
      </c>
    </row>
    <row r="197" spans="1:19" x14ac:dyDescent="0.35">
      <c r="A197" t="s">
        <v>74</v>
      </c>
      <c r="B197" t="s">
        <v>34</v>
      </c>
      <c r="C197" t="s">
        <v>21</v>
      </c>
      <c r="D197" t="s">
        <v>26</v>
      </c>
      <c r="E197" t="s">
        <v>15</v>
      </c>
      <c r="F197" t="s">
        <v>16</v>
      </c>
      <c r="G197" t="s">
        <v>17</v>
      </c>
      <c r="H197" t="s">
        <v>275</v>
      </c>
      <c r="I197" t="s">
        <v>238</v>
      </c>
      <c r="J197" t="s">
        <v>27</v>
      </c>
      <c r="K197" t="s">
        <v>276</v>
      </c>
      <c r="L197" t="s">
        <v>275</v>
      </c>
      <c r="M197" t="s">
        <v>276</v>
      </c>
      <c r="N197" t="s">
        <v>277</v>
      </c>
      <c r="O197" t="s">
        <v>215</v>
      </c>
      <c r="P197" t="s">
        <v>216</v>
      </c>
      <c r="Q197" t="s">
        <v>217</v>
      </c>
      <c r="R197" t="s">
        <v>218</v>
      </c>
      <c r="S197" t="s">
        <v>265</v>
      </c>
    </row>
    <row r="198" spans="1:19" x14ac:dyDescent="0.35">
      <c r="A198" t="s">
        <v>86</v>
      </c>
      <c r="B198" t="s">
        <v>29</v>
      </c>
      <c r="C198" t="s">
        <v>21</v>
      </c>
      <c r="D198" t="s">
        <v>14</v>
      </c>
      <c r="E198" t="s">
        <v>22</v>
      </c>
      <c r="F198" t="s">
        <v>23</v>
      </c>
      <c r="G198" t="s">
        <v>24</v>
      </c>
      <c r="H198" t="s">
        <v>239</v>
      </c>
      <c r="I198" t="s">
        <v>240</v>
      </c>
      <c r="J198" t="s">
        <v>18</v>
      </c>
      <c r="K198" t="s">
        <v>245</v>
      </c>
      <c r="L198" t="s">
        <v>209</v>
      </c>
      <c r="M198" t="s">
        <v>211</v>
      </c>
      <c r="N198" t="s">
        <v>254</v>
      </c>
      <c r="O198" t="s">
        <v>215</v>
      </c>
      <c r="P198" t="s">
        <v>216</v>
      </c>
      <c r="Q198" t="s">
        <v>217</v>
      </c>
      <c r="R198" t="s">
        <v>218</v>
      </c>
      <c r="S198" t="s">
        <v>238</v>
      </c>
    </row>
    <row r="199" spans="1:19" x14ac:dyDescent="0.35">
      <c r="A199" t="s">
        <v>126</v>
      </c>
      <c r="B199" t="s">
        <v>12</v>
      </c>
      <c r="C199" t="s">
        <v>30</v>
      </c>
      <c r="D199" t="s">
        <v>26</v>
      </c>
      <c r="E199" t="s">
        <v>15</v>
      </c>
      <c r="F199" t="s">
        <v>47</v>
      </c>
      <c r="G199" t="s">
        <v>36</v>
      </c>
      <c r="H199" t="s">
        <v>229</v>
      </c>
      <c r="I199" t="s">
        <v>225</v>
      </c>
      <c r="J199" t="s">
        <v>32</v>
      </c>
      <c r="K199" t="s">
        <v>231</v>
      </c>
      <c r="L199" t="s">
        <v>288</v>
      </c>
      <c r="M199" t="s">
        <v>289</v>
      </c>
      <c r="N199" t="s">
        <v>229</v>
      </c>
      <c r="O199" t="s">
        <v>215</v>
      </c>
      <c r="P199" t="s">
        <v>216</v>
      </c>
      <c r="Q199" t="s">
        <v>217</v>
      </c>
      <c r="R199" t="s">
        <v>218</v>
      </c>
      <c r="S199" t="s">
        <v>244</v>
      </c>
    </row>
    <row r="200" spans="1:19" x14ac:dyDescent="0.35">
      <c r="A200" t="s">
        <v>101</v>
      </c>
      <c r="B200" t="s">
        <v>12</v>
      </c>
      <c r="C200" t="s">
        <v>21</v>
      </c>
      <c r="D200" t="s">
        <v>14</v>
      </c>
      <c r="E200" t="s">
        <v>22</v>
      </c>
      <c r="F200" t="s">
        <v>23</v>
      </c>
      <c r="G200" t="s">
        <v>24</v>
      </c>
      <c r="H200" t="s">
        <v>239</v>
      </c>
      <c r="I200" t="s">
        <v>225</v>
      </c>
      <c r="J200" t="s">
        <v>50</v>
      </c>
      <c r="K200" t="s">
        <v>245</v>
      </c>
      <c r="L200" t="s">
        <v>229</v>
      </c>
      <c r="M200" t="s">
        <v>231</v>
      </c>
      <c r="N200" t="s">
        <v>239</v>
      </c>
      <c r="O200" t="s">
        <v>215</v>
      </c>
      <c r="P200" t="s">
        <v>216</v>
      </c>
      <c r="Q200" t="s">
        <v>217</v>
      </c>
      <c r="R200" t="s">
        <v>218</v>
      </c>
      <c r="S200" t="s">
        <v>220</v>
      </c>
    </row>
    <row r="201" spans="1:19" x14ac:dyDescent="0.35">
      <c r="A201" t="s">
        <v>134</v>
      </c>
      <c r="B201" t="s">
        <v>20</v>
      </c>
      <c r="C201" t="s">
        <v>21</v>
      </c>
      <c r="D201" t="s">
        <v>14</v>
      </c>
      <c r="E201" t="s">
        <v>22</v>
      </c>
      <c r="F201" t="s">
        <v>39</v>
      </c>
      <c r="G201" t="s">
        <v>24</v>
      </c>
      <c r="H201" t="s">
        <v>209</v>
      </c>
      <c r="I201" t="s">
        <v>269</v>
      </c>
      <c r="J201" t="s">
        <v>54</v>
      </c>
      <c r="K201" t="s">
        <v>211</v>
      </c>
      <c r="L201" t="s">
        <v>371</v>
      </c>
      <c r="M201" t="s">
        <v>372</v>
      </c>
      <c r="N201" t="s">
        <v>373</v>
      </c>
      <c r="O201" t="s">
        <v>215</v>
      </c>
      <c r="P201" t="s">
        <v>216</v>
      </c>
      <c r="Q201" t="s">
        <v>217</v>
      </c>
      <c r="R201" t="s">
        <v>218</v>
      </c>
      <c r="S201" t="s">
        <v>220</v>
      </c>
    </row>
    <row r="202" spans="1:19" x14ac:dyDescent="0.35">
      <c r="A202" t="s">
        <v>92</v>
      </c>
      <c r="B202" t="s">
        <v>34</v>
      </c>
      <c r="C202" t="s">
        <v>30</v>
      </c>
      <c r="D202" t="s">
        <v>26</v>
      </c>
      <c r="E202" t="s">
        <v>22</v>
      </c>
      <c r="F202" t="s">
        <v>31</v>
      </c>
      <c r="G202" t="s">
        <v>24</v>
      </c>
      <c r="H202" t="s">
        <v>252</v>
      </c>
      <c r="I202" t="s">
        <v>240</v>
      </c>
      <c r="J202" t="s">
        <v>32</v>
      </c>
      <c r="K202" t="s">
        <v>253</v>
      </c>
      <c r="L202" t="s">
        <v>214</v>
      </c>
      <c r="M202" t="s">
        <v>251</v>
      </c>
      <c r="N202" t="s">
        <v>247</v>
      </c>
      <c r="O202" t="s">
        <v>215</v>
      </c>
      <c r="P202" t="s">
        <v>216</v>
      </c>
      <c r="Q202" t="s">
        <v>217</v>
      </c>
      <c r="R202" t="s">
        <v>218</v>
      </c>
      <c r="S202" t="s">
        <v>265</v>
      </c>
    </row>
    <row r="203" spans="1:19" x14ac:dyDescent="0.35">
      <c r="A203" t="s">
        <v>87</v>
      </c>
      <c r="B203" t="s">
        <v>34</v>
      </c>
      <c r="C203" t="s">
        <v>21</v>
      </c>
      <c r="D203" t="s">
        <v>14</v>
      </c>
      <c r="E203" t="s">
        <v>22</v>
      </c>
      <c r="F203" t="s">
        <v>56</v>
      </c>
      <c r="G203" t="s">
        <v>36</v>
      </c>
      <c r="H203" t="s">
        <v>260</v>
      </c>
      <c r="I203" t="s">
        <v>210</v>
      </c>
      <c r="J203" t="s">
        <v>27</v>
      </c>
      <c r="K203" t="s">
        <v>261</v>
      </c>
      <c r="L203" t="s">
        <v>364</v>
      </c>
      <c r="M203" t="s">
        <v>262</v>
      </c>
      <c r="N203" t="s">
        <v>360</v>
      </c>
      <c r="O203" t="s">
        <v>215</v>
      </c>
      <c r="P203" t="s">
        <v>216</v>
      </c>
      <c r="Q203" t="s">
        <v>217</v>
      </c>
      <c r="R203" t="s">
        <v>218</v>
      </c>
      <c r="S203" t="s">
        <v>244</v>
      </c>
    </row>
    <row r="204" spans="1:19" x14ac:dyDescent="0.35">
      <c r="A204" t="s">
        <v>74</v>
      </c>
      <c r="B204" t="s">
        <v>29</v>
      </c>
      <c r="C204" t="s">
        <v>30</v>
      </c>
      <c r="D204" t="s">
        <v>14</v>
      </c>
      <c r="E204" t="s">
        <v>22</v>
      </c>
      <c r="F204" t="s">
        <v>52</v>
      </c>
      <c r="G204" t="s">
        <v>36</v>
      </c>
      <c r="H204" t="s">
        <v>291</v>
      </c>
      <c r="I204" t="s">
        <v>244</v>
      </c>
      <c r="J204" t="s">
        <v>27</v>
      </c>
      <c r="K204" t="s">
        <v>292</v>
      </c>
      <c r="L204" t="s">
        <v>317</v>
      </c>
      <c r="M204" t="s">
        <v>318</v>
      </c>
      <c r="N204" t="s">
        <v>319</v>
      </c>
      <c r="O204" t="s">
        <v>215</v>
      </c>
      <c r="P204" t="s">
        <v>216</v>
      </c>
      <c r="Q204" t="s">
        <v>217</v>
      </c>
      <c r="R204" t="s">
        <v>218</v>
      </c>
      <c r="S204" t="s">
        <v>265</v>
      </c>
    </row>
    <row r="205" spans="1:19" x14ac:dyDescent="0.35">
      <c r="A205" t="s">
        <v>135</v>
      </c>
      <c r="B205" t="s">
        <v>34</v>
      </c>
      <c r="C205" t="s">
        <v>13</v>
      </c>
      <c r="D205" t="s">
        <v>26</v>
      </c>
      <c r="E205" t="s">
        <v>22</v>
      </c>
      <c r="F205" t="s">
        <v>47</v>
      </c>
      <c r="G205" t="s">
        <v>36</v>
      </c>
      <c r="H205" t="s">
        <v>229</v>
      </c>
      <c r="I205" t="s">
        <v>244</v>
      </c>
      <c r="J205" t="s">
        <v>27</v>
      </c>
      <c r="K205" t="s">
        <v>231</v>
      </c>
      <c r="L205" t="s">
        <v>312</v>
      </c>
      <c r="M205" t="s">
        <v>214</v>
      </c>
      <c r="N205" t="s">
        <v>246</v>
      </c>
      <c r="O205" t="s">
        <v>215</v>
      </c>
      <c r="P205" t="s">
        <v>216</v>
      </c>
      <c r="Q205" t="s">
        <v>217</v>
      </c>
      <c r="R205" t="s">
        <v>218</v>
      </c>
      <c r="S205" t="s">
        <v>238</v>
      </c>
    </row>
    <row r="206" spans="1:19" x14ac:dyDescent="0.35">
      <c r="A206" t="s">
        <v>94</v>
      </c>
      <c r="B206" t="s">
        <v>29</v>
      </c>
      <c r="C206" t="s">
        <v>38</v>
      </c>
      <c r="D206" t="s">
        <v>26</v>
      </c>
      <c r="E206" t="s">
        <v>22</v>
      </c>
      <c r="F206" t="s">
        <v>58</v>
      </c>
      <c r="G206" t="s">
        <v>24</v>
      </c>
      <c r="H206" t="s">
        <v>255</v>
      </c>
      <c r="I206" t="s">
        <v>220</v>
      </c>
      <c r="J206" t="s">
        <v>27</v>
      </c>
      <c r="K206" t="s">
        <v>256</v>
      </c>
      <c r="L206" t="s">
        <v>303</v>
      </c>
      <c r="M206" t="s">
        <v>304</v>
      </c>
      <c r="N206" t="s">
        <v>256</v>
      </c>
      <c r="O206" t="s">
        <v>215</v>
      </c>
      <c r="P206" t="s">
        <v>216</v>
      </c>
      <c r="Q206" t="s">
        <v>217</v>
      </c>
      <c r="R206" t="s">
        <v>218</v>
      </c>
      <c r="S206" t="s">
        <v>244</v>
      </c>
    </row>
    <row r="207" spans="1:19" x14ac:dyDescent="0.35">
      <c r="A207" t="s">
        <v>69</v>
      </c>
      <c r="B207" t="s">
        <v>29</v>
      </c>
      <c r="C207" t="s">
        <v>21</v>
      </c>
      <c r="D207" t="s">
        <v>26</v>
      </c>
      <c r="E207" t="s">
        <v>22</v>
      </c>
      <c r="F207" t="s">
        <v>16</v>
      </c>
      <c r="G207" t="s">
        <v>17</v>
      </c>
      <c r="H207" t="s">
        <v>275</v>
      </c>
      <c r="I207" t="s">
        <v>210</v>
      </c>
      <c r="J207" t="s">
        <v>27</v>
      </c>
      <c r="K207" t="s">
        <v>276</v>
      </c>
      <c r="L207" t="s">
        <v>314</v>
      </c>
      <c r="M207" t="s">
        <v>315</v>
      </c>
      <c r="N207" t="s">
        <v>316</v>
      </c>
      <c r="O207" t="s">
        <v>215</v>
      </c>
      <c r="P207" t="s">
        <v>216</v>
      </c>
      <c r="Q207" t="s">
        <v>217</v>
      </c>
      <c r="R207" t="s">
        <v>218</v>
      </c>
      <c r="S207" t="s">
        <v>238</v>
      </c>
    </row>
    <row r="208" spans="1:19" x14ac:dyDescent="0.35">
      <c r="A208" t="s">
        <v>107</v>
      </c>
      <c r="B208" t="s">
        <v>34</v>
      </c>
      <c r="C208" t="s">
        <v>30</v>
      </c>
      <c r="D208" t="s">
        <v>14</v>
      </c>
      <c r="E208" t="s">
        <v>22</v>
      </c>
      <c r="F208" t="s">
        <v>35</v>
      </c>
      <c r="G208" t="s">
        <v>36</v>
      </c>
      <c r="H208" t="s">
        <v>224</v>
      </c>
      <c r="I208" t="s">
        <v>240</v>
      </c>
      <c r="J208" t="s">
        <v>54</v>
      </c>
      <c r="K208" t="s">
        <v>226</v>
      </c>
      <c r="L208" t="s">
        <v>212</v>
      </c>
      <c r="M208" t="s">
        <v>213</v>
      </c>
      <c r="N208" t="s">
        <v>214</v>
      </c>
      <c r="O208" t="s">
        <v>215</v>
      </c>
      <c r="P208" t="s">
        <v>216</v>
      </c>
      <c r="Q208" t="s">
        <v>217</v>
      </c>
      <c r="R208" t="s">
        <v>218</v>
      </c>
      <c r="S208" t="s">
        <v>244</v>
      </c>
    </row>
    <row r="209" spans="1:19" x14ac:dyDescent="0.35">
      <c r="A209" t="s">
        <v>136</v>
      </c>
      <c r="B209" t="s">
        <v>12</v>
      </c>
      <c r="C209" t="s">
        <v>13</v>
      </c>
      <c r="D209" t="s">
        <v>14</v>
      </c>
      <c r="E209" t="s">
        <v>15</v>
      </c>
      <c r="F209" t="s">
        <v>35</v>
      </c>
      <c r="G209" t="s">
        <v>36</v>
      </c>
      <c r="H209" t="s">
        <v>224</v>
      </c>
      <c r="I209" t="s">
        <v>249</v>
      </c>
      <c r="J209" t="s">
        <v>50</v>
      </c>
      <c r="K209" t="s">
        <v>226</v>
      </c>
      <c r="L209" t="s">
        <v>366</v>
      </c>
      <c r="M209" t="s">
        <v>241</v>
      </c>
      <c r="N209" t="s">
        <v>297</v>
      </c>
      <c r="O209" t="s">
        <v>215</v>
      </c>
      <c r="P209" t="s">
        <v>216</v>
      </c>
      <c r="Q209" t="s">
        <v>217</v>
      </c>
      <c r="R209" t="s">
        <v>218</v>
      </c>
      <c r="S209" t="s">
        <v>265</v>
      </c>
    </row>
    <row r="210" spans="1:19" x14ac:dyDescent="0.35">
      <c r="A210" t="s">
        <v>73</v>
      </c>
      <c r="B210" t="s">
        <v>29</v>
      </c>
      <c r="C210" t="s">
        <v>38</v>
      </c>
      <c r="D210" t="s">
        <v>26</v>
      </c>
      <c r="E210" t="s">
        <v>22</v>
      </c>
      <c r="F210" t="s">
        <v>41</v>
      </c>
      <c r="G210" t="s">
        <v>17</v>
      </c>
      <c r="H210" t="s">
        <v>219</v>
      </c>
      <c r="I210" t="s">
        <v>220</v>
      </c>
      <c r="J210" t="s">
        <v>32</v>
      </c>
      <c r="K210" t="s">
        <v>221</v>
      </c>
      <c r="L210" t="s">
        <v>222</v>
      </c>
      <c r="M210" t="s">
        <v>223</v>
      </c>
      <c r="N210" t="s">
        <v>221</v>
      </c>
      <c r="O210" t="s">
        <v>215</v>
      </c>
      <c r="P210" t="s">
        <v>216</v>
      </c>
      <c r="Q210" t="s">
        <v>217</v>
      </c>
      <c r="R210" t="s">
        <v>218</v>
      </c>
      <c r="S210" t="s">
        <v>265</v>
      </c>
    </row>
    <row r="211" spans="1:19" x14ac:dyDescent="0.35">
      <c r="A211" t="s">
        <v>84</v>
      </c>
      <c r="B211" t="s">
        <v>29</v>
      </c>
      <c r="C211" t="s">
        <v>21</v>
      </c>
      <c r="D211" t="s">
        <v>26</v>
      </c>
      <c r="E211" t="s">
        <v>15</v>
      </c>
      <c r="F211" t="s">
        <v>39</v>
      </c>
      <c r="G211" t="s">
        <v>24</v>
      </c>
      <c r="H211" t="s">
        <v>209</v>
      </c>
      <c r="I211" t="s">
        <v>225</v>
      </c>
      <c r="J211" t="s">
        <v>54</v>
      </c>
      <c r="K211" t="s">
        <v>211</v>
      </c>
      <c r="L211" t="s">
        <v>301</v>
      </c>
      <c r="M211" t="s">
        <v>302</v>
      </c>
      <c r="N211" t="s">
        <v>209</v>
      </c>
      <c r="O211" t="s">
        <v>215</v>
      </c>
      <c r="P211" t="s">
        <v>216</v>
      </c>
      <c r="Q211" t="s">
        <v>217</v>
      </c>
      <c r="R211" t="s">
        <v>218</v>
      </c>
      <c r="S211" t="s">
        <v>220</v>
      </c>
    </row>
    <row r="212" spans="1:19" x14ac:dyDescent="0.35">
      <c r="A212" t="s">
        <v>69</v>
      </c>
      <c r="B212" t="s">
        <v>12</v>
      </c>
      <c r="C212" t="s">
        <v>13</v>
      </c>
      <c r="D212" t="s">
        <v>14</v>
      </c>
      <c r="E212" t="s">
        <v>22</v>
      </c>
      <c r="F212" t="s">
        <v>39</v>
      </c>
      <c r="G212" t="s">
        <v>24</v>
      </c>
      <c r="H212" t="s">
        <v>209</v>
      </c>
      <c r="I212" t="s">
        <v>240</v>
      </c>
      <c r="J212" t="s">
        <v>43</v>
      </c>
      <c r="K212" t="s">
        <v>211</v>
      </c>
      <c r="L212" t="s">
        <v>266</v>
      </c>
      <c r="M212" t="s">
        <v>267</v>
      </c>
      <c r="N212" t="s">
        <v>268</v>
      </c>
      <c r="O212" t="s">
        <v>215</v>
      </c>
      <c r="P212" t="s">
        <v>216</v>
      </c>
      <c r="Q212" t="s">
        <v>217</v>
      </c>
      <c r="R212" t="s">
        <v>218</v>
      </c>
      <c r="S212" t="s">
        <v>238</v>
      </c>
    </row>
    <row r="213" spans="1:19" x14ac:dyDescent="0.35">
      <c r="A213" t="s">
        <v>51</v>
      </c>
      <c r="B213" t="s">
        <v>20</v>
      </c>
      <c r="C213" t="s">
        <v>30</v>
      </c>
      <c r="D213" t="s">
        <v>26</v>
      </c>
      <c r="E213" t="s">
        <v>22</v>
      </c>
      <c r="F213" t="s">
        <v>47</v>
      </c>
      <c r="G213" t="s">
        <v>36</v>
      </c>
      <c r="H213" t="s">
        <v>229</v>
      </c>
      <c r="I213" t="s">
        <v>269</v>
      </c>
      <c r="J213" t="s">
        <v>32</v>
      </c>
      <c r="K213" t="s">
        <v>231</v>
      </c>
      <c r="L213" t="s">
        <v>367</v>
      </c>
      <c r="M213" t="s">
        <v>266</v>
      </c>
      <c r="N213" t="s">
        <v>309</v>
      </c>
      <c r="O213" t="s">
        <v>215</v>
      </c>
      <c r="P213" t="s">
        <v>216</v>
      </c>
      <c r="Q213" t="s">
        <v>217</v>
      </c>
      <c r="R213" t="s">
        <v>218</v>
      </c>
      <c r="S213" t="s">
        <v>244</v>
      </c>
    </row>
    <row r="214" spans="1:19" x14ac:dyDescent="0.35">
      <c r="A214" t="s">
        <v>137</v>
      </c>
      <c r="B214" t="s">
        <v>12</v>
      </c>
      <c r="C214" t="s">
        <v>13</v>
      </c>
      <c r="D214" t="s">
        <v>14</v>
      </c>
      <c r="E214" t="s">
        <v>15</v>
      </c>
      <c r="F214" t="s">
        <v>47</v>
      </c>
      <c r="G214" t="s">
        <v>36</v>
      </c>
      <c r="H214" t="s">
        <v>229</v>
      </c>
      <c r="I214" t="s">
        <v>238</v>
      </c>
      <c r="J214" t="s">
        <v>43</v>
      </c>
      <c r="K214" t="s">
        <v>231</v>
      </c>
      <c r="L214" t="s">
        <v>229</v>
      </c>
      <c r="M214" t="s">
        <v>231</v>
      </c>
      <c r="N214" t="s">
        <v>239</v>
      </c>
      <c r="O214" t="s">
        <v>215</v>
      </c>
      <c r="P214" t="s">
        <v>216</v>
      </c>
      <c r="Q214" t="s">
        <v>217</v>
      </c>
      <c r="R214" t="s">
        <v>218</v>
      </c>
      <c r="S214" t="s">
        <v>238</v>
      </c>
    </row>
    <row r="215" spans="1:19" x14ac:dyDescent="0.35">
      <c r="A215" t="s">
        <v>135</v>
      </c>
      <c r="B215" t="s">
        <v>20</v>
      </c>
      <c r="C215" t="s">
        <v>30</v>
      </c>
      <c r="D215" t="s">
        <v>14</v>
      </c>
      <c r="E215" t="s">
        <v>15</v>
      </c>
      <c r="F215" t="s">
        <v>39</v>
      </c>
      <c r="G215" t="s">
        <v>24</v>
      </c>
      <c r="H215" t="s">
        <v>209</v>
      </c>
      <c r="I215" t="s">
        <v>249</v>
      </c>
      <c r="J215" t="s">
        <v>43</v>
      </c>
      <c r="K215" t="s">
        <v>211</v>
      </c>
      <c r="L215" t="s">
        <v>213</v>
      </c>
      <c r="M215" t="s">
        <v>250</v>
      </c>
      <c r="N215" t="s">
        <v>251</v>
      </c>
      <c r="O215" t="s">
        <v>215</v>
      </c>
      <c r="P215" t="s">
        <v>216</v>
      </c>
      <c r="Q215" t="s">
        <v>217</v>
      </c>
      <c r="R215" t="s">
        <v>218</v>
      </c>
      <c r="S215" t="s">
        <v>238</v>
      </c>
    </row>
    <row r="216" spans="1:19" x14ac:dyDescent="0.35">
      <c r="A216" t="s">
        <v>138</v>
      </c>
      <c r="B216" t="s">
        <v>12</v>
      </c>
      <c r="C216" t="s">
        <v>13</v>
      </c>
      <c r="D216" t="s">
        <v>14</v>
      </c>
      <c r="E216" t="s">
        <v>22</v>
      </c>
      <c r="F216" t="s">
        <v>39</v>
      </c>
      <c r="G216" t="s">
        <v>24</v>
      </c>
      <c r="H216" t="s">
        <v>209</v>
      </c>
      <c r="I216" t="s">
        <v>240</v>
      </c>
      <c r="J216" t="s">
        <v>32</v>
      </c>
      <c r="K216" t="s">
        <v>211</v>
      </c>
      <c r="L216" t="s">
        <v>266</v>
      </c>
      <c r="M216" t="s">
        <v>267</v>
      </c>
      <c r="N216" t="s">
        <v>268</v>
      </c>
      <c r="O216" t="s">
        <v>215</v>
      </c>
      <c r="P216" t="s">
        <v>216</v>
      </c>
      <c r="Q216" t="s">
        <v>217</v>
      </c>
      <c r="R216" t="s">
        <v>218</v>
      </c>
      <c r="S216" t="s">
        <v>244</v>
      </c>
    </row>
    <row r="217" spans="1:19" x14ac:dyDescent="0.35">
      <c r="A217" t="s">
        <v>55</v>
      </c>
      <c r="B217" t="s">
        <v>34</v>
      </c>
      <c r="C217" t="s">
        <v>38</v>
      </c>
      <c r="D217" t="s">
        <v>26</v>
      </c>
      <c r="E217" t="s">
        <v>15</v>
      </c>
      <c r="F217" t="s">
        <v>39</v>
      </c>
      <c r="G217" t="s">
        <v>24</v>
      </c>
      <c r="H217" t="s">
        <v>209</v>
      </c>
      <c r="I217" t="s">
        <v>244</v>
      </c>
      <c r="J217" t="s">
        <v>50</v>
      </c>
      <c r="K217" t="s">
        <v>211</v>
      </c>
      <c r="L217" t="s">
        <v>272</v>
      </c>
      <c r="M217" t="s">
        <v>273</v>
      </c>
      <c r="N217" t="s">
        <v>274</v>
      </c>
      <c r="O217" t="s">
        <v>215</v>
      </c>
      <c r="P217" t="s">
        <v>216</v>
      </c>
      <c r="Q217" t="s">
        <v>217</v>
      </c>
      <c r="R217" t="s">
        <v>218</v>
      </c>
      <c r="S217" t="s">
        <v>220</v>
      </c>
    </row>
    <row r="218" spans="1:19" x14ac:dyDescent="0.35">
      <c r="A218" t="s">
        <v>113</v>
      </c>
      <c r="B218" t="s">
        <v>34</v>
      </c>
      <c r="C218" t="s">
        <v>30</v>
      </c>
      <c r="D218" t="s">
        <v>14</v>
      </c>
      <c r="E218" t="s">
        <v>15</v>
      </c>
      <c r="F218" t="s">
        <v>47</v>
      </c>
      <c r="G218" t="s">
        <v>36</v>
      </c>
      <c r="H218" t="s">
        <v>229</v>
      </c>
      <c r="I218" t="s">
        <v>210</v>
      </c>
      <c r="J218" t="s">
        <v>18</v>
      </c>
      <c r="K218" t="s">
        <v>231</v>
      </c>
      <c r="L218" t="s">
        <v>227</v>
      </c>
      <c r="M218" t="s">
        <v>228</v>
      </c>
      <c r="N218" t="s">
        <v>224</v>
      </c>
      <c r="O218" t="s">
        <v>215</v>
      </c>
      <c r="P218" t="s">
        <v>216</v>
      </c>
      <c r="Q218" t="s">
        <v>217</v>
      </c>
      <c r="R218" t="s">
        <v>218</v>
      </c>
      <c r="S218" t="s">
        <v>244</v>
      </c>
    </row>
    <row r="219" spans="1:19" x14ac:dyDescent="0.35">
      <c r="A219" t="s">
        <v>134</v>
      </c>
      <c r="B219" t="s">
        <v>29</v>
      </c>
      <c r="C219" t="s">
        <v>30</v>
      </c>
      <c r="D219" t="s">
        <v>14</v>
      </c>
      <c r="E219" t="s">
        <v>22</v>
      </c>
      <c r="F219" t="s">
        <v>39</v>
      </c>
      <c r="G219" t="s">
        <v>24</v>
      </c>
      <c r="H219" t="s">
        <v>209</v>
      </c>
      <c r="I219" t="s">
        <v>249</v>
      </c>
      <c r="J219" t="s">
        <v>50</v>
      </c>
      <c r="K219" t="s">
        <v>211</v>
      </c>
      <c r="L219" t="s">
        <v>213</v>
      </c>
      <c r="M219" t="s">
        <v>250</v>
      </c>
      <c r="N219" t="s">
        <v>251</v>
      </c>
      <c r="O219" t="s">
        <v>215</v>
      </c>
      <c r="P219" t="s">
        <v>216</v>
      </c>
      <c r="Q219" t="s">
        <v>217</v>
      </c>
      <c r="R219" t="s">
        <v>218</v>
      </c>
      <c r="S219" t="s">
        <v>220</v>
      </c>
    </row>
    <row r="220" spans="1:19" x14ac:dyDescent="0.35">
      <c r="A220" t="s">
        <v>70</v>
      </c>
      <c r="B220" t="s">
        <v>12</v>
      </c>
      <c r="C220" t="s">
        <v>30</v>
      </c>
      <c r="D220" t="s">
        <v>14</v>
      </c>
      <c r="E220" t="s">
        <v>22</v>
      </c>
      <c r="F220" t="s">
        <v>35</v>
      </c>
      <c r="G220" t="s">
        <v>36</v>
      </c>
      <c r="H220" t="s">
        <v>224</v>
      </c>
      <c r="I220" t="s">
        <v>249</v>
      </c>
      <c r="J220" t="s">
        <v>32</v>
      </c>
      <c r="K220" t="s">
        <v>226</v>
      </c>
      <c r="L220" t="s">
        <v>366</v>
      </c>
      <c r="M220" t="s">
        <v>241</v>
      </c>
      <c r="N220" t="s">
        <v>297</v>
      </c>
      <c r="O220" t="s">
        <v>215</v>
      </c>
      <c r="P220" t="s">
        <v>216</v>
      </c>
      <c r="Q220" t="s">
        <v>217</v>
      </c>
      <c r="R220" t="s">
        <v>218</v>
      </c>
      <c r="S220" t="s">
        <v>265</v>
      </c>
    </row>
    <row r="221" spans="1:19" x14ac:dyDescent="0.35">
      <c r="A221" t="s">
        <v>92</v>
      </c>
      <c r="B221" t="s">
        <v>12</v>
      </c>
      <c r="C221" t="s">
        <v>30</v>
      </c>
      <c r="D221" t="s">
        <v>14</v>
      </c>
      <c r="E221" t="s">
        <v>22</v>
      </c>
      <c r="F221" t="s">
        <v>41</v>
      </c>
      <c r="G221" t="s">
        <v>17</v>
      </c>
      <c r="H221" t="s">
        <v>219</v>
      </c>
      <c r="I221" t="s">
        <v>269</v>
      </c>
      <c r="J221" t="s">
        <v>43</v>
      </c>
      <c r="K221" t="s">
        <v>221</v>
      </c>
      <c r="L221" t="s">
        <v>362</v>
      </c>
      <c r="M221" t="s">
        <v>363</v>
      </c>
      <c r="N221" t="s">
        <v>342</v>
      </c>
      <c r="O221" t="s">
        <v>215</v>
      </c>
      <c r="P221" t="s">
        <v>216</v>
      </c>
      <c r="Q221" t="s">
        <v>217</v>
      </c>
      <c r="R221" t="s">
        <v>218</v>
      </c>
      <c r="S221" t="s">
        <v>265</v>
      </c>
    </row>
    <row r="222" spans="1:19" x14ac:dyDescent="0.35">
      <c r="A222" t="s">
        <v>132</v>
      </c>
      <c r="B222" t="s">
        <v>29</v>
      </c>
      <c r="C222" t="s">
        <v>30</v>
      </c>
      <c r="D222" t="s">
        <v>14</v>
      </c>
      <c r="E222" t="s">
        <v>15</v>
      </c>
      <c r="F222" t="s">
        <v>41</v>
      </c>
      <c r="G222" t="s">
        <v>17</v>
      </c>
      <c r="H222" t="s">
        <v>219</v>
      </c>
      <c r="I222" t="s">
        <v>230</v>
      </c>
      <c r="J222" t="s">
        <v>54</v>
      </c>
      <c r="K222" t="s">
        <v>221</v>
      </c>
      <c r="L222" t="s">
        <v>235</v>
      </c>
      <c r="M222" t="s">
        <v>236</v>
      </c>
      <c r="N222" t="s">
        <v>237</v>
      </c>
      <c r="O222" t="s">
        <v>215</v>
      </c>
      <c r="P222" t="s">
        <v>216</v>
      </c>
      <c r="Q222" t="s">
        <v>217</v>
      </c>
      <c r="R222" t="s">
        <v>218</v>
      </c>
      <c r="S222" t="s">
        <v>238</v>
      </c>
    </row>
    <row r="223" spans="1:19" x14ac:dyDescent="0.35">
      <c r="A223" t="s">
        <v>49</v>
      </c>
      <c r="B223" t="s">
        <v>20</v>
      </c>
      <c r="C223" t="s">
        <v>38</v>
      </c>
      <c r="D223" t="s">
        <v>14</v>
      </c>
      <c r="E223" t="s">
        <v>15</v>
      </c>
      <c r="F223" t="s">
        <v>47</v>
      </c>
      <c r="G223" t="s">
        <v>36</v>
      </c>
      <c r="H223" t="s">
        <v>229</v>
      </c>
      <c r="I223" t="s">
        <v>230</v>
      </c>
      <c r="J223" t="s">
        <v>27</v>
      </c>
      <c r="K223" t="s">
        <v>231</v>
      </c>
      <c r="L223" t="s">
        <v>232</v>
      </c>
      <c r="M223" t="s">
        <v>233</v>
      </c>
      <c r="N223" t="s">
        <v>234</v>
      </c>
      <c r="O223" t="s">
        <v>215</v>
      </c>
      <c r="P223" t="s">
        <v>216</v>
      </c>
      <c r="Q223" t="s">
        <v>217</v>
      </c>
      <c r="R223" t="s">
        <v>218</v>
      </c>
      <c r="S223" t="s">
        <v>220</v>
      </c>
    </row>
    <row r="224" spans="1:19" x14ac:dyDescent="0.35">
      <c r="A224" t="s">
        <v>112</v>
      </c>
      <c r="B224" t="s">
        <v>20</v>
      </c>
      <c r="C224" t="s">
        <v>38</v>
      </c>
      <c r="D224" t="s">
        <v>14</v>
      </c>
      <c r="E224" t="s">
        <v>22</v>
      </c>
      <c r="F224" t="s">
        <v>58</v>
      </c>
      <c r="G224" t="s">
        <v>24</v>
      </c>
      <c r="H224" t="s">
        <v>255</v>
      </c>
      <c r="I224" t="s">
        <v>240</v>
      </c>
      <c r="J224" t="s">
        <v>54</v>
      </c>
      <c r="K224" t="s">
        <v>256</v>
      </c>
      <c r="L224" t="s">
        <v>305</v>
      </c>
      <c r="M224" t="s">
        <v>306</v>
      </c>
      <c r="N224" t="s">
        <v>307</v>
      </c>
      <c r="O224" t="s">
        <v>215</v>
      </c>
      <c r="P224" t="s">
        <v>216</v>
      </c>
      <c r="Q224" t="s">
        <v>217</v>
      </c>
      <c r="R224" t="s">
        <v>218</v>
      </c>
      <c r="S224" t="s">
        <v>238</v>
      </c>
    </row>
    <row r="225" spans="1:19" x14ac:dyDescent="0.35">
      <c r="A225" t="s">
        <v>81</v>
      </c>
      <c r="B225" t="s">
        <v>34</v>
      </c>
      <c r="C225" t="s">
        <v>21</v>
      </c>
      <c r="D225" t="s">
        <v>14</v>
      </c>
      <c r="E225" t="s">
        <v>15</v>
      </c>
      <c r="F225" t="s">
        <v>56</v>
      </c>
      <c r="G225" t="s">
        <v>36</v>
      </c>
      <c r="H225" t="s">
        <v>260</v>
      </c>
      <c r="I225" t="s">
        <v>238</v>
      </c>
      <c r="J225" t="s">
        <v>43</v>
      </c>
      <c r="K225" t="s">
        <v>261</v>
      </c>
      <c r="L225" t="s">
        <v>260</v>
      </c>
      <c r="M225" t="s">
        <v>261</v>
      </c>
      <c r="N225" t="s">
        <v>352</v>
      </c>
      <c r="O225" t="s">
        <v>215</v>
      </c>
      <c r="P225" t="s">
        <v>216</v>
      </c>
      <c r="Q225" t="s">
        <v>217</v>
      </c>
      <c r="R225" t="s">
        <v>218</v>
      </c>
      <c r="S225" t="s">
        <v>244</v>
      </c>
    </row>
    <row r="226" spans="1:19" x14ac:dyDescent="0.35">
      <c r="A226" t="s">
        <v>114</v>
      </c>
      <c r="B226" t="s">
        <v>12</v>
      </c>
      <c r="C226" t="s">
        <v>21</v>
      </c>
      <c r="D226" t="s">
        <v>14</v>
      </c>
      <c r="E226" t="s">
        <v>15</v>
      </c>
      <c r="F226" t="s">
        <v>31</v>
      </c>
      <c r="G226" t="s">
        <v>24</v>
      </c>
      <c r="H226" t="s">
        <v>252</v>
      </c>
      <c r="I226" t="s">
        <v>220</v>
      </c>
      <c r="J226" t="s">
        <v>27</v>
      </c>
      <c r="K226" t="s">
        <v>253</v>
      </c>
      <c r="L226" t="s">
        <v>226</v>
      </c>
      <c r="M226" t="s">
        <v>284</v>
      </c>
      <c r="N226" t="s">
        <v>253</v>
      </c>
      <c r="O226" t="s">
        <v>215</v>
      </c>
      <c r="P226" t="s">
        <v>216</v>
      </c>
      <c r="Q226" t="s">
        <v>217</v>
      </c>
      <c r="R226" t="s">
        <v>218</v>
      </c>
      <c r="S226" t="s">
        <v>244</v>
      </c>
    </row>
    <row r="227" spans="1:19" x14ac:dyDescent="0.35">
      <c r="A227" t="s">
        <v>86</v>
      </c>
      <c r="B227" t="s">
        <v>34</v>
      </c>
      <c r="C227" t="s">
        <v>21</v>
      </c>
      <c r="D227" t="s">
        <v>14</v>
      </c>
      <c r="E227" t="s">
        <v>15</v>
      </c>
      <c r="F227" t="s">
        <v>16</v>
      </c>
      <c r="G227" t="s">
        <v>17</v>
      </c>
      <c r="H227" t="s">
        <v>275</v>
      </c>
      <c r="I227" t="s">
        <v>269</v>
      </c>
      <c r="J227" t="s">
        <v>27</v>
      </c>
      <c r="K227" t="s">
        <v>276</v>
      </c>
      <c r="L227" t="s">
        <v>380</v>
      </c>
      <c r="M227" t="s">
        <v>381</v>
      </c>
      <c r="N227" t="s">
        <v>382</v>
      </c>
      <c r="O227" t="s">
        <v>215</v>
      </c>
      <c r="P227" t="s">
        <v>216</v>
      </c>
      <c r="Q227" t="s">
        <v>217</v>
      </c>
      <c r="R227" t="s">
        <v>218</v>
      </c>
      <c r="S227" t="s">
        <v>238</v>
      </c>
    </row>
    <row r="228" spans="1:19" x14ac:dyDescent="0.35">
      <c r="A228" t="s">
        <v>126</v>
      </c>
      <c r="B228" t="s">
        <v>12</v>
      </c>
      <c r="C228" t="s">
        <v>13</v>
      </c>
      <c r="D228" t="s">
        <v>14</v>
      </c>
      <c r="E228" t="s">
        <v>15</v>
      </c>
      <c r="F228" t="s">
        <v>39</v>
      </c>
      <c r="G228" t="s">
        <v>24</v>
      </c>
      <c r="H228" t="s">
        <v>209</v>
      </c>
      <c r="I228" t="s">
        <v>225</v>
      </c>
      <c r="J228" t="s">
        <v>18</v>
      </c>
      <c r="K228" t="s">
        <v>211</v>
      </c>
      <c r="L228" t="s">
        <v>301</v>
      </c>
      <c r="M228" t="s">
        <v>302</v>
      </c>
      <c r="N228" t="s">
        <v>209</v>
      </c>
      <c r="O228" t="s">
        <v>215</v>
      </c>
      <c r="P228" t="s">
        <v>216</v>
      </c>
      <c r="Q228" t="s">
        <v>217</v>
      </c>
      <c r="R228" t="s">
        <v>218</v>
      </c>
      <c r="S228" t="s">
        <v>244</v>
      </c>
    </row>
    <row r="229" spans="1:19" x14ac:dyDescent="0.35">
      <c r="A229" t="s">
        <v>46</v>
      </c>
      <c r="B229" t="s">
        <v>12</v>
      </c>
      <c r="C229" t="s">
        <v>21</v>
      </c>
      <c r="D229" t="s">
        <v>14</v>
      </c>
      <c r="E229" t="s">
        <v>22</v>
      </c>
      <c r="F229" t="s">
        <v>47</v>
      </c>
      <c r="G229" t="s">
        <v>36</v>
      </c>
      <c r="H229" t="s">
        <v>229</v>
      </c>
      <c r="I229" t="s">
        <v>220</v>
      </c>
      <c r="J229" t="s">
        <v>18</v>
      </c>
      <c r="K229" t="s">
        <v>231</v>
      </c>
      <c r="L229" t="s">
        <v>289</v>
      </c>
      <c r="M229" t="s">
        <v>297</v>
      </c>
      <c r="N229" t="s">
        <v>231</v>
      </c>
      <c r="O229" t="s">
        <v>215</v>
      </c>
      <c r="P229" t="s">
        <v>216</v>
      </c>
      <c r="Q229" t="s">
        <v>217</v>
      </c>
      <c r="R229" t="s">
        <v>218</v>
      </c>
      <c r="S229" t="s">
        <v>238</v>
      </c>
    </row>
    <row r="230" spans="1:19" x14ac:dyDescent="0.35">
      <c r="A230" t="s">
        <v>139</v>
      </c>
      <c r="B230" t="s">
        <v>34</v>
      </c>
      <c r="C230" t="s">
        <v>21</v>
      </c>
      <c r="D230" t="s">
        <v>14</v>
      </c>
      <c r="E230" t="s">
        <v>15</v>
      </c>
      <c r="F230" t="s">
        <v>47</v>
      </c>
      <c r="G230" t="s">
        <v>36</v>
      </c>
      <c r="H230" t="s">
        <v>229</v>
      </c>
      <c r="I230" t="s">
        <v>220</v>
      </c>
      <c r="J230" t="s">
        <v>32</v>
      </c>
      <c r="K230" t="s">
        <v>231</v>
      </c>
      <c r="L230" t="s">
        <v>289</v>
      </c>
      <c r="M230" t="s">
        <v>297</v>
      </c>
      <c r="N230" t="s">
        <v>231</v>
      </c>
      <c r="O230" t="s">
        <v>215</v>
      </c>
      <c r="P230" t="s">
        <v>216</v>
      </c>
      <c r="Q230" t="s">
        <v>217</v>
      </c>
      <c r="R230" t="s">
        <v>218</v>
      </c>
      <c r="S230" t="s">
        <v>265</v>
      </c>
    </row>
    <row r="231" spans="1:19" x14ac:dyDescent="0.35">
      <c r="A231" t="s">
        <v>91</v>
      </c>
      <c r="B231" t="s">
        <v>20</v>
      </c>
      <c r="C231" t="s">
        <v>21</v>
      </c>
      <c r="D231" t="s">
        <v>26</v>
      </c>
      <c r="E231" t="s">
        <v>15</v>
      </c>
      <c r="F231" t="s">
        <v>23</v>
      </c>
      <c r="G231" t="s">
        <v>24</v>
      </c>
      <c r="H231" t="s">
        <v>239</v>
      </c>
      <c r="I231" t="s">
        <v>265</v>
      </c>
      <c r="J231" t="s">
        <v>32</v>
      </c>
      <c r="K231" t="s">
        <v>245</v>
      </c>
      <c r="L231" t="s">
        <v>252</v>
      </c>
      <c r="M231" t="s">
        <v>253</v>
      </c>
      <c r="N231" t="s">
        <v>313</v>
      </c>
      <c r="O231" t="s">
        <v>215</v>
      </c>
      <c r="P231" t="s">
        <v>216</v>
      </c>
      <c r="Q231" t="s">
        <v>217</v>
      </c>
      <c r="R231" t="s">
        <v>218</v>
      </c>
      <c r="S231" t="s">
        <v>220</v>
      </c>
    </row>
    <row r="232" spans="1:19" x14ac:dyDescent="0.35">
      <c r="A232" t="s">
        <v>140</v>
      </c>
      <c r="B232" t="s">
        <v>29</v>
      </c>
      <c r="C232" t="s">
        <v>38</v>
      </c>
      <c r="D232" t="s">
        <v>26</v>
      </c>
      <c r="E232" t="s">
        <v>15</v>
      </c>
      <c r="F232" t="s">
        <v>39</v>
      </c>
      <c r="G232" t="s">
        <v>24</v>
      </c>
      <c r="H232" t="s">
        <v>209</v>
      </c>
      <c r="I232" t="s">
        <v>240</v>
      </c>
      <c r="J232" t="s">
        <v>50</v>
      </c>
      <c r="K232" t="s">
        <v>211</v>
      </c>
      <c r="L232" t="s">
        <v>266</v>
      </c>
      <c r="M232" t="s">
        <v>267</v>
      </c>
      <c r="N232" t="s">
        <v>268</v>
      </c>
      <c r="O232" t="s">
        <v>215</v>
      </c>
      <c r="P232" t="s">
        <v>216</v>
      </c>
      <c r="Q232" t="s">
        <v>217</v>
      </c>
      <c r="R232" t="s">
        <v>218</v>
      </c>
      <c r="S232" t="s">
        <v>220</v>
      </c>
    </row>
    <row r="233" spans="1:19" x14ac:dyDescent="0.35">
      <c r="A233" t="s">
        <v>93</v>
      </c>
      <c r="B233" t="s">
        <v>34</v>
      </c>
      <c r="C233" t="s">
        <v>30</v>
      </c>
      <c r="D233" t="s">
        <v>26</v>
      </c>
      <c r="E233" t="s">
        <v>22</v>
      </c>
      <c r="F233" t="s">
        <v>31</v>
      </c>
      <c r="G233" t="s">
        <v>24</v>
      </c>
      <c r="H233" t="s">
        <v>252</v>
      </c>
      <c r="I233" t="s">
        <v>269</v>
      </c>
      <c r="J233" t="s">
        <v>54</v>
      </c>
      <c r="K233" t="s">
        <v>253</v>
      </c>
      <c r="L233" t="s">
        <v>272</v>
      </c>
      <c r="M233" t="s">
        <v>273</v>
      </c>
      <c r="N233" t="s">
        <v>274</v>
      </c>
      <c r="O233" t="s">
        <v>215</v>
      </c>
      <c r="P233" t="s">
        <v>216</v>
      </c>
      <c r="Q233" t="s">
        <v>217</v>
      </c>
      <c r="R233" t="s">
        <v>218</v>
      </c>
      <c r="S233" t="s">
        <v>220</v>
      </c>
    </row>
    <row r="234" spans="1:19" x14ac:dyDescent="0.35">
      <c r="A234" t="s">
        <v>60</v>
      </c>
      <c r="B234" t="s">
        <v>29</v>
      </c>
      <c r="C234" t="s">
        <v>13</v>
      </c>
      <c r="D234" t="s">
        <v>14</v>
      </c>
      <c r="E234" t="s">
        <v>15</v>
      </c>
      <c r="F234" t="s">
        <v>47</v>
      </c>
      <c r="G234" t="s">
        <v>36</v>
      </c>
      <c r="H234" t="s">
        <v>229</v>
      </c>
      <c r="I234" t="s">
        <v>244</v>
      </c>
      <c r="J234" t="s">
        <v>27</v>
      </c>
      <c r="K234" t="s">
        <v>231</v>
      </c>
      <c r="L234" t="s">
        <v>312</v>
      </c>
      <c r="M234" t="s">
        <v>214</v>
      </c>
      <c r="N234" t="s">
        <v>246</v>
      </c>
      <c r="O234" t="s">
        <v>215</v>
      </c>
      <c r="P234" t="s">
        <v>216</v>
      </c>
      <c r="Q234" t="s">
        <v>217</v>
      </c>
      <c r="R234" t="s">
        <v>218</v>
      </c>
      <c r="S234" t="s">
        <v>244</v>
      </c>
    </row>
    <row r="235" spans="1:19" x14ac:dyDescent="0.35">
      <c r="A235" t="s">
        <v>78</v>
      </c>
      <c r="B235" t="s">
        <v>34</v>
      </c>
      <c r="C235" t="s">
        <v>21</v>
      </c>
      <c r="D235" t="s">
        <v>14</v>
      </c>
      <c r="E235" t="s">
        <v>15</v>
      </c>
      <c r="F235" t="s">
        <v>16</v>
      </c>
      <c r="G235" t="s">
        <v>17</v>
      </c>
      <c r="H235" t="s">
        <v>275</v>
      </c>
      <c r="I235" t="s">
        <v>244</v>
      </c>
      <c r="J235" t="s">
        <v>32</v>
      </c>
      <c r="K235" t="s">
        <v>276</v>
      </c>
      <c r="L235" t="s">
        <v>325</v>
      </c>
      <c r="M235" t="s">
        <v>326</v>
      </c>
      <c r="N235" t="s">
        <v>327</v>
      </c>
      <c r="O235" t="s">
        <v>215</v>
      </c>
      <c r="P235" t="s">
        <v>216</v>
      </c>
      <c r="Q235" t="s">
        <v>217</v>
      </c>
      <c r="R235" t="s">
        <v>218</v>
      </c>
      <c r="S235" t="s">
        <v>220</v>
      </c>
    </row>
    <row r="236" spans="1:19" x14ac:dyDescent="0.35">
      <c r="A236" t="s">
        <v>128</v>
      </c>
      <c r="B236" t="s">
        <v>20</v>
      </c>
      <c r="C236" t="s">
        <v>13</v>
      </c>
      <c r="D236" t="s">
        <v>26</v>
      </c>
      <c r="E236" t="s">
        <v>22</v>
      </c>
      <c r="F236" t="s">
        <v>23</v>
      </c>
      <c r="G236" t="s">
        <v>24</v>
      </c>
      <c r="H236" t="s">
        <v>239</v>
      </c>
      <c r="I236" t="s">
        <v>244</v>
      </c>
      <c r="J236" t="s">
        <v>43</v>
      </c>
      <c r="K236" t="s">
        <v>245</v>
      </c>
      <c r="L236" t="s">
        <v>246</v>
      </c>
      <c r="M236" t="s">
        <v>247</v>
      </c>
      <c r="N236" t="s">
        <v>248</v>
      </c>
      <c r="O236" t="s">
        <v>215</v>
      </c>
      <c r="P236" t="s">
        <v>216</v>
      </c>
      <c r="Q236" t="s">
        <v>217</v>
      </c>
      <c r="R236" t="s">
        <v>218</v>
      </c>
      <c r="S236" t="s">
        <v>220</v>
      </c>
    </row>
    <row r="237" spans="1:19" x14ac:dyDescent="0.35">
      <c r="A237" t="s">
        <v>37</v>
      </c>
      <c r="B237" t="s">
        <v>20</v>
      </c>
      <c r="C237" t="s">
        <v>30</v>
      </c>
      <c r="D237" t="s">
        <v>26</v>
      </c>
      <c r="E237" t="s">
        <v>15</v>
      </c>
      <c r="F237" t="s">
        <v>16</v>
      </c>
      <c r="G237" t="s">
        <v>17</v>
      </c>
      <c r="H237" t="s">
        <v>275</v>
      </c>
      <c r="I237" t="s">
        <v>265</v>
      </c>
      <c r="J237" t="s">
        <v>18</v>
      </c>
      <c r="K237" t="s">
        <v>276</v>
      </c>
      <c r="L237" t="s">
        <v>316</v>
      </c>
      <c r="M237" t="s">
        <v>323</v>
      </c>
      <c r="N237" t="s">
        <v>344</v>
      </c>
      <c r="O237" t="s">
        <v>215</v>
      </c>
      <c r="P237" t="s">
        <v>216</v>
      </c>
      <c r="Q237" t="s">
        <v>217</v>
      </c>
      <c r="R237" t="s">
        <v>218</v>
      </c>
      <c r="S237" t="s">
        <v>244</v>
      </c>
    </row>
    <row r="238" spans="1:19" x14ac:dyDescent="0.35">
      <c r="A238" t="s">
        <v>130</v>
      </c>
      <c r="B238" t="s">
        <v>12</v>
      </c>
      <c r="C238" t="s">
        <v>38</v>
      </c>
      <c r="D238" t="s">
        <v>26</v>
      </c>
      <c r="E238" t="s">
        <v>15</v>
      </c>
      <c r="F238" t="s">
        <v>23</v>
      </c>
      <c r="G238" t="s">
        <v>24</v>
      </c>
      <c r="H238" t="s">
        <v>239</v>
      </c>
      <c r="I238" t="s">
        <v>240</v>
      </c>
      <c r="J238" t="s">
        <v>18</v>
      </c>
      <c r="K238" t="s">
        <v>245</v>
      </c>
      <c r="L238" t="s">
        <v>209</v>
      </c>
      <c r="M238" t="s">
        <v>211</v>
      </c>
      <c r="N238" t="s">
        <v>254</v>
      </c>
      <c r="O238" t="s">
        <v>215</v>
      </c>
      <c r="P238" t="s">
        <v>216</v>
      </c>
      <c r="Q238" t="s">
        <v>217</v>
      </c>
      <c r="R238" t="s">
        <v>218</v>
      </c>
      <c r="S238" t="s">
        <v>238</v>
      </c>
    </row>
    <row r="239" spans="1:19" x14ac:dyDescent="0.35">
      <c r="A239" t="s">
        <v>108</v>
      </c>
      <c r="B239" t="s">
        <v>12</v>
      </c>
      <c r="C239" t="s">
        <v>38</v>
      </c>
      <c r="D239" t="s">
        <v>26</v>
      </c>
      <c r="E239" t="s">
        <v>15</v>
      </c>
      <c r="F239" t="s">
        <v>41</v>
      </c>
      <c r="G239" t="s">
        <v>17</v>
      </c>
      <c r="H239" t="s">
        <v>219</v>
      </c>
      <c r="I239" t="s">
        <v>238</v>
      </c>
      <c r="J239" t="s">
        <v>18</v>
      </c>
      <c r="K239" t="s">
        <v>221</v>
      </c>
      <c r="L239" t="s">
        <v>219</v>
      </c>
      <c r="M239" t="s">
        <v>221</v>
      </c>
      <c r="N239" t="s">
        <v>308</v>
      </c>
      <c r="O239" t="s">
        <v>215</v>
      </c>
      <c r="P239" t="s">
        <v>216</v>
      </c>
      <c r="Q239" t="s">
        <v>217</v>
      </c>
      <c r="R239" t="s">
        <v>218</v>
      </c>
      <c r="S239" t="s">
        <v>220</v>
      </c>
    </row>
    <row r="240" spans="1:19" x14ac:dyDescent="0.35">
      <c r="A240" t="s">
        <v>101</v>
      </c>
      <c r="B240" t="s">
        <v>29</v>
      </c>
      <c r="C240" t="s">
        <v>21</v>
      </c>
      <c r="D240" t="s">
        <v>14</v>
      </c>
      <c r="E240" t="s">
        <v>22</v>
      </c>
      <c r="F240" t="s">
        <v>52</v>
      </c>
      <c r="G240" t="s">
        <v>36</v>
      </c>
      <c r="H240" t="s">
        <v>291</v>
      </c>
      <c r="I240" t="s">
        <v>225</v>
      </c>
      <c r="J240" t="s">
        <v>50</v>
      </c>
      <c r="K240" t="s">
        <v>292</v>
      </c>
      <c r="L240" t="s">
        <v>332</v>
      </c>
      <c r="M240" t="s">
        <v>333</v>
      </c>
      <c r="N240" t="s">
        <v>291</v>
      </c>
      <c r="O240" t="s">
        <v>215</v>
      </c>
      <c r="P240" t="s">
        <v>216</v>
      </c>
      <c r="Q240" t="s">
        <v>217</v>
      </c>
      <c r="R240" t="s">
        <v>218</v>
      </c>
      <c r="S240" t="s">
        <v>220</v>
      </c>
    </row>
    <row r="241" spans="1:19" x14ac:dyDescent="0.35">
      <c r="A241" t="s">
        <v>122</v>
      </c>
      <c r="B241" t="s">
        <v>12</v>
      </c>
      <c r="C241" t="s">
        <v>38</v>
      </c>
      <c r="D241" t="s">
        <v>14</v>
      </c>
      <c r="E241" t="s">
        <v>22</v>
      </c>
      <c r="F241" t="s">
        <v>23</v>
      </c>
      <c r="G241" t="s">
        <v>24</v>
      </c>
      <c r="H241" t="s">
        <v>239</v>
      </c>
      <c r="I241" t="s">
        <v>269</v>
      </c>
      <c r="J241" t="s">
        <v>54</v>
      </c>
      <c r="K241" t="s">
        <v>245</v>
      </c>
      <c r="L241" t="s">
        <v>309</v>
      </c>
      <c r="M241" t="s">
        <v>268</v>
      </c>
      <c r="N241" t="s">
        <v>310</v>
      </c>
      <c r="O241" t="s">
        <v>215</v>
      </c>
      <c r="P241" t="s">
        <v>216</v>
      </c>
      <c r="Q241" t="s">
        <v>217</v>
      </c>
      <c r="R241" t="s">
        <v>218</v>
      </c>
      <c r="S241" t="s">
        <v>220</v>
      </c>
    </row>
    <row r="242" spans="1:19" x14ac:dyDescent="0.35">
      <c r="A242" t="s">
        <v>132</v>
      </c>
      <c r="B242" t="s">
        <v>29</v>
      </c>
      <c r="C242" t="s">
        <v>38</v>
      </c>
      <c r="D242" t="s">
        <v>14</v>
      </c>
      <c r="E242" t="s">
        <v>15</v>
      </c>
      <c r="F242" t="s">
        <v>31</v>
      </c>
      <c r="G242" t="s">
        <v>24</v>
      </c>
      <c r="H242" t="s">
        <v>252</v>
      </c>
      <c r="I242" t="s">
        <v>249</v>
      </c>
      <c r="J242" t="s">
        <v>50</v>
      </c>
      <c r="K242" t="s">
        <v>253</v>
      </c>
      <c r="L242" t="s">
        <v>297</v>
      </c>
      <c r="M242" t="s">
        <v>243</v>
      </c>
      <c r="N242" t="s">
        <v>311</v>
      </c>
      <c r="O242" t="s">
        <v>215</v>
      </c>
      <c r="P242" t="s">
        <v>216</v>
      </c>
      <c r="Q242" t="s">
        <v>217</v>
      </c>
      <c r="R242" t="s">
        <v>218</v>
      </c>
      <c r="S242" t="s">
        <v>238</v>
      </c>
    </row>
    <row r="243" spans="1:19" x14ac:dyDescent="0.35">
      <c r="A243" t="s">
        <v>130</v>
      </c>
      <c r="B243" t="s">
        <v>12</v>
      </c>
      <c r="C243" t="s">
        <v>30</v>
      </c>
      <c r="D243" t="s">
        <v>14</v>
      </c>
      <c r="E243" t="s">
        <v>15</v>
      </c>
      <c r="F243" t="s">
        <v>35</v>
      </c>
      <c r="G243" t="s">
        <v>36</v>
      </c>
      <c r="H243" t="s">
        <v>224</v>
      </c>
      <c r="I243" t="s">
        <v>265</v>
      </c>
      <c r="J243" t="s">
        <v>32</v>
      </c>
      <c r="K243" t="s">
        <v>226</v>
      </c>
      <c r="L243" t="s">
        <v>289</v>
      </c>
      <c r="M243" t="s">
        <v>297</v>
      </c>
      <c r="N243" t="s">
        <v>231</v>
      </c>
      <c r="O243" t="s">
        <v>215</v>
      </c>
      <c r="P243" t="s">
        <v>216</v>
      </c>
      <c r="Q243" t="s">
        <v>217</v>
      </c>
      <c r="R243" t="s">
        <v>218</v>
      </c>
      <c r="S243" t="s">
        <v>238</v>
      </c>
    </row>
    <row r="244" spans="1:19" x14ac:dyDescent="0.35">
      <c r="A244" t="s">
        <v>81</v>
      </c>
      <c r="B244" t="s">
        <v>29</v>
      </c>
      <c r="C244" t="s">
        <v>13</v>
      </c>
      <c r="D244" t="s">
        <v>14</v>
      </c>
      <c r="E244" t="s">
        <v>15</v>
      </c>
      <c r="F244" t="s">
        <v>58</v>
      </c>
      <c r="G244" t="s">
        <v>24</v>
      </c>
      <c r="H244" t="s">
        <v>255</v>
      </c>
      <c r="I244" t="s">
        <v>230</v>
      </c>
      <c r="J244" t="s">
        <v>32</v>
      </c>
      <c r="K244" t="s">
        <v>256</v>
      </c>
      <c r="L244" t="s">
        <v>354</v>
      </c>
      <c r="M244" t="s">
        <v>355</v>
      </c>
      <c r="N244" t="s">
        <v>356</v>
      </c>
      <c r="O244" t="s">
        <v>215</v>
      </c>
      <c r="P244" t="s">
        <v>216</v>
      </c>
      <c r="Q244" t="s">
        <v>217</v>
      </c>
      <c r="R244" t="s">
        <v>218</v>
      </c>
      <c r="S244" t="s">
        <v>244</v>
      </c>
    </row>
    <row r="245" spans="1:19" x14ac:dyDescent="0.35">
      <c r="A245" t="s">
        <v>80</v>
      </c>
      <c r="B245" t="s">
        <v>34</v>
      </c>
      <c r="C245" t="s">
        <v>21</v>
      </c>
      <c r="D245" t="s">
        <v>26</v>
      </c>
      <c r="E245" t="s">
        <v>22</v>
      </c>
      <c r="F245" t="s">
        <v>35</v>
      </c>
      <c r="G245" t="s">
        <v>36</v>
      </c>
      <c r="H245" t="s">
        <v>224</v>
      </c>
      <c r="I245" t="s">
        <v>249</v>
      </c>
      <c r="J245" t="s">
        <v>18</v>
      </c>
      <c r="K245" t="s">
        <v>226</v>
      </c>
      <c r="L245" t="s">
        <v>366</v>
      </c>
      <c r="M245" t="s">
        <v>241</v>
      </c>
      <c r="N245" t="s">
        <v>297</v>
      </c>
      <c r="O245" t="s">
        <v>215</v>
      </c>
      <c r="P245" t="s">
        <v>216</v>
      </c>
      <c r="Q245" t="s">
        <v>217</v>
      </c>
      <c r="R245" t="s">
        <v>218</v>
      </c>
      <c r="S245" t="s">
        <v>265</v>
      </c>
    </row>
    <row r="246" spans="1:19" x14ac:dyDescent="0.35">
      <c r="A246" t="s">
        <v>57</v>
      </c>
      <c r="B246" t="s">
        <v>20</v>
      </c>
      <c r="C246" t="s">
        <v>21</v>
      </c>
      <c r="D246" t="s">
        <v>26</v>
      </c>
      <c r="E246" t="s">
        <v>22</v>
      </c>
      <c r="F246" t="s">
        <v>52</v>
      </c>
      <c r="G246" t="s">
        <v>36</v>
      </c>
      <c r="H246" t="s">
        <v>291</v>
      </c>
      <c r="I246" t="s">
        <v>210</v>
      </c>
      <c r="J246" t="s">
        <v>43</v>
      </c>
      <c r="K246" t="s">
        <v>292</v>
      </c>
      <c r="L246" t="s">
        <v>339</v>
      </c>
      <c r="M246" t="s">
        <v>299</v>
      </c>
      <c r="N246" t="s">
        <v>233</v>
      </c>
      <c r="O246" t="s">
        <v>215</v>
      </c>
      <c r="P246" t="s">
        <v>216</v>
      </c>
      <c r="Q246" t="s">
        <v>217</v>
      </c>
      <c r="R246" t="s">
        <v>218</v>
      </c>
      <c r="S246" t="s">
        <v>265</v>
      </c>
    </row>
    <row r="247" spans="1:19" x14ac:dyDescent="0.35">
      <c r="A247" t="s">
        <v>93</v>
      </c>
      <c r="B247" t="s">
        <v>20</v>
      </c>
      <c r="C247" t="s">
        <v>38</v>
      </c>
      <c r="D247" t="s">
        <v>26</v>
      </c>
      <c r="E247" t="s">
        <v>15</v>
      </c>
      <c r="F247" t="s">
        <v>35</v>
      </c>
      <c r="G247" t="s">
        <v>36</v>
      </c>
      <c r="H247" t="s">
        <v>224</v>
      </c>
      <c r="I247" t="s">
        <v>265</v>
      </c>
      <c r="J247" t="s">
        <v>43</v>
      </c>
      <c r="K247" t="s">
        <v>226</v>
      </c>
      <c r="L247" t="s">
        <v>289</v>
      </c>
      <c r="M247" t="s">
        <v>297</v>
      </c>
      <c r="N247" t="s">
        <v>231</v>
      </c>
      <c r="O247" t="s">
        <v>215</v>
      </c>
      <c r="P247" t="s">
        <v>216</v>
      </c>
      <c r="Q247" t="s">
        <v>217</v>
      </c>
      <c r="R247" t="s">
        <v>218</v>
      </c>
      <c r="S247" t="s">
        <v>220</v>
      </c>
    </row>
    <row r="248" spans="1:19" x14ac:dyDescent="0.35">
      <c r="A248" t="s">
        <v>129</v>
      </c>
      <c r="B248" t="s">
        <v>20</v>
      </c>
      <c r="C248" t="s">
        <v>21</v>
      </c>
      <c r="D248" t="s">
        <v>26</v>
      </c>
      <c r="E248" t="s">
        <v>15</v>
      </c>
      <c r="F248" t="s">
        <v>58</v>
      </c>
      <c r="G248" t="s">
        <v>24</v>
      </c>
      <c r="H248" t="s">
        <v>255</v>
      </c>
      <c r="I248" t="s">
        <v>244</v>
      </c>
      <c r="J248" t="s">
        <v>32</v>
      </c>
      <c r="K248" t="s">
        <v>256</v>
      </c>
      <c r="L248" t="s">
        <v>257</v>
      </c>
      <c r="M248" t="s">
        <v>258</v>
      </c>
      <c r="N248" t="s">
        <v>259</v>
      </c>
      <c r="O248" t="s">
        <v>215</v>
      </c>
      <c r="P248" t="s">
        <v>216</v>
      </c>
      <c r="Q248" t="s">
        <v>217</v>
      </c>
      <c r="R248" t="s">
        <v>218</v>
      </c>
      <c r="S248" t="s">
        <v>265</v>
      </c>
    </row>
    <row r="249" spans="1:19" x14ac:dyDescent="0.35">
      <c r="A249" t="s">
        <v>73</v>
      </c>
      <c r="B249" t="s">
        <v>20</v>
      </c>
      <c r="C249" t="s">
        <v>30</v>
      </c>
      <c r="D249" t="s">
        <v>26</v>
      </c>
      <c r="E249" t="s">
        <v>22</v>
      </c>
      <c r="F249" t="s">
        <v>16</v>
      </c>
      <c r="G249" t="s">
        <v>17</v>
      </c>
      <c r="H249" t="s">
        <v>275</v>
      </c>
      <c r="I249" t="s">
        <v>240</v>
      </c>
      <c r="J249" t="s">
        <v>27</v>
      </c>
      <c r="K249" t="s">
        <v>276</v>
      </c>
      <c r="L249" t="s">
        <v>281</v>
      </c>
      <c r="M249" t="s">
        <v>282</v>
      </c>
      <c r="N249" t="s">
        <v>283</v>
      </c>
      <c r="O249" t="s">
        <v>215</v>
      </c>
      <c r="P249" t="s">
        <v>216</v>
      </c>
      <c r="Q249" t="s">
        <v>217</v>
      </c>
      <c r="R249" t="s">
        <v>218</v>
      </c>
      <c r="S249" t="s">
        <v>265</v>
      </c>
    </row>
    <row r="250" spans="1:19" x14ac:dyDescent="0.35">
      <c r="A250" t="s">
        <v>109</v>
      </c>
      <c r="B250" t="s">
        <v>34</v>
      </c>
      <c r="C250" t="s">
        <v>38</v>
      </c>
      <c r="D250" t="s">
        <v>26</v>
      </c>
      <c r="E250" t="s">
        <v>15</v>
      </c>
      <c r="F250" t="s">
        <v>41</v>
      </c>
      <c r="G250" t="s">
        <v>17</v>
      </c>
      <c r="H250" t="s">
        <v>219</v>
      </c>
      <c r="I250" t="s">
        <v>210</v>
      </c>
      <c r="J250" t="s">
        <v>54</v>
      </c>
      <c r="K250" t="s">
        <v>221</v>
      </c>
      <c r="L250" t="s">
        <v>278</v>
      </c>
      <c r="M250" t="s">
        <v>279</v>
      </c>
      <c r="N250" t="s">
        <v>280</v>
      </c>
      <c r="O250" t="s">
        <v>215</v>
      </c>
      <c r="P250" t="s">
        <v>216</v>
      </c>
      <c r="Q250" t="s">
        <v>217</v>
      </c>
      <c r="R250" t="s">
        <v>218</v>
      </c>
      <c r="S250" t="s">
        <v>265</v>
      </c>
    </row>
    <row r="251" spans="1:19" x14ac:dyDescent="0.35">
      <c r="A251" t="s">
        <v>79</v>
      </c>
      <c r="B251" t="s">
        <v>20</v>
      </c>
      <c r="C251" t="s">
        <v>13</v>
      </c>
      <c r="D251" t="s">
        <v>26</v>
      </c>
      <c r="E251" t="s">
        <v>15</v>
      </c>
      <c r="F251" t="s">
        <v>35</v>
      </c>
      <c r="G251" t="s">
        <v>36</v>
      </c>
      <c r="H251" t="s">
        <v>224</v>
      </c>
      <c r="I251" t="s">
        <v>265</v>
      </c>
      <c r="J251" t="s">
        <v>27</v>
      </c>
      <c r="K251" t="s">
        <v>226</v>
      </c>
      <c r="L251" t="s">
        <v>289</v>
      </c>
      <c r="M251" t="s">
        <v>297</v>
      </c>
      <c r="N251" t="s">
        <v>231</v>
      </c>
      <c r="O251" t="s">
        <v>215</v>
      </c>
      <c r="P251" t="s">
        <v>216</v>
      </c>
      <c r="Q251" t="s">
        <v>217</v>
      </c>
      <c r="R251" t="s">
        <v>218</v>
      </c>
      <c r="S251" t="s">
        <v>238</v>
      </c>
    </row>
    <row r="252" spans="1:19" x14ac:dyDescent="0.35">
      <c r="A252" t="s">
        <v>87</v>
      </c>
      <c r="B252" t="s">
        <v>29</v>
      </c>
      <c r="C252" t="s">
        <v>13</v>
      </c>
      <c r="D252" t="s">
        <v>26</v>
      </c>
      <c r="E252" t="s">
        <v>22</v>
      </c>
      <c r="F252" t="s">
        <v>23</v>
      </c>
      <c r="G252" t="s">
        <v>24</v>
      </c>
      <c r="H252" t="s">
        <v>239</v>
      </c>
      <c r="I252" t="s">
        <v>240</v>
      </c>
      <c r="J252" t="s">
        <v>54</v>
      </c>
      <c r="K252" t="s">
        <v>245</v>
      </c>
      <c r="L252" t="s">
        <v>209</v>
      </c>
      <c r="M252" t="s">
        <v>211</v>
      </c>
      <c r="N252" t="s">
        <v>254</v>
      </c>
      <c r="O252" t="s">
        <v>215</v>
      </c>
      <c r="P252" t="s">
        <v>216</v>
      </c>
      <c r="Q252" t="s">
        <v>217</v>
      </c>
      <c r="R252" t="s">
        <v>218</v>
      </c>
      <c r="S252" t="s">
        <v>244</v>
      </c>
    </row>
    <row r="253" spans="1:19" x14ac:dyDescent="0.35">
      <c r="A253" t="s">
        <v>141</v>
      </c>
      <c r="B253" t="s">
        <v>29</v>
      </c>
      <c r="C253" t="s">
        <v>13</v>
      </c>
      <c r="D253" t="s">
        <v>26</v>
      </c>
      <c r="E253" t="s">
        <v>22</v>
      </c>
      <c r="F253" t="s">
        <v>31</v>
      </c>
      <c r="G253" t="s">
        <v>24</v>
      </c>
      <c r="H253" t="s">
        <v>252</v>
      </c>
      <c r="I253" t="s">
        <v>265</v>
      </c>
      <c r="J253" t="s">
        <v>32</v>
      </c>
      <c r="K253" t="s">
        <v>253</v>
      </c>
      <c r="L253" t="s">
        <v>231</v>
      </c>
      <c r="M253" t="s">
        <v>311</v>
      </c>
      <c r="N253" t="s">
        <v>245</v>
      </c>
      <c r="O253" t="s">
        <v>215</v>
      </c>
      <c r="P253" t="s">
        <v>216</v>
      </c>
      <c r="Q253" t="s">
        <v>217</v>
      </c>
      <c r="R253" t="s">
        <v>218</v>
      </c>
      <c r="S253" t="s">
        <v>265</v>
      </c>
    </row>
    <row r="254" spans="1:19" x14ac:dyDescent="0.35">
      <c r="A254" t="s">
        <v>79</v>
      </c>
      <c r="B254" t="s">
        <v>34</v>
      </c>
      <c r="C254" t="s">
        <v>30</v>
      </c>
      <c r="D254" t="s">
        <v>14</v>
      </c>
      <c r="E254" t="s">
        <v>15</v>
      </c>
      <c r="F254" t="s">
        <v>58</v>
      </c>
      <c r="G254" t="s">
        <v>24</v>
      </c>
      <c r="H254" t="s">
        <v>255</v>
      </c>
      <c r="I254" t="s">
        <v>225</v>
      </c>
      <c r="J254" t="s">
        <v>18</v>
      </c>
      <c r="K254" t="s">
        <v>256</v>
      </c>
      <c r="L254" t="s">
        <v>324</v>
      </c>
      <c r="M254" t="s">
        <v>303</v>
      </c>
      <c r="N254" t="s">
        <v>255</v>
      </c>
      <c r="O254" t="s">
        <v>215</v>
      </c>
      <c r="P254" t="s">
        <v>216</v>
      </c>
      <c r="Q254" t="s">
        <v>217</v>
      </c>
      <c r="R254" t="s">
        <v>218</v>
      </c>
      <c r="S254" t="s">
        <v>238</v>
      </c>
    </row>
    <row r="255" spans="1:19" x14ac:dyDescent="0.35">
      <c r="A255" t="s">
        <v>92</v>
      </c>
      <c r="B255" t="s">
        <v>12</v>
      </c>
      <c r="C255" t="s">
        <v>38</v>
      </c>
      <c r="D255" t="s">
        <v>14</v>
      </c>
      <c r="E255" t="s">
        <v>22</v>
      </c>
      <c r="F255" t="s">
        <v>39</v>
      </c>
      <c r="G255" t="s">
        <v>24</v>
      </c>
      <c r="H255" t="s">
        <v>209</v>
      </c>
      <c r="I255" t="s">
        <v>240</v>
      </c>
      <c r="J255" t="s">
        <v>54</v>
      </c>
      <c r="K255" t="s">
        <v>211</v>
      </c>
      <c r="L255" t="s">
        <v>266</v>
      </c>
      <c r="M255" t="s">
        <v>267</v>
      </c>
      <c r="N255" t="s">
        <v>268</v>
      </c>
      <c r="O255" t="s">
        <v>215</v>
      </c>
      <c r="P255" t="s">
        <v>216</v>
      </c>
      <c r="Q255" t="s">
        <v>217</v>
      </c>
      <c r="R255" t="s">
        <v>218</v>
      </c>
      <c r="S255" t="s">
        <v>265</v>
      </c>
    </row>
    <row r="256" spans="1:19" x14ac:dyDescent="0.35">
      <c r="A256" t="s">
        <v>63</v>
      </c>
      <c r="B256" t="s">
        <v>34</v>
      </c>
      <c r="C256" t="s">
        <v>13</v>
      </c>
      <c r="D256" t="s">
        <v>14</v>
      </c>
      <c r="E256" t="s">
        <v>15</v>
      </c>
      <c r="F256" t="s">
        <v>56</v>
      </c>
      <c r="G256" t="s">
        <v>36</v>
      </c>
      <c r="H256" t="s">
        <v>260</v>
      </c>
      <c r="I256" t="s">
        <v>220</v>
      </c>
      <c r="J256" t="s">
        <v>43</v>
      </c>
      <c r="K256" t="s">
        <v>261</v>
      </c>
      <c r="L256" t="s">
        <v>335</v>
      </c>
      <c r="M256" t="s">
        <v>336</v>
      </c>
      <c r="N256" t="s">
        <v>261</v>
      </c>
      <c r="O256" t="s">
        <v>215</v>
      </c>
      <c r="P256" t="s">
        <v>216</v>
      </c>
      <c r="Q256" t="s">
        <v>217</v>
      </c>
      <c r="R256" t="s">
        <v>218</v>
      </c>
      <c r="S256" t="s">
        <v>220</v>
      </c>
    </row>
    <row r="257" spans="1:19" x14ac:dyDescent="0.35">
      <c r="A257" t="s">
        <v>40</v>
      </c>
      <c r="B257" t="s">
        <v>34</v>
      </c>
      <c r="C257" t="s">
        <v>30</v>
      </c>
      <c r="D257" t="s">
        <v>26</v>
      </c>
      <c r="E257" t="s">
        <v>15</v>
      </c>
      <c r="F257" t="s">
        <v>16</v>
      </c>
      <c r="G257" t="s">
        <v>17</v>
      </c>
      <c r="H257" t="s">
        <v>275</v>
      </c>
      <c r="I257" t="s">
        <v>210</v>
      </c>
      <c r="J257" t="s">
        <v>27</v>
      </c>
      <c r="K257" t="s">
        <v>276</v>
      </c>
      <c r="L257" t="s">
        <v>314</v>
      </c>
      <c r="M257" t="s">
        <v>315</v>
      </c>
      <c r="N257" t="s">
        <v>316</v>
      </c>
      <c r="O257" t="s">
        <v>215</v>
      </c>
      <c r="P257" t="s">
        <v>216</v>
      </c>
      <c r="Q257" t="s">
        <v>217</v>
      </c>
      <c r="R257" t="s">
        <v>218</v>
      </c>
      <c r="S257" t="s">
        <v>244</v>
      </c>
    </row>
    <row r="258" spans="1:19" x14ac:dyDescent="0.35">
      <c r="A258" t="s">
        <v>114</v>
      </c>
      <c r="B258" t="s">
        <v>12</v>
      </c>
      <c r="C258" t="s">
        <v>21</v>
      </c>
      <c r="D258" t="s">
        <v>14</v>
      </c>
      <c r="E258" t="s">
        <v>15</v>
      </c>
      <c r="F258" t="s">
        <v>35</v>
      </c>
      <c r="G258" t="s">
        <v>36</v>
      </c>
      <c r="H258" t="s">
        <v>224</v>
      </c>
      <c r="I258" t="s">
        <v>240</v>
      </c>
      <c r="J258" t="s">
        <v>27</v>
      </c>
      <c r="K258" t="s">
        <v>226</v>
      </c>
      <c r="L258" t="s">
        <v>212</v>
      </c>
      <c r="M258" t="s">
        <v>213</v>
      </c>
      <c r="N258" t="s">
        <v>214</v>
      </c>
      <c r="O258" t="s">
        <v>215</v>
      </c>
      <c r="P258" t="s">
        <v>216</v>
      </c>
      <c r="Q258" t="s">
        <v>217</v>
      </c>
      <c r="R258" t="s">
        <v>218</v>
      </c>
      <c r="S258" t="s">
        <v>244</v>
      </c>
    </row>
    <row r="259" spans="1:19" x14ac:dyDescent="0.35">
      <c r="A259" t="s">
        <v>102</v>
      </c>
      <c r="B259" t="s">
        <v>34</v>
      </c>
      <c r="C259" t="s">
        <v>21</v>
      </c>
      <c r="D259" t="s">
        <v>26</v>
      </c>
      <c r="E259" t="s">
        <v>22</v>
      </c>
      <c r="F259" t="s">
        <v>58</v>
      </c>
      <c r="G259" t="s">
        <v>24</v>
      </c>
      <c r="H259" t="s">
        <v>255</v>
      </c>
      <c r="I259" t="s">
        <v>244</v>
      </c>
      <c r="J259" t="s">
        <v>18</v>
      </c>
      <c r="K259" t="s">
        <v>256</v>
      </c>
      <c r="L259" t="s">
        <v>257</v>
      </c>
      <c r="M259" t="s">
        <v>258</v>
      </c>
      <c r="N259" t="s">
        <v>259</v>
      </c>
      <c r="O259" t="s">
        <v>215</v>
      </c>
      <c r="P259" t="s">
        <v>216</v>
      </c>
      <c r="Q259" t="s">
        <v>217</v>
      </c>
      <c r="R259" t="s">
        <v>218</v>
      </c>
      <c r="S259" t="s">
        <v>238</v>
      </c>
    </row>
    <row r="260" spans="1:19" x14ac:dyDescent="0.35">
      <c r="A260" t="s">
        <v>85</v>
      </c>
      <c r="B260" t="s">
        <v>34</v>
      </c>
      <c r="C260" t="s">
        <v>30</v>
      </c>
      <c r="D260" t="s">
        <v>14</v>
      </c>
      <c r="E260" t="s">
        <v>22</v>
      </c>
      <c r="F260" t="s">
        <v>23</v>
      </c>
      <c r="G260" t="s">
        <v>24</v>
      </c>
      <c r="H260" t="s">
        <v>239</v>
      </c>
      <c r="I260" t="s">
        <v>249</v>
      </c>
      <c r="J260" t="s">
        <v>54</v>
      </c>
      <c r="K260" t="s">
        <v>245</v>
      </c>
      <c r="L260" t="s">
        <v>226</v>
      </c>
      <c r="M260" t="s">
        <v>284</v>
      </c>
      <c r="N260" t="s">
        <v>253</v>
      </c>
      <c r="O260" t="s">
        <v>215</v>
      </c>
      <c r="P260" t="s">
        <v>216</v>
      </c>
      <c r="Q260" t="s">
        <v>217</v>
      </c>
      <c r="R260" t="s">
        <v>218</v>
      </c>
      <c r="S260" t="s">
        <v>238</v>
      </c>
    </row>
    <row r="261" spans="1:19" x14ac:dyDescent="0.35">
      <c r="A261" t="s">
        <v>138</v>
      </c>
      <c r="B261" t="s">
        <v>34</v>
      </c>
      <c r="C261" t="s">
        <v>13</v>
      </c>
      <c r="D261" t="s">
        <v>26</v>
      </c>
      <c r="E261" t="s">
        <v>15</v>
      </c>
      <c r="F261" t="s">
        <v>16</v>
      </c>
      <c r="G261" t="s">
        <v>17</v>
      </c>
      <c r="H261" t="s">
        <v>275</v>
      </c>
      <c r="I261" t="s">
        <v>265</v>
      </c>
      <c r="J261" t="s">
        <v>18</v>
      </c>
      <c r="K261" t="s">
        <v>276</v>
      </c>
      <c r="L261" t="s">
        <v>316</v>
      </c>
      <c r="M261" t="s">
        <v>323</v>
      </c>
      <c r="N261" t="s">
        <v>344</v>
      </c>
      <c r="O261" t="s">
        <v>215</v>
      </c>
      <c r="P261" t="s">
        <v>216</v>
      </c>
      <c r="Q261" t="s">
        <v>217</v>
      </c>
      <c r="R261" t="s">
        <v>218</v>
      </c>
      <c r="S261" t="s">
        <v>244</v>
      </c>
    </row>
    <row r="262" spans="1:19" x14ac:dyDescent="0.35">
      <c r="A262" t="s">
        <v>121</v>
      </c>
      <c r="B262" t="s">
        <v>29</v>
      </c>
      <c r="C262" t="s">
        <v>38</v>
      </c>
      <c r="D262" t="s">
        <v>14</v>
      </c>
      <c r="E262" t="s">
        <v>22</v>
      </c>
      <c r="F262" t="s">
        <v>47</v>
      </c>
      <c r="G262" t="s">
        <v>36</v>
      </c>
      <c r="H262" t="s">
        <v>229</v>
      </c>
      <c r="I262" t="s">
        <v>244</v>
      </c>
      <c r="J262" t="s">
        <v>43</v>
      </c>
      <c r="K262" t="s">
        <v>231</v>
      </c>
      <c r="L262" t="s">
        <v>312</v>
      </c>
      <c r="M262" t="s">
        <v>214</v>
      </c>
      <c r="N262" t="s">
        <v>246</v>
      </c>
      <c r="O262" t="s">
        <v>215</v>
      </c>
      <c r="P262" t="s">
        <v>216</v>
      </c>
      <c r="Q262" t="s">
        <v>217</v>
      </c>
      <c r="R262" t="s">
        <v>218</v>
      </c>
      <c r="S262" t="s">
        <v>265</v>
      </c>
    </row>
    <row r="263" spans="1:19" x14ac:dyDescent="0.35">
      <c r="A263" t="s">
        <v>45</v>
      </c>
      <c r="B263" t="s">
        <v>20</v>
      </c>
      <c r="C263" t="s">
        <v>38</v>
      </c>
      <c r="D263" t="s">
        <v>14</v>
      </c>
      <c r="E263" t="s">
        <v>22</v>
      </c>
      <c r="F263" t="s">
        <v>16</v>
      </c>
      <c r="G263" t="s">
        <v>17</v>
      </c>
      <c r="H263" t="s">
        <v>275</v>
      </c>
      <c r="I263" t="s">
        <v>238</v>
      </c>
      <c r="J263" t="s">
        <v>50</v>
      </c>
      <c r="K263" t="s">
        <v>276</v>
      </c>
      <c r="L263" t="s">
        <v>275</v>
      </c>
      <c r="M263" t="s">
        <v>276</v>
      </c>
      <c r="N263" t="s">
        <v>277</v>
      </c>
      <c r="O263" t="s">
        <v>215</v>
      </c>
      <c r="P263" t="s">
        <v>216</v>
      </c>
      <c r="Q263" t="s">
        <v>217</v>
      </c>
      <c r="R263" t="s">
        <v>218</v>
      </c>
      <c r="S263" t="s">
        <v>244</v>
      </c>
    </row>
    <row r="264" spans="1:19" x14ac:dyDescent="0.35">
      <c r="A264" t="s">
        <v>109</v>
      </c>
      <c r="B264" t="s">
        <v>29</v>
      </c>
      <c r="C264" t="s">
        <v>13</v>
      </c>
      <c r="D264" t="s">
        <v>26</v>
      </c>
      <c r="E264" t="s">
        <v>22</v>
      </c>
      <c r="F264" t="s">
        <v>56</v>
      </c>
      <c r="G264" t="s">
        <v>36</v>
      </c>
      <c r="H264" t="s">
        <v>260</v>
      </c>
      <c r="I264" t="s">
        <v>244</v>
      </c>
      <c r="J264" t="s">
        <v>54</v>
      </c>
      <c r="K264" t="s">
        <v>261</v>
      </c>
      <c r="L264" t="s">
        <v>288</v>
      </c>
      <c r="M264" t="s">
        <v>289</v>
      </c>
      <c r="N264" t="s">
        <v>229</v>
      </c>
      <c r="O264" t="s">
        <v>215</v>
      </c>
      <c r="P264" t="s">
        <v>216</v>
      </c>
      <c r="Q264" t="s">
        <v>217</v>
      </c>
      <c r="R264" t="s">
        <v>218</v>
      </c>
      <c r="S264" t="s">
        <v>265</v>
      </c>
    </row>
    <row r="265" spans="1:19" x14ac:dyDescent="0.35">
      <c r="A265" t="s">
        <v>142</v>
      </c>
      <c r="B265" t="s">
        <v>20</v>
      </c>
      <c r="C265" t="s">
        <v>13</v>
      </c>
      <c r="D265" t="s">
        <v>26</v>
      </c>
      <c r="E265" t="s">
        <v>22</v>
      </c>
      <c r="F265" t="s">
        <v>52</v>
      </c>
      <c r="G265" t="s">
        <v>36</v>
      </c>
      <c r="H265" t="s">
        <v>291</v>
      </c>
      <c r="I265" t="s">
        <v>265</v>
      </c>
      <c r="J265" t="s">
        <v>18</v>
      </c>
      <c r="K265" t="s">
        <v>292</v>
      </c>
      <c r="L265" t="s">
        <v>233</v>
      </c>
      <c r="M265" t="s">
        <v>293</v>
      </c>
      <c r="N265" t="s">
        <v>294</v>
      </c>
      <c r="O265" t="s">
        <v>215</v>
      </c>
      <c r="P265" t="s">
        <v>216</v>
      </c>
      <c r="Q265" t="s">
        <v>217</v>
      </c>
      <c r="R265" t="s">
        <v>218</v>
      </c>
      <c r="S265" t="s">
        <v>220</v>
      </c>
    </row>
    <row r="266" spans="1:19" x14ac:dyDescent="0.35">
      <c r="A266" t="s">
        <v>37</v>
      </c>
      <c r="B266" t="s">
        <v>12</v>
      </c>
      <c r="C266" t="s">
        <v>30</v>
      </c>
      <c r="D266" t="s">
        <v>14</v>
      </c>
      <c r="E266" t="s">
        <v>15</v>
      </c>
      <c r="F266" t="s">
        <v>47</v>
      </c>
      <c r="G266" t="s">
        <v>36</v>
      </c>
      <c r="H266" t="s">
        <v>229</v>
      </c>
      <c r="I266" t="s">
        <v>269</v>
      </c>
      <c r="J266" t="s">
        <v>32</v>
      </c>
      <c r="K266" t="s">
        <v>231</v>
      </c>
      <c r="L266" t="s">
        <v>367</v>
      </c>
      <c r="M266" t="s">
        <v>266</v>
      </c>
      <c r="N266" t="s">
        <v>309</v>
      </c>
      <c r="O266" t="s">
        <v>215</v>
      </c>
      <c r="P266" t="s">
        <v>216</v>
      </c>
      <c r="Q266" t="s">
        <v>217</v>
      </c>
      <c r="R266" t="s">
        <v>218</v>
      </c>
      <c r="S266" t="s">
        <v>244</v>
      </c>
    </row>
    <row r="267" spans="1:19" x14ac:dyDescent="0.35">
      <c r="A267" t="s">
        <v>111</v>
      </c>
      <c r="B267" t="s">
        <v>34</v>
      </c>
      <c r="C267" t="s">
        <v>38</v>
      </c>
      <c r="D267" t="s">
        <v>14</v>
      </c>
      <c r="E267" t="s">
        <v>22</v>
      </c>
      <c r="F267" t="s">
        <v>23</v>
      </c>
      <c r="G267" t="s">
        <v>24</v>
      </c>
      <c r="H267" t="s">
        <v>239</v>
      </c>
      <c r="I267" t="s">
        <v>269</v>
      </c>
      <c r="J267" t="s">
        <v>27</v>
      </c>
      <c r="K267" t="s">
        <v>245</v>
      </c>
      <c r="L267" t="s">
        <v>309</v>
      </c>
      <c r="M267" t="s">
        <v>268</v>
      </c>
      <c r="N267" t="s">
        <v>310</v>
      </c>
      <c r="O267" t="s">
        <v>215</v>
      </c>
      <c r="P267" t="s">
        <v>216</v>
      </c>
      <c r="Q267" t="s">
        <v>217</v>
      </c>
      <c r="R267" t="s">
        <v>218</v>
      </c>
      <c r="S267" t="s">
        <v>238</v>
      </c>
    </row>
    <row r="268" spans="1:19" x14ac:dyDescent="0.35">
      <c r="A268" t="s">
        <v>128</v>
      </c>
      <c r="B268" t="s">
        <v>20</v>
      </c>
      <c r="C268" t="s">
        <v>21</v>
      </c>
      <c r="D268" t="s">
        <v>26</v>
      </c>
      <c r="E268" t="s">
        <v>22</v>
      </c>
      <c r="F268" t="s">
        <v>58</v>
      </c>
      <c r="G268" t="s">
        <v>24</v>
      </c>
      <c r="H268" t="s">
        <v>255</v>
      </c>
      <c r="I268" t="s">
        <v>240</v>
      </c>
      <c r="J268" t="s">
        <v>54</v>
      </c>
      <c r="K268" t="s">
        <v>256</v>
      </c>
      <c r="L268" t="s">
        <v>305</v>
      </c>
      <c r="M268" t="s">
        <v>306</v>
      </c>
      <c r="N268" t="s">
        <v>307</v>
      </c>
      <c r="O268" t="s">
        <v>215</v>
      </c>
      <c r="P268" t="s">
        <v>216</v>
      </c>
      <c r="Q268" t="s">
        <v>217</v>
      </c>
      <c r="R268" t="s">
        <v>218</v>
      </c>
      <c r="S268" t="s">
        <v>220</v>
      </c>
    </row>
    <row r="269" spans="1:19" x14ac:dyDescent="0.35">
      <c r="A269" t="s">
        <v>122</v>
      </c>
      <c r="B269" t="s">
        <v>34</v>
      </c>
      <c r="C269" t="s">
        <v>30</v>
      </c>
      <c r="D269" t="s">
        <v>26</v>
      </c>
      <c r="E269" t="s">
        <v>22</v>
      </c>
      <c r="F269" t="s">
        <v>23</v>
      </c>
      <c r="G269" t="s">
        <v>24</v>
      </c>
      <c r="H269" t="s">
        <v>239</v>
      </c>
      <c r="I269" t="s">
        <v>244</v>
      </c>
      <c r="J269" t="s">
        <v>54</v>
      </c>
      <c r="K269" t="s">
        <v>245</v>
      </c>
      <c r="L269" t="s">
        <v>246</v>
      </c>
      <c r="M269" t="s">
        <v>247</v>
      </c>
      <c r="N269" t="s">
        <v>248</v>
      </c>
      <c r="O269" t="s">
        <v>215</v>
      </c>
      <c r="P269" t="s">
        <v>216</v>
      </c>
      <c r="Q269" t="s">
        <v>217</v>
      </c>
      <c r="R269" t="s">
        <v>218</v>
      </c>
      <c r="S269" t="s">
        <v>220</v>
      </c>
    </row>
    <row r="270" spans="1:19" x14ac:dyDescent="0.35">
      <c r="A270" t="s">
        <v>121</v>
      </c>
      <c r="B270" t="s">
        <v>12</v>
      </c>
      <c r="C270" t="s">
        <v>30</v>
      </c>
      <c r="D270" t="s">
        <v>14</v>
      </c>
      <c r="E270" t="s">
        <v>15</v>
      </c>
      <c r="F270" t="s">
        <v>52</v>
      </c>
      <c r="G270" t="s">
        <v>36</v>
      </c>
      <c r="H270" t="s">
        <v>291</v>
      </c>
      <c r="I270" t="s">
        <v>210</v>
      </c>
      <c r="J270" t="s">
        <v>27</v>
      </c>
      <c r="K270" t="s">
        <v>292</v>
      </c>
      <c r="L270" t="s">
        <v>339</v>
      </c>
      <c r="M270" t="s">
        <v>299</v>
      </c>
      <c r="N270" t="s">
        <v>233</v>
      </c>
      <c r="O270" t="s">
        <v>215</v>
      </c>
      <c r="P270" t="s">
        <v>216</v>
      </c>
      <c r="Q270" t="s">
        <v>217</v>
      </c>
      <c r="R270" t="s">
        <v>218</v>
      </c>
      <c r="S270" t="s">
        <v>265</v>
      </c>
    </row>
    <row r="271" spans="1:19" x14ac:dyDescent="0.35">
      <c r="A271" t="s">
        <v>134</v>
      </c>
      <c r="B271" t="s">
        <v>34</v>
      </c>
      <c r="C271" t="s">
        <v>38</v>
      </c>
      <c r="D271" t="s">
        <v>26</v>
      </c>
      <c r="E271" t="s">
        <v>15</v>
      </c>
      <c r="F271" t="s">
        <v>23</v>
      </c>
      <c r="G271" t="s">
        <v>24</v>
      </c>
      <c r="H271" t="s">
        <v>239</v>
      </c>
      <c r="I271" t="s">
        <v>265</v>
      </c>
      <c r="J271" t="s">
        <v>50</v>
      </c>
      <c r="K271" t="s">
        <v>245</v>
      </c>
      <c r="L271" t="s">
        <v>252</v>
      </c>
      <c r="M271" t="s">
        <v>253</v>
      </c>
      <c r="N271" t="s">
        <v>313</v>
      </c>
      <c r="O271" t="s">
        <v>215</v>
      </c>
      <c r="P271" t="s">
        <v>216</v>
      </c>
      <c r="Q271" t="s">
        <v>217</v>
      </c>
      <c r="R271" t="s">
        <v>218</v>
      </c>
      <c r="S271" t="s">
        <v>220</v>
      </c>
    </row>
    <row r="272" spans="1:19" x14ac:dyDescent="0.35">
      <c r="A272" t="s">
        <v>73</v>
      </c>
      <c r="B272" t="s">
        <v>20</v>
      </c>
      <c r="C272" t="s">
        <v>13</v>
      </c>
      <c r="D272" t="s">
        <v>26</v>
      </c>
      <c r="E272" t="s">
        <v>22</v>
      </c>
      <c r="F272" t="s">
        <v>47</v>
      </c>
      <c r="G272" t="s">
        <v>36</v>
      </c>
      <c r="H272" t="s">
        <v>229</v>
      </c>
      <c r="I272" t="s">
        <v>225</v>
      </c>
      <c r="J272" t="s">
        <v>27</v>
      </c>
      <c r="K272" t="s">
        <v>231</v>
      </c>
      <c r="L272" t="s">
        <v>288</v>
      </c>
      <c r="M272" t="s">
        <v>289</v>
      </c>
      <c r="N272" t="s">
        <v>229</v>
      </c>
      <c r="O272" t="s">
        <v>215</v>
      </c>
      <c r="P272" t="s">
        <v>216</v>
      </c>
      <c r="Q272" t="s">
        <v>217</v>
      </c>
      <c r="R272" t="s">
        <v>218</v>
      </c>
      <c r="S272" t="s">
        <v>265</v>
      </c>
    </row>
    <row r="273" spans="1:19" x14ac:dyDescent="0.35">
      <c r="A273" t="s">
        <v>91</v>
      </c>
      <c r="B273" t="s">
        <v>29</v>
      </c>
      <c r="C273" t="s">
        <v>38</v>
      </c>
      <c r="D273" t="s">
        <v>14</v>
      </c>
      <c r="E273" t="s">
        <v>22</v>
      </c>
      <c r="F273" t="s">
        <v>47</v>
      </c>
      <c r="G273" t="s">
        <v>36</v>
      </c>
      <c r="H273" t="s">
        <v>229</v>
      </c>
      <c r="I273" t="s">
        <v>210</v>
      </c>
      <c r="J273" t="s">
        <v>50</v>
      </c>
      <c r="K273" t="s">
        <v>231</v>
      </c>
      <c r="L273" t="s">
        <v>227</v>
      </c>
      <c r="M273" t="s">
        <v>228</v>
      </c>
      <c r="N273" t="s">
        <v>224</v>
      </c>
      <c r="O273" t="s">
        <v>215</v>
      </c>
      <c r="P273" t="s">
        <v>216</v>
      </c>
      <c r="Q273" t="s">
        <v>217</v>
      </c>
      <c r="R273" t="s">
        <v>218</v>
      </c>
      <c r="S273" t="s">
        <v>220</v>
      </c>
    </row>
    <row r="274" spans="1:19" x14ac:dyDescent="0.35">
      <c r="A274" t="s">
        <v>143</v>
      </c>
      <c r="B274" t="s">
        <v>12</v>
      </c>
      <c r="C274" t="s">
        <v>38</v>
      </c>
      <c r="D274" t="s">
        <v>26</v>
      </c>
      <c r="E274" t="s">
        <v>15</v>
      </c>
      <c r="F274" t="s">
        <v>39</v>
      </c>
      <c r="G274" t="s">
        <v>24</v>
      </c>
      <c r="H274" t="s">
        <v>209</v>
      </c>
      <c r="I274" t="s">
        <v>244</v>
      </c>
      <c r="J274" t="s">
        <v>27</v>
      </c>
      <c r="K274" t="s">
        <v>211</v>
      </c>
      <c r="L274" t="s">
        <v>272</v>
      </c>
      <c r="M274" t="s">
        <v>273</v>
      </c>
      <c r="N274" t="s">
        <v>274</v>
      </c>
      <c r="O274" t="s">
        <v>215</v>
      </c>
      <c r="P274" t="s">
        <v>216</v>
      </c>
      <c r="Q274" t="s">
        <v>217</v>
      </c>
      <c r="R274" t="s">
        <v>218</v>
      </c>
      <c r="S274" t="s">
        <v>238</v>
      </c>
    </row>
    <row r="275" spans="1:19" x14ac:dyDescent="0.35">
      <c r="A275" t="s">
        <v>144</v>
      </c>
      <c r="B275" t="s">
        <v>20</v>
      </c>
      <c r="C275" t="s">
        <v>30</v>
      </c>
      <c r="D275" t="s">
        <v>26</v>
      </c>
      <c r="E275" t="s">
        <v>15</v>
      </c>
      <c r="F275" t="s">
        <v>23</v>
      </c>
      <c r="G275" t="s">
        <v>24</v>
      </c>
      <c r="H275" t="s">
        <v>239</v>
      </c>
      <c r="I275" t="s">
        <v>210</v>
      </c>
      <c r="J275" t="s">
        <v>32</v>
      </c>
      <c r="K275" t="s">
        <v>245</v>
      </c>
      <c r="L275" t="s">
        <v>224</v>
      </c>
      <c r="M275" t="s">
        <v>226</v>
      </c>
      <c r="N275" t="s">
        <v>252</v>
      </c>
      <c r="O275" t="s">
        <v>215</v>
      </c>
      <c r="P275" t="s">
        <v>216</v>
      </c>
      <c r="Q275" t="s">
        <v>217</v>
      </c>
      <c r="R275" t="s">
        <v>218</v>
      </c>
      <c r="S275" t="s">
        <v>265</v>
      </c>
    </row>
    <row r="276" spans="1:19" x14ac:dyDescent="0.35">
      <c r="A276" t="s">
        <v>145</v>
      </c>
      <c r="B276" t="s">
        <v>20</v>
      </c>
      <c r="C276" t="s">
        <v>13</v>
      </c>
      <c r="D276" t="s">
        <v>14</v>
      </c>
      <c r="E276" t="s">
        <v>15</v>
      </c>
      <c r="F276" t="s">
        <v>52</v>
      </c>
      <c r="G276" t="s">
        <v>36</v>
      </c>
      <c r="H276" t="s">
        <v>291</v>
      </c>
      <c r="I276" t="s">
        <v>265</v>
      </c>
      <c r="J276" t="s">
        <v>32</v>
      </c>
      <c r="K276" t="s">
        <v>292</v>
      </c>
      <c r="L276" t="s">
        <v>233</v>
      </c>
      <c r="M276" t="s">
        <v>293</v>
      </c>
      <c r="N276" t="s">
        <v>294</v>
      </c>
      <c r="O276" t="s">
        <v>215</v>
      </c>
      <c r="P276" t="s">
        <v>216</v>
      </c>
      <c r="Q276" t="s">
        <v>217</v>
      </c>
      <c r="R276" t="s">
        <v>218</v>
      </c>
      <c r="S276" t="s">
        <v>238</v>
      </c>
    </row>
    <row r="277" spans="1:19" x14ac:dyDescent="0.35">
      <c r="A277" t="s">
        <v>113</v>
      </c>
      <c r="B277" t="s">
        <v>29</v>
      </c>
      <c r="C277" t="s">
        <v>13</v>
      </c>
      <c r="D277" t="s">
        <v>26</v>
      </c>
      <c r="E277" t="s">
        <v>15</v>
      </c>
      <c r="F277" t="s">
        <v>41</v>
      </c>
      <c r="G277" t="s">
        <v>17</v>
      </c>
      <c r="H277" t="s">
        <v>219</v>
      </c>
      <c r="I277" t="s">
        <v>238</v>
      </c>
      <c r="J277" t="s">
        <v>43</v>
      </c>
      <c r="K277" t="s">
        <v>221</v>
      </c>
      <c r="L277" t="s">
        <v>219</v>
      </c>
      <c r="M277" t="s">
        <v>221</v>
      </c>
      <c r="N277" t="s">
        <v>308</v>
      </c>
      <c r="O277" t="s">
        <v>215</v>
      </c>
      <c r="P277" t="s">
        <v>216</v>
      </c>
      <c r="Q277" t="s">
        <v>217</v>
      </c>
      <c r="R277" t="s">
        <v>218</v>
      </c>
      <c r="S277" t="s">
        <v>244</v>
      </c>
    </row>
    <row r="278" spans="1:19" x14ac:dyDescent="0.35">
      <c r="A278" t="s">
        <v>146</v>
      </c>
      <c r="B278" t="s">
        <v>34</v>
      </c>
      <c r="C278" t="s">
        <v>21</v>
      </c>
      <c r="D278" t="s">
        <v>14</v>
      </c>
      <c r="E278" t="s">
        <v>15</v>
      </c>
      <c r="F278" t="s">
        <v>47</v>
      </c>
      <c r="G278" t="s">
        <v>36</v>
      </c>
      <c r="H278" t="s">
        <v>229</v>
      </c>
      <c r="I278" t="s">
        <v>265</v>
      </c>
      <c r="J278" t="s">
        <v>32</v>
      </c>
      <c r="K278" t="s">
        <v>231</v>
      </c>
      <c r="L278" t="s">
        <v>224</v>
      </c>
      <c r="M278" t="s">
        <v>226</v>
      </c>
      <c r="N278" t="s">
        <v>252</v>
      </c>
      <c r="O278" t="s">
        <v>215</v>
      </c>
      <c r="P278" t="s">
        <v>216</v>
      </c>
      <c r="Q278" t="s">
        <v>217</v>
      </c>
      <c r="R278" t="s">
        <v>218</v>
      </c>
      <c r="S278" t="s">
        <v>244</v>
      </c>
    </row>
    <row r="279" spans="1:19" x14ac:dyDescent="0.35">
      <c r="A279" t="s">
        <v>28</v>
      </c>
      <c r="B279" t="s">
        <v>20</v>
      </c>
      <c r="C279" t="s">
        <v>21</v>
      </c>
      <c r="D279" t="s">
        <v>26</v>
      </c>
      <c r="E279" t="s">
        <v>22</v>
      </c>
      <c r="F279" t="s">
        <v>23</v>
      </c>
      <c r="G279" t="s">
        <v>24</v>
      </c>
      <c r="H279" t="s">
        <v>239</v>
      </c>
      <c r="I279" t="s">
        <v>269</v>
      </c>
      <c r="J279" t="s">
        <v>54</v>
      </c>
      <c r="K279" t="s">
        <v>245</v>
      </c>
      <c r="L279" t="s">
        <v>309</v>
      </c>
      <c r="M279" t="s">
        <v>268</v>
      </c>
      <c r="N279" t="s">
        <v>310</v>
      </c>
      <c r="O279" t="s">
        <v>215</v>
      </c>
      <c r="P279" t="s">
        <v>216</v>
      </c>
      <c r="Q279" t="s">
        <v>217</v>
      </c>
      <c r="R279" t="s">
        <v>218</v>
      </c>
      <c r="S279" t="s">
        <v>220</v>
      </c>
    </row>
    <row r="280" spans="1:19" x14ac:dyDescent="0.35">
      <c r="A280" t="s">
        <v>64</v>
      </c>
      <c r="B280" t="s">
        <v>12</v>
      </c>
      <c r="C280" t="s">
        <v>21</v>
      </c>
      <c r="D280" t="s">
        <v>14</v>
      </c>
      <c r="E280" t="s">
        <v>15</v>
      </c>
      <c r="F280" t="s">
        <v>16</v>
      </c>
      <c r="G280" t="s">
        <v>17</v>
      </c>
      <c r="H280" t="s">
        <v>275</v>
      </c>
      <c r="I280" t="s">
        <v>230</v>
      </c>
      <c r="J280" t="s">
        <v>43</v>
      </c>
      <c r="K280" t="s">
        <v>276</v>
      </c>
      <c r="L280" t="s">
        <v>374</v>
      </c>
      <c r="M280" t="s">
        <v>375</v>
      </c>
      <c r="N280" t="s">
        <v>376</v>
      </c>
      <c r="O280" t="s">
        <v>215</v>
      </c>
      <c r="P280" t="s">
        <v>216</v>
      </c>
      <c r="Q280" t="s">
        <v>217</v>
      </c>
      <c r="R280" t="s">
        <v>218</v>
      </c>
      <c r="S280" t="s">
        <v>265</v>
      </c>
    </row>
    <row r="281" spans="1:19" x14ac:dyDescent="0.35">
      <c r="A281" t="s">
        <v>144</v>
      </c>
      <c r="B281" t="s">
        <v>34</v>
      </c>
      <c r="C281" t="s">
        <v>13</v>
      </c>
      <c r="D281" t="s">
        <v>26</v>
      </c>
      <c r="E281" t="s">
        <v>15</v>
      </c>
      <c r="F281" t="s">
        <v>47</v>
      </c>
      <c r="G281" t="s">
        <v>36</v>
      </c>
      <c r="H281" t="s">
        <v>229</v>
      </c>
      <c r="I281" t="s">
        <v>225</v>
      </c>
      <c r="J281" t="s">
        <v>27</v>
      </c>
      <c r="K281" t="s">
        <v>231</v>
      </c>
      <c r="L281" t="s">
        <v>288</v>
      </c>
      <c r="M281" t="s">
        <v>289</v>
      </c>
      <c r="N281" t="s">
        <v>229</v>
      </c>
      <c r="O281" t="s">
        <v>215</v>
      </c>
      <c r="P281" t="s">
        <v>216</v>
      </c>
      <c r="Q281" t="s">
        <v>217</v>
      </c>
      <c r="R281" t="s">
        <v>218</v>
      </c>
      <c r="S281" t="s">
        <v>265</v>
      </c>
    </row>
    <row r="282" spans="1:19" x14ac:dyDescent="0.35">
      <c r="A282" t="s">
        <v>69</v>
      </c>
      <c r="B282" t="s">
        <v>12</v>
      </c>
      <c r="C282" t="s">
        <v>30</v>
      </c>
      <c r="D282" t="s">
        <v>14</v>
      </c>
      <c r="E282" t="s">
        <v>22</v>
      </c>
      <c r="F282" t="s">
        <v>41</v>
      </c>
      <c r="G282" t="s">
        <v>17</v>
      </c>
      <c r="H282" t="s">
        <v>219</v>
      </c>
      <c r="I282" t="s">
        <v>269</v>
      </c>
      <c r="J282" t="s">
        <v>18</v>
      </c>
      <c r="K282" t="s">
        <v>221</v>
      </c>
      <c r="L282" t="s">
        <v>362</v>
      </c>
      <c r="M282" t="s">
        <v>363</v>
      </c>
      <c r="N282" t="s">
        <v>342</v>
      </c>
      <c r="O282" t="s">
        <v>215</v>
      </c>
      <c r="P282" t="s">
        <v>216</v>
      </c>
      <c r="Q282" t="s">
        <v>217</v>
      </c>
      <c r="R282" t="s">
        <v>218</v>
      </c>
      <c r="S282" t="s">
        <v>238</v>
      </c>
    </row>
    <row r="283" spans="1:19" x14ac:dyDescent="0.35">
      <c r="A283" t="s">
        <v>105</v>
      </c>
      <c r="B283" t="s">
        <v>34</v>
      </c>
      <c r="C283" t="s">
        <v>21</v>
      </c>
      <c r="D283" t="s">
        <v>14</v>
      </c>
      <c r="E283" t="s">
        <v>15</v>
      </c>
      <c r="F283" t="s">
        <v>41</v>
      </c>
      <c r="G283" t="s">
        <v>17</v>
      </c>
      <c r="H283" t="s">
        <v>219</v>
      </c>
      <c r="I283" t="s">
        <v>210</v>
      </c>
      <c r="J283" t="s">
        <v>43</v>
      </c>
      <c r="K283" t="s">
        <v>221</v>
      </c>
      <c r="L283" t="s">
        <v>278</v>
      </c>
      <c r="M283" t="s">
        <v>279</v>
      </c>
      <c r="N283" t="s">
        <v>280</v>
      </c>
      <c r="O283" t="s">
        <v>215</v>
      </c>
      <c r="P283" t="s">
        <v>216</v>
      </c>
      <c r="Q283" t="s">
        <v>217</v>
      </c>
      <c r="R283" t="s">
        <v>218</v>
      </c>
      <c r="S283" t="s">
        <v>244</v>
      </c>
    </row>
    <row r="284" spans="1:19" x14ac:dyDescent="0.35">
      <c r="A284" t="s">
        <v>79</v>
      </c>
      <c r="B284" t="s">
        <v>34</v>
      </c>
      <c r="C284" t="s">
        <v>30</v>
      </c>
      <c r="D284" t="s">
        <v>26</v>
      </c>
      <c r="E284" t="s">
        <v>15</v>
      </c>
      <c r="F284" t="s">
        <v>16</v>
      </c>
      <c r="G284" t="s">
        <v>17</v>
      </c>
      <c r="H284" t="s">
        <v>275</v>
      </c>
      <c r="I284" t="s">
        <v>230</v>
      </c>
      <c r="J284" t="s">
        <v>43</v>
      </c>
      <c r="K284" t="s">
        <v>276</v>
      </c>
      <c r="L284" t="s">
        <v>374</v>
      </c>
      <c r="M284" t="s">
        <v>375</v>
      </c>
      <c r="N284" t="s">
        <v>376</v>
      </c>
      <c r="O284" t="s">
        <v>215</v>
      </c>
      <c r="P284" t="s">
        <v>216</v>
      </c>
      <c r="Q284" t="s">
        <v>217</v>
      </c>
      <c r="R284" t="s">
        <v>218</v>
      </c>
      <c r="S284" t="s">
        <v>238</v>
      </c>
    </row>
    <row r="285" spans="1:19" x14ac:dyDescent="0.35">
      <c r="A285" t="s">
        <v>98</v>
      </c>
      <c r="B285" t="s">
        <v>29</v>
      </c>
      <c r="C285" t="s">
        <v>30</v>
      </c>
      <c r="D285" t="s">
        <v>14</v>
      </c>
      <c r="E285" t="s">
        <v>15</v>
      </c>
      <c r="F285" t="s">
        <v>31</v>
      </c>
      <c r="G285" t="s">
        <v>24</v>
      </c>
      <c r="H285" t="s">
        <v>252</v>
      </c>
      <c r="I285" t="s">
        <v>220</v>
      </c>
      <c r="J285" t="s">
        <v>43</v>
      </c>
      <c r="K285" t="s">
        <v>253</v>
      </c>
      <c r="L285" t="s">
        <v>226</v>
      </c>
      <c r="M285" t="s">
        <v>284</v>
      </c>
      <c r="N285" t="s">
        <v>253</v>
      </c>
      <c r="O285" t="s">
        <v>215</v>
      </c>
      <c r="P285" t="s">
        <v>216</v>
      </c>
      <c r="Q285" t="s">
        <v>217</v>
      </c>
      <c r="R285" t="s">
        <v>218</v>
      </c>
      <c r="S285" t="s">
        <v>220</v>
      </c>
    </row>
    <row r="286" spans="1:19" x14ac:dyDescent="0.35">
      <c r="A286" t="s">
        <v>62</v>
      </c>
      <c r="B286" t="s">
        <v>20</v>
      </c>
      <c r="C286" t="s">
        <v>30</v>
      </c>
      <c r="D286" t="s">
        <v>14</v>
      </c>
      <c r="E286" t="s">
        <v>22</v>
      </c>
      <c r="F286" t="s">
        <v>31</v>
      </c>
      <c r="G286" t="s">
        <v>24</v>
      </c>
      <c r="H286" t="s">
        <v>252</v>
      </c>
      <c r="I286" t="s">
        <v>230</v>
      </c>
      <c r="J286" t="s">
        <v>27</v>
      </c>
      <c r="K286" t="s">
        <v>253</v>
      </c>
      <c r="L286" t="s">
        <v>291</v>
      </c>
      <c r="M286" t="s">
        <v>292</v>
      </c>
      <c r="N286" t="s">
        <v>343</v>
      </c>
      <c r="O286" t="s">
        <v>215</v>
      </c>
      <c r="P286" t="s">
        <v>216</v>
      </c>
      <c r="Q286" t="s">
        <v>217</v>
      </c>
      <c r="R286" t="s">
        <v>218</v>
      </c>
      <c r="S286" t="s">
        <v>220</v>
      </c>
    </row>
    <row r="287" spans="1:19" x14ac:dyDescent="0.35">
      <c r="A287" t="s">
        <v>147</v>
      </c>
      <c r="B287" t="s">
        <v>29</v>
      </c>
      <c r="C287" t="s">
        <v>21</v>
      </c>
      <c r="D287" t="s">
        <v>26</v>
      </c>
      <c r="E287" t="s">
        <v>15</v>
      </c>
      <c r="F287" t="s">
        <v>47</v>
      </c>
      <c r="G287" t="s">
        <v>36</v>
      </c>
      <c r="H287" t="s">
        <v>229</v>
      </c>
      <c r="I287" t="s">
        <v>230</v>
      </c>
      <c r="J287" t="s">
        <v>54</v>
      </c>
      <c r="K287" t="s">
        <v>231</v>
      </c>
      <c r="L287" t="s">
        <v>232</v>
      </c>
      <c r="M287" t="s">
        <v>233</v>
      </c>
      <c r="N287" t="s">
        <v>234</v>
      </c>
      <c r="O287" t="s">
        <v>215</v>
      </c>
      <c r="P287" t="s">
        <v>216</v>
      </c>
      <c r="Q287" t="s">
        <v>217</v>
      </c>
      <c r="R287" t="s">
        <v>218</v>
      </c>
      <c r="S287" t="s">
        <v>220</v>
      </c>
    </row>
    <row r="288" spans="1:19" x14ac:dyDescent="0.35">
      <c r="A288" t="s">
        <v>148</v>
      </c>
      <c r="B288" t="s">
        <v>12</v>
      </c>
      <c r="C288" t="s">
        <v>21</v>
      </c>
      <c r="D288" t="s">
        <v>14</v>
      </c>
      <c r="E288" t="s">
        <v>15</v>
      </c>
      <c r="F288" t="s">
        <v>16</v>
      </c>
      <c r="G288" t="s">
        <v>17</v>
      </c>
      <c r="H288" t="s">
        <v>275</v>
      </c>
      <c r="I288" t="s">
        <v>244</v>
      </c>
      <c r="J288" t="s">
        <v>27</v>
      </c>
      <c r="K288" t="s">
        <v>276</v>
      </c>
      <c r="L288" t="s">
        <v>325</v>
      </c>
      <c r="M288" t="s">
        <v>326</v>
      </c>
      <c r="N288" t="s">
        <v>327</v>
      </c>
      <c r="O288" t="s">
        <v>215</v>
      </c>
      <c r="P288" t="s">
        <v>216</v>
      </c>
      <c r="Q288" t="s">
        <v>217</v>
      </c>
      <c r="R288" t="s">
        <v>218</v>
      </c>
      <c r="S288" t="s">
        <v>220</v>
      </c>
    </row>
    <row r="289" spans="1:19" x14ac:dyDescent="0.35">
      <c r="A289" t="s">
        <v>87</v>
      </c>
      <c r="B289" t="s">
        <v>29</v>
      </c>
      <c r="C289" t="s">
        <v>38</v>
      </c>
      <c r="D289" t="s">
        <v>14</v>
      </c>
      <c r="E289" t="s">
        <v>15</v>
      </c>
      <c r="F289" t="s">
        <v>16</v>
      </c>
      <c r="G289" t="s">
        <v>17</v>
      </c>
      <c r="H289" t="s">
        <v>275</v>
      </c>
      <c r="I289" t="s">
        <v>210</v>
      </c>
      <c r="J289" t="s">
        <v>32</v>
      </c>
      <c r="K289" t="s">
        <v>276</v>
      </c>
      <c r="L289" t="s">
        <v>314</v>
      </c>
      <c r="M289" t="s">
        <v>315</v>
      </c>
      <c r="N289" t="s">
        <v>316</v>
      </c>
      <c r="O289" t="s">
        <v>215</v>
      </c>
      <c r="P289" t="s">
        <v>216</v>
      </c>
      <c r="Q289" t="s">
        <v>217</v>
      </c>
      <c r="R289" t="s">
        <v>218</v>
      </c>
      <c r="S289" t="s">
        <v>244</v>
      </c>
    </row>
    <row r="290" spans="1:19" x14ac:dyDescent="0.35">
      <c r="A290" t="s">
        <v>148</v>
      </c>
      <c r="B290" t="s">
        <v>20</v>
      </c>
      <c r="C290" t="s">
        <v>21</v>
      </c>
      <c r="D290" t="s">
        <v>26</v>
      </c>
      <c r="E290" t="s">
        <v>22</v>
      </c>
      <c r="F290" t="s">
        <v>35</v>
      </c>
      <c r="G290" t="s">
        <v>36</v>
      </c>
      <c r="H290" t="s">
        <v>224</v>
      </c>
      <c r="I290" t="s">
        <v>210</v>
      </c>
      <c r="J290" t="s">
        <v>27</v>
      </c>
      <c r="K290" t="s">
        <v>226</v>
      </c>
      <c r="L290" t="s">
        <v>365</v>
      </c>
      <c r="M290" t="s">
        <v>366</v>
      </c>
      <c r="N290" t="s">
        <v>289</v>
      </c>
      <c r="O290" t="s">
        <v>215</v>
      </c>
      <c r="P290" t="s">
        <v>216</v>
      </c>
      <c r="Q290" t="s">
        <v>217</v>
      </c>
      <c r="R290" t="s">
        <v>218</v>
      </c>
      <c r="S290" t="s">
        <v>220</v>
      </c>
    </row>
    <row r="291" spans="1:19" x14ac:dyDescent="0.35">
      <c r="A291" t="s">
        <v>107</v>
      </c>
      <c r="B291" t="s">
        <v>29</v>
      </c>
      <c r="C291" t="s">
        <v>38</v>
      </c>
      <c r="D291" t="s">
        <v>14</v>
      </c>
      <c r="E291" t="s">
        <v>22</v>
      </c>
      <c r="F291" t="s">
        <v>31</v>
      </c>
      <c r="G291" t="s">
        <v>24</v>
      </c>
      <c r="H291" t="s">
        <v>252</v>
      </c>
      <c r="I291" t="s">
        <v>244</v>
      </c>
      <c r="J291" t="s">
        <v>18</v>
      </c>
      <c r="K291" t="s">
        <v>253</v>
      </c>
      <c r="L291" t="s">
        <v>209</v>
      </c>
      <c r="M291" t="s">
        <v>211</v>
      </c>
      <c r="N291" t="s">
        <v>254</v>
      </c>
      <c r="O291" t="s">
        <v>215</v>
      </c>
      <c r="P291" t="s">
        <v>216</v>
      </c>
      <c r="Q291" t="s">
        <v>217</v>
      </c>
      <c r="R291" t="s">
        <v>218</v>
      </c>
      <c r="S291" t="s">
        <v>244</v>
      </c>
    </row>
    <row r="292" spans="1:19" x14ac:dyDescent="0.35">
      <c r="A292" t="s">
        <v>25</v>
      </c>
      <c r="B292" t="s">
        <v>20</v>
      </c>
      <c r="C292" t="s">
        <v>13</v>
      </c>
      <c r="D292" t="s">
        <v>26</v>
      </c>
      <c r="E292" t="s">
        <v>15</v>
      </c>
      <c r="F292" t="s">
        <v>31</v>
      </c>
      <c r="G292" t="s">
        <v>24</v>
      </c>
      <c r="H292" t="s">
        <v>252</v>
      </c>
      <c r="I292" t="s">
        <v>244</v>
      </c>
      <c r="J292" t="s">
        <v>27</v>
      </c>
      <c r="K292" t="s">
        <v>253</v>
      </c>
      <c r="L292" t="s">
        <v>209</v>
      </c>
      <c r="M292" t="s">
        <v>211</v>
      </c>
      <c r="N292" t="s">
        <v>254</v>
      </c>
      <c r="O292" t="s">
        <v>215</v>
      </c>
      <c r="P292" t="s">
        <v>216</v>
      </c>
      <c r="Q292" t="s">
        <v>217</v>
      </c>
      <c r="R292" t="s">
        <v>218</v>
      </c>
      <c r="S292" t="s">
        <v>265</v>
      </c>
    </row>
    <row r="293" spans="1:19" x14ac:dyDescent="0.35">
      <c r="A293" t="s">
        <v>48</v>
      </c>
      <c r="B293" t="s">
        <v>12</v>
      </c>
      <c r="C293" t="s">
        <v>21</v>
      </c>
      <c r="D293" t="s">
        <v>14</v>
      </c>
      <c r="E293" t="s">
        <v>15</v>
      </c>
      <c r="F293" t="s">
        <v>16</v>
      </c>
      <c r="G293" t="s">
        <v>17</v>
      </c>
      <c r="H293" t="s">
        <v>275</v>
      </c>
      <c r="I293" t="s">
        <v>240</v>
      </c>
      <c r="J293" t="s">
        <v>27</v>
      </c>
      <c r="K293" t="s">
        <v>276</v>
      </c>
      <c r="L293" t="s">
        <v>281</v>
      </c>
      <c r="M293" t="s">
        <v>282</v>
      </c>
      <c r="N293" t="s">
        <v>283</v>
      </c>
      <c r="O293" t="s">
        <v>215</v>
      </c>
      <c r="P293" t="s">
        <v>216</v>
      </c>
      <c r="Q293" t="s">
        <v>217</v>
      </c>
      <c r="R293" t="s">
        <v>218</v>
      </c>
      <c r="S293" t="s">
        <v>238</v>
      </c>
    </row>
    <row r="294" spans="1:19" x14ac:dyDescent="0.35">
      <c r="A294" t="s">
        <v>140</v>
      </c>
      <c r="B294" t="s">
        <v>20</v>
      </c>
      <c r="C294" t="s">
        <v>30</v>
      </c>
      <c r="D294" t="s">
        <v>26</v>
      </c>
      <c r="E294" t="s">
        <v>22</v>
      </c>
      <c r="F294" t="s">
        <v>52</v>
      </c>
      <c r="G294" t="s">
        <v>36</v>
      </c>
      <c r="H294" t="s">
        <v>291</v>
      </c>
      <c r="I294" t="s">
        <v>265</v>
      </c>
      <c r="J294" t="s">
        <v>50</v>
      </c>
      <c r="K294" t="s">
        <v>292</v>
      </c>
      <c r="L294" t="s">
        <v>233</v>
      </c>
      <c r="M294" t="s">
        <v>293</v>
      </c>
      <c r="N294" t="s">
        <v>294</v>
      </c>
      <c r="O294" t="s">
        <v>215</v>
      </c>
      <c r="P294" t="s">
        <v>216</v>
      </c>
      <c r="Q294" t="s">
        <v>217</v>
      </c>
      <c r="R294" t="s">
        <v>218</v>
      </c>
      <c r="S294" t="s">
        <v>220</v>
      </c>
    </row>
    <row r="295" spans="1:19" x14ac:dyDescent="0.35">
      <c r="A295" t="s">
        <v>139</v>
      </c>
      <c r="B295" t="s">
        <v>34</v>
      </c>
      <c r="C295" t="s">
        <v>38</v>
      </c>
      <c r="D295" t="s">
        <v>14</v>
      </c>
      <c r="E295" t="s">
        <v>22</v>
      </c>
      <c r="F295" t="s">
        <v>56</v>
      </c>
      <c r="G295" t="s">
        <v>36</v>
      </c>
      <c r="H295" t="s">
        <v>260</v>
      </c>
      <c r="I295" t="s">
        <v>240</v>
      </c>
      <c r="J295" t="s">
        <v>54</v>
      </c>
      <c r="K295" t="s">
        <v>261</v>
      </c>
      <c r="L295" t="s">
        <v>227</v>
      </c>
      <c r="M295" t="s">
        <v>228</v>
      </c>
      <c r="N295" t="s">
        <v>224</v>
      </c>
      <c r="O295" t="s">
        <v>215</v>
      </c>
      <c r="P295" t="s">
        <v>216</v>
      </c>
      <c r="Q295" t="s">
        <v>217</v>
      </c>
      <c r="R295" t="s">
        <v>218</v>
      </c>
      <c r="S295" t="s">
        <v>265</v>
      </c>
    </row>
    <row r="296" spans="1:19" x14ac:dyDescent="0.35">
      <c r="A296" t="s">
        <v>138</v>
      </c>
      <c r="B296" t="s">
        <v>34</v>
      </c>
      <c r="C296" t="s">
        <v>13</v>
      </c>
      <c r="D296" t="s">
        <v>14</v>
      </c>
      <c r="E296" t="s">
        <v>15</v>
      </c>
      <c r="F296" t="s">
        <v>47</v>
      </c>
      <c r="G296" t="s">
        <v>36</v>
      </c>
      <c r="H296" t="s">
        <v>229</v>
      </c>
      <c r="I296" t="s">
        <v>249</v>
      </c>
      <c r="J296" t="s">
        <v>27</v>
      </c>
      <c r="K296" t="s">
        <v>231</v>
      </c>
      <c r="L296" t="s">
        <v>228</v>
      </c>
      <c r="M296" t="s">
        <v>290</v>
      </c>
      <c r="N296" t="s">
        <v>226</v>
      </c>
      <c r="O296" t="s">
        <v>215</v>
      </c>
      <c r="P296" t="s">
        <v>216</v>
      </c>
      <c r="Q296" t="s">
        <v>217</v>
      </c>
      <c r="R296" t="s">
        <v>218</v>
      </c>
      <c r="S296" t="s">
        <v>244</v>
      </c>
    </row>
    <row r="297" spans="1:19" x14ac:dyDescent="0.35">
      <c r="A297" t="s">
        <v>108</v>
      </c>
      <c r="B297" t="s">
        <v>20</v>
      </c>
      <c r="C297" t="s">
        <v>30</v>
      </c>
      <c r="D297" t="s">
        <v>26</v>
      </c>
      <c r="E297" t="s">
        <v>15</v>
      </c>
      <c r="F297" t="s">
        <v>47</v>
      </c>
      <c r="G297" t="s">
        <v>36</v>
      </c>
      <c r="H297" t="s">
        <v>229</v>
      </c>
      <c r="I297" t="s">
        <v>210</v>
      </c>
      <c r="J297" t="s">
        <v>27</v>
      </c>
      <c r="K297" t="s">
        <v>231</v>
      </c>
      <c r="L297" t="s">
        <v>227</v>
      </c>
      <c r="M297" t="s">
        <v>228</v>
      </c>
      <c r="N297" t="s">
        <v>224</v>
      </c>
      <c r="O297" t="s">
        <v>215</v>
      </c>
      <c r="P297" t="s">
        <v>216</v>
      </c>
      <c r="Q297" t="s">
        <v>217</v>
      </c>
      <c r="R297" t="s">
        <v>218</v>
      </c>
      <c r="S297" t="s">
        <v>220</v>
      </c>
    </row>
    <row r="298" spans="1:19" x14ac:dyDescent="0.35">
      <c r="A298" t="s">
        <v>148</v>
      </c>
      <c r="B298" t="s">
        <v>20</v>
      </c>
      <c r="C298" t="s">
        <v>30</v>
      </c>
      <c r="D298" t="s">
        <v>14</v>
      </c>
      <c r="E298" t="s">
        <v>15</v>
      </c>
      <c r="F298" t="s">
        <v>56</v>
      </c>
      <c r="G298" t="s">
        <v>36</v>
      </c>
      <c r="H298" t="s">
        <v>260</v>
      </c>
      <c r="I298" t="s">
        <v>225</v>
      </c>
      <c r="J298" t="s">
        <v>54</v>
      </c>
      <c r="K298" t="s">
        <v>261</v>
      </c>
      <c r="L298" t="s">
        <v>379</v>
      </c>
      <c r="M298" t="s">
        <v>335</v>
      </c>
      <c r="N298" t="s">
        <v>260</v>
      </c>
      <c r="O298" t="s">
        <v>215</v>
      </c>
      <c r="P298" t="s">
        <v>216</v>
      </c>
      <c r="Q298" t="s">
        <v>217</v>
      </c>
      <c r="R298" t="s">
        <v>218</v>
      </c>
      <c r="S298" t="s">
        <v>220</v>
      </c>
    </row>
    <row r="299" spans="1:19" x14ac:dyDescent="0.35">
      <c r="A299" t="s">
        <v>104</v>
      </c>
      <c r="B299" t="s">
        <v>12</v>
      </c>
      <c r="C299" t="s">
        <v>30</v>
      </c>
      <c r="D299" t="s">
        <v>14</v>
      </c>
      <c r="E299" t="s">
        <v>22</v>
      </c>
      <c r="F299" t="s">
        <v>41</v>
      </c>
      <c r="G299" t="s">
        <v>17</v>
      </c>
      <c r="H299" t="s">
        <v>219</v>
      </c>
      <c r="I299" t="s">
        <v>269</v>
      </c>
      <c r="J299" t="s">
        <v>18</v>
      </c>
      <c r="K299" t="s">
        <v>221</v>
      </c>
      <c r="L299" t="s">
        <v>362</v>
      </c>
      <c r="M299" t="s">
        <v>363</v>
      </c>
      <c r="N299" t="s">
        <v>342</v>
      </c>
      <c r="O299" t="s">
        <v>215</v>
      </c>
      <c r="P299" t="s">
        <v>216</v>
      </c>
      <c r="Q299" t="s">
        <v>217</v>
      </c>
      <c r="R299" t="s">
        <v>218</v>
      </c>
      <c r="S299" t="s">
        <v>265</v>
      </c>
    </row>
    <row r="300" spans="1:19" x14ac:dyDescent="0.35">
      <c r="A300" t="s">
        <v>87</v>
      </c>
      <c r="B300" t="s">
        <v>12</v>
      </c>
      <c r="C300" t="s">
        <v>13</v>
      </c>
      <c r="D300" t="s">
        <v>26</v>
      </c>
      <c r="E300" t="s">
        <v>22</v>
      </c>
      <c r="F300" t="s">
        <v>39</v>
      </c>
      <c r="G300" t="s">
        <v>24</v>
      </c>
      <c r="H300" t="s">
        <v>209</v>
      </c>
      <c r="I300" t="s">
        <v>210</v>
      </c>
      <c r="J300" t="s">
        <v>54</v>
      </c>
      <c r="K300" t="s">
        <v>211</v>
      </c>
      <c r="L300" t="s">
        <v>212</v>
      </c>
      <c r="M300" t="s">
        <v>213</v>
      </c>
      <c r="N300" t="s">
        <v>214</v>
      </c>
      <c r="O300" t="s">
        <v>215</v>
      </c>
      <c r="P300" t="s">
        <v>216</v>
      </c>
      <c r="Q300" t="s">
        <v>217</v>
      </c>
      <c r="R300" t="s">
        <v>218</v>
      </c>
      <c r="S300" t="s">
        <v>244</v>
      </c>
    </row>
    <row r="301" spans="1:19" x14ac:dyDescent="0.35">
      <c r="A301" t="s">
        <v>129</v>
      </c>
      <c r="B301" t="s">
        <v>12</v>
      </c>
      <c r="C301" t="s">
        <v>30</v>
      </c>
      <c r="D301" t="s">
        <v>26</v>
      </c>
      <c r="E301" t="s">
        <v>22</v>
      </c>
      <c r="F301" t="s">
        <v>31</v>
      </c>
      <c r="G301" t="s">
        <v>24</v>
      </c>
      <c r="H301" t="s">
        <v>252</v>
      </c>
      <c r="I301" t="s">
        <v>240</v>
      </c>
      <c r="J301" t="s">
        <v>50</v>
      </c>
      <c r="K301" t="s">
        <v>253</v>
      </c>
      <c r="L301" t="s">
        <v>214</v>
      </c>
      <c r="M301" t="s">
        <v>251</v>
      </c>
      <c r="N301" t="s">
        <v>247</v>
      </c>
      <c r="O301" t="s">
        <v>215</v>
      </c>
      <c r="P301" t="s">
        <v>216</v>
      </c>
      <c r="Q301" t="s">
        <v>217</v>
      </c>
      <c r="R301" t="s">
        <v>218</v>
      </c>
      <c r="S301" t="s">
        <v>265</v>
      </c>
    </row>
    <row r="302" spans="1:19" x14ac:dyDescent="0.35">
      <c r="A302" t="s">
        <v>111</v>
      </c>
      <c r="B302" t="s">
        <v>12</v>
      </c>
      <c r="C302" t="s">
        <v>30</v>
      </c>
      <c r="D302" t="s">
        <v>26</v>
      </c>
      <c r="E302" t="s">
        <v>15</v>
      </c>
      <c r="F302" t="s">
        <v>47</v>
      </c>
      <c r="G302" t="s">
        <v>36</v>
      </c>
      <c r="H302" t="s">
        <v>229</v>
      </c>
      <c r="I302" t="s">
        <v>210</v>
      </c>
      <c r="J302" t="s">
        <v>32</v>
      </c>
      <c r="K302" t="s">
        <v>231</v>
      </c>
      <c r="L302" t="s">
        <v>227</v>
      </c>
      <c r="M302" t="s">
        <v>228</v>
      </c>
      <c r="N302" t="s">
        <v>224</v>
      </c>
      <c r="O302" t="s">
        <v>215</v>
      </c>
      <c r="P302" t="s">
        <v>216</v>
      </c>
      <c r="Q302" t="s">
        <v>217</v>
      </c>
      <c r="R302" t="s">
        <v>218</v>
      </c>
      <c r="S302" t="s">
        <v>238</v>
      </c>
    </row>
    <row r="303" spans="1:19" x14ac:dyDescent="0.35">
      <c r="A303" t="s">
        <v>64</v>
      </c>
      <c r="B303" t="s">
        <v>20</v>
      </c>
      <c r="C303" t="s">
        <v>13</v>
      </c>
      <c r="D303" t="s">
        <v>14</v>
      </c>
      <c r="E303" t="s">
        <v>15</v>
      </c>
      <c r="F303" t="s">
        <v>56</v>
      </c>
      <c r="G303" t="s">
        <v>36</v>
      </c>
      <c r="H303" t="s">
        <v>260</v>
      </c>
      <c r="I303" t="s">
        <v>225</v>
      </c>
      <c r="J303" t="s">
        <v>50</v>
      </c>
      <c r="K303" t="s">
        <v>261</v>
      </c>
      <c r="L303" t="s">
        <v>379</v>
      </c>
      <c r="M303" t="s">
        <v>335</v>
      </c>
      <c r="N303" t="s">
        <v>260</v>
      </c>
      <c r="O303" t="s">
        <v>215</v>
      </c>
      <c r="P303" t="s">
        <v>216</v>
      </c>
      <c r="Q303" t="s">
        <v>217</v>
      </c>
      <c r="R303" t="s">
        <v>218</v>
      </c>
      <c r="S303" t="s">
        <v>265</v>
      </c>
    </row>
    <row r="304" spans="1:19" x14ac:dyDescent="0.35">
      <c r="A304" t="s">
        <v>119</v>
      </c>
      <c r="B304" t="s">
        <v>12</v>
      </c>
      <c r="C304" t="s">
        <v>30</v>
      </c>
      <c r="D304" t="s">
        <v>14</v>
      </c>
      <c r="E304" t="s">
        <v>15</v>
      </c>
      <c r="F304" t="s">
        <v>39</v>
      </c>
      <c r="G304" t="s">
        <v>24</v>
      </c>
      <c r="H304" t="s">
        <v>209</v>
      </c>
      <c r="I304" t="s">
        <v>244</v>
      </c>
      <c r="J304" t="s">
        <v>18</v>
      </c>
      <c r="K304" t="s">
        <v>211</v>
      </c>
      <c r="L304" t="s">
        <v>272</v>
      </c>
      <c r="M304" t="s">
        <v>273</v>
      </c>
      <c r="N304" t="s">
        <v>274</v>
      </c>
      <c r="O304" t="s">
        <v>215</v>
      </c>
      <c r="P304" t="s">
        <v>216</v>
      </c>
      <c r="Q304" t="s">
        <v>217</v>
      </c>
      <c r="R304" t="s">
        <v>218</v>
      </c>
      <c r="S304" t="s">
        <v>238</v>
      </c>
    </row>
    <row r="305" spans="1:19" x14ac:dyDescent="0.35">
      <c r="A305" t="s">
        <v>141</v>
      </c>
      <c r="B305" t="s">
        <v>12</v>
      </c>
      <c r="C305" t="s">
        <v>30</v>
      </c>
      <c r="D305" t="s">
        <v>26</v>
      </c>
      <c r="E305" t="s">
        <v>22</v>
      </c>
      <c r="F305" t="s">
        <v>41</v>
      </c>
      <c r="G305" t="s">
        <v>17</v>
      </c>
      <c r="H305" t="s">
        <v>219</v>
      </c>
      <c r="I305" t="s">
        <v>225</v>
      </c>
      <c r="J305" t="s">
        <v>50</v>
      </c>
      <c r="K305" t="s">
        <v>221</v>
      </c>
      <c r="L305" t="s">
        <v>263</v>
      </c>
      <c r="M305" t="s">
        <v>222</v>
      </c>
      <c r="N305" t="s">
        <v>219</v>
      </c>
      <c r="O305" t="s">
        <v>215</v>
      </c>
      <c r="P305" t="s">
        <v>216</v>
      </c>
      <c r="Q305" t="s">
        <v>217</v>
      </c>
      <c r="R305" t="s">
        <v>218</v>
      </c>
      <c r="S305" t="s">
        <v>265</v>
      </c>
    </row>
    <row r="306" spans="1:19" x14ac:dyDescent="0.35">
      <c r="A306" t="s">
        <v>92</v>
      </c>
      <c r="B306" t="s">
        <v>29</v>
      </c>
      <c r="C306" t="s">
        <v>13</v>
      </c>
      <c r="D306" t="s">
        <v>14</v>
      </c>
      <c r="E306" t="s">
        <v>22</v>
      </c>
      <c r="F306" t="s">
        <v>41</v>
      </c>
      <c r="G306" t="s">
        <v>17</v>
      </c>
      <c r="H306" t="s">
        <v>219</v>
      </c>
      <c r="I306" t="s">
        <v>210</v>
      </c>
      <c r="J306" t="s">
        <v>27</v>
      </c>
      <c r="K306" t="s">
        <v>221</v>
      </c>
      <c r="L306" t="s">
        <v>278</v>
      </c>
      <c r="M306" t="s">
        <v>279</v>
      </c>
      <c r="N306" t="s">
        <v>280</v>
      </c>
      <c r="O306" t="s">
        <v>215</v>
      </c>
      <c r="P306" t="s">
        <v>216</v>
      </c>
      <c r="Q306" t="s">
        <v>217</v>
      </c>
      <c r="R306" t="s">
        <v>218</v>
      </c>
      <c r="S306" t="s">
        <v>265</v>
      </c>
    </row>
    <row r="307" spans="1:19" x14ac:dyDescent="0.35">
      <c r="A307" t="s">
        <v>64</v>
      </c>
      <c r="B307" t="s">
        <v>20</v>
      </c>
      <c r="C307" t="s">
        <v>13</v>
      </c>
      <c r="D307" t="s">
        <v>26</v>
      </c>
      <c r="E307" t="s">
        <v>15</v>
      </c>
      <c r="F307" t="s">
        <v>23</v>
      </c>
      <c r="G307" t="s">
        <v>24</v>
      </c>
      <c r="H307" t="s">
        <v>239</v>
      </c>
      <c r="I307" t="s">
        <v>225</v>
      </c>
      <c r="J307" t="s">
        <v>18</v>
      </c>
      <c r="K307" t="s">
        <v>245</v>
      </c>
      <c r="L307" t="s">
        <v>229</v>
      </c>
      <c r="M307" t="s">
        <v>231</v>
      </c>
      <c r="N307" t="s">
        <v>239</v>
      </c>
      <c r="O307" t="s">
        <v>215</v>
      </c>
      <c r="P307" t="s">
        <v>216</v>
      </c>
      <c r="Q307" t="s">
        <v>217</v>
      </c>
      <c r="R307" t="s">
        <v>218</v>
      </c>
      <c r="S307" t="s">
        <v>265</v>
      </c>
    </row>
    <row r="308" spans="1:19" x14ac:dyDescent="0.35">
      <c r="A308" t="s">
        <v>96</v>
      </c>
      <c r="B308" t="s">
        <v>34</v>
      </c>
      <c r="C308" t="s">
        <v>13</v>
      </c>
      <c r="D308" t="s">
        <v>26</v>
      </c>
      <c r="E308" t="s">
        <v>22</v>
      </c>
      <c r="F308" t="s">
        <v>52</v>
      </c>
      <c r="G308" t="s">
        <v>36</v>
      </c>
      <c r="H308" t="s">
        <v>291</v>
      </c>
      <c r="I308" t="s">
        <v>244</v>
      </c>
      <c r="J308" t="s">
        <v>18</v>
      </c>
      <c r="K308" t="s">
        <v>292</v>
      </c>
      <c r="L308" t="s">
        <v>317</v>
      </c>
      <c r="M308" t="s">
        <v>318</v>
      </c>
      <c r="N308" t="s">
        <v>319</v>
      </c>
      <c r="O308" t="s">
        <v>215</v>
      </c>
      <c r="P308" t="s">
        <v>216</v>
      </c>
      <c r="Q308" t="s">
        <v>217</v>
      </c>
      <c r="R308" t="s">
        <v>218</v>
      </c>
      <c r="S308" t="s">
        <v>265</v>
      </c>
    </row>
    <row r="309" spans="1:19" x14ac:dyDescent="0.35">
      <c r="A309" t="s">
        <v>37</v>
      </c>
      <c r="B309" t="s">
        <v>20</v>
      </c>
      <c r="C309" t="s">
        <v>30</v>
      </c>
      <c r="D309" t="s">
        <v>14</v>
      </c>
      <c r="E309" t="s">
        <v>15</v>
      </c>
      <c r="F309" t="s">
        <v>23</v>
      </c>
      <c r="G309" t="s">
        <v>24</v>
      </c>
      <c r="H309" t="s">
        <v>239</v>
      </c>
      <c r="I309" t="s">
        <v>220</v>
      </c>
      <c r="J309" t="s">
        <v>43</v>
      </c>
      <c r="K309" t="s">
        <v>245</v>
      </c>
      <c r="L309" t="s">
        <v>231</v>
      </c>
      <c r="M309" t="s">
        <v>311</v>
      </c>
      <c r="N309" t="s">
        <v>245</v>
      </c>
      <c r="O309" t="s">
        <v>215</v>
      </c>
      <c r="P309" t="s">
        <v>216</v>
      </c>
      <c r="Q309" t="s">
        <v>217</v>
      </c>
      <c r="R309" t="s">
        <v>218</v>
      </c>
      <c r="S309" t="s">
        <v>244</v>
      </c>
    </row>
    <row r="310" spans="1:19" x14ac:dyDescent="0.35">
      <c r="A310" t="s">
        <v>147</v>
      </c>
      <c r="B310" t="s">
        <v>20</v>
      </c>
      <c r="C310" t="s">
        <v>13</v>
      </c>
      <c r="D310" t="s">
        <v>14</v>
      </c>
      <c r="E310" t="s">
        <v>15</v>
      </c>
      <c r="F310" t="s">
        <v>39</v>
      </c>
      <c r="G310" t="s">
        <v>24</v>
      </c>
      <c r="H310" t="s">
        <v>209</v>
      </c>
      <c r="I310" t="s">
        <v>220</v>
      </c>
      <c r="J310" t="s">
        <v>18</v>
      </c>
      <c r="K310" t="s">
        <v>211</v>
      </c>
      <c r="L310" t="s">
        <v>302</v>
      </c>
      <c r="M310" t="s">
        <v>342</v>
      </c>
      <c r="N310" t="s">
        <v>211</v>
      </c>
      <c r="O310" t="s">
        <v>215</v>
      </c>
      <c r="P310" t="s">
        <v>216</v>
      </c>
      <c r="Q310" t="s">
        <v>217</v>
      </c>
      <c r="R310" t="s">
        <v>218</v>
      </c>
      <c r="S310" t="s">
        <v>220</v>
      </c>
    </row>
    <row r="311" spans="1:19" x14ac:dyDescent="0.35">
      <c r="A311" t="s">
        <v>133</v>
      </c>
      <c r="B311" t="s">
        <v>20</v>
      </c>
      <c r="C311" t="s">
        <v>21</v>
      </c>
      <c r="D311" t="s">
        <v>14</v>
      </c>
      <c r="E311" t="s">
        <v>15</v>
      </c>
      <c r="F311" t="s">
        <v>56</v>
      </c>
      <c r="G311" t="s">
        <v>36</v>
      </c>
      <c r="H311" t="s">
        <v>260</v>
      </c>
      <c r="I311" t="s">
        <v>225</v>
      </c>
      <c r="J311" t="s">
        <v>54</v>
      </c>
      <c r="K311" t="s">
        <v>261</v>
      </c>
      <c r="L311" t="s">
        <v>379</v>
      </c>
      <c r="M311" t="s">
        <v>335</v>
      </c>
      <c r="N311" t="s">
        <v>260</v>
      </c>
      <c r="O311" t="s">
        <v>215</v>
      </c>
      <c r="P311" t="s">
        <v>216</v>
      </c>
      <c r="Q311" t="s">
        <v>217</v>
      </c>
      <c r="R311" t="s">
        <v>218</v>
      </c>
      <c r="S311" t="s">
        <v>265</v>
      </c>
    </row>
    <row r="312" spans="1:19" x14ac:dyDescent="0.35">
      <c r="A312" t="s">
        <v>149</v>
      </c>
      <c r="B312" t="s">
        <v>12</v>
      </c>
      <c r="C312" t="s">
        <v>38</v>
      </c>
      <c r="D312" t="s">
        <v>26</v>
      </c>
      <c r="E312" t="s">
        <v>22</v>
      </c>
      <c r="F312" t="s">
        <v>39</v>
      </c>
      <c r="G312" t="s">
        <v>24</v>
      </c>
      <c r="H312" t="s">
        <v>209</v>
      </c>
      <c r="I312" t="s">
        <v>244</v>
      </c>
      <c r="J312" t="s">
        <v>43</v>
      </c>
      <c r="K312" t="s">
        <v>211</v>
      </c>
      <c r="L312" t="s">
        <v>272</v>
      </c>
      <c r="M312" t="s">
        <v>273</v>
      </c>
      <c r="N312" t="s">
        <v>274</v>
      </c>
      <c r="O312" t="s">
        <v>215</v>
      </c>
      <c r="P312" t="s">
        <v>216</v>
      </c>
      <c r="Q312" t="s">
        <v>217</v>
      </c>
      <c r="R312" t="s">
        <v>218</v>
      </c>
      <c r="S312" t="s">
        <v>244</v>
      </c>
    </row>
    <row r="313" spans="1:19" x14ac:dyDescent="0.35">
      <c r="A313" t="s">
        <v>107</v>
      </c>
      <c r="B313" t="s">
        <v>20</v>
      </c>
      <c r="C313" t="s">
        <v>13</v>
      </c>
      <c r="D313" t="s">
        <v>14</v>
      </c>
      <c r="E313" t="s">
        <v>15</v>
      </c>
      <c r="F313" t="s">
        <v>35</v>
      </c>
      <c r="G313" t="s">
        <v>36</v>
      </c>
      <c r="H313" t="s">
        <v>224</v>
      </c>
      <c r="I313" t="s">
        <v>225</v>
      </c>
      <c r="J313" t="s">
        <v>54</v>
      </c>
      <c r="K313" t="s">
        <v>226</v>
      </c>
      <c r="L313" t="s">
        <v>227</v>
      </c>
      <c r="M313" t="s">
        <v>228</v>
      </c>
      <c r="N313" t="s">
        <v>224</v>
      </c>
      <c r="O313" t="s">
        <v>215</v>
      </c>
      <c r="P313" t="s">
        <v>216</v>
      </c>
      <c r="Q313" t="s">
        <v>217</v>
      </c>
      <c r="R313" t="s">
        <v>218</v>
      </c>
      <c r="S313" t="s">
        <v>244</v>
      </c>
    </row>
    <row r="314" spans="1:19" x14ac:dyDescent="0.35">
      <c r="A314" t="s">
        <v>11</v>
      </c>
      <c r="B314" t="s">
        <v>12</v>
      </c>
      <c r="C314" t="s">
        <v>30</v>
      </c>
      <c r="D314" t="s">
        <v>14</v>
      </c>
      <c r="E314" t="s">
        <v>22</v>
      </c>
      <c r="F314" t="s">
        <v>16</v>
      </c>
      <c r="G314" t="s">
        <v>17</v>
      </c>
      <c r="H314" t="s">
        <v>275</v>
      </c>
      <c r="I314" t="s">
        <v>249</v>
      </c>
      <c r="J314" t="s">
        <v>43</v>
      </c>
      <c r="K314" t="s">
        <v>276</v>
      </c>
      <c r="L314" t="s">
        <v>315</v>
      </c>
      <c r="M314" t="s">
        <v>322</v>
      </c>
      <c r="N314" t="s">
        <v>323</v>
      </c>
      <c r="O314" t="s">
        <v>215</v>
      </c>
      <c r="P314" t="s">
        <v>216</v>
      </c>
      <c r="Q314" t="s">
        <v>217</v>
      </c>
      <c r="R314" t="s">
        <v>218</v>
      </c>
      <c r="S314" t="s">
        <v>238</v>
      </c>
    </row>
    <row r="315" spans="1:19" x14ac:dyDescent="0.35">
      <c r="A315" t="s">
        <v>150</v>
      </c>
      <c r="B315" t="s">
        <v>20</v>
      </c>
      <c r="C315" t="s">
        <v>21</v>
      </c>
      <c r="D315" t="s">
        <v>26</v>
      </c>
      <c r="E315" t="s">
        <v>15</v>
      </c>
      <c r="F315" t="s">
        <v>39</v>
      </c>
      <c r="G315" t="s">
        <v>24</v>
      </c>
      <c r="H315" t="s">
        <v>209</v>
      </c>
      <c r="I315" t="s">
        <v>240</v>
      </c>
      <c r="J315" t="s">
        <v>54</v>
      </c>
      <c r="K315" t="s">
        <v>211</v>
      </c>
      <c r="L315" t="s">
        <v>266</v>
      </c>
      <c r="M315" t="s">
        <v>267</v>
      </c>
      <c r="N315" t="s">
        <v>268</v>
      </c>
      <c r="O315" t="s">
        <v>215</v>
      </c>
      <c r="P315" t="s">
        <v>216</v>
      </c>
      <c r="Q315" t="s">
        <v>217</v>
      </c>
      <c r="R315" t="s">
        <v>218</v>
      </c>
      <c r="S315" t="s">
        <v>220</v>
      </c>
    </row>
    <row r="316" spans="1:19" x14ac:dyDescent="0.35">
      <c r="A316" t="s">
        <v>100</v>
      </c>
      <c r="B316" t="s">
        <v>20</v>
      </c>
      <c r="C316" t="s">
        <v>21</v>
      </c>
      <c r="D316" t="s">
        <v>26</v>
      </c>
      <c r="E316" t="s">
        <v>15</v>
      </c>
      <c r="F316" t="s">
        <v>52</v>
      </c>
      <c r="G316" t="s">
        <v>36</v>
      </c>
      <c r="H316" t="s">
        <v>291</v>
      </c>
      <c r="I316" t="s">
        <v>230</v>
      </c>
      <c r="J316" t="s">
        <v>50</v>
      </c>
      <c r="K316" t="s">
        <v>292</v>
      </c>
      <c r="L316" t="s">
        <v>357</v>
      </c>
      <c r="M316" t="s">
        <v>358</v>
      </c>
      <c r="N316" t="s">
        <v>359</v>
      </c>
      <c r="O316" t="s">
        <v>215</v>
      </c>
      <c r="P316" t="s">
        <v>216</v>
      </c>
      <c r="Q316" t="s">
        <v>217</v>
      </c>
      <c r="R316" t="s">
        <v>218</v>
      </c>
      <c r="S316" t="s">
        <v>238</v>
      </c>
    </row>
    <row r="317" spans="1:19" x14ac:dyDescent="0.35">
      <c r="A317" t="s">
        <v>105</v>
      </c>
      <c r="B317" t="s">
        <v>29</v>
      </c>
      <c r="C317" t="s">
        <v>30</v>
      </c>
      <c r="D317" t="s">
        <v>26</v>
      </c>
      <c r="E317" t="s">
        <v>15</v>
      </c>
      <c r="F317" t="s">
        <v>47</v>
      </c>
      <c r="G317" t="s">
        <v>36</v>
      </c>
      <c r="H317" t="s">
        <v>229</v>
      </c>
      <c r="I317" t="s">
        <v>249</v>
      </c>
      <c r="J317" t="s">
        <v>18</v>
      </c>
      <c r="K317" t="s">
        <v>231</v>
      </c>
      <c r="L317" t="s">
        <v>228</v>
      </c>
      <c r="M317" t="s">
        <v>290</v>
      </c>
      <c r="N317" t="s">
        <v>226</v>
      </c>
      <c r="O317" t="s">
        <v>215</v>
      </c>
      <c r="P317" t="s">
        <v>216</v>
      </c>
      <c r="Q317" t="s">
        <v>217</v>
      </c>
      <c r="R317" t="s">
        <v>218</v>
      </c>
      <c r="S317" t="s">
        <v>244</v>
      </c>
    </row>
    <row r="318" spans="1:19" x14ac:dyDescent="0.35">
      <c r="A318" t="s">
        <v>134</v>
      </c>
      <c r="B318" t="s">
        <v>20</v>
      </c>
      <c r="C318" t="s">
        <v>30</v>
      </c>
      <c r="D318" t="s">
        <v>14</v>
      </c>
      <c r="E318" t="s">
        <v>15</v>
      </c>
      <c r="F318" t="s">
        <v>16</v>
      </c>
      <c r="G318" t="s">
        <v>17</v>
      </c>
      <c r="H318" t="s">
        <v>275</v>
      </c>
      <c r="I318" t="s">
        <v>240</v>
      </c>
      <c r="J318" t="s">
        <v>50</v>
      </c>
      <c r="K318" t="s">
        <v>276</v>
      </c>
      <c r="L318" t="s">
        <v>281</v>
      </c>
      <c r="M318" t="s">
        <v>282</v>
      </c>
      <c r="N318" t="s">
        <v>283</v>
      </c>
      <c r="O318" t="s">
        <v>215</v>
      </c>
      <c r="P318" t="s">
        <v>216</v>
      </c>
      <c r="Q318" t="s">
        <v>217</v>
      </c>
      <c r="R318" t="s">
        <v>218</v>
      </c>
      <c r="S318" t="s">
        <v>220</v>
      </c>
    </row>
    <row r="319" spans="1:19" x14ac:dyDescent="0.35">
      <c r="A319" t="s">
        <v>98</v>
      </c>
      <c r="B319" t="s">
        <v>29</v>
      </c>
      <c r="C319" t="s">
        <v>13</v>
      </c>
      <c r="D319" t="s">
        <v>14</v>
      </c>
      <c r="E319" t="s">
        <v>22</v>
      </c>
      <c r="F319" t="s">
        <v>39</v>
      </c>
      <c r="G319" t="s">
        <v>24</v>
      </c>
      <c r="H319" t="s">
        <v>209</v>
      </c>
      <c r="I319" t="s">
        <v>269</v>
      </c>
      <c r="J319" t="s">
        <v>32</v>
      </c>
      <c r="K319" t="s">
        <v>211</v>
      </c>
      <c r="L319" t="s">
        <v>371</v>
      </c>
      <c r="M319" t="s">
        <v>372</v>
      </c>
      <c r="N319" t="s">
        <v>373</v>
      </c>
      <c r="O319" t="s">
        <v>215</v>
      </c>
      <c r="P319" t="s">
        <v>216</v>
      </c>
      <c r="Q319" t="s">
        <v>217</v>
      </c>
      <c r="R319" t="s">
        <v>218</v>
      </c>
      <c r="S319" t="s">
        <v>220</v>
      </c>
    </row>
    <row r="320" spans="1:19" x14ac:dyDescent="0.35">
      <c r="A320" t="s">
        <v>138</v>
      </c>
      <c r="B320" t="s">
        <v>12</v>
      </c>
      <c r="C320" t="s">
        <v>30</v>
      </c>
      <c r="D320" t="s">
        <v>26</v>
      </c>
      <c r="E320" t="s">
        <v>15</v>
      </c>
      <c r="F320" t="s">
        <v>56</v>
      </c>
      <c r="G320" t="s">
        <v>36</v>
      </c>
      <c r="H320" t="s">
        <v>260</v>
      </c>
      <c r="I320" t="s">
        <v>225</v>
      </c>
      <c r="J320" t="s">
        <v>50</v>
      </c>
      <c r="K320" t="s">
        <v>261</v>
      </c>
      <c r="L320" t="s">
        <v>379</v>
      </c>
      <c r="M320" t="s">
        <v>335</v>
      </c>
      <c r="N320" t="s">
        <v>260</v>
      </c>
      <c r="O320" t="s">
        <v>215</v>
      </c>
      <c r="P320" t="s">
        <v>216</v>
      </c>
      <c r="Q320" t="s">
        <v>217</v>
      </c>
      <c r="R320" t="s">
        <v>218</v>
      </c>
      <c r="S320" t="s">
        <v>244</v>
      </c>
    </row>
    <row r="321" spans="1:19" x14ac:dyDescent="0.35">
      <c r="A321" t="s">
        <v>145</v>
      </c>
      <c r="B321" t="s">
        <v>34</v>
      </c>
      <c r="C321" t="s">
        <v>30</v>
      </c>
      <c r="D321" t="s">
        <v>14</v>
      </c>
      <c r="E321" t="s">
        <v>22</v>
      </c>
      <c r="F321" t="s">
        <v>41</v>
      </c>
      <c r="G321" t="s">
        <v>17</v>
      </c>
      <c r="H321" t="s">
        <v>219</v>
      </c>
      <c r="I321" t="s">
        <v>269</v>
      </c>
      <c r="J321" t="s">
        <v>32</v>
      </c>
      <c r="K321" t="s">
        <v>221</v>
      </c>
      <c r="L321" t="s">
        <v>362</v>
      </c>
      <c r="M321" t="s">
        <v>363</v>
      </c>
      <c r="N321" t="s">
        <v>342</v>
      </c>
      <c r="O321" t="s">
        <v>215</v>
      </c>
      <c r="P321" t="s">
        <v>216</v>
      </c>
      <c r="Q321" t="s">
        <v>217</v>
      </c>
      <c r="R321" t="s">
        <v>218</v>
      </c>
      <c r="S321" t="s">
        <v>238</v>
      </c>
    </row>
    <row r="322" spans="1:19" x14ac:dyDescent="0.35">
      <c r="A322" t="s">
        <v>11</v>
      </c>
      <c r="B322" t="s">
        <v>34</v>
      </c>
      <c r="C322" t="s">
        <v>21</v>
      </c>
      <c r="D322" t="s">
        <v>26</v>
      </c>
      <c r="E322" t="s">
        <v>22</v>
      </c>
      <c r="F322" t="s">
        <v>47</v>
      </c>
      <c r="G322" t="s">
        <v>36</v>
      </c>
      <c r="H322" t="s">
        <v>229</v>
      </c>
      <c r="I322" t="s">
        <v>230</v>
      </c>
      <c r="J322" t="s">
        <v>27</v>
      </c>
      <c r="K322" t="s">
        <v>231</v>
      </c>
      <c r="L322" t="s">
        <v>232</v>
      </c>
      <c r="M322" t="s">
        <v>233</v>
      </c>
      <c r="N322" t="s">
        <v>234</v>
      </c>
      <c r="O322" t="s">
        <v>215</v>
      </c>
      <c r="P322" t="s">
        <v>216</v>
      </c>
      <c r="Q322" t="s">
        <v>217</v>
      </c>
      <c r="R322" t="s">
        <v>218</v>
      </c>
      <c r="S322" t="s">
        <v>238</v>
      </c>
    </row>
    <row r="323" spans="1:19" x14ac:dyDescent="0.35">
      <c r="A323" t="s">
        <v>87</v>
      </c>
      <c r="B323" t="s">
        <v>20</v>
      </c>
      <c r="C323" t="s">
        <v>13</v>
      </c>
      <c r="D323" t="s">
        <v>14</v>
      </c>
      <c r="E323" t="s">
        <v>15</v>
      </c>
      <c r="F323" t="s">
        <v>52</v>
      </c>
      <c r="G323" t="s">
        <v>36</v>
      </c>
      <c r="H323" t="s">
        <v>291</v>
      </c>
      <c r="I323" t="s">
        <v>269</v>
      </c>
      <c r="J323" t="s">
        <v>50</v>
      </c>
      <c r="K323" t="s">
        <v>292</v>
      </c>
      <c r="L323" t="s">
        <v>328</v>
      </c>
      <c r="M323" t="s">
        <v>329</v>
      </c>
      <c r="N323" t="s">
        <v>330</v>
      </c>
      <c r="O323" t="s">
        <v>215</v>
      </c>
      <c r="P323" t="s">
        <v>216</v>
      </c>
      <c r="Q323" t="s">
        <v>217</v>
      </c>
      <c r="R323" t="s">
        <v>218</v>
      </c>
      <c r="S323" t="s">
        <v>244</v>
      </c>
    </row>
    <row r="324" spans="1:19" x14ac:dyDescent="0.35">
      <c r="A324" t="s">
        <v>130</v>
      </c>
      <c r="B324" t="s">
        <v>29</v>
      </c>
      <c r="C324" t="s">
        <v>21</v>
      </c>
      <c r="D324" t="s">
        <v>26</v>
      </c>
      <c r="E324" t="s">
        <v>22</v>
      </c>
      <c r="F324" t="s">
        <v>31</v>
      </c>
      <c r="G324" t="s">
        <v>24</v>
      </c>
      <c r="H324" t="s">
        <v>252</v>
      </c>
      <c r="I324" t="s">
        <v>220</v>
      </c>
      <c r="J324" t="s">
        <v>27</v>
      </c>
      <c r="K324" t="s">
        <v>253</v>
      </c>
      <c r="L324" t="s">
        <v>226</v>
      </c>
      <c r="M324" t="s">
        <v>284</v>
      </c>
      <c r="N324" t="s">
        <v>253</v>
      </c>
      <c r="O324" t="s">
        <v>215</v>
      </c>
      <c r="P324" t="s">
        <v>216</v>
      </c>
      <c r="Q324" t="s">
        <v>217</v>
      </c>
      <c r="R324" t="s">
        <v>218</v>
      </c>
      <c r="S324" t="s">
        <v>238</v>
      </c>
    </row>
    <row r="325" spans="1:19" x14ac:dyDescent="0.35">
      <c r="A325" t="s">
        <v>108</v>
      </c>
      <c r="B325" t="s">
        <v>12</v>
      </c>
      <c r="C325" t="s">
        <v>30</v>
      </c>
      <c r="D325" t="s">
        <v>14</v>
      </c>
      <c r="E325" t="s">
        <v>22</v>
      </c>
      <c r="F325" t="s">
        <v>56</v>
      </c>
      <c r="G325" t="s">
        <v>36</v>
      </c>
      <c r="H325" t="s">
        <v>260</v>
      </c>
      <c r="I325" t="s">
        <v>225</v>
      </c>
      <c r="J325" t="s">
        <v>27</v>
      </c>
      <c r="K325" t="s">
        <v>261</v>
      </c>
      <c r="L325" t="s">
        <v>379</v>
      </c>
      <c r="M325" t="s">
        <v>335</v>
      </c>
      <c r="N325" t="s">
        <v>260</v>
      </c>
      <c r="O325" t="s">
        <v>215</v>
      </c>
      <c r="P325" t="s">
        <v>216</v>
      </c>
      <c r="Q325" t="s">
        <v>217</v>
      </c>
      <c r="R325" t="s">
        <v>218</v>
      </c>
      <c r="S325" t="s">
        <v>220</v>
      </c>
    </row>
    <row r="326" spans="1:19" x14ac:dyDescent="0.35">
      <c r="A326" t="s">
        <v>95</v>
      </c>
      <c r="B326" t="s">
        <v>12</v>
      </c>
      <c r="C326" t="s">
        <v>30</v>
      </c>
      <c r="D326" t="s">
        <v>26</v>
      </c>
      <c r="E326" t="s">
        <v>15</v>
      </c>
      <c r="F326" t="s">
        <v>35</v>
      </c>
      <c r="G326" t="s">
        <v>36</v>
      </c>
      <c r="H326" t="s">
        <v>224</v>
      </c>
      <c r="I326" t="s">
        <v>249</v>
      </c>
      <c r="J326" t="s">
        <v>43</v>
      </c>
      <c r="K326" t="s">
        <v>226</v>
      </c>
      <c r="L326" t="s">
        <v>366</v>
      </c>
      <c r="M326" t="s">
        <v>241</v>
      </c>
      <c r="N326" t="s">
        <v>297</v>
      </c>
      <c r="O326" t="s">
        <v>215</v>
      </c>
      <c r="P326" t="s">
        <v>216</v>
      </c>
      <c r="Q326" t="s">
        <v>217</v>
      </c>
      <c r="R326" t="s">
        <v>218</v>
      </c>
      <c r="S326" t="s">
        <v>238</v>
      </c>
    </row>
    <row r="327" spans="1:19" x14ac:dyDescent="0.35">
      <c r="A327" t="s">
        <v>151</v>
      </c>
      <c r="B327" t="s">
        <v>12</v>
      </c>
      <c r="C327" t="s">
        <v>30</v>
      </c>
      <c r="D327" t="s">
        <v>26</v>
      </c>
      <c r="E327" t="s">
        <v>15</v>
      </c>
      <c r="F327" t="s">
        <v>52</v>
      </c>
      <c r="G327" t="s">
        <v>36</v>
      </c>
      <c r="H327" t="s">
        <v>291</v>
      </c>
      <c r="I327" t="s">
        <v>220</v>
      </c>
      <c r="J327" t="s">
        <v>54</v>
      </c>
      <c r="K327" t="s">
        <v>292</v>
      </c>
      <c r="L327" t="s">
        <v>333</v>
      </c>
      <c r="M327" t="s">
        <v>345</v>
      </c>
      <c r="N327" t="s">
        <v>292</v>
      </c>
      <c r="O327" t="s">
        <v>215</v>
      </c>
      <c r="P327" t="s">
        <v>216</v>
      </c>
      <c r="Q327" t="s">
        <v>217</v>
      </c>
      <c r="R327" t="s">
        <v>218</v>
      </c>
      <c r="S327" t="s">
        <v>238</v>
      </c>
    </row>
    <row r="328" spans="1:19" x14ac:dyDescent="0.35">
      <c r="A328" t="s">
        <v>53</v>
      </c>
      <c r="B328" t="s">
        <v>12</v>
      </c>
      <c r="C328" t="s">
        <v>30</v>
      </c>
      <c r="D328" t="s">
        <v>26</v>
      </c>
      <c r="E328" t="s">
        <v>22</v>
      </c>
      <c r="F328" t="s">
        <v>23</v>
      </c>
      <c r="G328" t="s">
        <v>24</v>
      </c>
      <c r="H328" t="s">
        <v>239</v>
      </c>
      <c r="I328" t="s">
        <v>220</v>
      </c>
      <c r="J328" t="s">
        <v>27</v>
      </c>
      <c r="K328" t="s">
        <v>245</v>
      </c>
      <c r="L328" t="s">
        <v>231</v>
      </c>
      <c r="M328" t="s">
        <v>311</v>
      </c>
      <c r="N328" t="s">
        <v>245</v>
      </c>
      <c r="O328" t="s">
        <v>215</v>
      </c>
      <c r="P328" t="s">
        <v>216</v>
      </c>
      <c r="Q328" t="s">
        <v>217</v>
      </c>
      <c r="R328" t="s">
        <v>218</v>
      </c>
      <c r="S328" t="s">
        <v>244</v>
      </c>
    </row>
    <row r="329" spans="1:19" x14ac:dyDescent="0.35">
      <c r="A329" t="s">
        <v>130</v>
      </c>
      <c r="B329" t="s">
        <v>20</v>
      </c>
      <c r="C329" t="s">
        <v>38</v>
      </c>
      <c r="D329" t="s">
        <v>14</v>
      </c>
      <c r="E329" t="s">
        <v>15</v>
      </c>
      <c r="F329" t="s">
        <v>41</v>
      </c>
      <c r="G329" t="s">
        <v>17</v>
      </c>
      <c r="H329" t="s">
        <v>219</v>
      </c>
      <c r="I329" t="s">
        <v>230</v>
      </c>
      <c r="J329" t="s">
        <v>27</v>
      </c>
      <c r="K329" t="s">
        <v>221</v>
      </c>
      <c r="L329" t="s">
        <v>235</v>
      </c>
      <c r="M329" t="s">
        <v>236</v>
      </c>
      <c r="N329" t="s">
        <v>237</v>
      </c>
      <c r="O329" t="s">
        <v>215</v>
      </c>
      <c r="P329" t="s">
        <v>216</v>
      </c>
      <c r="Q329" t="s">
        <v>217</v>
      </c>
      <c r="R329" t="s">
        <v>218</v>
      </c>
      <c r="S329" t="s">
        <v>238</v>
      </c>
    </row>
    <row r="330" spans="1:19" x14ac:dyDescent="0.35">
      <c r="A330" t="s">
        <v>86</v>
      </c>
      <c r="B330" t="s">
        <v>29</v>
      </c>
      <c r="C330" t="s">
        <v>21</v>
      </c>
      <c r="D330" t="s">
        <v>14</v>
      </c>
      <c r="E330" t="s">
        <v>15</v>
      </c>
      <c r="F330" t="s">
        <v>47</v>
      </c>
      <c r="G330" t="s">
        <v>36</v>
      </c>
      <c r="H330" t="s">
        <v>229</v>
      </c>
      <c r="I330" t="s">
        <v>249</v>
      </c>
      <c r="J330" t="s">
        <v>50</v>
      </c>
      <c r="K330" t="s">
        <v>231</v>
      </c>
      <c r="L330" t="s">
        <v>228</v>
      </c>
      <c r="M330" t="s">
        <v>290</v>
      </c>
      <c r="N330" t="s">
        <v>226</v>
      </c>
      <c r="O330" t="s">
        <v>215</v>
      </c>
      <c r="P330" t="s">
        <v>216</v>
      </c>
      <c r="Q330" t="s">
        <v>217</v>
      </c>
      <c r="R330" t="s">
        <v>218</v>
      </c>
      <c r="S330" t="s">
        <v>238</v>
      </c>
    </row>
    <row r="331" spans="1:19" x14ac:dyDescent="0.35">
      <c r="A331" t="s">
        <v>113</v>
      </c>
      <c r="B331" t="s">
        <v>12</v>
      </c>
      <c r="C331" t="s">
        <v>21</v>
      </c>
      <c r="D331" t="s">
        <v>14</v>
      </c>
      <c r="E331" t="s">
        <v>22</v>
      </c>
      <c r="F331" t="s">
        <v>31</v>
      </c>
      <c r="G331" t="s">
        <v>24</v>
      </c>
      <c r="H331" t="s">
        <v>252</v>
      </c>
      <c r="I331" t="s">
        <v>230</v>
      </c>
      <c r="J331" t="s">
        <v>32</v>
      </c>
      <c r="K331" t="s">
        <v>253</v>
      </c>
      <c r="L331" t="s">
        <v>291</v>
      </c>
      <c r="M331" t="s">
        <v>292</v>
      </c>
      <c r="N331" t="s">
        <v>343</v>
      </c>
      <c r="O331" t="s">
        <v>215</v>
      </c>
      <c r="P331" t="s">
        <v>216</v>
      </c>
      <c r="Q331" t="s">
        <v>217</v>
      </c>
      <c r="R331" t="s">
        <v>218</v>
      </c>
      <c r="S331" t="s">
        <v>244</v>
      </c>
    </row>
    <row r="332" spans="1:19" x14ac:dyDescent="0.35">
      <c r="A332" t="s">
        <v>101</v>
      </c>
      <c r="B332" t="s">
        <v>29</v>
      </c>
      <c r="C332" t="s">
        <v>30</v>
      </c>
      <c r="D332" t="s">
        <v>14</v>
      </c>
      <c r="E332" t="s">
        <v>15</v>
      </c>
      <c r="F332" t="s">
        <v>39</v>
      </c>
      <c r="G332" t="s">
        <v>24</v>
      </c>
      <c r="H332" t="s">
        <v>209</v>
      </c>
      <c r="I332" t="s">
        <v>220</v>
      </c>
      <c r="J332" t="s">
        <v>27</v>
      </c>
      <c r="K332" t="s">
        <v>211</v>
      </c>
      <c r="L332" t="s">
        <v>302</v>
      </c>
      <c r="M332" t="s">
        <v>342</v>
      </c>
      <c r="N332" t="s">
        <v>211</v>
      </c>
      <c r="O332" t="s">
        <v>215</v>
      </c>
      <c r="P332" t="s">
        <v>216</v>
      </c>
      <c r="Q332" t="s">
        <v>217</v>
      </c>
      <c r="R332" t="s">
        <v>218</v>
      </c>
      <c r="S332" t="s">
        <v>220</v>
      </c>
    </row>
    <row r="333" spans="1:19" x14ac:dyDescent="0.35">
      <c r="A333" t="s">
        <v>49</v>
      </c>
      <c r="B333" t="s">
        <v>12</v>
      </c>
      <c r="C333" t="s">
        <v>30</v>
      </c>
      <c r="D333" t="s">
        <v>26</v>
      </c>
      <c r="E333" t="s">
        <v>22</v>
      </c>
      <c r="F333" t="s">
        <v>52</v>
      </c>
      <c r="G333" t="s">
        <v>36</v>
      </c>
      <c r="H333" t="s">
        <v>291</v>
      </c>
      <c r="I333" t="s">
        <v>249</v>
      </c>
      <c r="J333" t="s">
        <v>50</v>
      </c>
      <c r="K333" t="s">
        <v>292</v>
      </c>
      <c r="L333" t="s">
        <v>299</v>
      </c>
      <c r="M333" t="s">
        <v>300</v>
      </c>
      <c r="N333" t="s">
        <v>293</v>
      </c>
      <c r="O333" t="s">
        <v>215</v>
      </c>
      <c r="P333" t="s">
        <v>216</v>
      </c>
      <c r="Q333" t="s">
        <v>217</v>
      </c>
      <c r="R333" t="s">
        <v>218</v>
      </c>
      <c r="S333" t="s">
        <v>220</v>
      </c>
    </row>
    <row r="334" spans="1:19" x14ac:dyDescent="0.35">
      <c r="A334" t="s">
        <v>97</v>
      </c>
      <c r="B334" t="s">
        <v>12</v>
      </c>
      <c r="C334" t="s">
        <v>30</v>
      </c>
      <c r="D334" t="s">
        <v>14</v>
      </c>
      <c r="E334" t="s">
        <v>22</v>
      </c>
      <c r="F334" t="s">
        <v>35</v>
      </c>
      <c r="G334" t="s">
        <v>36</v>
      </c>
      <c r="H334" t="s">
        <v>224</v>
      </c>
      <c r="I334" t="s">
        <v>265</v>
      </c>
      <c r="J334" t="s">
        <v>54</v>
      </c>
      <c r="K334" t="s">
        <v>226</v>
      </c>
      <c r="L334" t="s">
        <v>289</v>
      </c>
      <c r="M334" t="s">
        <v>297</v>
      </c>
      <c r="N334" t="s">
        <v>231</v>
      </c>
      <c r="O334" t="s">
        <v>215</v>
      </c>
      <c r="P334" t="s">
        <v>216</v>
      </c>
      <c r="Q334" t="s">
        <v>217</v>
      </c>
      <c r="R334" t="s">
        <v>218</v>
      </c>
      <c r="S334" t="s">
        <v>265</v>
      </c>
    </row>
    <row r="335" spans="1:19" x14ac:dyDescent="0.35">
      <c r="A335" t="s">
        <v>146</v>
      </c>
      <c r="B335" t="s">
        <v>29</v>
      </c>
      <c r="C335" t="s">
        <v>21</v>
      </c>
      <c r="D335" t="s">
        <v>26</v>
      </c>
      <c r="E335" t="s">
        <v>15</v>
      </c>
      <c r="F335" t="s">
        <v>52</v>
      </c>
      <c r="G335" t="s">
        <v>36</v>
      </c>
      <c r="H335" t="s">
        <v>291</v>
      </c>
      <c r="I335" t="s">
        <v>244</v>
      </c>
      <c r="J335" t="s">
        <v>50</v>
      </c>
      <c r="K335" t="s">
        <v>292</v>
      </c>
      <c r="L335" t="s">
        <v>317</v>
      </c>
      <c r="M335" t="s">
        <v>318</v>
      </c>
      <c r="N335" t="s">
        <v>319</v>
      </c>
      <c r="O335" t="s">
        <v>215</v>
      </c>
      <c r="P335" t="s">
        <v>216</v>
      </c>
      <c r="Q335" t="s">
        <v>217</v>
      </c>
      <c r="R335" t="s">
        <v>218</v>
      </c>
      <c r="S335" t="s">
        <v>244</v>
      </c>
    </row>
    <row r="336" spans="1:19" x14ac:dyDescent="0.35">
      <c r="A336" t="s">
        <v>105</v>
      </c>
      <c r="B336" t="s">
        <v>34</v>
      </c>
      <c r="C336" t="s">
        <v>30</v>
      </c>
      <c r="D336" t="s">
        <v>14</v>
      </c>
      <c r="E336" t="s">
        <v>15</v>
      </c>
      <c r="F336" t="s">
        <v>16</v>
      </c>
      <c r="G336" t="s">
        <v>17</v>
      </c>
      <c r="H336" t="s">
        <v>275</v>
      </c>
      <c r="I336" t="s">
        <v>244</v>
      </c>
      <c r="J336" t="s">
        <v>32</v>
      </c>
      <c r="K336" t="s">
        <v>276</v>
      </c>
      <c r="L336" t="s">
        <v>325</v>
      </c>
      <c r="M336" t="s">
        <v>326</v>
      </c>
      <c r="N336" t="s">
        <v>327</v>
      </c>
      <c r="O336" t="s">
        <v>215</v>
      </c>
      <c r="P336" t="s">
        <v>216</v>
      </c>
      <c r="Q336" t="s">
        <v>217</v>
      </c>
      <c r="R336" t="s">
        <v>218</v>
      </c>
      <c r="S336" t="s">
        <v>244</v>
      </c>
    </row>
    <row r="337" spans="1:19" x14ac:dyDescent="0.35">
      <c r="A337" t="s">
        <v>83</v>
      </c>
      <c r="B337" t="s">
        <v>12</v>
      </c>
      <c r="C337" t="s">
        <v>38</v>
      </c>
      <c r="D337" t="s">
        <v>26</v>
      </c>
      <c r="E337" t="s">
        <v>22</v>
      </c>
      <c r="F337" t="s">
        <v>31</v>
      </c>
      <c r="G337" t="s">
        <v>24</v>
      </c>
      <c r="H337" t="s">
        <v>252</v>
      </c>
      <c r="I337" t="s">
        <v>249</v>
      </c>
      <c r="J337" t="s">
        <v>27</v>
      </c>
      <c r="K337" t="s">
        <v>253</v>
      </c>
      <c r="L337" t="s">
        <v>297</v>
      </c>
      <c r="M337" t="s">
        <v>243</v>
      </c>
      <c r="N337" t="s">
        <v>311</v>
      </c>
      <c r="O337" t="s">
        <v>215</v>
      </c>
      <c r="P337" t="s">
        <v>216</v>
      </c>
      <c r="Q337" t="s">
        <v>217</v>
      </c>
      <c r="R337" t="s">
        <v>218</v>
      </c>
      <c r="S337" t="s">
        <v>238</v>
      </c>
    </row>
    <row r="338" spans="1:19" x14ac:dyDescent="0.35">
      <c r="A338" t="s">
        <v>131</v>
      </c>
      <c r="B338" t="s">
        <v>12</v>
      </c>
      <c r="C338" t="s">
        <v>21</v>
      </c>
      <c r="D338" t="s">
        <v>26</v>
      </c>
      <c r="E338" t="s">
        <v>22</v>
      </c>
      <c r="F338" t="s">
        <v>39</v>
      </c>
      <c r="G338" t="s">
        <v>24</v>
      </c>
      <c r="H338" t="s">
        <v>209</v>
      </c>
      <c r="I338" t="s">
        <v>210</v>
      </c>
      <c r="J338" t="s">
        <v>43</v>
      </c>
      <c r="K338" t="s">
        <v>211</v>
      </c>
      <c r="L338" t="s">
        <v>212</v>
      </c>
      <c r="M338" t="s">
        <v>213</v>
      </c>
      <c r="N338" t="s">
        <v>214</v>
      </c>
      <c r="O338" t="s">
        <v>215</v>
      </c>
      <c r="P338" t="s">
        <v>216</v>
      </c>
      <c r="Q338" t="s">
        <v>217</v>
      </c>
      <c r="R338" t="s">
        <v>218</v>
      </c>
      <c r="S338" t="s">
        <v>238</v>
      </c>
    </row>
    <row r="339" spans="1:19" x14ac:dyDescent="0.35">
      <c r="A339" t="s">
        <v>87</v>
      </c>
      <c r="B339" t="s">
        <v>20</v>
      </c>
      <c r="C339" t="s">
        <v>38</v>
      </c>
      <c r="D339" t="s">
        <v>26</v>
      </c>
      <c r="E339" t="s">
        <v>15</v>
      </c>
      <c r="F339" t="s">
        <v>39</v>
      </c>
      <c r="G339" t="s">
        <v>24</v>
      </c>
      <c r="H339" t="s">
        <v>209</v>
      </c>
      <c r="I339" t="s">
        <v>230</v>
      </c>
      <c r="J339" t="s">
        <v>18</v>
      </c>
      <c r="K339" t="s">
        <v>211</v>
      </c>
      <c r="L339" t="s">
        <v>317</v>
      </c>
      <c r="M339" t="s">
        <v>318</v>
      </c>
      <c r="N339" t="s">
        <v>319</v>
      </c>
      <c r="O339" t="s">
        <v>215</v>
      </c>
      <c r="P339" t="s">
        <v>216</v>
      </c>
      <c r="Q339" t="s">
        <v>217</v>
      </c>
      <c r="R339" t="s">
        <v>218</v>
      </c>
      <c r="S339" t="s">
        <v>244</v>
      </c>
    </row>
    <row r="340" spans="1:19" x14ac:dyDescent="0.35">
      <c r="A340" t="s">
        <v>143</v>
      </c>
      <c r="B340" t="s">
        <v>20</v>
      </c>
      <c r="C340" t="s">
        <v>38</v>
      </c>
      <c r="D340" t="s">
        <v>14</v>
      </c>
      <c r="E340" t="s">
        <v>22</v>
      </c>
      <c r="F340" t="s">
        <v>23</v>
      </c>
      <c r="G340" t="s">
        <v>24</v>
      </c>
      <c r="H340" t="s">
        <v>239</v>
      </c>
      <c r="I340" t="s">
        <v>244</v>
      </c>
      <c r="J340" t="s">
        <v>32</v>
      </c>
      <c r="K340" t="s">
        <v>245</v>
      </c>
      <c r="L340" t="s">
        <v>246</v>
      </c>
      <c r="M340" t="s">
        <v>247</v>
      </c>
      <c r="N340" t="s">
        <v>248</v>
      </c>
      <c r="O340" t="s">
        <v>215</v>
      </c>
      <c r="P340" t="s">
        <v>216</v>
      </c>
      <c r="Q340" t="s">
        <v>217</v>
      </c>
      <c r="R340" t="s">
        <v>218</v>
      </c>
      <c r="S340" t="s">
        <v>238</v>
      </c>
    </row>
    <row r="341" spans="1:19" x14ac:dyDescent="0.35">
      <c r="A341" t="s">
        <v>150</v>
      </c>
      <c r="B341" t="s">
        <v>34</v>
      </c>
      <c r="C341" t="s">
        <v>13</v>
      </c>
      <c r="D341" t="s">
        <v>26</v>
      </c>
      <c r="E341" t="s">
        <v>22</v>
      </c>
      <c r="F341" t="s">
        <v>23</v>
      </c>
      <c r="G341" t="s">
        <v>24</v>
      </c>
      <c r="H341" t="s">
        <v>239</v>
      </c>
      <c r="I341" t="s">
        <v>240</v>
      </c>
      <c r="J341" t="s">
        <v>27</v>
      </c>
      <c r="K341" t="s">
        <v>245</v>
      </c>
      <c r="L341" t="s">
        <v>209</v>
      </c>
      <c r="M341" t="s">
        <v>211</v>
      </c>
      <c r="N341" t="s">
        <v>254</v>
      </c>
      <c r="O341" t="s">
        <v>215</v>
      </c>
      <c r="P341" t="s">
        <v>216</v>
      </c>
      <c r="Q341" t="s">
        <v>217</v>
      </c>
      <c r="R341" t="s">
        <v>218</v>
      </c>
      <c r="S341" t="s">
        <v>220</v>
      </c>
    </row>
    <row r="342" spans="1:19" x14ac:dyDescent="0.35">
      <c r="A342" t="s">
        <v>134</v>
      </c>
      <c r="B342" t="s">
        <v>34</v>
      </c>
      <c r="C342" t="s">
        <v>21</v>
      </c>
      <c r="D342" t="s">
        <v>26</v>
      </c>
      <c r="E342" t="s">
        <v>15</v>
      </c>
      <c r="F342" t="s">
        <v>52</v>
      </c>
      <c r="G342" t="s">
        <v>36</v>
      </c>
      <c r="H342" t="s">
        <v>291</v>
      </c>
      <c r="I342" t="s">
        <v>220</v>
      </c>
      <c r="J342" t="s">
        <v>50</v>
      </c>
      <c r="K342" t="s">
        <v>292</v>
      </c>
      <c r="L342" t="s">
        <v>333</v>
      </c>
      <c r="M342" t="s">
        <v>345</v>
      </c>
      <c r="N342" t="s">
        <v>292</v>
      </c>
      <c r="O342" t="s">
        <v>215</v>
      </c>
      <c r="P342" t="s">
        <v>216</v>
      </c>
      <c r="Q342" t="s">
        <v>217</v>
      </c>
      <c r="R342" t="s">
        <v>218</v>
      </c>
      <c r="S342" t="s">
        <v>220</v>
      </c>
    </row>
    <row r="343" spans="1:19" x14ac:dyDescent="0.35">
      <c r="A343" t="s">
        <v>89</v>
      </c>
      <c r="B343" t="s">
        <v>20</v>
      </c>
      <c r="C343" t="s">
        <v>30</v>
      </c>
      <c r="D343" t="s">
        <v>14</v>
      </c>
      <c r="E343" t="s">
        <v>15</v>
      </c>
      <c r="F343" t="s">
        <v>58</v>
      </c>
      <c r="G343" t="s">
        <v>24</v>
      </c>
      <c r="H343" t="s">
        <v>255</v>
      </c>
      <c r="I343" t="s">
        <v>249</v>
      </c>
      <c r="J343" t="s">
        <v>54</v>
      </c>
      <c r="K343" t="s">
        <v>256</v>
      </c>
      <c r="L343" t="s">
        <v>286</v>
      </c>
      <c r="M343" t="s">
        <v>295</v>
      </c>
      <c r="N343" t="s">
        <v>296</v>
      </c>
      <c r="O343" t="s">
        <v>215</v>
      </c>
      <c r="P343" t="s">
        <v>216</v>
      </c>
      <c r="Q343" t="s">
        <v>217</v>
      </c>
      <c r="R343" t="s">
        <v>218</v>
      </c>
      <c r="S343" t="s">
        <v>244</v>
      </c>
    </row>
    <row r="344" spans="1:19" x14ac:dyDescent="0.35">
      <c r="A344" t="s">
        <v>25</v>
      </c>
      <c r="B344" t="s">
        <v>34</v>
      </c>
      <c r="C344" t="s">
        <v>21</v>
      </c>
      <c r="D344" t="s">
        <v>26</v>
      </c>
      <c r="E344" t="s">
        <v>22</v>
      </c>
      <c r="F344" t="s">
        <v>16</v>
      </c>
      <c r="G344" t="s">
        <v>17</v>
      </c>
      <c r="H344" t="s">
        <v>275</v>
      </c>
      <c r="I344" t="s">
        <v>225</v>
      </c>
      <c r="J344" t="s">
        <v>18</v>
      </c>
      <c r="K344" t="s">
        <v>276</v>
      </c>
      <c r="L344" t="s">
        <v>378</v>
      </c>
      <c r="M344" t="s">
        <v>337</v>
      </c>
      <c r="N344" t="s">
        <v>275</v>
      </c>
      <c r="O344" t="s">
        <v>215</v>
      </c>
      <c r="P344" t="s">
        <v>216</v>
      </c>
      <c r="Q344" t="s">
        <v>217</v>
      </c>
      <c r="R344" t="s">
        <v>218</v>
      </c>
      <c r="S344" t="s">
        <v>265</v>
      </c>
    </row>
    <row r="345" spans="1:19" x14ac:dyDescent="0.35">
      <c r="A345" t="s">
        <v>134</v>
      </c>
      <c r="B345" t="s">
        <v>12</v>
      </c>
      <c r="C345" t="s">
        <v>21</v>
      </c>
      <c r="D345" t="s">
        <v>14</v>
      </c>
      <c r="E345" t="s">
        <v>15</v>
      </c>
      <c r="F345" t="s">
        <v>41</v>
      </c>
      <c r="G345" t="s">
        <v>17</v>
      </c>
      <c r="H345" t="s">
        <v>219</v>
      </c>
      <c r="I345" t="s">
        <v>230</v>
      </c>
      <c r="J345" t="s">
        <v>32</v>
      </c>
      <c r="K345" t="s">
        <v>221</v>
      </c>
      <c r="L345" t="s">
        <v>235</v>
      </c>
      <c r="M345" t="s">
        <v>236</v>
      </c>
      <c r="N345" t="s">
        <v>237</v>
      </c>
      <c r="O345" t="s">
        <v>215</v>
      </c>
      <c r="P345" t="s">
        <v>216</v>
      </c>
      <c r="Q345" t="s">
        <v>217</v>
      </c>
      <c r="R345" t="s">
        <v>218</v>
      </c>
      <c r="S345" t="s">
        <v>220</v>
      </c>
    </row>
    <row r="346" spans="1:19" x14ac:dyDescent="0.35">
      <c r="A346" t="s">
        <v>128</v>
      </c>
      <c r="B346" t="s">
        <v>29</v>
      </c>
      <c r="C346" t="s">
        <v>21</v>
      </c>
      <c r="D346" t="s">
        <v>26</v>
      </c>
      <c r="E346" t="s">
        <v>22</v>
      </c>
      <c r="F346" t="s">
        <v>39</v>
      </c>
      <c r="G346" t="s">
        <v>24</v>
      </c>
      <c r="H346" t="s">
        <v>209</v>
      </c>
      <c r="I346" t="s">
        <v>240</v>
      </c>
      <c r="J346" t="s">
        <v>18</v>
      </c>
      <c r="K346" t="s">
        <v>211</v>
      </c>
      <c r="L346" t="s">
        <v>266</v>
      </c>
      <c r="M346" t="s">
        <v>267</v>
      </c>
      <c r="N346" t="s">
        <v>268</v>
      </c>
      <c r="O346" t="s">
        <v>215</v>
      </c>
      <c r="P346" t="s">
        <v>216</v>
      </c>
      <c r="Q346" t="s">
        <v>217</v>
      </c>
      <c r="R346" t="s">
        <v>218</v>
      </c>
      <c r="S346" t="s">
        <v>220</v>
      </c>
    </row>
    <row r="347" spans="1:19" x14ac:dyDescent="0.35">
      <c r="A347" t="s">
        <v>11</v>
      </c>
      <c r="B347" t="s">
        <v>20</v>
      </c>
      <c r="C347" t="s">
        <v>38</v>
      </c>
      <c r="D347" t="s">
        <v>26</v>
      </c>
      <c r="E347" t="s">
        <v>15</v>
      </c>
      <c r="F347" t="s">
        <v>31</v>
      </c>
      <c r="G347" t="s">
        <v>24</v>
      </c>
      <c r="H347" t="s">
        <v>252</v>
      </c>
      <c r="I347" t="s">
        <v>265</v>
      </c>
      <c r="J347" t="s">
        <v>50</v>
      </c>
      <c r="K347" t="s">
        <v>253</v>
      </c>
      <c r="L347" t="s">
        <v>231</v>
      </c>
      <c r="M347" t="s">
        <v>311</v>
      </c>
      <c r="N347" t="s">
        <v>245</v>
      </c>
      <c r="O347" t="s">
        <v>215</v>
      </c>
      <c r="P347" t="s">
        <v>216</v>
      </c>
      <c r="Q347" t="s">
        <v>217</v>
      </c>
      <c r="R347" t="s">
        <v>218</v>
      </c>
      <c r="S347" t="s">
        <v>238</v>
      </c>
    </row>
    <row r="348" spans="1:19" x14ac:dyDescent="0.35">
      <c r="A348" t="s">
        <v>109</v>
      </c>
      <c r="B348" t="s">
        <v>12</v>
      </c>
      <c r="C348" t="s">
        <v>38</v>
      </c>
      <c r="D348" t="s">
        <v>26</v>
      </c>
      <c r="E348" t="s">
        <v>22</v>
      </c>
      <c r="F348" t="s">
        <v>39</v>
      </c>
      <c r="G348" t="s">
        <v>24</v>
      </c>
      <c r="H348" t="s">
        <v>209</v>
      </c>
      <c r="I348" t="s">
        <v>225</v>
      </c>
      <c r="J348" t="s">
        <v>27</v>
      </c>
      <c r="K348" t="s">
        <v>211</v>
      </c>
      <c r="L348" t="s">
        <v>301</v>
      </c>
      <c r="M348" t="s">
        <v>302</v>
      </c>
      <c r="N348" t="s">
        <v>209</v>
      </c>
      <c r="O348" t="s">
        <v>215</v>
      </c>
      <c r="P348" t="s">
        <v>216</v>
      </c>
      <c r="Q348" t="s">
        <v>217</v>
      </c>
      <c r="R348" t="s">
        <v>218</v>
      </c>
      <c r="S348" t="s">
        <v>265</v>
      </c>
    </row>
    <row r="349" spans="1:19" x14ac:dyDescent="0.35">
      <c r="A349" t="s">
        <v>108</v>
      </c>
      <c r="B349" t="s">
        <v>20</v>
      </c>
      <c r="C349" t="s">
        <v>38</v>
      </c>
      <c r="D349" t="s">
        <v>26</v>
      </c>
      <c r="E349" t="s">
        <v>22</v>
      </c>
      <c r="F349" t="s">
        <v>47</v>
      </c>
      <c r="G349" t="s">
        <v>36</v>
      </c>
      <c r="H349" t="s">
        <v>229</v>
      </c>
      <c r="I349" t="s">
        <v>240</v>
      </c>
      <c r="J349" t="s">
        <v>50</v>
      </c>
      <c r="K349" t="s">
        <v>231</v>
      </c>
      <c r="L349" t="s">
        <v>301</v>
      </c>
      <c r="M349" t="s">
        <v>302</v>
      </c>
      <c r="N349" t="s">
        <v>209</v>
      </c>
      <c r="O349" t="s">
        <v>215</v>
      </c>
      <c r="P349" t="s">
        <v>216</v>
      </c>
      <c r="Q349" t="s">
        <v>217</v>
      </c>
      <c r="R349" t="s">
        <v>218</v>
      </c>
      <c r="S349" t="s">
        <v>220</v>
      </c>
    </row>
    <row r="350" spans="1:19" x14ac:dyDescent="0.35">
      <c r="A350" t="s">
        <v>124</v>
      </c>
      <c r="B350" t="s">
        <v>20</v>
      </c>
      <c r="C350" t="s">
        <v>13</v>
      </c>
      <c r="D350" t="s">
        <v>26</v>
      </c>
      <c r="E350" t="s">
        <v>22</v>
      </c>
      <c r="F350" t="s">
        <v>23</v>
      </c>
      <c r="G350" t="s">
        <v>24</v>
      </c>
      <c r="H350" t="s">
        <v>239</v>
      </c>
      <c r="I350" t="s">
        <v>265</v>
      </c>
      <c r="J350" t="s">
        <v>50</v>
      </c>
      <c r="K350" t="s">
        <v>245</v>
      </c>
      <c r="L350" t="s">
        <v>252</v>
      </c>
      <c r="M350" t="s">
        <v>253</v>
      </c>
      <c r="N350" t="s">
        <v>313</v>
      </c>
      <c r="O350" t="s">
        <v>215</v>
      </c>
      <c r="P350" t="s">
        <v>216</v>
      </c>
      <c r="Q350" t="s">
        <v>217</v>
      </c>
      <c r="R350" t="s">
        <v>218</v>
      </c>
      <c r="S350" t="s">
        <v>238</v>
      </c>
    </row>
    <row r="351" spans="1:19" x14ac:dyDescent="0.35">
      <c r="A351" t="s">
        <v>152</v>
      </c>
      <c r="B351" t="s">
        <v>34</v>
      </c>
      <c r="C351" t="s">
        <v>13</v>
      </c>
      <c r="D351" t="s">
        <v>14</v>
      </c>
      <c r="E351" t="s">
        <v>15</v>
      </c>
      <c r="F351" t="s">
        <v>56</v>
      </c>
      <c r="G351" t="s">
        <v>36</v>
      </c>
      <c r="H351" t="s">
        <v>260</v>
      </c>
      <c r="I351" t="s">
        <v>269</v>
      </c>
      <c r="J351" t="s">
        <v>50</v>
      </c>
      <c r="K351" t="s">
        <v>261</v>
      </c>
      <c r="L351" t="s">
        <v>377</v>
      </c>
      <c r="M351" t="s">
        <v>212</v>
      </c>
      <c r="N351" t="s">
        <v>312</v>
      </c>
      <c r="O351" t="s">
        <v>215</v>
      </c>
      <c r="P351" t="s">
        <v>216</v>
      </c>
      <c r="Q351" t="s">
        <v>217</v>
      </c>
      <c r="R351" t="s">
        <v>218</v>
      </c>
      <c r="S351" t="s">
        <v>220</v>
      </c>
    </row>
    <row r="352" spans="1:19" x14ac:dyDescent="0.35">
      <c r="A352" t="s">
        <v>112</v>
      </c>
      <c r="B352" t="s">
        <v>12</v>
      </c>
      <c r="C352" t="s">
        <v>30</v>
      </c>
      <c r="D352" t="s">
        <v>14</v>
      </c>
      <c r="E352" t="s">
        <v>22</v>
      </c>
      <c r="F352" t="s">
        <v>31</v>
      </c>
      <c r="G352" t="s">
        <v>24</v>
      </c>
      <c r="H352" t="s">
        <v>252</v>
      </c>
      <c r="I352" t="s">
        <v>220</v>
      </c>
      <c r="J352" t="s">
        <v>27</v>
      </c>
      <c r="K352" t="s">
        <v>253</v>
      </c>
      <c r="L352" t="s">
        <v>226</v>
      </c>
      <c r="M352" t="s">
        <v>284</v>
      </c>
      <c r="N352" t="s">
        <v>253</v>
      </c>
      <c r="O352" t="s">
        <v>215</v>
      </c>
      <c r="P352" t="s">
        <v>216</v>
      </c>
      <c r="Q352" t="s">
        <v>217</v>
      </c>
      <c r="R352" t="s">
        <v>218</v>
      </c>
      <c r="S352" t="s">
        <v>238</v>
      </c>
    </row>
    <row r="353" spans="1:19" x14ac:dyDescent="0.35">
      <c r="A353" t="s">
        <v>146</v>
      </c>
      <c r="B353" t="s">
        <v>20</v>
      </c>
      <c r="C353" t="s">
        <v>13</v>
      </c>
      <c r="D353" t="s">
        <v>14</v>
      </c>
      <c r="E353" t="s">
        <v>15</v>
      </c>
      <c r="F353" t="s">
        <v>47</v>
      </c>
      <c r="G353" t="s">
        <v>36</v>
      </c>
      <c r="H353" t="s">
        <v>229</v>
      </c>
      <c r="I353" t="s">
        <v>269</v>
      </c>
      <c r="J353" t="s">
        <v>50</v>
      </c>
      <c r="K353" t="s">
        <v>231</v>
      </c>
      <c r="L353" t="s">
        <v>367</v>
      </c>
      <c r="M353" t="s">
        <v>266</v>
      </c>
      <c r="N353" t="s">
        <v>309</v>
      </c>
      <c r="O353" t="s">
        <v>215</v>
      </c>
      <c r="P353" t="s">
        <v>216</v>
      </c>
      <c r="Q353" t="s">
        <v>217</v>
      </c>
      <c r="R353" t="s">
        <v>218</v>
      </c>
      <c r="S353" t="s">
        <v>244</v>
      </c>
    </row>
    <row r="354" spans="1:19" x14ac:dyDescent="0.35">
      <c r="A354" t="s">
        <v>132</v>
      </c>
      <c r="B354" t="s">
        <v>34</v>
      </c>
      <c r="C354" t="s">
        <v>21</v>
      </c>
      <c r="D354" t="s">
        <v>26</v>
      </c>
      <c r="E354" t="s">
        <v>22</v>
      </c>
      <c r="F354" t="s">
        <v>39</v>
      </c>
      <c r="G354" t="s">
        <v>24</v>
      </c>
      <c r="H354" t="s">
        <v>209</v>
      </c>
      <c r="I354" t="s">
        <v>244</v>
      </c>
      <c r="J354" t="s">
        <v>18</v>
      </c>
      <c r="K354" t="s">
        <v>211</v>
      </c>
      <c r="L354" t="s">
        <v>272</v>
      </c>
      <c r="M354" t="s">
        <v>273</v>
      </c>
      <c r="N354" t="s">
        <v>274</v>
      </c>
      <c r="O354" t="s">
        <v>215</v>
      </c>
      <c r="P354" t="s">
        <v>216</v>
      </c>
      <c r="Q354" t="s">
        <v>217</v>
      </c>
      <c r="R354" t="s">
        <v>218</v>
      </c>
      <c r="S354" t="s">
        <v>238</v>
      </c>
    </row>
    <row r="355" spans="1:19" x14ac:dyDescent="0.35">
      <c r="A355" t="s">
        <v>45</v>
      </c>
      <c r="B355" t="s">
        <v>12</v>
      </c>
      <c r="C355" t="s">
        <v>13</v>
      </c>
      <c r="D355" t="s">
        <v>14</v>
      </c>
      <c r="E355" t="s">
        <v>15</v>
      </c>
      <c r="F355" t="s">
        <v>39</v>
      </c>
      <c r="G355" t="s">
        <v>24</v>
      </c>
      <c r="H355" t="s">
        <v>209</v>
      </c>
      <c r="I355" t="s">
        <v>210</v>
      </c>
      <c r="J355" t="s">
        <v>18</v>
      </c>
      <c r="K355" t="s">
        <v>211</v>
      </c>
      <c r="L355" t="s">
        <v>212</v>
      </c>
      <c r="M355" t="s">
        <v>213</v>
      </c>
      <c r="N355" t="s">
        <v>214</v>
      </c>
      <c r="O355" t="s">
        <v>215</v>
      </c>
      <c r="P355" t="s">
        <v>216</v>
      </c>
      <c r="Q355" t="s">
        <v>217</v>
      </c>
      <c r="R355" t="s">
        <v>218</v>
      </c>
      <c r="S355" t="s">
        <v>244</v>
      </c>
    </row>
    <row r="356" spans="1:19" x14ac:dyDescent="0.35">
      <c r="A356" t="s">
        <v>11</v>
      </c>
      <c r="B356" t="s">
        <v>20</v>
      </c>
      <c r="C356" t="s">
        <v>21</v>
      </c>
      <c r="D356" t="s">
        <v>14</v>
      </c>
      <c r="E356" t="s">
        <v>15</v>
      </c>
      <c r="F356" t="s">
        <v>58</v>
      </c>
      <c r="G356" t="s">
        <v>24</v>
      </c>
      <c r="H356" t="s">
        <v>255</v>
      </c>
      <c r="I356" t="s">
        <v>265</v>
      </c>
      <c r="J356" t="s">
        <v>18</v>
      </c>
      <c r="K356" t="s">
        <v>256</v>
      </c>
      <c r="L356" t="s">
        <v>287</v>
      </c>
      <c r="M356" t="s">
        <v>296</v>
      </c>
      <c r="N356" t="s">
        <v>341</v>
      </c>
      <c r="O356" t="s">
        <v>215</v>
      </c>
      <c r="P356" t="s">
        <v>216</v>
      </c>
      <c r="Q356" t="s">
        <v>217</v>
      </c>
      <c r="R356" t="s">
        <v>218</v>
      </c>
      <c r="S356" t="s">
        <v>238</v>
      </c>
    </row>
    <row r="357" spans="1:19" x14ac:dyDescent="0.35">
      <c r="A357" t="s">
        <v>122</v>
      </c>
      <c r="B357" t="s">
        <v>34</v>
      </c>
      <c r="C357" t="s">
        <v>13</v>
      </c>
      <c r="D357" t="s">
        <v>26</v>
      </c>
      <c r="E357" t="s">
        <v>15</v>
      </c>
      <c r="F357" t="s">
        <v>52</v>
      </c>
      <c r="G357" t="s">
        <v>36</v>
      </c>
      <c r="H357" t="s">
        <v>291</v>
      </c>
      <c r="I357" t="s">
        <v>210</v>
      </c>
      <c r="J357" t="s">
        <v>32</v>
      </c>
      <c r="K357" t="s">
        <v>292</v>
      </c>
      <c r="L357" t="s">
        <v>339</v>
      </c>
      <c r="M357" t="s">
        <v>299</v>
      </c>
      <c r="N357" t="s">
        <v>233</v>
      </c>
      <c r="O357" t="s">
        <v>215</v>
      </c>
      <c r="P357" t="s">
        <v>216</v>
      </c>
      <c r="Q357" t="s">
        <v>217</v>
      </c>
      <c r="R357" t="s">
        <v>218</v>
      </c>
      <c r="S357" t="s">
        <v>220</v>
      </c>
    </row>
    <row r="358" spans="1:19" x14ac:dyDescent="0.35">
      <c r="A358" t="s">
        <v>107</v>
      </c>
      <c r="B358" t="s">
        <v>12</v>
      </c>
      <c r="C358" t="s">
        <v>13</v>
      </c>
      <c r="D358" t="s">
        <v>14</v>
      </c>
      <c r="E358" t="s">
        <v>22</v>
      </c>
      <c r="F358" t="s">
        <v>23</v>
      </c>
      <c r="G358" t="s">
        <v>24</v>
      </c>
      <c r="H358" t="s">
        <v>239</v>
      </c>
      <c r="I358" t="s">
        <v>269</v>
      </c>
      <c r="J358" t="s">
        <v>54</v>
      </c>
      <c r="K358" t="s">
        <v>245</v>
      </c>
      <c r="L358" t="s">
        <v>309</v>
      </c>
      <c r="M358" t="s">
        <v>268</v>
      </c>
      <c r="N358" t="s">
        <v>310</v>
      </c>
      <c r="O358" t="s">
        <v>215</v>
      </c>
      <c r="P358" t="s">
        <v>216</v>
      </c>
      <c r="Q358" t="s">
        <v>217</v>
      </c>
      <c r="R358" t="s">
        <v>218</v>
      </c>
      <c r="S358" t="s">
        <v>244</v>
      </c>
    </row>
    <row r="359" spans="1:19" x14ac:dyDescent="0.35">
      <c r="A359" t="s">
        <v>11</v>
      </c>
      <c r="B359" t="s">
        <v>12</v>
      </c>
      <c r="C359" t="s">
        <v>38</v>
      </c>
      <c r="D359" t="s">
        <v>26</v>
      </c>
      <c r="E359" t="s">
        <v>15</v>
      </c>
      <c r="F359" t="s">
        <v>41</v>
      </c>
      <c r="G359" t="s">
        <v>17</v>
      </c>
      <c r="H359" t="s">
        <v>219</v>
      </c>
      <c r="I359" t="s">
        <v>240</v>
      </c>
      <c r="J359" t="s">
        <v>43</v>
      </c>
      <c r="K359" t="s">
        <v>221</v>
      </c>
      <c r="L359" t="s">
        <v>241</v>
      </c>
      <c r="M359" t="s">
        <v>242</v>
      </c>
      <c r="N359" t="s">
        <v>243</v>
      </c>
      <c r="O359" t="s">
        <v>215</v>
      </c>
      <c r="P359" t="s">
        <v>216</v>
      </c>
      <c r="Q359" t="s">
        <v>217</v>
      </c>
      <c r="R359" t="s">
        <v>218</v>
      </c>
      <c r="S359" t="s">
        <v>238</v>
      </c>
    </row>
    <row r="360" spans="1:19" x14ac:dyDescent="0.35">
      <c r="A360" t="s">
        <v>46</v>
      </c>
      <c r="B360" t="s">
        <v>12</v>
      </c>
      <c r="C360" t="s">
        <v>38</v>
      </c>
      <c r="D360" t="s">
        <v>14</v>
      </c>
      <c r="E360" t="s">
        <v>22</v>
      </c>
      <c r="F360" t="s">
        <v>52</v>
      </c>
      <c r="G360" t="s">
        <v>36</v>
      </c>
      <c r="H360" t="s">
        <v>291</v>
      </c>
      <c r="I360" t="s">
        <v>265</v>
      </c>
      <c r="J360" t="s">
        <v>54</v>
      </c>
      <c r="K360" t="s">
        <v>292</v>
      </c>
      <c r="L360" t="s">
        <v>233</v>
      </c>
      <c r="M360" t="s">
        <v>293</v>
      </c>
      <c r="N360" t="s">
        <v>294</v>
      </c>
      <c r="O360" t="s">
        <v>215</v>
      </c>
      <c r="P360" t="s">
        <v>216</v>
      </c>
      <c r="Q360" t="s">
        <v>217</v>
      </c>
      <c r="R360" t="s">
        <v>218</v>
      </c>
      <c r="S360" t="s">
        <v>238</v>
      </c>
    </row>
    <row r="361" spans="1:19" x14ac:dyDescent="0.35">
      <c r="A361" t="s">
        <v>152</v>
      </c>
      <c r="B361" t="s">
        <v>29</v>
      </c>
      <c r="C361" t="s">
        <v>30</v>
      </c>
      <c r="D361" t="s">
        <v>26</v>
      </c>
      <c r="E361" t="s">
        <v>15</v>
      </c>
      <c r="F361" t="s">
        <v>41</v>
      </c>
      <c r="G361" t="s">
        <v>17</v>
      </c>
      <c r="H361" t="s">
        <v>219</v>
      </c>
      <c r="I361" t="s">
        <v>210</v>
      </c>
      <c r="J361" t="s">
        <v>43</v>
      </c>
      <c r="K361" t="s">
        <v>221</v>
      </c>
      <c r="L361" t="s">
        <v>278</v>
      </c>
      <c r="M361" t="s">
        <v>279</v>
      </c>
      <c r="N361" t="s">
        <v>280</v>
      </c>
      <c r="O361" t="s">
        <v>215</v>
      </c>
      <c r="P361" t="s">
        <v>216</v>
      </c>
      <c r="Q361" t="s">
        <v>217</v>
      </c>
      <c r="R361" t="s">
        <v>218</v>
      </c>
      <c r="S361" t="s">
        <v>220</v>
      </c>
    </row>
    <row r="362" spans="1:19" x14ac:dyDescent="0.35">
      <c r="A362" t="s">
        <v>42</v>
      </c>
      <c r="B362" t="s">
        <v>20</v>
      </c>
      <c r="C362" t="s">
        <v>30</v>
      </c>
      <c r="D362" t="s">
        <v>26</v>
      </c>
      <c r="E362" t="s">
        <v>22</v>
      </c>
      <c r="F362" t="s">
        <v>35</v>
      </c>
      <c r="G362" t="s">
        <v>36</v>
      </c>
      <c r="H362" t="s">
        <v>224</v>
      </c>
      <c r="I362" t="s">
        <v>249</v>
      </c>
      <c r="J362" t="s">
        <v>54</v>
      </c>
      <c r="K362" t="s">
        <v>226</v>
      </c>
      <c r="L362" t="s">
        <v>366</v>
      </c>
      <c r="M362" t="s">
        <v>241</v>
      </c>
      <c r="N362" t="s">
        <v>297</v>
      </c>
      <c r="O362" t="s">
        <v>215</v>
      </c>
      <c r="P362" t="s">
        <v>216</v>
      </c>
      <c r="Q362" t="s">
        <v>217</v>
      </c>
      <c r="R362" t="s">
        <v>218</v>
      </c>
      <c r="S362" t="s">
        <v>265</v>
      </c>
    </row>
    <row r="363" spans="1:19" x14ac:dyDescent="0.35">
      <c r="A363" t="s">
        <v>129</v>
      </c>
      <c r="B363" t="s">
        <v>20</v>
      </c>
      <c r="C363" t="s">
        <v>13</v>
      </c>
      <c r="D363" t="s">
        <v>26</v>
      </c>
      <c r="E363" t="s">
        <v>15</v>
      </c>
      <c r="F363" t="s">
        <v>31</v>
      </c>
      <c r="G363" t="s">
        <v>24</v>
      </c>
      <c r="H363" t="s">
        <v>252</v>
      </c>
      <c r="I363" t="s">
        <v>238</v>
      </c>
      <c r="J363" t="s">
        <v>27</v>
      </c>
      <c r="K363" t="s">
        <v>253</v>
      </c>
      <c r="L363" t="s">
        <v>252</v>
      </c>
      <c r="M363" t="s">
        <v>253</v>
      </c>
      <c r="N363" t="s">
        <v>313</v>
      </c>
      <c r="O363" t="s">
        <v>215</v>
      </c>
      <c r="P363" t="s">
        <v>216</v>
      </c>
      <c r="Q363" t="s">
        <v>217</v>
      </c>
      <c r="R363" t="s">
        <v>218</v>
      </c>
      <c r="S363" t="s">
        <v>265</v>
      </c>
    </row>
    <row r="364" spans="1:19" x14ac:dyDescent="0.35">
      <c r="A364" t="s">
        <v>116</v>
      </c>
      <c r="B364" t="s">
        <v>29</v>
      </c>
      <c r="C364" t="s">
        <v>21</v>
      </c>
      <c r="D364" t="s">
        <v>26</v>
      </c>
      <c r="E364" t="s">
        <v>15</v>
      </c>
      <c r="F364" t="s">
        <v>16</v>
      </c>
      <c r="G364" t="s">
        <v>17</v>
      </c>
      <c r="H364" t="s">
        <v>275</v>
      </c>
      <c r="I364" t="s">
        <v>244</v>
      </c>
      <c r="J364" t="s">
        <v>27</v>
      </c>
      <c r="K364" t="s">
        <v>276</v>
      </c>
      <c r="L364" t="s">
        <v>325</v>
      </c>
      <c r="M364" t="s">
        <v>326</v>
      </c>
      <c r="N364" t="s">
        <v>327</v>
      </c>
      <c r="O364" t="s">
        <v>215</v>
      </c>
      <c r="P364" t="s">
        <v>216</v>
      </c>
      <c r="Q364" t="s">
        <v>217</v>
      </c>
      <c r="R364" t="s">
        <v>218</v>
      </c>
      <c r="S364" t="s">
        <v>244</v>
      </c>
    </row>
    <row r="365" spans="1:19" x14ac:dyDescent="0.35">
      <c r="A365" t="s">
        <v>149</v>
      </c>
      <c r="B365" t="s">
        <v>20</v>
      </c>
      <c r="C365" t="s">
        <v>30</v>
      </c>
      <c r="D365" t="s">
        <v>26</v>
      </c>
      <c r="E365" t="s">
        <v>22</v>
      </c>
      <c r="F365" t="s">
        <v>23</v>
      </c>
      <c r="G365" t="s">
        <v>24</v>
      </c>
      <c r="H365" t="s">
        <v>239</v>
      </c>
      <c r="I365" t="s">
        <v>210</v>
      </c>
      <c r="J365" t="s">
        <v>18</v>
      </c>
      <c r="K365" t="s">
        <v>245</v>
      </c>
      <c r="L365" t="s">
        <v>224</v>
      </c>
      <c r="M365" t="s">
        <v>226</v>
      </c>
      <c r="N365" t="s">
        <v>252</v>
      </c>
      <c r="O365" t="s">
        <v>215</v>
      </c>
      <c r="P365" t="s">
        <v>216</v>
      </c>
      <c r="Q365" t="s">
        <v>217</v>
      </c>
      <c r="R365" t="s">
        <v>218</v>
      </c>
      <c r="S365" t="s">
        <v>244</v>
      </c>
    </row>
    <row r="366" spans="1:19" x14ac:dyDescent="0.35">
      <c r="A366" t="s">
        <v>119</v>
      </c>
      <c r="B366" t="s">
        <v>20</v>
      </c>
      <c r="C366" t="s">
        <v>30</v>
      </c>
      <c r="D366" t="s">
        <v>26</v>
      </c>
      <c r="E366" t="s">
        <v>15</v>
      </c>
      <c r="F366" t="s">
        <v>23</v>
      </c>
      <c r="G366" t="s">
        <v>24</v>
      </c>
      <c r="H366" t="s">
        <v>239</v>
      </c>
      <c r="I366" t="s">
        <v>220</v>
      </c>
      <c r="J366" t="s">
        <v>43</v>
      </c>
      <c r="K366" t="s">
        <v>245</v>
      </c>
      <c r="L366" t="s">
        <v>231</v>
      </c>
      <c r="M366" t="s">
        <v>311</v>
      </c>
      <c r="N366" t="s">
        <v>245</v>
      </c>
      <c r="O366" t="s">
        <v>215</v>
      </c>
      <c r="P366" t="s">
        <v>216</v>
      </c>
      <c r="Q366" t="s">
        <v>217</v>
      </c>
      <c r="R366" t="s">
        <v>218</v>
      </c>
      <c r="S366" t="s">
        <v>238</v>
      </c>
    </row>
    <row r="367" spans="1:19" x14ac:dyDescent="0.35">
      <c r="A367" t="s">
        <v>124</v>
      </c>
      <c r="B367" t="s">
        <v>29</v>
      </c>
      <c r="C367" t="s">
        <v>38</v>
      </c>
      <c r="D367" t="s">
        <v>26</v>
      </c>
      <c r="E367" t="s">
        <v>22</v>
      </c>
      <c r="F367" t="s">
        <v>47</v>
      </c>
      <c r="G367" t="s">
        <v>36</v>
      </c>
      <c r="H367" t="s">
        <v>229</v>
      </c>
      <c r="I367" t="s">
        <v>244</v>
      </c>
      <c r="J367" t="s">
        <v>27</v>
      </c>
      <c r="K367" t="s">
        <v>231</v>
      </c>
      <c r="L367" t="s">
        <v>312</v>
      </c>
      <c r="M367" t="s">
        <v>214</v>
      </c>
      <c r="N367" t="s">
        <v>246</v>
      </c>
      <c r="O367" t="s">
        <v>215</v>
      </c>
      <c r="P367" t="s">
        <v>216</v>
      </c>
      <c r="Q367" t="s">
        <v>217</v>
      </c>
      <c r="R367" t="s">
        <v>218</v>
      </c>
      <c r="S367" t="s">
        <v>238</v>
      </c>
    </row>
    <row r="368" spans="1:19" x14ac:dyDescent="0.35">
      <c r="A368" t="s">
        <v>123</v>
      </c>
      <c r="B368" t="s">
        <v>12</v>
      </c>
      <c r="C368" t="s">
        <v>13</v>
      </c>
      <c r="D368" t="s">
        <v>26</v>
      </c>
      <c r="E368" t="s">
        <v>15</v>
      </c>
      <c r="F368" t="s">
        <v>47</v>
      </c>
      <c r="G368" t="s">
        <v>36</v>
      </c>
      <c r="H368" t="s">
        <v>229</v>
      </c>
      <c r="I368" t="s">
        <v>244</v>
      </c>
      <c r="J368" t="s">
        <v>18</v>
      </c>
      <c r="K368" t="s">
        <v>231</v>
      </c>
      <c r="L368" t="s">
        <v>312</v>
      </c>
      <c r="M368" t="s">
        <v>214</v>
      </c>
      <c r="N368" t="s">
        <v>246</v>
      </c>
      <c r="O368" t="s">
        <v>215</v>
      </c>
      <c r="P368" t="s">
        <v>216</v>
      </c>
      <c r="Q368" t="s">
        <v>217</v>
      </c>
      <c r="R368" t="s">
        <v>218</v>
      </c>
      <c r="S368" t="s">
        <v>220</v>
      </c>
    </row>
    <row r="369" spans="1:19" x14ac:dyDescent="0.35">
      <c r="A369" t="s">
        <v>106</v>
      </c>
      <c r="B369" t="s">
        <v>20</v>
      </c>
      <c r="C369" t="s">
        <v>30</v>
      </c>
      <c r="D369" t="s">
        <v>26</v>
      </c>
      <c r="E369" t="s">
        <v>22</v>
      </c>
      <c r="F369" t="s">
        <v>16</v>
      </c>
      <c r="G369" t="s">
        <v>17</v>
      </c>
      <c r="H369" t="s">
        <v>275</v>
      </c>
      <c r="I369" t="s">
        <v>249</v>
      </c>
      <c r="J369" t="s">
        <v>18</v>
      </c>
      <c r="K369" t="s">
        <v>276</v>
      </c>
      <c r="L369" t="s">
        <v>315</v>
      </c>
      <c r="M369" t="s">
        <v>322</v>
      </c>
      <c r="N369" t="s">
        <v>323</v>
      </c>
      <c r="O369" t="s">
        <v>215</v>
      </c>
      <c r="P369" t="s">
        <v>216</v>
      </c>
      <c r="Q369" t="s">
        <v>217</v>
      </c>
      <c r="R369" t="s">
        <v>218</v>
      </c>
      <c r="S369" t="s">
        <v>220</v>
      </c>
    </row>
    <row r="370" spans="1:19" x14ac:dyDescent="0.35">
      <c r="A370" t="s">
        <v>127</v>
      </c>
      <c r="B370" t="s">
        <v>29</v>
      </c>
      <c r="C370" t="s">
        <v>30</v>
      </c>
      <c r="D370" t="s">
        <v>26</v>
      </c>
      <c r="E370" t="s">
        <v>15</v>
      </c>
      <c r="F370" t="s">
        <v>52</v>
      </c>
      <c r="G370" t="s">
        <v>36</v>
      </c>
      <c r="H370" t="s">
        <v>291</v>
      </c>
      <c r="I370" t="s">
        <v>230</v>
      </c>
      <c r="J370" t="s">
        <v>18</v>
      </c>
      <c r="K370" t="s">
        <v>292</v>
      </c>
      <c r="L370" t="s">
        <v>357</v>
      </c>
      <c r="M370" t="s">
        <v>358</v>
      </c>
      <c r="N370" t="s">
        <v>359</v>
      </c>
      <c r="O370" t="s">
        <v>215</v>
      </c>
      <c r="P370" t="s">
        <v>216</v>
      </c>
      <c r="Q370" t="s">
        <v>217</v>
      </c>
      <c r="R370" t="s">
        <v>218</v>
      </c>
      <c r="S370" t="s">
        <v>220</v>
      </c>
    </row>
    <row r="371" spans="1:19" x14ac:dyDescent="0.35">
      <c r="A371" t="s">
        <v>119</v>
      </c>
      <c r="B371" t="s">
        <v>20</v>
      </c>
      <c r="C371" t="s">
        <v>38</v>
      </c>
      <c r="D371" t="s">
        <v>26</v>
      </c>
      <c r="E371" t="s">
        <v>22</v>
      </c>
      <c r="F371" t="s">
        <v>47</v>
      </c>
      <c r="G371" t="s">
        <v>36</v>
      </c>
      <c r="H371" t="s">
        <v>229</v>
      </c>
      <c r="I371" t="s">
        <v>244</v>
      </c>
      <c r="J371" t="s">
        <v>27</v>
      </c>
      <c r="K371" t="s">
        <v>231</v>
      </c>
      <c r="L371" t="s">
        <v>312</v>
      </c>
      <c r="M371" t="s">
        <v>214</v>
      </c>
      <c r="N371" t="s">
        <v>246</v>
      </c>
      <c r="O371" t="s">
        <v>215</v>
      </c>
      <c r="P371" t="s">
        <v>216</v>
      </c>
      <c r="Q371" t="s">
        <v>217</v>
      </c>
      <c r="R371" t="s">
        <v>218</v>
      </c>
      <c r="S371" t="s">
        <v>238</v>
      </c>
    </row>
    <row r="372" spans="1:19" x14ac:dyDescent="0.35">
      <c r="A372" t="s">
        <v>28</v>
      </c>
      <c r="B372" t="s">
        <v>12</v>
      </c>
      <c r="C372" t="s">
        <v>38</v>
      </c>
      <c r="D372" t="s">
        <v>26</v>
      </c>
      <c r="E372" t="s">
        <v>22</v>
      </c>
      <c r="F372" t="s">
        <v>41</v>
      </c>
      <c r="G372" t="s">
        <v>17</v>
      </c>
      <c r="H372" t="s">
        <v>219</v>
      </c>
      <c r="I372" t="s">
        <v>238</v>
      </c>
      <c r="J372" t="s">
        <v>32</v>
      </c>
      <c r="K372" t="s">
        <v>221</v>
      </c>
      <c r="L372" t="s">
        <v>219</v>
      </c>
      <c r="M372" t="s">
        <v>221</v>
      </c>
      <c r="N372" t="s">
        <v>308</v>
      </c>
      <c r="O372" t="s">
        <v>215</v>
      </c>
      <c r="P372" t="s">
        <v>216</v>
      </c>
      <c r="Q372" t="s">
        <v>217</v>
      </c>
      <c r="R372" t="s">
        <v>218</v>
      </c>
      <c r="S372" t="s">
        <v>220</v>
      </c>
    </row>
    <row r="373" spans="1:19" x14ac:dyDescent="0.35">
      <c r="A373" t="s">
        <v>65</v>
      </c>
      <c r="B373" t="s">
        <v>20</v>
      </c>
      <c r="C373" t="s">
        <v>38</v>
      </c>
      <c r="D373" t="s">
        <v>26</v>
      </c>
      <c r="E373" t="s">
        <v>15</v>
      </c>
      <c r="F373" t="s">
        <v>39</v>
      </c>
      <c r="G373" t="s">
        <v>24</v>
      </c>
      <c r="H373" t="s">
        <v>209</v>
      </c>
      <c r="I373" t="s">
        <v>225</v>
      </c>
      <c r="J373" t="s">
        <v>18</v>
      </c>
      <c r="K373" t="s">
        <v>211</v>
      </c>
      <c r="L373" t="s">
        <v>301</v>
      </c>
      <c r="M373" t="s">
        <v>302</v>
      </c>
      <c r="N373" t="s">
        <v>209</v>
      </c>
      <c r="O373" t="s">
        <v>215</v>
      </c>
      <c r="P373" t="s">
        <v>216</v>
      </c>
      <c r="Q373" t="s">
        <v>217</v>
      </c>
      <c r="R373" t="s">
        <v>218</v>
      </c>
      <c r="S373" t="s">
        <v>265</v>
      </c>
    </row>
    <row r="374" spans="1:19" x14ac:dyDescent="0.35">
      <c r="A374" t="s">
        <v>90</v>
      </c>
      <c r="B374" t="s">
        <v>34</v>
      </c>
      <c r="C374" t="s">
        <v>30</v>
      </c>
      <c r="D374" t="s">
        <v>26</v>
      </c>
      <c r="E374" t="s">
        <v>22</v>
      </c>
      <c r="F374" t="s">
        <v>35</v>
      </c>
      <c r="G374" t="s">
        <v>36</v>
      </c>
      <c r="H374" t="s">
        <v>224</v>
      </c>
      <c r="I374" t="s">
        <v>238</v>
      </c>
      <c r="J374" t="s">
        <v>32</v>
      </c>
      <c r="K374" t="s">
        <v>226</v>
      </c>
      <c r="L374" t="s">
        <v>224</v>
      </c>
      <c r="M374" t="s">
        <v>226</v>
      </c>
      <c r="N374" t="s">
        <v>252</v>
      </c>
      <c r="O374" t="s">
        <v>215</v>
      </c>
      <c r="P374" t="s">
        <v>216</v>
      </c>
      <c r="Q374" t="s">
        <v>217</v>
      </c>
      <c r="R374" t="s">
        <v>218</v>
      </c>
      <c r="S374" t="s">
        <v>244</v>
      </c>
    </row>
    <row r="375" spans="1:19" x14ac:dyDescent="0.35">
      <c r="A375" t="s">
        <v>153</v>
      </c>
      <c r="B375" t="s">
        <v>20</v>
      </c>
      <c r="C375" t="s">
        <v>13</v>
      </c>
      <c r="D375" t="s">
        <v>26</v>
      </c>
      <c r="E375" t="s">
        <v>15</v>
      </c>
      <c r="F375" t="s">
        <v>39</v>
      </c>
      <c r="G375" t="s">
        <v>24</v>
      </c>
      <c r="H375" t="s">
        <v>209</v>
      </c>
      <c r="I375" t="s">
        <v>249</v>
      </c>
      <c r="J375" t="s">
        <v>50</v>
      </c>
      <c r="K375" t="s">
        <v>211</v>
      </c>
      <c r="L375" t="s">
        <v>213</v>
      </c>
      <c r="M375" t="s">
        <v>250</v>
      </c>
      <c r="N375" t="s">
        <v>251</v>
      </c>
      <c r="O375" t="s">
        <v>215</v>
      </c>
      <c r="P375" t="s">
        <v>216</v>
      </c>
      <c r="Q375" t="s">
        <v>217</v>
      </c>
      <c r="R375" t="s">
        <v>218</v>
      </c>
      <c r="S375" t="s">
        <v>220</v>
      </c>
    </row>
    <row r="376" spans="1:19" x14ac:dyDescent="0.35">
      <c r="A376" t="s">
        <v>117</v>
      </c>
      <c r="B376" t="s">
        <v>29</v>
      </c>
      <c r="C376" t="s">
        <v>30</v>
      </c>
      <c r="D376" t="s">
        <v>26</v>
      </c>
      <c r="E376" t="s">
        <v>15</v>
      </c>
      <c r="F376" t="s">
        <v>39</v>
      </c>
      <c r="G376" t="s">
        <v>24</v>
      </c>
      <c r="H376" t="s">
        <v>209</v>
      </c>
      <c r="I376" t="s">
        <v>244</v>
      </c>
      <c r="J376" t="s">
        <v>43</v>
      </c>
      <c r="K376" t="s">
        <v>211</v>
      </c>
      <c r="L376" t="s">
        <v>272</v>
      </c>
      <c r="M376" t="s">
        <v>273</v>
      </c>
      <c r="N376" t="s">
        <v>274</v>
      </c>
      <c r="O376" t="s">
        <v>215</v>
      </c>
      <c r="P376" t="s">
        <v>216</v>
      </c>
      <c r="Q376" t="s">
        <v>217</v>
      </c>
      <c r="R376" t="s">
        <v>218</v>
      </c>
      <c r="S376" t="s">
        <v>220</v>
      </c>
    </row>
    <row r="377" spans="1:19" x14ac:dyDescent="0.35">
      <c r="A377" t="s">
        <v>143</v>
      </c>
      <c r="B377" t="s">
        <v>12</v>
      </c>
      <c r="C377" t="s">
        <v>38</v>
      </c>
      <c r="D377" t="s">
        <v>26</v>
      </c>
      <c r="E377" t="s">
        <v>22</v>
      </c>
      <c r="F377" t="s">
        <v>41</v>
      </c>
      <c r="G377" t="s">
        <v>17</v>
      </c>
      <c r="H377" t="s">
        <v>219</v>
      </c>
      <c r="I377" t="s">
        <v>240</v>
      </c>
      <c r="J377" t="s">
        <v>54</v>
      </c>
      <c r="K377" t="s">
        <v>221</v>
      </c>
      <c r="L377" t="s">
        <v>241</v>
      </c>
      <c r="M377" t="s">
        <v>242</v>
      </c>
      <c r="N377" t="s">
        <v>243</v>
      </c>
      <c r="O377" t="s">
        <v>215</v>
      </c>
      <c r="P377" t="s">
        <v>216</v>
      </c>
      <c r="Q377" t="s">
        <v>217</v>
      </c>
      <c r="R377" t="s">
        <v>218</v>
      </c>
      <c r="S377" t="s">
        <v>238</v>
      </c>
    </row>
    <row r="378" spans="1:19" x14ac:dyDescent="0.35">
      <c r="A378" t="s">
        <v>132</v>
      </c>
      <c r="B378" t="s">
        <v>12</v>
      </c>
      <c r="C378" t="s">
        <v>38</v>
      </c>
      <c r="D378" t="s">
        <v>26</v>
      </c>
      <c r="E378" t="s">
        <v>22</v>
      </c>
      <c r="F378" t="s">
        <v>31</v>
      </c>
      <c r="G378" t="s">
        <v>24</v>
      </c>
      <c r="H378" t="s">
        <v>252</v>
      </c>
      <c r="I378" t="s">
        <v>210</v>
      </c>
      <c r="J378" t="s">
        <v>18</v>
      </c>
      <c r="K378" t="s">
        <v>253</v>
      </c>
      <c r="L378" t="s">
        <v>289</v>
      </c>
      <c r="M378" t="s">
        <v>297</v>
      </c>
      <c r="N378" t="s">
        <v>231</v>
      </c>
      <c r="O378" t="s">
        <v>215</v>
      </c>
      <c r="P378" t="s">
        <v>216</v>
      </c>
      <c r="Q378" t="s">
        <v>217</v>
      </c>
      <c r="R378" t="s">
        <v>218</v>
      </c>
      <c r="S378" t="s">
        <v>238</v>
      </c>
    </row>
    <row r="379" spans="1:19" x14ac:dyDescent="0.35">
      <c r="A379" t="s">
        <v>109</v>
      </c>
      <c r="B379" t="s">
        <v>29</v>
      </c>
      <c r="C379" t="s">
        <v>21</v>
      </c>
      <c r="D379" t="s">
        <v>26</v>
      </c>
      <c r="E379" t="s">
        <v>22</v>
      </c>
      <c r="F379" t="s">
        <v>35</v>
      </c>
      <c r="G379" t="s">
        <v>36</v>
      </c>
      <c r="H379" t="s">
        <v>224</v>
      </c>
      <c r="I379" t="s">
        <v>238</v>
      </c>
      <c r="J379" t="s">
        <v>50</v>
      </c>
      <c r="K379" t="s">
        <v>226</v>
      </c>
      <c r="L379" t="s">
        <v>224</v>
      </c>
      <c r="M379" t="s">
        <v>226</v>
      </c>
      <c r="N379" t="s">
        <v>252</v>
      </c>
      <c r="O379" t="s">
        <v>215</v>
      </c>
      <c r="P379" t="s">
        <v>216</v>
      </c>
      <c r="Q379" t="s">
        <v>217</v>
      </c>
      <c r="R379" t="s">
        <v>218</v>
      </c>
      <c r="S379" t="s">
        <v>265</v>
      </c>
    </row>
    <row r="380" spans="1:19" x14ac:dyDescent="0.35">
      <c r="A380" t="s">
        <v>138</v>
      </c>
      <c r="B380" t="s">
        <v>12</v>
      </c>
      <c r="C380" t="s">
        <v>21</v>
      </c>
      <c r="D380" t="s">
        <v>26</v>
      </c>
      <c r="E380" t="s">
        <v>15</v>
      </c>
      <c r="F380" t="s">
        <v>39</v>
      </c>
      <c r="G380" t="s">
        <v>24</v>
      </c>
      <c r="H380" t="s">
        <v>209</v>
      </c>
      <c r="I380" t="s">
        <v>238</v>
      </c>
      <c r="J380" t="s">
        <v>27</v>
      </c>
      <c r="K380" t="s">
        <v>211</v>
      </c>
      <c r="L380" t="s">
        <v>209</v>
      </c>
      <c r="M380" t="s">
        <v>211</v>
      </c>
      <c r="N380" t="s">
        <v>254</v>
      </c>
      <c r="O380" t="s">
        <v>215</v>
      </c>
      <c r="P380" t="s">
        <v>216</v>
      </c>
      <c r="Q380" t="s">
        <v>217</v>
      </c>
      <c r="R380" t="s">
        <v>218</v>
      </c>
      <c r="S380" t="s">
        <v>244</v>
      </c>
    </row>
    <row r="381" spans="1:19" x14ac:dyDescent="0.35">
      <c r="A381" t="s">
        <v>119</v>
      </c>
      <c r="B381" t="s">
        <v>20</v>
      </c>
      <c r="C381" t="s">
        <v>21</v>
      </c>
      <c r="D381" t="s">
        <v>14</v>
      </c>
      <c r="E381" t="s">
        <v>22</v>
      </c>
      <c r="F381" t="s">
        <v>58</v>
      </c>
      <c r="G381" t="s">
        <v>24</v>
      </c>
      <c r="H381" t="s">
        <v>255</v>
      </c>
      <c r="I381" t="s">
        <v>249</v>
      </c>
      <c r="J381" t="s">
        <v>50</v>
      </c>
      <c r="K381" t="s">
        <v>256</v>
      </c>
      <c r="L381" t="s">
        <v>286</v>
      </c>
      <c r="M381" t="s">
        <v>295</v>
      </c>
      <c r="N381" t="s">
        <v>296</v>
      </c>
      <c r="O381" t="s">
        <v>215</v>
      </c>
      <c r="P381" t="s">
        <v>216</v>
      </c>
      <c r="Q381" t="s">
        <v>217</v>
      </c>
      <c r="R381" t="s">
        <v>218</v>
      </c>
      <c r="S381" t="s">
        <v>238</v>
      </c>
    </row>
    <row r="382" spans="1:19" x14ac:dyDescent="0.35">
      <c r="A382" t="s">
        <v>121</v>
      </c>
      <c r="B382" t="s">
        <v>34</v>
      </c>
      <c r="C382" t="s">
        <v>21</v>
      </c>
      <c r="D382" t="s">
        <v>26</v>
      </c>
      <c r="E382" t="s">
        <v>22</v>
      </c>
      <c r="F382" t="s">
        <v>16</v>
      </c>
      <c r="G382" t="s">
        <v>17</v>
      </c>
      <c r="H382" t="s">
        <v>275</v>
      </c>
      <c r="I382" t="s">
        <v>230</v>
      </c>
      <c r="J382" t="s">
        <v>32</v>
      </c>
      <c r="K382" t="s">
        <v>276</v>
      </c>
      <c r="L382" t="s">
        <v>374</v>
      </c>
      <c r="M382" t="s">
        <v>375</v>
      </c>
      <c r="N382" t="s">
        <v>376</v>
      </c>
      <c r="O382" t="s">
        <v>215</v>
      </c>
      <c r="P382" t="s">
        <v>216</v>
      </c>
      <c r="Q382" t="s">
        <v>217</v>
      </c>
      <c r="R382" t="s">
        <v>218</v>
      </c>
      <c r="S382" t="s">
        <v>265</v>
      </c>
    </row>
    <row r="383" spans="1:19" x14ac:dyDescent="0.35">
      <c r="A383" t="s">
        <v>65</v>
      </c>
      <c r="B383" t="s">
        <v>12</v>
      </c>
      <c r="C383" t="s">
        <v>13</v>
      </c>
      <c r="D383" t="s">
        <v>14</v>
      </c>
      <c r="E383" t="s">
        <v>22</v>
      </c>
      <c r="F383" t="s">
        <v>39</v>
      </c>
      <c r="G383" t="s">
        <v>24</v>
      </c>
      <c r="H383" t="s">
        <v>209</v>
      </c>
      <c r="I383" t="s">
        <v>269</v>
      </c>
      <c r="J383" t="s">
        <v>54</v>
      </c>
      <c r="K383" t="s">
        <v>211</v>
      </c>
      <c r="L383" t="s">
        <v>371</v>
      </c>
      <c r="M383" t="s">
        <v>372</v>
      </c>
      <c r="N383" t="s">
        <v>373</v>
      </c>
      <c r="O383" t="s">
        <v>215</v>
      </c>
      <c r="P383" t="s">
        <v>216</v>
      </c>
      <c r="Q383" t="s">
        <v>217</v>
      </c>
      <c r="R383" t="s">
        <v>218</v>
      </c>
      <c r="S383" t="s">
        <v>265</v>
      </c>
    </row>
    <row r="384" spans="1:19" x14ac:dyDescent="0.35">
      <c r="A384" t="s">
        <v>73</v>
      </c>
      <c r="B384" t="s">
        <v>34</v>
      </c>
      <c r="C384" t="s">
        <v>13</v>
      </c>
      <c r="D384" t="s">
        <v>26</v>
      </c>
      <c r="E384" t="s">
        <v>15</v>
      </c>
      <c r="F384" t="s">
        <v>41</v>
      </c>
      <c r="G384" t="s">
        <v>17</v>
      </c>
      <c r="H384" t="s">
        <v>219</v>
      </c>
      <c r="I384" t="s">
        <v>244</v>
      </c>
      <c r="J384" t="s">
        <v>43</v>
      </c>
      <c r="K384" t="s">
        <v>221</v>
      </c>
      <c r="L384" t="s">
        <v>290</v>
      </c>
      <c r="M384" t="s">
        <v>298</v>
      </c>
      <c r="N384" t="s">
        <v>284</v>
      </c>
      <c r="O384" t="s">
        <v>215</v>
      </c>
      <c r="P384" t="s">
        <v>216</v>
      </c>
      <c r="Q384" t="s">
        <v>217</v>
      </c>
      <c r="R384" t="s">
        <v>218</v>
      </c>
      <c r="S384" t="s">
        <v>265</v>
      </c>
    </row>
    <row r="385" spans="1:19" x14ac:dyDescent="0.35">
      <c r="A385" t="s">
        <v>142</v>
      </c>
      <c r="B385" t="s">
        <v>34</v>
      </c>
      <c r="C385" t="s">
        <v>13</v>
      </c>
      <c r="D385" t="s">
        <v>26</v>
      </c>
      <c r="E385" t="s">
        <v>15</v>
      </c>
      <c r="F385" t="s">
        <v>47</v>
      </c>
      <c r="G385" t="s">
        <v>36</v>
      </c>
      <c r="H385" t="s">
        <v>229</v>
      </c>
      <c r="I385" t="s">
        <v>220</v>
      </c>
      <c r="J385" t="s">
        <v>18</v>
      </c>
      <c r="K385" t="s">
        <v>231</v>
      </c>
      <c r="L385" t="s">
        <v>289</v>
      </c>
      <c r="M385" t="s">
        <v>297</v>
      </c>
      <c r="N385" t="s">
        <v>231</v>
      </c>
      <c r="O385" t="s">
        <v>215</v>
      </c>
      <c r="P385" t="s">
        <v>216</v>
      </c>
      <c r="Q385" t="s">
        <v>217</v>
      </c>
      <c r="R385" t="s">
        <v>218</v>
      </c>
      <c r="S385" t="s">
        <v>220</v>
      </c>
    </row>
    <row r="386" spans="1:19" x14ac:dyDescent="0.35">
      <c r="A386" t="s">
        <v>122</v>
      </c>
      <c r="B386" t="s">
        <v>20</v>
      </c>
      <c r="C386" t="s">
        <v>21</v>
      </c>
      <c r="D386" t="s">
        <v>14</v>
      </c>
      <c r="E386" t="s">
        <v>15</v>
      </c>
      <c r="F386" t="s">
        <v>58</v>
      </c>
      <c r="G386" t="s">
        <v>24</v>
      </c>
      <c r="H386" t="s">
        <v>255</v>
      </c>
      <c r="I386" t="s">
        <v>210</v>
      </c>
      <c r="J386" t="s">
        <v>54</v>
      </c>
      <c r="K386" t="s">
        <v>256</v>
      </c>
      <c r="L386" t="s">
        <v>285</v>
      </c>
      <c r="M386" t="s">
        <v>286</v>
      </c>
      <c r="N386" t="s">
        <v>287</v>
      </c>
      <c r="O386" t="s">
        <v>215</v>
      </c>
      <c r="P386" t="s">
        <v>216</v>
      </c>
      <c r="Q386" t="s">
        <v>217</v>
      </c>
      <c r="R386" t="s">
        <v>218</v>
      </c>
      <c r="S386" t="s">
        <v>220</v>
      </c>
    </row>
    <row r="387" spans="1:19" x14ac:dyDescent="0.35">
      <c r="A387" t="s">
        <v>139</v>
      </c>
      <c r="B387" t="s">
        <v>29</v>
      </c>
      <c r="C387" t="s">
        <v>13</v>
      </c>
      <c r="D387" t="s">
        <v>26</v>
      </c>
      <c r="E387" t="s">
        <v>15</v>
      </c>
      <c r="F387" t="s">
        <v>47</v>
      </c>
      <c r="G387" t="s">
        <v>36</v>
      </c>
      <c r="H387" t="s">
        <v>229</v>
      </c>
      <c r="I387" t="s">
        <v>240</v>
      </c>
      <c r="J387" t="s">
        <v>18</v>
      </c>
      <c r="K387" t="s">
        <v>231</v>
      </c>
      <c r="L387" t="s">
        <v>301</v>
      </c>
      <c r="M387" t="s">
        <v>302</v>
      </c>
      <c r="N387" t="s">
        <v>209</v>
      </c>
      <c r="O387" t="s">
        <v>215</v>
      </c>
      <c r="P387" t="s">
        <v>216</v>
      </c>
      <c r="Q387" t="s">
        <v>217</v>
      </c>
      <c r="R387" t="s">
        <v>218</v>
      </c>
      <c r="S387" t="s">
        <v>265</v>
      </c>
    </row>
    <row r="388" spans="1:19" x14ac:dyDescent="0.35">
      <c r="A388" t="s">
        <v>102</v>
      </c>
      <c r="B388" t="s">
        <v>12</v>
      </c>
      <c r="C388" t="s">
        <v>21</v>
      </c>
      <c r="D388" t="s">
        <v>26</v>
      </c>
      <c r="E388" t="s">
        <v>22</v>
      </c>
      <c r="F388" t="s">
        <v>39</v>
      </c>
      <c r="G388" t="s">
        <v>24</v>
      </c>
      <c r="H388" t="s">
        <v>209</v>
      </c>
      <c r="I388" t="s">
        <v>238</v>
      </c>
      <c r="J388" t="s">
        <v>32</v>
      </c>
      <c r="K388" t="s">
        <v>211</v>
      </c>
      <c r="L388" t="s">
        <v>209</v>
      </c>
      <c r="M388" t="s">
        <v>211</v>
      </c>
      <c r="N388" t="s">
        <v>254</v>
      </c>
      <c r="O388" t="s">
        <v>215</v>
      </c>
      <c r="P388" t="s">
        <v>216</v>
      </c>
      <c r="Q388" t="s">
        <v>217</v>
      </c>
      <c r="R388" t="s">
        <v>218</v>
      </c>
      <c r="S388" t="s">
        <v>238</v>
      </c>
    </row>
    <row r="389" spans="1:19" x14ac:dyDescent="0.35">
      <c r="A389" t="s">
        <v>98</v>
      </c>
      <c r="B389" t="s">
        <v>20</v>
      </c>
      <c r="C389" t="s">
        <v>30</v>
      </c>
      <c r="D389" t="s">
        <v>14</v>
      </c>
      <c r="E389" t="s">
        <v>15</v>
      </c>
      <c r="F389" t="s">
        <v>23</v>
      </c>
      <c r="G389" t="s">
        <v>24</v>
      </c>
      <c r="H389" t="s">
        <v>239</v>
      </c>
      <c r="I389" t="s">
        <v>265</v>
      </c>
      <c r="J389" t="s">
        <v>43</v>
      </c>
      <c r="K389" t="s">
        <v>245</v>
      </c>
      <c r="L389" t="s">
        <v>252</v>
      </c>
      <c r="M389" t="s">
        <v>253</v>
      </c>
      <c r="N389" t="s">
        <v>313</v>
      </c>
      <c r="O389" t="s">
        <v>215</v>
      </c>
      <c r="P389" t="s">
        <v>216</v>
      </c>
      <c r="Q389" t="s">
        <v>217</v>
      </c>
      <c r="R389" t="s">
        <v>218</v>
      </c>
      <c r="S389" t="s">
        <v>220</v>
      </c>
    </row>
    <row r="390" spans="1:19" x14ac:dyDescent="0.35">
      <c r="A390" t="s">
        <v>67</v>
      </c>
      <c r="B390" t="s">
        <v>34</v>
      </c>
      <c r="C390" t="s">
        <v>38</v>
      </c>
      <c r="D390" t="s">
        <v>26</v>
      </c>
      <c r="E390" t="s">
        <v>15</v>
      </c>
      <c r="F390" t="s">
        <v>41</v>
      </c>
      <c r="G390" t="s">
        <v>17</v>
      </c>
      <c r="H390" t="s">
        <v>219</v>
      </c>
      <c r="I390" t="s">
        <v>230</v>
      </c>
      <c r="J390" t="s">
        <v>18</v>
      </c>
      <c r="K390" t="s">
        <v>221</v>
      </c>
      <c r="L390" t="s">
        <v>235</v>
      </c>
      <c r="M390" t="s">
        <v>236</v>
      </c>
      <c r="N390" t="s">
        <v>237</v>
      </c>
      <c r="O390" t="s">
        <v>215</v>
      </c>
      <c r="P390" t="s">
        <v>216</v>
      </c>
      <c r="Q390" t="s">
        <v>217</v>
      </c>
      <c r="R390" t="s">
        <v>218</v>
      </c>
      <c r="S390" t="s">
        <v>244</v>
      </c>
    </row>
    <row r="391" spans="1:19" x14ac:dyDescent="0.35">
      <c r="A391" t="s">
        <v>129</v>
      </c>
      <c r="B391" t="s">
        <v>34</v>
      </c>
      <c r="C391" t="s">
        <v>30</v>
      </c>
      <c r="D391" t="s">
        <v>14</v>
      </c>
      <c r="E391" t="s">
        <v>22</v>
      </c>
      <c r="F391" t="s">
        <v>16</v>
      </c>
      <c r="G391" t="s">
        <v>17</v>
      </c>
      <c r="H391" t="s">
        <v>275</v>
      </c>
      <c r="I391" t="s">
        <v>210</v>
      </c>
      <c r="J391" t="s">
        <v>27</v>
      </c>
      <c r="K391" t="s">
        <v>276</v>
      </c>
      <c r="L391" t="s">
        <v>314</v>
      </c>
      <c r="M391" t="s">
        <v>315</v>
      </c>
      <c r="N391" t="s">
        <v>316</v>
      </c>
      <c r="O391" t="s">
        <v>215</v>
      </c>
      <c r="P391" t="s">
        <v>216</v>
      </c>
      <c r="Q391" t="s">
        <v>217</v>
      </c>
      <c r="R391" t="s">
        <v>218</v>
      </c>
      <c r="S391" t="s">
        <v>265</v>
      </c>
    </row>
    <row r="392" spans="1:19" x14ac:dyDescent="0.35">
      <c r="A392" t="s">
        <v>117</v>
      </c>
      <c r="B392" t="s">
        <v>20</v>
      </c>
      <c r="C392" t="s">
        <v>13</v>
      </c>
      <c r="D392" t="s">
        <v>26</v>
      </c>
      <c r="E392" t="s">
        <v>15</v>
      </c>
      <c r="F392" t="s">
        <v>39</v>
      </c>
      <c r="G392" t="s">
        <v>24</v>
      </c>
      <c r="H392" t="s">
        <v>209</v>
      </c>
      <c r="I392" t="s">
        <v>230</v>
      </c>
      <c r="J392" t="s">
        <v>32</v>
      </c>
      <c r="K392" t="s">
        <v>211</v>
      </c>
      <c r="L392" t="s">
        <v>317</v>
      </c>
      <c r="M392" t="s">
        <v>318</v>
      </c>
      <c r="N392" t="s">
        <v>319</v>
      </c>
      <c r="O392" t="s">
        <v>215</v>
      </c>
      <c r="P392" t="s">
        <v>216</v>
      </c>
      <c r="Q392" t="s">
        <v>217</v>
      </c>
      <c r="R392" t="s">
        <v>218</v>
      </c>
      <c r="S392" t="s">
        <v>220</v>
      </c>
    </row>
    <row r="393" spans="1:19" x14ac:dyDescent="0.35">
      <c r="A393" t="s">
        <v>44</v>
      </c>
      <c r="B393" t="s">
        <v>29</v>
      </c>
      <c r="C393" t="s">
        <v>21</v>
      </c>
      <c r="D393" t="s">
        <v>14</v>
      </c>
      <c r="E393" t="s">
        <v>15</v>
      </c>
      <c r="F393" t="s">
        <v>52</v>
      </c>
      <c r="G393" t="s">
        <v>36</v>
      </c>
      <c r="H393" t="s">
        <v>291</v>
      </c>
      <c r="I393" t="s">
        <v>225</v>
      </c>
      <c r="J393" t="s">
        <v>43</v>
      </c>
      <c r="K393" t="s">
        <v>292</v>
      </c>
      <c r="L393" t="s">
        <v>332</v>
      </c>
      <c r="M393" t="s">
        <v>333</v>
      </c>
      <c r="N393" t="s">
        <v>291</v>
      </c>
      <c r="O393" t="s">
        <v>215</v>
      </c>
      <c r="P393" t="s">
        <v>216</v>
      </c>
      <c r="Q393" t="s">
        <v>217</v>
      </c>
      <c r="R393" t="s">
        <v>218</v>
      </c>
      <c r="S393" t="s">
        <v>244</v>
      </c>
    </row>
    <row r="394" spans="1:19" x14ac:dyDescent="0.35">
      <c r="A394" t="s">
        <v>62</v>
      </c>
      <c r="B394" t="s">
        <v>29</v>
      </c>
      <c r="C394" t="s">
        <v>38</v>
      </c>
      <c r="D394" t="s">
        <v>26</v>
      </c>
      <c r="E394" t="s">
        <v>22</v>
      </c>
      <c r="F394" t="s">
        <v>41</v>
      </c>
      <c r="G394" t="s">
        <v>17</v>
      </c>
      <c r="H394" t="s">
        <v>219</v>
      </c>
      <c r="I394" t="s">
        <v>249</v>
      </c>
      <c r="J394" t="s">
        <v>27</v>
      </c>
      <c r="K394" t="s">
        <v>221</v>
      </c>
      <c r="L394" t="s">
        <v>279</v>
      </c>
      <c r="M394" t="s">
        <v>320</v>
      </c>
      <c r="N394" t="s">
        <v>321</v>
      </c>
      <c r="O394" t="s">
        <v>215</v>
      </c>
      <c r="P394" t="s">
        <v>216</v>
      </c>
      <c r="Q394" t="s">
        <v>217</v>
      </c>
      <c r="R394" t="s">
        <v>218</v>
      </c>
      <c r="S394" t="s">
        <v>220</v>
      </c>
    </row>
    <row r="395" spans="1:19" x14ac:dyDescent="0.35">
      <c r="A395" t="s">
        <v>136</v>
      </c>
      <c r="B395" t="s">
        <v>20</v>
      </c>
      <c r="C395" t="s">
        <v>30</v>
      </c>
      <c r="D395" t="s">
        <v>26</v>
      </c>
      <c r="E395" t="s">
        <v>22</v>
      </c>
      <c r="F395" t="s">
        <v>39</v>
      </c>
      <c r="G395" t="s">
        <v>24</v>
      </c>
      <c r="H395" t="s">
        <v>209</v>
      </c>
      <c r="I395" t="s">
        <v>225</v>
      </c>
      <c r="J395" t="s">
        <v>32</v>
      </c>
      <c r="K395" t="s">
        <v>211</v>
      </c>
      <c r="L395" t="s">
        <v>301</v>
      </c>
      <c r="M395" t="s">
        <v>302</v>
      </c>
      <c r="N395" t="s">
        <v>209</v>
      </c>
      <c r="O395" t="s">
        <v>215</v>
      </c>
      <c r="P395" t="s">
        <v>216</v>
      </c>
      <c r="Q395" t="s">
        <v>217</v>
      </c>
      <c r="R395" t="s">
        <v>218</v>
      </c>
      <c r="S395" t="s">
        <v>265</v>
      </c>
    </row>
    <row r="396" spans="1:19" x14ac:dyDescent="0.35">
      <c r="A396" t="s">
        <v>120</v>
      </c>
      <c r="B396" t="s">
        <v>34</v>
      </c>
      <c r="C396" t="s">
        <v>13</v>
      </c>
      <c r="D396" t="s">
        <v>26</v>
      </c>
      <c r="E396" t="s">
        <v>22</v>
      </c>
      <c r="F396" t="s">
        <v>52</v>
      </c>
      <c r="G396" t="s">
        <v>36</v>
      </c>
      <c r="H396" t="s">
        <v>291</v>
      </c>
      <c r="I396" t="s">
        <v>265</v>
      </c>
      <c r="J396" t="s">
        <v>18</v>
      </c>
      <c r="K396" t="s">
        <v>292</v>
      </c>
      <c r="L396" t="s">
        <v>233</v>
      </c>
      <c r="M396" t="s">
        <v>293</v>
      </c>
      <c r="N396" t="s">
        <v>294</v>
      </c>
      <c r="O396" t="s">
        <v>215</v>
      </c>
      <c r="P396" t="s">
        <v>216</v>
      </c>
      <c r="Q396" t="s">
        <v>217</v>
      </c>
      <c r="R396" t="s">
        <v>218</v>
      </c>
      <c r="S396" t="s">
        <v>244</v>
      </c>
    </row>
    <row r="397" spans="1:19" x14ac:dyDescent="0.35">
      <c r="A397" t="s">
        <v>90</v>
      </c>
      <c r="B397" t="s">
        <v>34</v>
      </c>
      <c r="C397" t="s">
        <v>30</v>
      </c>
      <c r="D397" t="s">
        <v>14</v>
      </c>
      <c r="E397" t="s">
        <v>15</v>
      </c>
      <c r="F397" t="s">
        <v>35</v>
      </c>
      <c r="G397" t="s">
        <v>36</v>
      </c>
      <c r="H397" t="s">
        <v>224</v>
      </c>
      <c r="I397" t="s">
        <v>249</v>
      </c>
      <c r="J397" t="s">
        <v>27</v>
      </c>
      <c r="K397" t="s">
        <v>226</v>
      </c>
      <c r="L397" t="s">
        <v>366</v>
      </c>
      <c r="M397" t="s">
        <v>241</v>
      </c>
      <c r="N397" t="s">
        <v>297</v>
      </c>
      <c r="O397" t="s">
        <v>215</v>
      </c>
      <c r="P397" t="s">
        <v>216</v>
      </c>
      <c r="Q397" t="s">
        <v>217</v>
      </c>
      <c r="R397" t="s">
        <v>218</v>
      </c>
      <c r="S397" t="s">
        <v>244</v>
      </c>
    </row>
    <row r="398" spans="1:19" x14ac:dyDescent="0.35">
      <c r="A398" t="s">
        <v>86</v>
      </c>
      <c r="B398" t="s">
        <v>20</v>
      </c>
      <c r="C398" t="s">
        <v>30</v>
      </c>
      <c r="D398" t="s">
        <v>14</v>
      </c>
      <c r="E398" t="s">
        <v>15</v>
      </c>
      <c r="F398" t="s">
        <v>41</v>
      </c>
      <c r="G398" t="s">
        <v>17</v>
      </c>
      <c r="H398" t="s">
        <v>219</v>
      </c>
      <c r="I398" t="s">
        <v>238</v>
      </c>
      <c r="J398" t="s">
        <v>27</v>
      </c>
      <c r="K398" t="s">
        <v>221</v>
      </c>
      <c r="L398" t="s">
        <v>219</v>
      </c>
      <c r="M398" t="s">
        <v>221</v>
      </c>
      <c r="N398" t="s">
        <v>308</v>
      </c>
      <c r="O398" t="s">
        <v>215</v>
      </c>
      <c r="P398" t="s">
        <v>216</v>
      </c>
      <c r="Q398" t="s">
        <v>217</v>
      </c>
      <c r="R398" t="s">
        <v>218</v>
      </c>
      <c r="S398" t="s">
        <v>238</v>
      </c>
    </row>
    <row r="399" spans="1:19" x14ac:dyDescent="0.35">
      <c r="A399" t="s">
        <v>83</v>
      </c>
      <c r="B399" t="s">
        <v>20</v>
      </c>
      <c r="C399" t="s">
        <v>30</v>
      </c>
      <c r="D399" t="s">
        <v>14</v>
      </c>
      <c r="E399" t="s">
        <v>15</v>
      </c>
      <c r="F399" t="s">
        <v>52</v>
      </c>
      <c r="G399" t="s">
        <v>36</v>
      </c>
      <c r="H399" t="s">
        <v>291</v>
      </c>
      <c r="I399" t="s">
        <v>269</v>
      </c>
      <c r="J399" t="s">
        <v>18</v>
      </c>
      <c r="K399" t="s">
        <v>292</v>
      </c>
      <c r="L399" t="s">
        <v>328</v>
      </c>
      <c r="M399" t="s">
        <v>329</v>
      </c>
      <c r="N399" t="s">
        <v>330</v>
      </c>
      <c r="O399" t="s">
        <v>215</v>
      </c>
      <c r="P399" t="s">
        <v>216</v>
      </c>
      <c r="Q399" t="s">
        <v>217</v>
      </c>
      <c r="R399" t="s">
        <v>218</v>
      </c>
      <c r="S399" t="s">
        <v>238</v>
      </c>
    </row>
    <row r="400" spans="1:19" x14ac:dyDescent="0.35">
      <c r="A400" t="s">
        <v>97</v>
      </c>
      <c r="B400" t="s">
        <v>20</v>
      </c>
      <c r="C400" t="s">
        <v>38</v>
      </c>
      <c r="D400" t="s">
        <v>26</v>
      </c>
      <c r="E400" t="s">
        <v>22</v>
      </c>
      <c r="F400" t="s">
        <v>16</v>
      </c>
      <c r="G400" t="s">
        <v>17</v>
      </c>
      <c r="H400" t="s">
        <v>275</v>
      </c>
      <c r="I400" t="s">
        <v>249</v>
      </c>
      <c r="J400" t="s">
        <v>54</v>
      </c>
      <c r="K400" t="s">
        <v>276</v>
      </c>
      <c r="L400" t="s">
        <v>315</v>
      </c>
      <c r="M400" t="s">
        <v>322</v>
      </c>
      <c r="N400" t="s">
        <v>323</v>
      </c>
      <c r="O400" t="s">
        <v>215</v>
      </c>
      <c r="P400" t="s">
        <v>216</v>
      </c>
      <c r="Q400" t="s">
        <v>217</v>
      </c>
      <c r="R400" t="s">
        <v>218</v>
      </c>
      <c r="S400" t="s">
        <v>265</v>
      </c>
    </row>
    <row r="401" spans="1:19" x14ac:dyDescent="0.35">
      <c r="A401" t="s">
        <v>73</v>
      </c>
      <c r="B401" t="s">
        <v>34</v>
      </c>
      <c r="C401" t="s">
        <v>13</v>
      </c>
      <c r="D401" t="s">
        <v>26</v>
      </c>
      <c r="E401" t="s">
        <v>22</v>
      </c>
      <c r="F401" t="s">
        <v>52</v>
      </c>
      <c r="G401" t="s">
        <v>36</v>
      </c>
      <c r="H401" t="s">
        <v>291</v>
      </c>
      <c r="I401" t="s">
        <v>210</v>
      </c>
      <c r="J401" t="s">
        <v>43</v>
      </c>
      <c r="K401" t="s">
        <v>292</v>
      </c>
      <c r="L401" t="s">
        <v>339</v>
      </c>
      <c r="M401" t="s">
        <v>299</v>
      </c>
      <c r="N401" t="s">
        <v>233</v>
      </c>
      <c r="O401" t="s">
        <v>215</v>
      </c>
      <c r="P401" t="s">
        <v>216</v>
      </c>
      <c r="Q401" t="s">
        <v>217</v>
      </c>
      <c r="R401" t="s">
        <v>218</v>
      </c>
      <c r="S401" t="s">
        <v>265</v>
      </c>
    </row>
    <row r="402" spans="1:19" x14ac:dyDescent="0.35">
      <c r="A402" t="s">
        <v>110</v>
      </c>
      <c r="B402" t="s">
        <v>20</v>
      </c>
      <c r="C402" t="s">
        <v>13</v>
      </c>
      <c r="D402" t="s">
        <v>14</v>
      </c>
      <c r="E402" t="s">
        <v>22</v>
      </c>
      <c r="F402" t="s">
        <v>56</v>
      </c>
      <c r="G402" t="s">
        <v>36</v>
      </c>
      <c r="H402" t="s">
        <v>260</v>
      </c>
      <c r="I402" t="s">
        <v>238</v>
      </c>
      <c r="J402" t="s">
        <v>43</v>
      </c>
      <c r="K402" t="s">
        <v>261</v>
      </c>
      <c r="L402" t="s">
        <v>260</v>
      </c>
      <c r="M402" t="s">
        <v>261</v>
      </c>
      <c r="N402" t="s">
        <v>352</v>
      </c>
      <c r="O402" t="s">
        <v>215</v>
      </c>
      <c r="P402" t="s">
        <v>216</v>
      </c>
      <c r="Q402" t="s">
        <v>217</v>
      </c>
      <c r="R402" t="s">
        <v>218</v>
      </c>
      <c r="S402" t="s">
        <v>265</v>
      </c>
    </row>
    <row r="403" spans="1:19" x14ac:dyDescent="0.35">
      <c r="A403" t="s">
        <v>154</v>
      </c>
      <c r="B403" t="s">
        <v>20</v>
      </c>
      <c r="C403" t="s">
        <v>38</v>
      </c>
      <c r="D403" t="s">
        <v>26</v>
      </c>
      <c r="E403" t="s">
        <v>15</v>
      </c>
      <c r="F403" t="s">
        <v>58</v>
      </c>
      <c r="G403" t="s">
        <v>24</v>
      </c>
      <c r="H403" t="s">
        <v>255</v>
      </c>
      <c r="I403" t="s">
        <v>225</v>
      </c>
      <c r="J403" t="s">
        <v>54</v>
      </c>
      <c r="K403" t="s">
        <v>256</v>
      </c>
      <c r="L403" t="s">
        <v>324</v>
      </c>
      <c r="M403" t="s">
        <v>303</v>
      </c>
      <c r="N403" t="s">
        <v>255</v>
      </c>
      <c r="O403" t="s">
        <v>215</v>
      </c>
      <c r="P403" t="s">
        <v>216</v>
      </c>
      <c r="Q403" t="s">
        <v>217</v>
      </c>
      <c r="R403" t="s">
        <v>218</v>
      </c>
      <c r="S403" t="s">
        <v>265</v>
      </c>
    </row>
    <row r="404" spans="1:19" x14ac:dyDescent="0.35">
      <c r="A404" t="s">
        <v>87</v>
      </c>
      <c r="B404" t="s">
        <v>34</v>
      </c>
      <c r="C404" t="s">
        <v>21</v>
      </c>
      <c r="D404" t="s">
        <v>14</v>
      </c>
      <c r="E404" t="s">
        <v>15</v>
      </c>
      <c r="F404" t="s">
        <v>35</v>
      </c>
      <c r="G404" t="s">
        <v>36</v>
      </c>
      <c r="H404" t="s">
        <v>224</v>
      </c>
      <c r="I404" t="s">
        <v>238</v>
      </c>
      <c r="J404" t="s">
        <v>18</v>
      </c>
      <c r="K404" t="s">
        <v>226</v>
      </c>
      <c r="L404" t="s">
        <v>224</v>
      </c>
      <c r="M404" t="s">
        <v>226</v>
      </c>
      <c r="N404" t="s">
        <v>252</v>
      </c>
      <c r="O404" t="s">
        <v>215</v>
      </c>
      <c r="P404" t="s">
        <v>216</v>
      </c>
      <c r="Q404" t="s">
        <v>217</v>
      </c>
      <c r="R404" t="s">
        <v>218</v>
      </c>
      <c r="S404" t="s">
        <v>244</v>
      </c>
    </row>
    <row r="405" spans="1:19" x14ac:dyDescent="0.35">
      <c r="A405" t="s">
        <v>64</v>
      </c>
      <c r="B405" t="s">
        <v>34</v>
      </c>
      <c r="C405" t="s">
        <v>30</v>
      </c>
      <c r="D405" t="s">
        <v>26</v>
      </c>
      <c r="E405" t="s">
        <v>22</v>
      </c>
      <c r="F405" t="s">
        <v>31</v>
      </c>
      <c r="G405" t="s">
        <v>24</v>
      </c>
      <c r="H405" t="s">
        <v>252</v>
      </c>
      <c r="I405" t="s">
        <v>240</v>
      </c>
      <c r="J405" t="s">
        <v>50</v>
      </c>
      <c r="K405" t="s">
        <v>253</v>
      </c>
      <c r="L405" t="s">
        <v>214</v>
      </c>
      <c r="M405" t="s">
        <v>251</v>
      </c>
      <c r="N405" t="s">
        <v>247</v>
      </c>
      <c r="O405" t="s">
        <v>215</v>
      </c>
      <c r="P405" t="s">
        <v>216</v>
      </c>
      <c r="Q405" t="s">
        <v>217</v>
      </c>
      <c r="R405" t="s">
        <v>218</v>
      </c>
      <c r="S405" t="s">
        <v>265</v>
      </c>
    </row>
    <row r="406" spans="1:19" x14ac:dyDescent="0.35">
      <c r="A406" t="s">
        <v>103</v>
      </c>
      <c r="B406" t="s">
        <v>29</v>
      </c>
      <c r="C406" t="s">
        <v>38</v>
      </c>
      <c r="D406" t="s">
        <v>14</v>
      </c>
      <c r="E406" t="s">
        <v>15</v>
      </c>
      <c r="F406" t="s">
        <v>31</v>
      </c>
      <c r="G406" t="s">
        <v>24</v>
      </c>
      <c r="H406" t="s">
        <v>252</v>
      </c>
      <c r="I406" t="s">
        <v>249</v>
      </c>
      <c r="J406" t="s">
        <v>27</v>
      </c>
      <c r="K406" t="s">
        <v>253</v>
      </c>
      <c r="L406" t="s">
        <v>297</v>
      </c>
      <c r="M406" t="s">
        <v>243</v>
      </c>
      <c r="N406" t="s">
        <v>311</v>
      </c>
      <c r="O406" t="s">
        <v>215</v>
      </c>
      <c r="P406" t="s">
        <v>216</v>
      </c>
      <c r="Q406" t="s">
        <v>217</v>
      </c>
      <c r="R406" t="s">
        <v>218</v>
      </c>
      <c r="S406" t="s">
        <v>244</v>
      </c>
    </row>
    <row r="407" spans="1:19" x14ac:dyDescent="0.35">
      <c r="A407" t="s">
        <v>128</v>
      </c>
      <c r="B407" t="s">
        <v>29</v>
      </c>
      <c r="C407" t="s">
        <v>30</v>
      </c>
      <c r="D407" t="s">
        <v>14</v>
      </c>
      <c r="E407" t="s">
        <v>22</v>
      </c>
      <c r="F407" t="s">
        <v>58</v>
      </c>
      <c r="G407" t="s">
        <v>24</v>
      </c>
      <c r="H407" t="s">
        <v>255</v>
      </c>
      <c r="I407" t="s">
        <v>244</v>
      </c>
      <c r="J407" t="s">
        <v>50</v>
      </c>
      <c r="K407" t="s">
        <v>256</v>
      </c>
      <c r="L407" t="s">
        <v>257</v>
      </c>
      <c r="M407" t="s">
        <v>258</v>
      </c>
      <c r="N407" t="s">
        <v>259</v>
      </c>
      <c r="O407" t="s">
        <v>215</v>
      </c>
      <c r="P407" t="s">
        <v>216</v>
      </c>
      <c r="Q407" t="s">
        <v>217</v>
      </c>
      <c r="R407" t="s">
        <v>218</v>
      </c>
      <c r="S407" t="s">
        <v>220</v>
      </c>
    </row>
    <row r="408" spans="1:19" x14ac:dyDescent="0.35">
      <c r="A408" t="s">
        <v>120</v>
      </c>
      <c r="B408" t="s">
        <v>34</v>
      </c>
      <c r="C408" t="s">
        <v>38</v>
      </c>
      <c r="D408" t="s">
        <v>14</v>
      </c>
      <c r="E408" t="s">
        <v>15</v>
      </c>
      <c r="F408" t="s">
        <v>31</v>
      </c>
      <c r="G408" t="s">
        <v>24</v>
      </c>
      <c r="H408" t="s">
        <v>252</v>
      </c>
      <c r="I408" t="s">
        <v>238</v>
      </c>
      <c r="J408" t="s">
        <v>43</v>
      </c>
      <c r="K408" t="s">
        <v>253</v>
      </c>
      <c r="L408" t="s">
        <v>252</v>
      </c>
      <c r="M408" t="s">
        <v>253</v>
      </c>
      <c r="N408" t="s">
        <v>313</v>
      </c>
      <c r="O408" t="s">
        <v>215</v>
      </c>
      <c r="P408" t="s">
        <v>216</v>
      </c>
      <c r="Q408" t="s">
        <v>217</v>
      </c>
      <c r="R408" t="s">
        <v>218</v>
      </c>
      <c r="S408" t="s">
        <v>244</v>
      </c>
    </row>
    <row r="409" spans="1:19" x14ac:dyDescent="0.35">
      <c r="A409" t="s">
        <v>81</v>
      </c>
      <c r="B409" t="s">
        <v>20</v>
      </c>
      <c r="C409" t="s">
        <v>21</v>
      </c>
      <c r="D409" t="s">
        <v>26</v>
      </c>
      <c r="E409" t="s">
        <v>15</v>
      </c>
      <c r="F409" t="s">
        <v>47</v>
      </c>
      <c r="G409" t="s">
        <v>36</v>
      </c>
      <c r="H409" t="s">
        <v>229</v>
      </c>
      <c r="I409" t="s">
        <v>238</v>
      </c>
      <c r="J409" t="s">
        <v>32</v>
      </c>
      <c r="K409" t="s">
        <v>231</v>
      </c>
      <c r="L409" t="s">
        <v>229</v>
      </c>
      <c r="M409" t="s">
        <v>231</v>
      </c>
      <c r="N409" t="s">
        <v>239</v>
      </c>
      <c r="O409" t="s">
        <v>215</v>
      </c>
      <c r="P409" t="s">
        <v>216</v>
      </c>
      <c r="Q409" t="s">
        <v>217</v>
      </c>
      <c r="R409" t="s">
        <v>218</v>
      </c>
      <c r="S409" t="s">
        <v>244</v>
      </c>
    </row>
    <row r="410" spans="1:19" x14ac:dyDescent="0.35">
      <c r="A410" t="s">
        <v>81</v>
      </c>
      <c r="B410" t="s">
        <v>12</v>
      </c>
      <c r="C410" t="s">
        <v>30</v>
      </c>
      <c r="D410" t="s">
        <v>26</v>
      </c>
      <c r="E410" t="s">
        <v>15</v>
      </c>
      <c r="F410" t="s">
        <v>41</v>
      </c>
      <c r="G410" t="s">
        <v>17</v>
      </c>
      <c r="H410" t="s">
        <v>219</v>
      </c>
      <c r="I410" t="s">
        <v>230</v>
      </c>
      <c r="J410" t="s">
        <v>54</v>
      </c>
      <c r="K410" t="s">
        <v>221</v>
      </c>
      <c r="L410" t="s">
        <v>235</v>
      </c>
      <c r="M410" t="s">
        <v>236</v>
      </c>
      <c r="N410" t="s">
        <v>237</v>
      </c>
      <c r="O410" t="s">
        <v>215</v>
      </c>
      <c r="P410" t="s">
        <v>216</v>
      </c>
      <c r="Q410" t="s">
        <v>217</v>
      </c>
      <c r="R410" t="s">
        <v>218</v>
      </c>
      <c r="S410" t="s">
        <v>244</v>
      </c>
    </row>
    <row r="411" spans="1:19" x14ac:dyDescent="0.35">
      <c r="A411" t="s">
        <v>76</v>
      </c>
      <c r="B411" t="s">
        <v>29</v>
      </c>
      <c r="C411" t="s">
        <v>30</v>
      </c>
      <c r="D411" t="s">
        <v>14</v>
      </c>
      <c r="E411" t="s">
        <v>22</v>
      </c>
      <c r="F411" t="s">
        <v>16</v>
      </c>
      <c r="G411" t="s">
        <v>17</v>
      </c>
      <c r="H411" t="s">
        <v>275</v>
      </c>
      <c r="I411" t="s">
        <v>210</v>
      </c>
      <c r="J411" t="s">
        <v>32</v>
      </c>
      <c r="K411" t="s">
        <v>276</v>
      </c>
      <c r="L411" t="s">
        <v>314</v>
      </c>
      <c r="M411" t="s">
        <v>315</v>
      </c>
      <c r="N411" t="s">
        <v>316</v>
      </c>
      <c r="O411" t="s">
        <v>215</v>
      </c>
      <c r="P411" t="s">
        <v>216</v>
      </c>
      <c r="Q411" t="s">
        <v>217</v>
      </c>
      <c r="R411" t="s">
        <v>218</v>
      </c>
      <c r="S411" t="s">
        <v>265</v>
      </c>
    </row>
    <row r="412" spans="1:19" x14ac:dyDescent="0.35">
      <c r="A412" t="s">
        <v>150</v>
      </c>
      <c r="B412" t="s">
        <v>12</v>
      </c>
      <c r="C412" t="s">
        <v>13</v>
      </c>
      <c r="D412" t="s">
        <v>26</v>
      </c>
      <c r="E412" t="s">
        <v>15</v>
      </c>
      <c r="F412" t="s">
        <v>47</v>
      </c>
      <c r="G412" t="s">
        <v>36</v>
      </c>
      <c r="H412" t="s">
        <v>229</v>
      </c>
      <c r="I412" t="s">
        <v>210</v>
      </c>
      <c r="J412" t="s">
        <v>18</v>
      </c>
      <c r="K412" t="s">
        <v>231</v>
      </c>
      <c r="L412" t="s">
        <v>227</v>
      </c>
      <c r="M412" t="s">
        <v>228</v>
      </c>
      <c r="N412" t="s">
        <v>224</v>
      </c>
      <c r="O412" t="s">
        <v>215</v>
      </c>
      <c r="P412" t="s">
        <v>216</v>
      </c>
      <c r="Q412" t="s">
        <v>217</v>
      </c>
      <c r="R412" t="s">
        <v>218</v>
      </c>
      <c r="S412" t="s">
        <v>220</v>
      </c>
    </row>
    <row r="413" spans="1:19" x14ac:dyDescent="0.35">
      <c r="A413" t="s">
        <v>46</v>
      </c>
      <c r="B413" t="s">
        <v>29</v>
      </c>
      <c r="C413" t="s">
        <v>21</v>
      </c>
      <c r="D413" t="s">
        <v>26</v>
      </c>
      <c r="E413" t="s">
        <v>15</v>
      </c>
      <c r="F413" t="s">
        <v>31</v>
      </c>
      <c r="G413" t="s">
        <v>24</v>
      </c>
      <c r="H413" t="s">
        <v>252</v>
      </c>
      <c r="I413" t="s">
        <v>265</v>
      </c>
      <c r="J413" t="s">
        <v>32</v>
      </c>
      <c r="K413" t="s">
        <v>253</v>
      </c>
      <c r="L413" t="s">
        <v>231</v>
      </c>
      <c r="M413" t="s">
        <v>311</v>
      </c>
      <c r="N413" t="s">
        <v>245</v>
      </c>
      <c r="O413" t="s">
        <v>215</v>
      </c>
      <c r="P413" t="s">
        <v>216</v>
      </c>
      <c r="Q413" t="s">
        <v>217</v>
      </c>
      <c r="R413" t="s">
        <v>218</v>
      </c>
      <c r="S413" t="s">
        <v>238</v>
      </c>
    </row>
    <row r="414" spans="1:19" x14ac:dyDescent="0.35">
      <c r="A414" t="s">
        <v>37</v>
      </c>
      <c r="B414" t="s">
        <v>34</v>
      </c>
      <c r="C414" t="s">
        <v>38</v>
      </c>
      <c r="D414" t="s">
        <v>26</v>
      </c>
      <c r="E414" t="s">
        <v>15</v>
      </c>
      <c r="F414" t="s">
        <v>35</v>
      </c>
      <c r="G414" t="s">
        <v>36</v>
      </c>
      <c r="H414" t="s">
        <v>224</v>
      </c>
      <c r="I414" t="s">
        <v>240</v>
      </c>
      <c r="J414" t="s">
        <v>18</v>
      </c>
      <c r="K414" t="s">
        <v>226</v>
      </c>
      <c r="L414" t="s">
        <v>212</v>
      </c>
      <c r="M414" t="s">
        <v>213</v>
      </c>
      <c r="N414" t="s">
        <v>214</v>
      </c>
      <c r="O414" t="s">
        <v>215</v>
      </c>
      <c r="P414" t="s">
        <v>216</v>
      </c>
      <c r="Q414" t="s">
        <v>217</v>
      </c>
      <c r="R414" t="s">
        <v>218</v>
      </c>
      <c r="S414" t="s">
        <v>244</v>
      </c>
    </row>
    <row r="415" spans="1:19" x14ac:dyDescent="0.35">
      <c r="A415" t="s">
        <v>103</v>
      </c>
      <c r="B415" t="s">
        <v>20</v>
      </c>
      <c r="C415" t="s">
        <v>30</v>
      </c>
      <c r="D415" t="s">
        <v>14</v>
      </c>
      <c r="E415" t="s">
        <v>15</v>
      </c>
      <c r="F415" t="s">
        <v>47</v>
      </c>
      <c r="G415" t="s">
        <v>36</v>
      </c>
      <c r="H415" t="s">
        <v>229</v>
      </c>
      <c r="I415" t="s">
        <v>244</v>
      </c>
      <c r="J415" t="s">
        <v>50</v>
      </c>
      <c r="K415" t="s">
        <v>231</v>
      </c>
      <c r="L415" t="s">
        <v>312</v>
      </c>
      <c r="M415" t="s">
        <v>214</v>
      </c>
      <c r="N415" t="s">
        <v>246</v>
      </c>
      <c r="O415" t="s">
        <v>215</v>
      </c>
      <c r="P415" t="s">
        <v>216</v>
      </c>
      <c r="Q415" t="s">
        <v>217</v>
      </c>
      <c r="R415" t="s">
        <v>218</v>
      </c>
      <c r="S415" t="s">
        <v>244</v>
      </c>
    </row>
    <row r="416" spans="1:19" x14ac:dyDescent="0.35">
      <c r="A416" t="s">
        <v>66</v>
      </c>
      <c r="B416" t="s">
        <v>12</v>
      </c>
      <c r="C416" t="s">
        <v>13</v>
      </c>
      <c r="D416" t="s">
        <v>26</v>
      </c>
      <c r="E416" t="s">
        <v>15</v>
      </c>
      <c r="F416" t="s">
        <v>23</v>
      </c>
      <c r="G416" t="s">
        <v>24</v>
      </c>
      <c r="H416" t="s">
        <v>239</v>
      </c>
      <c r="I416" t="s">
        <v>265</v>
      </c>
      <c r="J416" t="s">
        <v>27</v>
      </c>
      <c r="K416" t="s">
        <v>245</v>
      </c>
      <c r="L416" t="s">
        <v>252</v>
      </c>
      <c r="M416" t="s">
        <v>253</v>
      </c>
      <c r="N416" t="s">
        <v>313</v>
      </c>
      <c r="O416" t="s">
        <v>215</v>
      </c>
      <c r="P416" t="s">
        <v>216</v>
      </c>
      <c r="Q416" t="s">
        <v>217</v>
      </c>
      <c r="R416" t="s">
        <v>218</v>
      </c>
      <c r="S416" t="s">
        <v>244</v>
      </c>
    </row>
    <row r="417" spans="1:19" x14ac:dyDescent="0.35">
      <c r="A417" t="s">
        <v>143</v>
      </c>
      <c r="B417" t="s">
        <v>20</v>
      </c>
      <c r="C417" t="s">
        <v>21</v>
      </c>
      <c r="D417" t="s">
        <v>14</v>
      </c>
      <c r="E417" t="s">
        <v>15</v>
      </c>
      <c r="F417" t="s">
        <v>39</v>
      </c>
      <c r="G417" t="s">
        <v>24</v>
      </c>
      <c r="H417" t="s">
        <v>209</v>
      </c>
      <c r="I417" t="s">
        <v>265</v>
      </c>
      <c r="J417" t="s">
        <v>50</v>
      </c>
      <c r="K417" t="s">
        <v>211</v>
      </c>
      <c r="L417" t="s">
        <v>214</v>
      </c>
      <c r="M417" t="s">
        <v>251</v>
      </c>
      <c r="N417" t="s">
        <v>247</v>
      </c>
      <c r="O417" t="s">
        <v>215</v>
      </c>
      <c r="P417" t="s">
        <v>216</v>
      </c>
      <c r="Q417" t="s">
        <v>217</v>
      </c>
      <c r="R417" t="s">
        <v>218</v>
      </c>
      <c r="S417" t="s">
        <v>238</v>
      </c>
    </row>
    <row r="418" spans="1:19" x14ac:dyDescent="0.35">
      <c r="A418" t="s">
        <v>100</v>
      </c>
      <c r="B418" t="s">
        <v>12</v>
      </c>
      <c r="C418" t="s">
        <v>30</v>
      </c>
      <c r="D418" t="s">
        <v>26</v>
      </c>
      <c r="E418" t="s">
        <v>15</v>
      </c>
      <c r="F418" t="s">
        <v>41</v>
      </c>
      <c r="G418" t="s">
        <v>17</v>
      </c>
      <c r="H418" t="s">
        <v>219</v>
      </c>
      <c r="I418" t="s">
        <v>244</v>
      </c>
      <c r="J418" t="s">
        <v>32</v>
      </c>
      <c r="K418" t="s">
        <v>221</v>
      </c>
      <c r="L418" t="s">
        <v>290</v>
      </c>
      <c r="M418" t="s">
        <v>298</v>
      </c>
      <c r="N418" t="s">
        <v>284</v>
      </c>
      <c r="O418" t="s">
        <v>215</v>
      </c>
      <c r="P418" t="s">
        <v>216</v>
      </c>
      <c r="Q418" t="s">
        <v>217</v>
      </c>
      <c r="R418" t="s">
        <v>218</v>
      </c>
      <c r="S418" t="s">
        <v>238</v>
      </c>
    </row>
    <row r="419" spans="1:19" x14ac:dyDescent="0.35">
      <c r="A419" t="s">
        <v>155</v>
      </c>
      <c r="B419" t="s">
        <v>29</v>
      </c>
      <c r="C419" t="s">
        <v>30</v>
      </c>
      <c r="D419" t="s">
        <v>26</v>
      </c>
      <c r="E419" t="s">
        <v>22</v>
      </c>
      <c r="F419" t="s">
        <v>23</v>
      </c>
      <c r="G419" t="s">
        <v>24</v>
      </c>
      <c r="H419" t="s">
        <v>239</v>
      </c>
      <c r="I419" t="s">
        <v>244</v>
      </c>
      <c r="J419" t="s">
        <v>50</v>
      </c>
      <c r="K419" t="s">
        <v>245</v>
      </c>
      <c r="L419" t="s">
        <v>246</v>
      </c>
      <c r="M419" t="s">
        <v>247</v>
      </c>
      <c r="N419" t="s">
        <v>248</v>
      </c>
      <c r="O419" t="s">
        <v>215</v>
      </c>
      <c r="P419" t="s">
        <v>216</v>
      </c>
      <c r="Q419" t="s">
        <v>217</v>
      </c>
      <c r="R419" t="s">
        <v>218</v>
      </c>
      <c r="S419" t="s">
        <v>238</v>
      </c>
    </row>
    <row r="420" spans="1:19" x14ac:dyDescent="0.35">
      <c r="A420" t="s">
        <v>125</v>
      </c>
      <c r="B420" t="s">
        <v>12</v>
      </c>
      <c r="C420" t="s">
        <v>38</v>
      </c>
      <c r="D420" t="s">
        <v>14</v>
      </c>
      <c r="E420" t="s">
        <v>22</v>
      </c>
      <c r="F420" t="s">
        <v>16</v>
      </c>
      <c r="G420" t="s">
        <v>17</v>
      </c>
      <c r="H420" t="s">
        <v>275</v>
      </c>
      <c r="I420" t="s">
        <v>244</v>
      </c>
      <c r="J420" t="s">
        <v>43</v>
      </c>
      <c r="K420" t="s">
        <v>276</v>
      </c>
      <c r="L420" t="s">
        <v>325</v>
      </c>
      <c r="M420" t="s">
        <v>326</v>
      </c>
      <c r="N420" t="s">
        <v>327</v>
      </c>
      <c r="O420" t="s">
        <v>215</v>
      </c>
      <c r="P420" t="s">
        <v>216</v>
      </c>
      <c r="Q420" t="s">
        <v>217</v>
      </c>
      <c r="R420" t="s">
        <v>218</v>
      </c>
      <c r="S420" t="s">
        <v>220</v>
      </c>
    </row>
    <row r="421" spans="1:19" x14ac:dyDescent="0.35">
      <c r="A421" t="s">
        <v>64</v>
      </c>
      <c r="B421" t="s">
        <v>34</v>
      </c>
      <c r="C421" t="s">
        <v>30</v>
      </c>
      <c r="D421" t="s">
        <v>14</v>
      </c>
      <c r="E421" t="s">
        <v>22</v>
      </c>
      <c r="F421" t="s">
        <v>16</v>
      </c>
      <c r="G421" t="s">
        <v>17</v>
      </c>
      <c r="H421" t="s">
        <v>275</v>
      </c>
      <c r="I421" t="s">
        <v>210</v>
      </c>
      <c r="J421" t="s">
        <v>50</v>
      </c>
      <c r="K421" t="s">
        <v>276</v>
      </c>
      <c r="L421" t="s">
        <v>314</v>
      </c>
      <c r="M421" t="s">
        <v>315</v>
      </c>
      <c r="N421" t="s">
        <v>316</v>
      </c>
      <c r="O421" t="s">
        <v>215</v>
      </c>
      <c r="P421" t="s">
        <v>216</v>
      </c>
      <c r="Q421" t="s">
        <v>217</v>
      </c>
      <c r="R421" t="s">
        <v>218</v>
      </c>
      <c r="S421" t="s">
        <v>265</v>
      </c>
    </row>
    <row r="422" spans="1:19" x14ac:dyDescent="0.35">
      <c r="A422" t="s">
        <v>105</v>
      </c>
      <c r="B422" t="s">
        <v>20</v>
      </c>
      <c r="C422" t="s">
        <v>13</v>
      </c>
      <c r="D422" t="s">
        <v>26</v>
      </c>
      <c r="E422" t="s">
        <v>22</v>
      </c>
      <c r="F422" t="s">
        <v>39</v>
      </c>
      <c r="G422" t="s">
        <v>24</v>
      </c>
      <c r="H422" t="s">
        <v>209</v>
      </c>
      <c r="I422" t="s">
        <v>210</v>
      </c>
      <c r="J422" t="s">
        <v>18</v>
      </c>
      <c r="K422" t="s">
        <v>211</v>
      </c>
      <c r="L422" t="s">
        <v>212</v>
      </c>
      <c r="M422" t="s">
        <v>213</v>
      </c>
      <c r="N422" t="s">
        <v>214</v>
      </c>
      <c r="O422" t="s">
        <v>215</v>
      </c>
      <c r="P422" t="s">
        <v>216</v>
      </c>
      <c r="Q422" t="s">
        <v>217</v>
      </c>
      <c r="R422" t="s">
        <v>218</v>
      </c>
      <c r="S422" t="s">
        <v>244</v>
      </c>
    </row>
    <row r="423" spans="1:19" x14ac:dyDescent="0.35">
      <c r="A423" t="s">
        <v>111</v>
      </c>
      <c r="B423" t="s">
        <v>12</v>
      </c>
      <c r="C423" t="s">
        <v>21</v>
      </c>
      <c r="D423" t="s">
        <v>14</v>
      </c>
      <c r="E423" t="s">
        <v>22</v>
      </c>
      <c r="F423" t="s">
        <v>58</v>
      </c>
      <c r="G423" t="s">
        <v>24</v>
      </c>
      <c r="H423" t="s">
        <v>255</v>
      </c>
      <c r="I423" t="s">
        <v>269</v>
      </c>
      <c r="J423" t="s">
        <v>32</v>
      </c>
      <c r="K423" t="s">
        <v>256</v>
      </c>
      <c r="L423" t="s">
        <v>346</v>
      </c>
      <c r="M423" t="s">
        <v>347</v>
      </c>
      <c r="N423" t="s">
        <v>348</v>
      </c>
      <c r="O423" t="s">
        <v>215</v>
      </c>
      <c r="P423" t="s">
        <v>216</v>
      </c>
      <c r="Q423" t="s">
        <v>217</v>
      </c>
      <c r="R423" t="s">
        <v>218</v>
      </c>
      <c r="S423" t="s">
        <v>238</v>
      </c>
    </row>
    <row r="424" spans="1:19" x14ac:dyDescent="0.35">
      <c r="A424" t="s">
        <v>60</v>
      </c>
      <c r="B424" t="s">
        <v>12</v>
      </c>
      <c r="C424" t="s">
        <v>38</v>
      </c>
      <c r="D424" t="s">
        <v>26</v>
      </c>
      <c r="E424" t="s">
        <v>22</v>
      </c>
      <c r="F424" t="s">
        <v>52</v>
      </c>
      <c r="G424" t="s">
        <v>36</v>
      </c>
      <c r="H424" t="s">
        <v>291</v>
      </c>
      <c r="I424" t="s">
        <v>269</v>
      </c>
      <c r="J424" t="s">
        <v>32</v>
      </c>
      <c r="K424" t="s">
        <v>292</v>
      </c>
      <c r="L424" t="s">
        <v>328</v>
      </c>
      <c r="M424" t="s">
        <v>329</v>
      </c>
      <c r="N424" t="s">
        <v>330</v>
      </c>
      <c r="O424" t="s">
        <v>215</v>
      </c>
      <c r="P424" t="s">
        <v>216</v>
      </c>
      <c r="Q424" t="s">
        <v>217</v>
      </c>
      <c r="R424" t="s">
        <v>218</v>
      </c>
      <c r="S424" t="s">
        <v>244</v>
      </c>
    </row>
    <row r="425" spans="1:19" x14ac:dyDescent="0.35">
      <c r="A425" t="s">
        <v>109</v>
      </c>
      <c r="B425" t="s">
        <v>20</v>
      </c>
      <c r="C425" t="s">
        <v>13</v>
      </c>
      <c r="D425" t="s">
        <v>26</v>
      </c>
      <c r="E425" t="s">
        <v>15</v>
      </c>
      <c r="F425" t="s">
        <v>39</v>
      </c>
      <c r="G425" t="s">
        <v>24</v>
      </c>
      <c r="H425" t="s">
        <v>209</v>
      </c>
      <c r="I425" t="s">
        <v>265</v>
      </c>
      <c r="J425" t="s">
        <v>50</v>
      </c>
      <c r="K425" t="s">
        <v>211</v>
      </c>
      <c r="L425" t="s">
        <v>214</v>
      </c>
      <c r="M425" t="s">
        <v>251</v>
      </c>
      <c r="N425" t="s">
        <v>247</v>
      </c>
      <c r="O425" t="s">
        <v>215</v>
      </c>
      <c r="P425" t="s">
        <v>216</v>
      </c>
      <c r="Q425" t="s">
        <v>217</v>
      </c>
      <c r="R425" t="s">
        <v>218</v>
      </c>
      <c r="S425" t="s">
        <v>265</v>
      </c>
    </row>
    <row r="426" spans="1:19" x14ac:dyDescent="0.35">
      <c r="A426" t="s">
        <v>81</v>
      </c>
      <c r="B426" t="s">
        <v>12</v>
      </c>
      <c r="C426" t="s">
        <v>21</v>
      </c>
      <c r="D426" t="s">
        <v>26</v>
      </c>
      <c r="E426" t="s">
        <v>15</v>
      </c>
      <c r="F426" t="s">
        <v>35</v>
      </c>
      <c r="G426" t="s">
        <v>36</v>
      </c>
      <c r="H426" t="s">
        <v>224</v>
      </c>
      <c r="I426" t="s">
        <v>244</v>
      </c>
      <c r="J426" t="s">
        <v>27</v>
      </c>
      <c r="K426" t="s">
        <v>226</v>
      </c>
      <c r="L426" t="s">
        <v>301</v>
      </c>
      <c r="M426" t="s">
        <v>302</v>
      </c>
      <c r="N426" t="s">
        <v>209</v>
      </c>
      <c r="O426" t="s">
        <v>215</v>
      </c>
      <c r="P426" t="s">
        <v>216</v>
      </c>
      <c r="Q426" t="s">
        <v>217</v>
      </c>
      <c r="R426" t="s">
        <v>218</v>
      </c>
      <c r="S426" t="s">
        <v>244</v>
      </c>
    </row>
    <row r="427" spans="1:19" x14ac:dyDescent="0.35">
      <c r="A427" t="s">
        <v>136</v>
      </c>
      <c r="B427" t="s">
        <v>34</v>
      </c>
      <c r="C427" t="s">
        <v>30</v>
      </c>
      <c r="D427" t="s">
        <v>26</v>
      </c>
      <c r="E427" t="s">
        <v>15</v>
      </c>
      <c r="F427" t="s">
        <v>39</v>
      </c>
      <c r="G427" t="s">
        <v>24</v>
      </c>
      <c r="H427" t="s">
        <v>209</v>
      </c>
      <c r="I427" t="s">
        <v>238</v>
      </c>
      <c r="J427" t="s">
        <v>54</v>
      </c>
      <c r="K427" t="s">
        <v>211</v>
      </c>
      <c r="L427" t="s">
        <v>209</v>
      </c>
      <c r="M427" t="s">
        <v>211</v>
      </c>
      <c r="N427" t="s">
        <v>254</v>
      </c>
      <c r="O427" t="s">
        <v>215</v>
      </c>
      <c r="P427" t="s">
        <v>216</v>
      </c>
      <c r="Q427" t="s">
        <v>217</v>
      </c>
      <c r="R427" t="s">
        <v>218</v>
      </c>
      <c r="S427" t="s">
        <v>265</v>
      </c>
    </row>
    <row r="428" spans="1:19" x14ac:dyDescent="0.35">
      <c r="A428" t="s">
        <v>55</v>
      </c>
      <c r="B428" t="s">
        <v>34</v>
      </c>
      <c r="C428" t="s">
        <v>21</v>
      </c>
      <c r="D428" t="s">
        <v>14</v>
      </c>
      <c r="E428" t="s">
        <v>22</v>
      </c>
      <c r="F428" t="s">
        <v>41</v>
      </c>
      <c r="G428" t="s">
        <v>17</v>
      </c>
      <c r="H428" t="s">
        <v>219</v>
      </c>
      <c r="I428" t="s">
        <v>269</v>
      </c>
      <c r="J428" t="s">
        <v>43</v>
      </c>
      <c r="K428" t="s">
        <v>221</v>
      </c>
      <c r="L428" t="s">
        <v>362</v>
      </c>
      <c r="M428" t="s">
        <v>363</v>
      </c>
      <c r="N428" t="s">
        <v>342</v>
      </c>
      <c r="O428" t="s">
        <v>215</v>
      </c>
      <c r="P428" t="s">
        <v>216</v>
      </c>
      <c r="Q428" t="s">
        <v>217</v>
      </c>
      <c r="R428" t="s">
        <v>218</v>
      </c>
      <c r="S428" t="s">
        <v>220</v>
      </c>
    </row>
    <row r="429" spans="1:19" x14ac:dyDescent="0.35">
      <c r="A429" t="s">
        <v>114</v>
      </c>
      <c r="B429" t="s">
        <v>34</v>
      </c>
      <c r="C429" t="s">
        <v>13</v>
      </c>
      <c r="D429" t="s">
        <v>14</v>
      </c>
      <c r="E429" t="s">
        <v>15</v>
      </c>
      <c r="F429" t="s">
        <v>41</v>
      </c>
      <c r="G429" t="s">
        <v>17</v>
      </c>
      <c r="H429" t="s">
        <v>219</v>
      </c>
      <c r="I429" t="s">
        <v>225</v>
      </c>
      <c r="J429" t="s">
        <v>27</v>
      </c>
      <c r="K429" t="s">
        <v>221</v>
      </c>
      <c r="L429" t="s">
        <v>263</v>
      </c>
      <c r="M429" t="s">
        <v>222</v>
      </c>
      <c r="N429" t="s">
        <v>219</v>
      </c>
      <c r="O429" t="s">
        <v>215</v>
      </c>
      <c r="P429" t="s">
        <v>216</v>
      </c>
      <c r="Q429" t="s">
        <v>217</v>
      </c>
      <c r="R429" t="s">
        <v>218</v>
      </c>
      <c r="S429" t="s">
        <v>244</v>
      </c>
    </row>
    <row r="430" spans="1:19" x14ac:dyDescent="0.35">
      <c r="A430" t="s">
        <v>70</v>
      </c>
      <c r="B430" t="s">
        <v>34</v>
      </c>
      <c r="C430" t="s">
        <v>38</v>
      </c>
      <c r="D430" t="s">
        <v>14</v>
      </c>
      <c r="E430" t="s">
        <v>15</v>
      </c>
      <c r="F430" t="s">
        <v>31</v>
      </c>
      <c r="G430" t="s">
        <v>24</v>
      </c>
      <c r="H430" t="s">
        <v>252</v>
      </c>
      <c r="I430" t="s">
        <v>249</v>
      </c>
      <c r="J430" t="s">
        <v>54</v>
      </c>
      <c r="K430" t="s">
        <v>253</v>
      </c>
      <c r="L430" t="s">
        <v>297</v>
      </c>
      <c r="M430" t="s">
        <v>243</v>
      </c>
      <c r="N430" t="s">
        <v>311</v>
      </c>
      <c r="O430" t="s">
        <v>215</v>
      </c>
      <c r="P430" t="s">
        <v>216</v>
      </c>
      <c r="Q430" t="s">
        <v>217</v>
      </c>
      <c r="R430" t="s">
        <v>218</v>
      </c>
      <c r="S430" t="s">
        <v>265</v>
      </c>
    </row>
    <row r="431" spans="1:19" x14ac:dyDescent="0.35">
      <c r="A431" t="s">
        <v>88</v>
      </c>
      <c r="B431" t="s">
        <v>29</v>
      </c>
      <c r="C431" t="s">
        <v>13</v>
      </c>
      <c r="D431" t="s">
        <v>26</v>
      </c>
      <c r="E431" t="s">
        <v>15</v>
      </c>
      <c r="F431" t="s">
        <v>16</v>
      </c>
      <c r="G431" t="s">
        <v>17</v>
      </c>
      <c r="H431" t="s">
        <v>275</v>
      </c>
      <c r="I431" t="s">
        <v>249</v>
      </c>
      <c r="J431" t="s">
        <v>27</v>
      </c>
      <c r="K431" t="s">
        <v>276</v>
      </c>
      <c r="L431" t="s">
        <v>315</v>
      </c>
      <c r="M431" t="s">
        <v>322</v>
      </c>
      <c r="N431" t="s">
        <v>323</v>
      </c>
      <c r="O431" t="s">
        <v>215</v>
      </c>
      <c r="P431" t="s">
        <v>216</v>
      </c>
      <c r="Q431" t="s">
        <v>217</v>
      </c>
      <c r="R431" t="s">
        <v>218</v>
      </c>
      <c r="S431" t="s">
        <v>244</v>
      </c>
    </row>
    <row r="432" spans="1:19" x14ac:dyDescent="0.35">
      <c r="A432" t="s">
        <v>94</v>
      </c>
      <c r="B432" t="s">
        <v>20</v>
      </c>
      <c r="C432" t="s">
        <v>13</v>
      </c>
      <c r="D432" t="s">
        <v>14</v>
      </c>
      <c r="E432" t="s">
        <v>22</v>
      </c>
      <c r="F432" t="s">
        <v>41</v>
      </c>
      <c r="G432" t="s">
        <v>17</v>
      </c>
      <c r="H432" t="s">
        <v>219</v>
      </c>
      <c r="I432" t="s">
        <v>225</v>
      </c>
      <c r="J432" t="s">
        <v>27</v>
      </c>
      <c r="K432" t="s">
        <v>221</v>
      </c>
      <c r="L432" t="s">
        <v>263</v>
      </c>
      <c r="M432" t="s">
        <v>222</v>
      </c>
      <c r="N432" t="s">
        <v>219</v>
      </c>
      <c r="O432" t="s">
        <v>215</v>
      </c>
      <c r="P432" t="s">
        <v>216</v>
      </c>
      <c r="Q432" t="s">
        <v>217</v>
      </c>
      <c r="R432" t="s">
        <v>218</v>
      </c>
      <c r="S432" t="s">
        <v>244</v>
      </c>
    </row>
    <row r="433" spans="1:19" x14ac:dyDescent="0.35">
      <c r="A433" t="s">
        <v>75</v>
      </c>
      <c r="B433" t="s">
        <v>34</v>
      </c>
      <c r="C433" t="s">
        <v>30</v>
      </c>
      <c r="D433" t="s">
        <v>26</v>
      </c>
      <c r="E433" t="s">
        <v>15</v>
      </c>
      <c r="F433" t="s">
        <v>47</v>
      </c>
      <c r="G433" t="s">
        <v>36</v>
      </c>
      <c r="H433" t="s">
        <v>229</v>
      </c>
      <c r="I433" t="s">
        <v>244</v>
      </c>
      <c r="J433" t="s">
        <v>50</v>
      </c>
      <c r="K433" t="s">
        <v>231</v>
      </c>
      <c r="L433" t="s">
        <v>312</v>
      </c>
      <c r="M433" t="s">
        <v>214</v>
      </c>
      <c r="N433" t="s">
        <v>246</v>
      </c>
      <c r="O433" t="s">
        <v>215</v>
      </c>
      <c r="P433" t="s">
        <v>216</v>
      </c>
      <c r="Q433" t="s">
        <v>217</v>
      </c>
      <c r="R433" t="s">
        <v>218</v>
      </c>
      <c r="S433" t="s">
        <v>265</v>
      </c>
    </row>
    <row r="434" spans="1:19" x14ac:dyDescent="0.35">
      <c r="A434" t="s">
        <v>95</v>
      </c>
      <c r="B434" t="s">
        <v>34</v>
      </c>
      <c r="C434" t="s">
        <v>30</v>
      </c>
      <c r="D434" t="s">
        <v>14</v>
      </c>
      <c r="E434" t="s">
        <v>22</v>
      </c>
      <c r="F434" t="s">
        <v>47</v>
      </c>
      <c r="G434" t="s">
        <v>36</v>
      </c>
      <c r="H434" t="s">
        <v>229</v>
      </c>
      <c r="I434" t="s">
        <v>238</v>
      </c>
      <c r="J434" t="s">
        <v>18</v>
      </c>
      <c r="K434" t="s">
        <v>231</v>
      </c>
      <c r="L434" t="s">
        <v>229</v>
      </c>
      <c r="M434" t="s">
        <v>231</v>
      </c>
      <c r="N434" t="s">
        <v>239</v>
      </c>
      <c r="O434" t="s">
        <v>215</v>
      </c>
      <c r="P434" t="s">
        <v>216</v>
      </c>
      <c r="Q434" t="s">
        <v>217</v>
      </c>
      <c r="R434" t="s">
        <v>218</v>
      </c>
      <c r="S434" t="s">
        <v>238</v>
      </c>
    </row>
    <row r="435" spans="1:19" x14ac:dyDescent="0.35">
      <c r="A435" t="s">
        <v>98</v>
      </c>
      <c r="B435" t="s">
        <v>29</v>
      </c>
      <c r="C435" t="s">
        <v>30</v>
      </c>
      <c r="D435" t="s">
        <v>26</v>
      </c>
      <c r="E435" t="s">
        <v>15</v>
      </c>
      <c r="F435" t="s">
        <v>31</v>
      </c>
      <c r="G435" t="s">
        <v>24</v>
      </c>
      <c r="H435" t="s">
        <v>252</v>
      </c>
      <c r="I435" t="s">
        <v>230</v>
      </c>
      <c r="J435" t="s">
        <v>27</v>
      </c>
      <c r="K435" t="s">
        <v>253</v>
      </c>
      <c r="L435" t="s">
        <v>291</v>
      </c>
      <c r="M435" t="s">
        <v>292</v>
      </c>
      <c r="N435" t="s">
        <v>343</v>
      </c>
      <c r="O435" t="s">
        <v>215</v>
      </c>
      <c r="P435" t="s">
        <v>216</v>
      </c>
      <c r="Q435" t="s">
        <v>217</v>
      </c>
      <c r="R435" t="s">
        <v>218</v>
      </c>
      <c r="S435" t="s">
        <v>220</v>
      </c>
    </row>
    <row r="436" spans="1:19" x14ac:dyDescent="0.35">
      <c r="A436" t="s">
        <v>40</v>
      </c>
      <c r="B436" t="s">
        <v>12</v>
      </c>
      <c r="C436" t="s">
        <v>13</v>
      </c>
      <c r="D436" t="s">
        <v>14</v>
      </c>
      <c r="E436" t="s">
        <v>15</v>
      </c>
      <c r="F436" t="s">
        <v>39</v>
      </c>
      <c r="G436" t="s">
        <v>24</v>
      </c>
      <c r="H436" t="s">
        <v>209</v>
      </c>
      <c r="I436" t="s">
        <v>238</v>
      </c>
      <c r="J436" t="s">
        <v>27</v>
      </c>
      <c r="K436" t="s">
        <v>211</v>
      </c>
      <c r="L436" t="s">
        <v>209</v>
      </c>
      <c r="M436" t="s">
        <v>211</v>
      </c>
      <c r="N436" t="s">
        <v>254</v>
      </c>
      <c r="O436" t="s">
        <v>215</v>
      </c>
      <c r="P436" t="s">
        <v>216</v>
      </c>
      <c r="Q436" t="s">
        <v>217</v>
      </c>
      <c r="R436" t="s">
        <v>218</v>
      </c>
      <c r="S436" t="s">
        <v>244</v>
      </c>
    </row>
    <row r="437" spans="1:19" x14ac:dyDescent="0.35">
      <c r="A437" t="s">
        <v>19</v>
      </c>
      <c r="B437" t="s">
        <v>29</v>
      </c>
      <c r="C437" t="s">
        <v>13</v>
      </c>
      <c r="D437" t="s">
        <v>26</v>
      </c>
      <c r="E437" t="s">
        <v>15</v>
      </c>
      <c r="F437" t="s">
        <v>39</v>
      </c>
      <c r="G437" t="s">
        <v>24</v>
      </c>
      <c r="H437" t="s">
        <v>209</v>
      </c>
      <c r="I437" t="s">
        <v>238</v>
      </c>
      <c r="J437" t="s">
        <v>43</v>
      </c>
      <c r="K437" t="s">
        <v>211</v>
      </c>
      <c r="L437" t="s">
        <v>209</v>
      </c>
      <c r="M437" t="s">
        <v>211</v>
      </c>
      <c r="N437" t="s">
        <v>254</v>
      </c>
      <c r="O437" t="s">
        <v>215</v>
      </c>
      <c r="P437" t="s">
        <v>216</v>
      </c>
      <c r="Q437" t="s">
        <v>217</v>
      </c>
      <c r="R437" t="s">
        <v>218</v>
      </c>
      <c r="S437" t="s">
        <v>220</v>
      </c>
    </row>
    <row r="438" spans="1:19" x14ac:dyDescent="0.35">
      <c r="A438" t="s">
        <v>80</v>
      </c>
      <c r="B438" t="s">
        <v>29</v>
      </c>
      <c r="C438" t="s">
        <v>13</v>
      </c>
      <c r="D438" t="s">
        <v>14</v>
      </c>
      <c r="E438" t="s">
        <v>22</v>
      </c>
      <c r="F438" t="s">
        <v>56</v>
      </c>
      <c r="G438" t="s">
        <v>36</v>
      </c>
      <c r="H438" t="s">
        <v>260</v>
      </c>
      <c r="I438" t="s">
        <v>269</v>
      </c>
      <c r="J438" t="s">
        <v>18</v>
      </c>
      <c r="K438" t="s">
        <v>261</v>
      </c>
      <c r="L438" t="s">
        <v>377</v>
      </c>
      <c r="M438" t="s">
        <v>212</v>
      </c>
      <c r="N438" t="s">
        <v>312</v>
      </c>
      <c r="O438" t="s">
        <v>215</v>
      </c>
      <c r="P438" t="s">
        <v>216</v>
      </c>
      <c r="Q438" t="s">
        <v>217</v>
      </c>
      <c r="R438" t="s">
        <v>218</v>
      </c>
      <c r="S438" t="s">
        <v>265</v>
      </c>
    </row>
    <row r="439" spans="1:19" x14ac:dyDescent="0.35">
      <c r="A439" t="s">
        <v>107</v>
      </c>
      <c r="B439" t="s">
        <v>12</v>
      </c>
      <c r="C439" t="s">
        <v>30</v>
      </c>
      <c r="D439" t="s">
        <v>26</v>
      </c>
      <c r="E439" t="s">
        <v>15</v>
      </c>
      <c r="F439" t="s">
        <v>41</v>
      </c>
      <c r="G439" t="s">
        <v>17</v>
      </c>
      <c r="H439" t="s">
        <v>219</v>
      </c>
      <c r="I439" t="s">
        <v>238</v>
      </c>
      <c r="J439" t="s">
        <v>27</v>
      </c>
      <c r="K439" t="s">
        <v>221</v>
      </c>
      <c r="L439" t="s">
        <v>219</v>
      </c>
      <c r="M439" t="s">
        <v>221</v>
      </c>
      <c r="N439" t="s">
        <v>308</v>
      </c>
      <c r="O439" t="s">
        <v>215</v>
      </c>
      <c r="P439" t="s">
        <v>216</v>
      </c>
      <c r="Q439" t="s">
        <v>217</v>
      </c>
      <c r="R439" t="s">
        <v>218</v>
      </c>
      <c r="S439" t="s">
        <v>244</v>
      </c>
    </row>
    <row r="440" spans="1:19" x14ac:dyDescent="0.35">
      <c r="A440" t="s">
        <v>129</v>
      </c>
      <c r="B440" t="s">
        <v>29</v>
      </c>
      <c r="C440" t="s">
        <v>21</v>
      </c>
      <c r="D440" t="s">
        <v>14</v>
      </c>
      <c r="E440" t="s">
        <v>22</v>
      </c>
      <c r="F440" t="s">
        <v>39</v>
      </c>
      <c r="G440" t="s">
        <v>24</v>
      </c>
      <c r="H440" t="s">
        <v>209</v>
      </c>
      <c r="I440" t="s">
        <v>210</v>
      </c>
      <c r="J440" t="s">
        <v>18</v>
      </c>
      <c r="K440" t="s">
        <v>211</v>
      </c>
      <c r="L440" t="s">
        <v>212</v>
      </c>
      <c r="M440" t="s">
        <v>213</v>
      </c>
      <c r="N440" t="s">
        <v>214</v>
      </c>
      <c r="O440" t="s">
        <v>215</v>
      </c>
      <c r="P440" t="s">
        <v>216</v>
      </c>
      <c r="Q440" t="s">
        <v>217</v>
      </c>
      <c r="R440" t="s">
        <v>218</v>
      </c>
      <c r="S440" t="s">
        <v>265</v>
      </c>
    </row>
    <row r="441" spans="1:19" x14ac:dyDescent="0.35">
      <c r="A441" t="s">
        <v>127</v>
      </c>
      <c r="B441" t="s">
        <v>20</v>
      </c>
      <c r="C441" t="s">
        <v>30</v>
      </c>
      <c r="D441" t="s">
        <v>14</v>
      </c>
      <c r="E441" t="s">
        <v>22</v>
      </c>
      <c r="F441" t="s">
        <v>35</v>
      </c>
      <c r="G441" t="s">
        <v>36</v>
      </c>
      <c r="H441" t="s">
        <v>224</v>
      </c>
      <c r="I441" t="s">
        <v>210</v>
      </c>
      <c r="J441" t="s">
        <v>43</v>
      </c>
      <c r="K441" t="s">
        <v>226</v>
      </c>
      <c r="L441" t="s">
        <v>365</v>
      </c>
      <c r="M441" t="s">
        <v>366</v>
      </c>
      <c r="N441" t="s">
        <v>289</v>
      </c>
      <c r="O441" t="s">
        <v>215</v>
      </c>
      <c r="P441" t="s">
        <v>216</v>
      </c>
      <c r="Q441" t="s">
        <v>217</v>
      </c>
      <c r="R441" t="s">
        <v>218</v>
      </c>
      <c r="S441" t="s">
        <v>220</v>
      </c>
    </row>
    <row r="442" spans="1:19" x14ac:dyDescent="0.35">
      <c r="A442" t="s">
        <v>63</v>
      </c>
      <c r="B442" t="s">
        <v>29</v>
      </c>
      <c r="C442" t="s">
        <v>13</v>
      </c>
      <c r="D442" t="s">
        <v>14</v>
      </c>
      <c r="E442" t="s">
        <v>15</v>
      </c>
      <c r="F442" t="s">
        <v>52</v>
      </c>
      <c r="G442" t="s">
        <v>36</v>
      </c>
      <c r="H442" t="s">
        <v>291</v>
      </c>
      <c r="I442" t="s">
        <v>220</v>
      </c>
      <c r="J442" t="s">
        <v>50</v>
      </c>
      <c r="K442" t="s">
        <v>292</v>
      </c>
      <c r="L442" t="s">
        <v>333</v>
      </c>
      <c r="M442" t="s">
        <v>345</v>
      </c>
      <c r="N442" t="s">
        <v>292</v>
      </c>
      <c r="O442" t="s">
        <v>215</v>
      </c>
      <c r="P442" t="s">
        <v>216</v>
      </c>
      <c r="Q442" t="s">
        <v>217</v>
      </c>
      <c r="R442" t="s">
        <v>218</v>
      </c>
      <c r="S442" t="s">
        <v>220</v>
      </c>
    </row>
    <row r="443" spans="1:19" x14ac:dyDescent="0.35">
      <c r="A443" t="s">
        <v>150</v>
      </c>
      <c r="B443" t="s">
        <v>12</v>
      </c>
      <c r="C443" t="s">
        <v>13</v>
      </c>
      <c r="D443" t="s">
        <v>26</v>
      </c>
      <c r="E443" t="s">
        <v>22</v>
      </c>
      <c r="F443" t="s">
        <v>23</v>
      </c>
      <c r="G443" t="s">
        <v>24</v>
      </c>
      <c r="H443" t="s">
        <v>239</v>
      </c>
      <c r="I443" t="s">
        <v>220</v>
      </c>
      <c r="J443" t="s">
        <v>32</v>
      </c>
      <c r="K443" t="s">
        <v>245</v>
      </c>
      <c r="L443" t="s">
        <v>231</v>
      </c>
      <c r="M443" t="s">
        <v>311</v>
      </c>
      <c r="N443" t="s">
        <v>245</v>
      </c>
      <c r="O443" t="s">
        <v>215</v>
      </c>
      <c r="P443" t="s">
        <v>216</v>
      </c>
      <c r="Q443" t="s">
        <v>217</v>
      </c>
      <c r="R443" t="s">
        <v>218</v>
      </c>
      <c r="S443" t="s">
        <v>220</v>
      </c>
    </row>
    <row r="444" spans="1:19" x14ac:dyDescent="0.35">
      <c r="A444" t="s">
        <v>149</v>
      </c>
      <c r="B444" t="s">
        <v>34</v>
      </c>
      <c r="C444" t="s">
        <v>30</v>
      </c>
      <c r="D444" t="s">
        <v>14</v>
      </c>
      <c r="E444" t="s">
        <v>15</v>
      </c>
      <c r="F444" t="s">
        <v>23</v>
      </c>
      <c r="G444" t="s">
        <v>24</v>
      </c>
      <c r="H444" t="s">
        <v>239</v>
      </c>
      <c r="I444" t="s">
        <v>210</v>
      </c>
      <c r="J444" t="s">
        <v>43</v>
      </c>
      <c r="K444" t="s">
        <v>245</v>
      </c>
      <c r="L444" t="s">
        <v>224</v>
      </c>
      <c r="M444" t="s">
        <v>226</v>
      </c>
      <c r="N444" t="s">
        <v>252</v>
      </c>
      <c r="O444" t="s">
        <v>215</v>
      </c>
      <c r="P444" t="s">
        <v>216</v>
      </c>
      <c r="Q444" t="s">
        <v>217</v>
      </c>
      <c r="R444" t="s">
        <v>218</v>
      </c>
      <c r="S444" t="s">
        <v>244</v>
      </c>
    </row>
    <row r="445" spans="1:19" x14ac:dyDescent="0.35">
      <c r="A445" t="s">
        <v>147</v>
      </c>
      <c r="B445" t="s">
        <v>29</v>
      </c>
      <c r="C445" t="s">
        <v>13</v>
      </c>
      <c r="D445" t="s">
        <v>26</v>
      </c>
      <c r="E445" t="s">
        <v>22</v>
      </c>
      <c r="F445" t="s">
        <v>31</v>
      </c>
      <c r="G445" t="s">
        <v>24</v>
      </c>
      <c r="H445" t="s">
        <v>252</v>
      </c>
      <c r="I445" t="s">
        <v>230</v>
      </c>
      <c r="J445" t="s">
        <v>18</v>
      </c>
      <c r="K445" t="s">
        <v>253</v>
      </c>
      <c r="L445" t="s">
        <v>291</v>
      </c>
      <c r="M445" t="s">
        <v>292</v>
      </c>
      <c r="N445" t="s">
        <v>343</v>
      </c>
      <c r="O445" t="s">
        <v>215</v>
      </c>
      <c r="P445" t="s">
        <v>216</v>
      </c>
      <c r="Q445" t="s">
        <v>217</v>
      </c>
      <c r="R445" t="s">
        <v>218</v>
      </c>
      <c r="S445" t="s">
        <v>220</v>
      </c>
    </row>
    <row r="446" spans="1:19" x14ac:dyDescent="0.35">
      <c r="A446" t="s">
        <v>87</v>
      </c>
      <c r="B446" t="s">
        <v>34</v>
      </c>
      <c r="C446" t="s">
        <v>13</v>
      </c>
      <c r="D446" t="s">
        <v>26</v>
      </c>
      <c r="E446" t="s">
        <v>22</v>
      </c>
      <c r="F446" t="s">
        <v>39</v>
      </c>
      <c r="G446" t="s">
        <v>24</v>
      </c>
      <c r="H446" t="s">
        <v>209</v>
      </c>
      <c r="I446" t="s">
        <v>220</v>
      </c>
      <c r="J446" t="s">
        <v>54</v>
      </c>
      <c r="K446" t="s">
        <v>211</v>
      </c>
      <c r="L446" t="s">
        <v>302</v>
      </c>
      <c r="M446" t="s">
        <v>342</v>
      </c>
      <c r="N446" t="s">
        <v>211</v>
      </c>
      <c r="O446" t="s">
        <v>215</v>
      </c>
      <c r="P446" t="s">
        <v>216</v>
      </c>
      <c r="Q446" t="s">
        <v>217</v>
      </c>
      <c r="R446" t="s">
        <v>218</v>
      </c>
      <c r="S446" t="s">
        <v>244</v>
      </c>
    </row>
    <row r="447" spans="1:19" x14ac:dyDescent="0.35">
      <c r="A447" t="s">
        <v>144</v>
      </c>
      <c r="B447" t="s">
        <v>12</v>
      </c>
      <c r="C447" t="s">
        <v>38</v>
      </c>
      <c r="D447" t="s">
        <v>14</v>
      </c>
      <c r="E447" t="s">
        <v>22</v>
      </c>
      <c r="F447" t="s">
        <v>23</v>
      </c>
      <c r="G447" t="s">
        <v>24</v>
      </c>
      <c r="H447" t="s">
        <v>239</v>
      </c>
      <c r="I447" t="s">
        <v>230</v>
      </c>
      <c r="J447" t="s">
        <v>43</v>
      </c>
      <c r="K447" t="s">
        <v>245</v>
      </c>
      <c r="L447" t="s">
        <v>234</v>
      </c>
      <c r="M447" t="s">
        <v>294</v>
      </c>
      <c r="N447" t="s">
        <v>331</v>
      </c>
      <c r="O447" t="s">
        <v>215</v>
      </c>
      <c r="P447" t="s">
        <v>216</v>
      </c>
      <c r="Q447" t="s">
        <v>217</v>
      </c>
      <c r="R447" t="s">
        <v>218</v>
      </c>
      <c r="S447" t="s">
        <v>265</v>
      </c>
    </row>
    <row r="448" spans="1:19" x14ac:dyDescent="0.35">
      <c r="A448" t="s">
        <v>88</v>
      </c>
      <c r="B448" t="s">
        <v>29</v>
      </c>
      <c r="C448" t="s">
        <v>21</v>
      </c>
      <c r="D448" t="s">
        <v>26</v>
      </c>
      <c r="E448" t="s">
        <v>22</v>
      </c>
      <c r="F448" t="s">
        <v>52</v>
      </c>
      <c r="G448" t="s">
        <v>36</v>
      </c>
      <c r="H448" t="s">
        <v>291</v>
      </c>
      <c r="I448" t="s">
        <v>210</v>
      </c>
      <c r="J448" t="s">
        <v>18</v>
      </c>
      <c r="K448" t="s">
        <v>292</v>
      </c>
      <c r="L448" t="s">
        <v>339</v>
      </c>
      <c r="M448" t="s">
        <v>299</v>
      </c>
      <c r="N448" t="s">
        <v>233</v>
      </c>
      <c r="O448" t="s">
        <v>215</v>
      </c>
      <c r="P448" t="s">
        <v>216</v>
      </c>
      <c r="Q448" t="s">
        <v>217</v>
      </c>
      <c r="R448" t="s">
        <v>218</v>
      </c>
      <c r="S448" t="s">
        <v>244</v>
      </c>
    </row>
    <row r="449" spans="1:19" x14ac:dyDescent="0.35">
      <c r="A449" t="s">
        <v>133</v>
      </c>
      <c r="B449" t="s">
        <v>20</v>
      </c>
      <c r="C449" t="s">
        <v>13</v>
      </c>
      <c r="D449" t="s">
        <v>26</v>
      </c>
      <c r="E449" t="s">
        <v>15</v>
      </c>
      <c r="F449" t="s">
        <v>52</v>
      </c>
      <c r="G449" t="s">
        <v>36</v>
      </c>
      <c r="H449" t="s">
        <v>291</v>
      </c>
      <c r="I449" t="s">
        <v>230</v>
      </c>
      <c r="J449" t="s">
        <v>43</v>
      </c>
      <c r="K449" t="s">
        <v>292</v>
      </c>
      <c r="L449" t="s">
        <v>357</v>
      </c>
      <c r="M449" t="s">
        <v>358</v>
      </c>
      <c r="N449" t="s">
        <v>359</v>
      </c>
      <c r="O449" t="s">
        <v>215</v>
      </c>
      <c r="P449" t="s">
        <v>216</v>
      </c>
      <c r="Q449" t="s">
        <v>217</v>
      </c>
      <c r="R449" t="s">
        <v>218</v>
      </c>
      <c r="S449" t="s">
        <v>265</v>
      </c>
    </row>
    <row r="450" spans="1:19" x14ac:dyDescent="0.35">
      <c r="A450" t="s">
        <v>33</v>
      </c>
      <c r="B450" t="s">
        <v>29</v>
      </c>
      <c r="C450" t="s">
        <v>30</v>
      </c>
      <c r="D450" t="s">
        <v>14</v>
      </c>
      <c r="E450" t="s">
        <v>22</v>
      </c>
      <c r="F450" t="s">
        <v>56</v>
      </c>
      <c r="G450" t="s">
        <v>36</v>
      </c>
      <c r="H450" t="s">
        <v>260</v>
      </c>
      <c r="I450" t="s">
        <v>225</v>
      </c>
      <c r="J450" t="s">
        <v>27</v>
      </c>
      <c r="K450" t="s">
        <v>261</v>
      </c>
      <c r="L450" t="s">
        <v>379</v>
      </c>
      <c r="M450" t="s">
        <v>335</v>
      </c>
      <c r="N450" t="s">
        <v>260</v>
      </c>
      <c r="O450" t="s">
        <v>215</v>
      </c>
      <c r="P450" t="s">
        <v>216</v>
      </c>
      <c r="Q450" t="s">
        <v>217</v>
      </c>
      <c r="R450" t="s">
        <v>218</v>
      </c>
      <c r="S450" t="s">
        <v>220</v>
      </c>
    </row>
    <row r="451" spans="1:19" x14ac:dyDescent="0.35">
      <c r="A451" t="s">
        <v>135</v>
      </c>
      <c r="B451" t="s">
        <v>12</v>
      </c>
      <c r="C451" t="s">
        <v>38</v>
      </c>
      <c r="D451" t="s">
        <v>26</v>
      </c>
      <c r="E451" t="s">
        <v>15</v>
      </c>
      <c r="F451" t="s">
        <v>52</v>
      </c>
      <c r="G451" t="s">
        <v>36</v>
      </c>
      <c r="H451" t="s">
        <v>291</v>
      </c>
      <c r="I451" t="s">
        <v>225</v>
      </c>
      <c r="J451" t="s">
        <v>32</v>
      </c>
      <c r="K451" t="s">
        <v>292</v>
      </c>
      <c r="L451" t="s">
        <v>332</v>
      </c>
      <c r="M451" t="s">
        <v>333</v>
      </c>
      <c r="N451" t="s">
        <v>291</v>
      </c>
      <c r="O451" t="s">
        <v>215</v>
      </c>
      <c r="P451" t="s">
        <v>216</v>
      </c>
      <c r="Q451" t="s">
        <v>217</v>
      </c>
      <c r="R451" t="s">
        <v>218</v>
      </c>
      <c r="S451" t="s">
        <v>238</v>
      </c>
    </row>
    <row r="452" spans="1:19" x14ac:dyDescent="0.35">
      <c r="A452" t="s">
        <v>99</v>
      </c>
      <c r="B452" t="s">
        <v>20</v>
      </c>
      <c r="C452" t="s">
        <v>30</v>
      </c>
      <c r="D452" t="s">
        <v>26</v>
      </c>
      <c r="E452" t="s">
        <v>22</v>
      </c>
      <c r="F452" t="s">
        <v>41</v>
      </c>
      <c r="G452" t="s">
        <v>17</v>
      </c>
      <c r="H452" t="s">
        <v>219</v>
      </c>
      <c r="I452" t="s">
        <v>265</v>
      </c>
      <c r="J452" t="s">
        <v>32</v>
      </c>
      <c r="K452" t="s">
        <v>221</v>
      </c>
      <c r="L452" t="s">
        <v>280</v>
      </c>
      <c r="M452" t="s">
        <v>321</v>
      </c>
      <c r="N452" t="s">
        <v>340</v>
      </c>
      <c r="O452" t="s">
        <v>215</v>
      </c>
      <c r="P452" t="s">
        <v>216</v>
      </c>
      <c r="Q452" t="s">
        <v>217</v>
      </c>
      <c r="R452" t="s">
        <v>218</v>
      </c>
      <c r="S452" t="s">
        <v>220</v>
      </c>
    </row>
    <row r="453" spans="1:19" x14ac:dyDescent="0.35">
      <c r="A453" t="s">
        <v>63</v>
      </c>
      <c r="B453" t="s">
        <v>34</v>
      </c>
      <c r="C453" t="s">
        <v>13</v>
      </c>
      <c r="D453" t="s">
        <v>14</v>
      </c>
      <c r="E453" t="s">
        <v>22</v>
      </c>
      <c r="F453" t="s">
        <v>35</v>
      </c>
      <c r="G453" t="s">
        <v>36</v>
      </c>
      <c r="H453" t="s">
        <v>224</v>
      </c>
      <c r="I453" t="s">
        <v>210</v>
      </c>
      <c r="J453" t="s">
        <v>50</v>
      </c>
      <c r="K453" t="s">
        <v>226</v>
      </c>
      <c r="L453" t="s">
        <v>365</v>
      </c>
      <c r="M453" t="s">
        <v>366</v>
      </c>
      <c r="N453" t="s">
        <v>289</v>
      </c>
      <c r="O453" t="s">
        <v>215</v>
      </c>
      <c r="P453" t="s">
        <v>216</v>
      </c>
      <c r="Q453" t="s">
        <v>217</v>
      </c>
      <c r="R453" t="s">
        <v>218</v>
      </c>
      <c r="S453" t="s">
        <v>220</v>
      </c>
    </row>
    <row r="454" spans="1:19" x14ac:dyDescent="0.35">
      <c r="A454" t="s">
        <v>100</v>
      </c>
      <c r="B454" t="s">
        <v>20</v>
      </c>
      <c r="C454" t="s">
        <v>13</v>
      </c>
      <c r="D454" t="s">
        <v>14</v>
      </c>
      <c r="E454" t="s">
        <v>15</v>
      </c>
      <c r="F454" t="s">
        <v>56</v>
      </c>
      <c r="G454" t="s">
        <v>36</v>
      </c>
      <c r="H454" t="s">
        <v>260</v>
      </c>
      <c r="I454" t="s">
        <v>225</v>
      </c>
      <c r="J454" t="s">
        <v>50</v>
      </c>
      <c r="K454" t="s">
        <v>261</v>
      </c>
      <c r="L454" t="s">
        <v>379</v>
      </c>
      <c r="M454" t="s">
        <v>335</v>
      </c>
      <c r="N454" t="s">
        <v>260</v>
      </c>
      <c r="O454" t="s">
        <v>215</v>
      </c>
      <c r="P454" t="s">
        <v>216</v>
      </c>
      <c r="Q454" t="s">
        <v>217</v>
      </c>
      <c r="R454" t="s">
        <v>218</v>
      </c>
      <c r="S454" t="s">
        <v>238</v>
      </c>
    </row>
    <row r="455" spans="1:19" x14ac:dyDescent="0.35">
      <c r="A455" t="s">
        <v>147</v>
      </c>
      <c r="B455" t="s">
        <v>29</v>
      </c>
      <c r="C455" t="s">
        <v>30</v>
      </c>
      <c r="D455" t="s">
        <v>26</v>
      </c>
      <c r="E455" t="s">
        <v>22</v>
      </c>
      <c r="F455" t="s">
        <v>56</v>
      </c>
      <c r="G455" t="s">
        <v>36</v>
      </c>
      <c r="H455" t="s">
        <v>260</v>
      </c>
      <c r="I455" t="s">
        <v>265</v>
      </c>
      <c r="J455" t="s">
        <v>27</v>
      </c>
      <c r="K455" t="s">
        <v>261</v>
      </c>
      <c r="L455" t="s">
        <v>360</v>
      </c>
      <c r="M455" t="s">
        <v>264</v>
      </c>
      <c r="N455" t="s">
        <v>361</v>
      </c>
      <c r="O455" t="s">
        <v>215</v>
      </c>
      <c r="P455" t="s">
        <v>216</v>
      </c>
      <c r="Q455" t="s">
        <v>217</v>
      </c>
      <c r="R455" t="s">
        <v>218</v>
      </c>
      <c r="S455" t="s">
        <v>220</v>
      </c>
    </row>
    <row r="456" spans="1:19" x14ac:dyDescent="0.35">
      <c r="A456" t="s">
        <v>112</v>
      </c>
      <c r="B456" t="s">
        <v>34</v>
      </c>
      <c r="C456" t="s">
        <v>21</v>
      </c>
      <c r="D456" t="s">
        <v>14</v>
      </c>
      <c r="E456" t="s">
        <v>22</v>
      </c>
      <c r="F456" t="s">
        <v>39</v>
      </c>
      <c r="G456" t="s">
        <v>24</v>
      </c>
      <c r="H456" t="s">
        <v>209</v>
      </c>
      <c r="I456" t="s">
        <v>238</v>
      </c>
      <c r="J456" t="s">
        <v>18</v>
      </c>
      <c r="K456" t="s">
        <v>211</v>
      </c>
      <c r="L456" t="s">
        <v>209</v>
      </c>
      <c r="M456" t="s">
        <v>211</v>
      </c>
      <c r="N456" t="s">
        <v>254</v>
      </c>
      <c r="O456" t="s">
        <v>215</v>
      </c>
      <c r="P456" t="s">
        <v>216</v>
      </c>
      <c r="Q456" t="s">
        <v>217</v>
      </c>
      <c r="R456" t="s">
        <v>218</v>
      </c>
      <c r="S456" t="s">
        <v>238</v>
      </c>
    </row>
    <row r="457" spans="1:19" x14ac:dyDescent="0.35">
      <c r="A457" t="s">
        <v>66</v>
      </c>
      <c r="B457" t="s">
        <v>20</v>
      </c>
      <c r="C457" t="s">
        <v>21</v>
      </c>
      <c r="D457" t="s">
        <v>14</v>
      </c>
      <c r="E457" t="s">
        <v>22</v>
      </c>
      <c r="F457" t="s">
        <v>41</v>
      </c>
      <c r="G457" t="s">
        <v>17</v>
      </c>
      <c r="H457" t="s">
        <v>219</v>
      </c>
      <c r="I457" t="s">
        <v>210</v>
      </c>
      <c r="J457" t="s">
        <v>43</v>
      </c>
      <c r="K457" t="s">
        <v>221</v>
      </c>
      <c r="L457" t="s">
        <v>278</v>
      </c>
      <c r="M457" t="s">
        <v>279</v>
      </c>
      <c r="N457" t="s">
        <v>280</v>
      </c>
      <c r="O457" t="s">
        <v>215</v>
      </c>
      <c r="P457" t="s">
        <v>216</v>
      </c>
      <c r="Q457" t="s">
        <v>217</v>
      </c>
      <c r="R457" t="s">
        <v>218</v>
      </c>
      <c r="S457" t="s">
        <v>244</v>
      </c>
    </row>
    <row r="458" spans="1:19" x14ac:dyDescent="0.35">
      <c r="A458" t="s">
        <v>110</v>
      </c>
      <c r="B458" t="s">
        <v>29</v>
      </c>
      <c r="C458" t="s">
        <v>30</v>
      </c>
      <c r="D458" t="s">
        <v>26</v>
      </c>
      <c r="E458" t="s">
        <v>22</v>
      </c>
      <c r="F458" t="s">
        <v>47</v>
      </c>
      <c r="G458" t="s">
        <v>36</v>
      </c>
      <c r="H458" t="s">
        <v>229</v>
      </c>
      <c r="I458" t="s">
        <v>265</v>
      </c>
      <c r="J458" t="s">
        <v>18</v>
      </c>
      <c r="K458" t="s">
        <v>231</v>
      </c>
      <c r="L458" t="s">
        <v>224</v>
      </c>
      <c r="M458" t="s">
        <v>226</v>
      </c>
      <c r="N458" t="s">
        <v>252</v>
      </c>
      <c r="O458" t="s">
        <v>215</v>
      </c>
      <c r="P458" t="s">
        <v>216</v>
      </c>
      <c r="Q458" t="s">
        <v>217</v>
      </c>
      <c r="R458" t="s">
        <v>218</v>
      </c>
      <c r="S458" t="s">
        <v>265</v>
      </c>
    </row>
    <row r="459" spans="1:19" x14ac:dyDescent="0.35">
      <c r="A459" t="s">
        <v>72</v>
      </c>
      <c r="B459" t="s">
        <v>20</v>
      </c>
      <c r="C459" t="s">
        <v>21</v>
      </c>
      <c r="D459" t="s">
        <v>14</v>
      </c>
      <c r="E459" t="s">
        <v>22</v>
      </c>
      <c r="F459" t="s">
        <v>39</v>
      </c>
      <c r="G459" t="s">
        <v>24</v>
      </c>
      <c r="H459" t="s">
        <v>209</v>
      </c>
      <c r="I459" t="s">
        <v>210</v>
      </c>
      <c r="J459" t="s">
        <v>32</v>
      </c>
      <c r="K459" t="s">
        <v>211</v>
      </c>
      <c r="L459" t="s">
        <v>212</v>
      </c>
      <c r="M459" t="s">
        <v>213</v>
      </c>
      <c r="N459" t="s">
        <v>214</v>
      </c>
      <c r="O459" t="s">
        <v>215</v>
      </c>
      <c r="P459" t="s">
        <v>216</v>
      </c>
      <c r="Q459" t="s">
        <v>217</v>
      </c>
      <c r="R459" t="s">
        <v>218</v>
      </c>
      <c r="S459" t="s">
        <v>244</v>
      </c>
    </row>
    <row r="460" spans="1:19" x14ac:dyDescent="0.35">
      <c r="A460" t="s">
        <v>101</v>
      </c>
      <c r="B460" t="s">
        <v>12</v>
      </c>
      <c r="C460" t="s">
        <v>21</v>
      </c>
      <c r="D460" t="s">
        <v>14</v>
      </c>
      <c r="E460" t="s">
        <v>15</v>
      </c>
      <c r="F460" t="s">
        <v>47</v>
      </c>
      <c r="G460" t="s">
        <v>36</v>
      </c>
      <c r="H460" t="s">
        <v>229</v>
      </c>
      <c r="I460" t="s">
        <v>265</v>
      </c>
      <c r="J460" t="s">
        <v>32</v>
      </c>
      <c r="K460" t="s">
        <v>231</v>
      </c>
      <c r="L460" t="s">
        <v>224</v>
      </c>
      <c r="M460" t="s">
        <v>226</v>
      </c>
      <c r="N460" t="s">
        <v>252</v>
      </c>
      <c r="O460" t="s">
        <v>215</v>
      </c>
      <c r="P460" t="s">
        <v>216</v>
      </c>
      <c r="Q460" t="s">
        <v>217</v>
      </c>
      <c r="R460" t="s">
        <v>218</v>
      </c>
      <c r="S460" t="s">
        <v>220</v>
      </c>
    </row>
    <row r="461" spans="1:19" x14ac:dyDescent="0.35">
      <c r="A461" t="s">
        <v>101</v>
      </c>
      <c r="B461" t="s">
        <v>29</v>
      </c>
      <c r="C461" t="s">
        <v>30</v>
      </c>
      <c r="D461" t="s">
        <v>26</v>
      </c>
      <c r="E461" t="s">
        <v>22</v>
      </c>
      <c r="F461" t="s">
        <v>31</v>
      </c>
      <c r="G461" t="s">
        <v>24</v>
      </c>
      <c r="H461" t="s">
        <v>252</v>
      </c>
      <c r="I461" t="s">
        <v>210</v>
      </c>
      <c r="J461" t="s">
        <v>32</v>
      </c>
      <c r="K461" t="s">
        <v>253</v>
      </c>
      <c r="L461" t="s">
        <v>289</v>
      </c>
      <c r="M461" t="s">
        <v>297</v>
      </c>
      <c r="N461" t="s">
        <v>231</v>
      </c>
      <c r="O461" t="s">
        <v>215</v>
      </c>
      <c r="P461" t="s">
        <v>216</v>
      </c>
      <c r="Q461" t="s">
        <v>217</v>
      </c>
      <c r="R461" t="s">
        <v>218</v>
      </c>
      <c r="S461" t="s">
        <v>220</v>
      </c>
    </row>
    <row r="462" spans="1:19" x14ac:dyDescent="0.35">
      <c r="A462" t="s">
        <v>114</v>
      </c>
      <c r="B462" t="s">
        <v>12</v>
      </c>
      <c r="C462" t="s">
        <v>38</v>
      </c>
      <c r="D462" t="s">
        <v>26</v>
      </c>
      <c r="E462" t="s">
        <v>15</v>
      </c>
      <c r="F462" t="s">
        <v>58</v>
      </c>
      <c r="G462" t="s">
        <v>24</v>
      </c>
      <c r="H462" t="s">
        <v>255</v>
      </c>
      <c r="I462" t="s">
        <v>220</v>
      </c>
      <c r="J462" t="s">
        <v>43</v>
      </c>
      <c r="K462" t="s">
        <v>256</v>
      </c>
      <c r="L462" t="s">
        <v>303</v>
      </c>
      <c r="M462" t="s">
        <v>304</v>
      </c>
      <c r="N462" t="s">
        <v>256</v>
      </c>
      <c r="O462" t="s">
        <v>215</v>
      </c>
      <c r="P462" t="s">
        <v>216</v>
      </c>
      <c r="Q462" t="s">
        <v>217</v>
      </c>
      <c r="R462" t="s">
        <v>218</v>
      </c>
      <c r="S462" t="s">
        <v>244</v>
      </c>
    </row>
    <row r="463" spans="1:19" x14ac:dyDescent="0.35">
      <c r="A463" t="s">
        <v>33</v>
      </c>
      <c r="B463" t="s">
        <v>29</v>
      </c>
      <c r="C463" t="s">
        <v>21</v>
      </c>
      <c r="D463" t="s">
        <v>14</v>
      </c>
      <c r="E463" t="s">
        <v>15</v>
      </c>
      <c r="F463" t="s">
        <v>31</v>
      </c>
      <c r="G463" t="s">
        <v>24</v>
      </c>
      <c r="H463" t="s">
        <v>252</v>
      </c>
      <c r="I463" t="s">
        <v>225</v>
      </c>
      <c r="J463" t="s">
        <v>43</v>
      </c>
      <c r="K463" t="s">
        <v>253</v>
      </c>
      <c r="L463" t="s">
        <v>224</v>
      </c>
      <c r="M463" t="s">
        <v>226</v>
      </c>
      <c r="N463" t="s">
        <v>252</v>
      </c>
      <c r="O463" t="s">
        <v>215</v>
      </c>
      <c r="P463" t="s">
        <v>216</v>
      </c>
      <c r="Q463" t="s">
        <v>217</v>
      </c>
      <c r="R463" t="s">
        <v>218</v>
      </c>
      <c r="S463" t="s">
        <v>220</v>
      </c>
    </row>
    <row r="464" spans="1:19" x14ac:dyDescent="0.35">
      <c r="A464" t="s">
        <v>110</v>
      </c>
      <c r="B464" t="s">
        <v>29</v>
      </c>
      <c r="C464" t="s">
        <v>38</v>
      </c>
      <c r="D464" t="s">
        <v>26</v>
      </c>
      <c r="E464" t="s">
        <v>15</v>
      </c>
      <c r="F464" t="s">
        <v>56</v>
      </c>
      <c r="G464" t="s">
        <v>36</v>
      </c>
      <c r="H464" t="s">
        <v>260</v>
      </c>
      <c r="I464" t="s">
        <v>244</v>
      </c>
      <c r="J464" t="s">
        <v>27</v>
      </c>
      <c r="K464" t="s">
        <v>261</v>
      </c>
      <c r="L464" t="s">
        <v>288</v>
      </c>
      <c r="M464" t="s">
        <v>289</v>
      </c>
      <c r="N464" t="s">
        <v>229</v>
      </c>
      <c r="O464" t="s">
        <v>215</v>
      </c>
      <c r="P464" t="s">
        <v>216</v>
      </c>
      <c r="Q464" t="s">
        <v>217</v>
      </c>
      <c r="R464" t="s">
        <v>218</v>
      </c>
      <c r="S464" t="s">
        <v>265</v>
      </c>
    </row>
    <row r="465" spans="1:19" x14ac:dyDescent="0.35">
      <c r="A465" t="s">
        <v>111</v>
      </c>
      <c r="B465" t="s">
        <v>29</v>
      </c>
      <c r="C465" t="s">
        <v>21</v>
      </c>
      <c r="D465" t="s">
        <v>26</v>
      </c>
      <c r="E465" t="s">
        <v>22</v>
      </c>
      <c r="F465" t="s">
        <v>47</v>
      </c>
      <c r="G465" t="s">
        <v>36</v>
      </c>
      <c r="H465" t="s">
        <v>229</v>
      </c>
      <c r="I465" t="s">
        <v>238</v>
      </c>
      <c r="J465" t="s">
        <v>50</v>
      </c>
      <c r="K465" t="s">
        <v>231</v>
      </c>
      <c r="L465" t="s">
        <v>229</v>
      </c>
      <c r="M465" t="s">
        <v>231</v>
      </c>
      <c r="N465" t="s">
        <v>239</v>
      </c>
      <c r="O465" t="s">
        <v>215</v>
      </c>
      <c r="P465" t="s">
        <v>216</v>
      </c>
      <c r="Q465" t="s">
        <v>217</v>
      </c>
      <c r="R465" t="s">
        <v>218</v>
      </c>
      <c r="S465" t="s">
        <v>238</v>
      </c>
    </row>
    <row r="466" spans="1:19" x14ac:dyDescent="0.35">
      <c r="A466" t="s">
        <v>109</v>
      </c>
      <c r="B466" t="s">
        <v>34</v>
      </c>
      <c r="C466" t="s">
        <v>38</v>
      </c>
      <c r="D466" t="s">
        <v>26</v>
      </c>
      <c r="E466" t="s">
        <v>22</v>
      </c>
      <c r="F466" t="s">
        <v>58</v>
      </c>
      <c r="G466" t="s">
        <v>24</v>
      </c>
      <c r="H466" t="s">
        <v>255</v>
      </c>
      <c r="I466" t="s">
        <v>238</v>
      </c>
      <c r="J466" t="s">
        <v>27</v>
      </c>
      <c r="K466" t="s">
        <v>256</v>
      </c>
      <c r="L466" t="s">
        <v>255</v>
      </c>
      <c r="M466" t="s">
        <v>256</v>
      </c>
      <c r="N466" t="s">
        <v>334</v>
      </c>
      <c r="O466" t="s">
        <v>215</v>
      </c>
      <c r="P466" t="s">
        <v>216</v>
      </c>
      <c r="Q466" t="s">
        <v>217</v>
      </c>
      <c r="R466" t="s">
        <v>218</v>
      </c>
      <c r="S466" t="s">
        <v>265</v>
      </c>
    </row>
    <row r="467" spans="1:19" x14ac:dyDescent="0.35">
      <c r="A467" t="s">
        <v>145</v>
      </c>
      <c r="B467" t="s">
        <v>20</v>
      </c>
      <c r="C467" t="s">
        <v>30</v>
      </c>
      <c r="D467" t="s">
        <v>14</v>
      </c>
      <c r="E467" t="s">
        <v>22</v>
      </c>
      <c r="F467" t="s">
        <v>56</v>
      </c>
      <c r="G467" t="s">
        <v>36</v>
      </c>
      <c r="H467" t="s">
        <v>260</v>
      </c>
      <c r="I467" t="s">
        <v>240</v>
      </c>
      <c r="J467" t="s">
        <v>50</v>
      </c>
      <c r="K467" t="s">
        <v>261</v>
      </c>
      <c r="L467" t="s">
        <v>227</v>
      </c>
      <c r="M467" t="s">
        <v>228</v>
      </c>
      <c r="N467" t="s">
        <v>224</v>
      </c>
      <c r="O467" t="s">
        <v>215</v>
      </c>
      <c r="P467" t="s">
        <v>216</v>
      </c>
      <c r="Q467" t="s">
        <v>217</v>
      </c>
      <c r="R467" t="s">
        <v>218</v>
      </c>
      <c r="S467" t="s">
        <v>238</v>
      </c>
    </row>
    <row r="468" spans="1:19" x14ac:dyDescent="0.35">
      <c r="A468" t="s">
        <v>87</v>
      </c>
      <c r="B468" t="s">
        <v>12</v>
      </c>
      <c r="C468" t="s">
        <v>38</v>
      </c>
      <c r="D468" t="s">
        <v>14</v>
      </c>
      <c r="E468" t="s">
        <v>22</v>
      </c>
      <c r="F468" t="s">
        <v>58</v>
      </c>
      <c r="G468" t="s">
        <v>24</v>
      </c>
      <c r="H468" t="s">
        <v>255</v>
      </c>
      <c r="I468" t="s">
        <v>210</v>
      </c>
      <c r="J468" t="s">
        <v>43</v>
      </c>
      <c r="K468" t="s">
        <v>256</v>
      </c>
      <c r="L468" t="s">
        <v>285</v>
      </c>
      <c r="M468" t="s">
        <v>286</v>
      </c>
      <c r="N468" t="s">
        <v>287</v>
      </c>
      <c r="O468" t="s">
        <v>215</v>
      </c>
      <c r="P468" t="s">
        <v>216</v>
      </c>
      <c r="Q468" t="s">
        <v>217</v>
      </c>
      <c r="R468" t="s">
        <v>218</v>
      </c>
      <c r="S468" t="s">
        <v>244</v>
      </c>
    </row>
    <row r="469" spans="1:19" x14ac:dyDescent="0.35">
      <c r="A469" t="s">
        <v>49</v>
      </c>
      <c r="B469" t="s">
        <v>20</v>
      </c>
      <c r="C469" t="s">
        <v>13</v>
      </c>
      <c r="D469" t="s">
        <v>14</v>
      </c>
      <c r="E469" t="s">
        <v>22</v>
      </c>
      <c r="F469" t="s">
        <v>39</v>
      </c>
      <c r="G469" t="s">
        <v>24</v>
      </c>
      <c r="H469" t="s">
        <v>209</v>
      </c>
      <c r="I469" t="s">
        <v>210</v>
      </c>
      <c r="J469" t="s">
        <v>27</v>
      </c>
      <c r="K469" t="s">
        <v>211</v>
      </c>
      <c r="L469" t="s">
        <v>212</v>
      </c>
      <c r="M469" t="s">
        <v>213</v>
      </c>
      <c r="N469" t="s">
        <v>214</v>
      </c>
      <c r="O469" t="s">
        <v>215</v>
      </c>
      <c r="P469" t="s">
        <v>216</v>
      </c>
      <c r="Q469" t="s">
        <v>217</v>
      </c>
      <c r="R469" t="s">
        <v>218</v>
      </c>
      <c r="S469" t="s">
        <v>220</v>
      </c>
    </row>
    <row r="470" spans="1:19" x14ac:dyDescent="0.35">
      <c r="A470" t="s">
        <v>156</v>
      </c>
      <c r="B470" t="s">
        <v>12</v>
      </c>
      <c r="C470" t="s">
        <v>13</v>
      </c>
      <c r="D470" t="s">
        <v>26</v>
      </c>
      <c r="E470" t="s">
        <v>15</v>
      </c>
      <c r="F470" t="s">
        <v>31</v>
      </c>
      <c r="G470" t="s">
        <v>24</v>
      </c>
      <c r="H470" t="s">
        <v>252</v>
      </c>
      <c r="I470" t="s">
        <v>240</v>
      </c>
      <c r="J470" t="s">
        <v>54</v>
      </c>
      <c r="K470" t="s">
        <v>253</v>
      </c>
      <c r="L470" t="s">
        <v>214</v>
      </c>
      <c r="M470" t="s">
        <v>251</v>
      </c>
      <c r="N470" t="s">
        <v>247</v>
      </c>
      <c r="O470" t="s">
        <v>215</v>
      </c>
      <c r="P470" t="s">
        <v>216</v>
      </c>
      <c r="Q470" t="s">
        <v>217</v>
      </c>
      <c r="R470" t="s">
        <v>218</v>
      </c>
      <c r="S470" t="s">
        <v>244</v>
      </c>
    </row>
    <row r="471" spans="1:19" x14ac:dyDescent="0.35">
      <c r="A471" t="s">
        <v>150</v>
      </c>
      <c r="B471" t="s">
        <v>34</v>
      </c>
      <c r="C471" t="s">
        <v>30</v>
      </c>
      <c r="D471" t="s">
        <v>14</v>
      </c>
      <c r="E471" t="s">
        <v>22</v>
      </c>
      <c r="F471" t="s">
        <v>58</v>
      </c>
      <c r="G471" t="s">
        <v>24</v>
      </c>
      <c r="H471" t="s">
        <v>255</v>
      </c>
      <c r="I471" t="s">
        <v>220</v>
      </c>
      <c r="J471" t="s">
        <v>27</v>
      </c>
      <c r="K471" t="s">
        <v>256</v>
      </c>
      <c r="L471" t="s">
        <v>303</v>
      </c>
      <c r="M471" t="s">
        <v>304</v>
      </c>
      <c r="N471" t="s">
        <v>256</v>
      </c>
      <c r="O471" t="s">
        <v>215</v>
      </c>
      <c r="P471" t="s">
        <v>216</v>
      </c>
      <c r="Q471" t="s">
        <v>217</v>
      </c>
      <c r="R471" t="s">
        <v>218</v>
      </c>
      <c r="S471" t="s">
        <v>220</v>
      </c>
    </row>
    <row r="472" spans="1:19" x14ac:dyDescent="0.35">
      <c r="A472" t="s">
        <v>71</v>
      </c>
      <c r="B472" t="s">
        <v>29</v>
      </c>
      <c r="C472" t="s">
        <v>38</v>
      </c>
      <c r="D472" t="s">
        <v>26</v>
      </c>
      <c r="E472" t="s">
        <v>15</v>
      </c>
      <c r="F472" t="s">
        <v>47</v>
      </c>
      <c r="G472" t="s">
        <v>36</v>
      </c>
      <c r="H472" t="s">
        <v>229</v>
      </c>
      <c r="I472" t="s">
        <v>238</v>
      </c>
      <c r="J472" t="s">
        <v>27</v>
      </c>
      <c r="K472" t="s">
        <v>231</v>
      </c>
      <c r="L472" t="s">
        <v>229</v>
      </c>
      <c r="M472" t="s">
        <v>231</v>
      </c>
      <c r="N472" t="s">
        <v>239</v>
      </c>
      <c r="O472" t="s">
        <v>215</v>
      </c>
      <c r="P472" t="s">
        <v>216</v>
      </c>
      <c r="Q472" t="s">
        <v>217</v>
      </c>
      <c r="R472" t="s">
        <v>218</v>
      </c>
      <c r="S472" t="s">
        <v>265</v>
      </c>
    </row>
    <row r="473" spans="1:19" x14ac:dyDescent="0.35">
      <c r="A473" t="s">
        <v>73</v>
      </c>
      <c r="B473" t="s">
        <v>29</v>
      </c>
      <c r="C473" t="s">
        <v>30</v>
      </c>
      <c r="D473" t="s">
        <v>14</v>
      </c>
      <c r="E473" t="s">
        <v>22</v>
      </c>
      <c r="F473" t="s">
        <v>39</v>
      </c>
      <c r="G473" t="s">
        <v>24</v>
      </c>
      <c r="H473" t="s">
        <v>209</v>
      </c>
      <c r="I473" t="s">
        <v>238</v>
      </c>
      <c r="J473" t="s">
        <v>32</v>
      </c>
      <c r="K473" t="s">
        <v>211</v>
      </c>
      <c r="L473" t="s">
        <v>209</v>
      </c>
      <c r="M473" t="s">
        <v>211</v>
      </c>
      <c r="N473" t="s">
        <v>254</v>
      </c>
      <c r="O473" t="s">
        <v>215</v>
      </c>
      <c r="P473" t="s">
        <v>216</v>
      </c>
      <c r="Q473" t="s">
        <v>217</v>
      </c>
      <c r="R473" t="s">
        <v>218</v>
      </c>
      <c r="S473" t="s">
        <v>265</v>
      </c>
    </row>
    <row r="474" spans="1:19" x14ac:dyDescent="0.35">
      <c r="A474" t="s">
        <v>55</v>
      </c>
      <c r="B474" t="s">
        <v>20</v>
      </c>
      <c r="C474" t="s">
        <v>38</v>
      </c>
      <c r="D474" t="s">
        <v>26</v>
      </c>
      <c r="E474" t="s">
        <v>22</v>
      </c>
      <c r="F474" t="s">
        <v>58</v>
      </c>
      <c r="G474" t="s">
        <v>24</v>
      </c>
      <c r="H474" t="s">
        <v>255</v>
      </c>
      <c r="I474" t="s">
        <v>249</v>
      </c>
      <c r="J474" t="s">
        <v>32</v>
      </c>
      <c r="K474" t="s">
        <v>256</v>
      </c>
      <c r="L474" t="s">
        <v>286</v>
      </c>
      <c r="M474" t="s">
        <v>295</v>
      </c>
      <c r="N474" t="s">
        <v>296</v>
      </c>
      <c r="O474" t="s">
        <v>215</v>
      </c>
      <c r="P474" t="s">
        <v>216</v>
      </c>
      <c r="Q474" t="s">
        <v>217</v>
      </c>
      <c r="R474" t="s">
        <v>218</v>
      </c>
      <c r="S474" t="s">
        <v>220</v>
      </c>
    </row>
    <row r="475" spans="1:19" x14ac:dyDescent="0.35">
      <c r="A475" t="s">
        <v>82</v>
      </c>
      <c r="B475" t="s">
        <v>12</v>
      </c>
      <c r="C475" t="s">
        <v>21</v>
      </c>
      <c r="D475" t="s">
        <v>14</v>
      </c>
      <c r="E475" t="s">
        <v>22</v>
      </c>
      <c r="F475" t="s">
        <v>56</v>
      </c>
      <c r="G475" t="s">
        <v>36</v>
      </c>
      <c r="H475" t="s">
        <v>260</v>
      </c>
      <c r="I475" t="s">
        <v>244</v>
      </c>
      <c r="J475" t="s">
        <v>27</v>
      </c>
      <c r="K475" t="s">
        <v>261</v>
      </c>
      <c r="L475" t="s">
        <v>288</v>
      </c>
      <c r="M475" t="s">
        <v>289</v>
      </c>
      <c r="N475" t="s">
        <v>229</v>
      </c>
      <c r="O475" t="s">
        <v>215</v>
      </c>
      <c r="P475" t="s">
        <v>216</v>
      </c>
      <c r="Q475" t="s">
        <v>217</v>
      </c>
      <c r="R475" t="s">
        <v>218</v>
      </c>
      <c r="S475" t="s">
        <v>238</v>
      </c>
    </row>
    <row r="476" spans="1:19" x14ac:dyDescent="0.35">
      <c r="A476" t="s">
        <v>88</v>
      </c>
      <c r="B476" t="s">
        <v>34</v>
      </c>
      <c r="C476" t="s">
        <v>21</v>
      </c>
      <c r="D476" t="s">
        <v>26</v>
      </c>
      <c r="E476" t="s">
        <v>22</v>
      </c>
      <c r="F476" t="s">
        <v>31</v>
      </c>
      <c r="G476" t="s">
        <v>24</v>
      </c>
      <c r="H476" t="s">
        <v>252</v>
      </c>
      <c r="I476" t="s">
        <v>238</v>
      </c>
      <c r="J476" t="s">
        <v>43</v>
      </c>
      <c r="K476" t="s">
        <v>253</v>
      </c>
      <c r="L476" t="s">
        <v>252</v>
      </c>
      <c r="M476" t="s">
        <v>253</v>
      </c>
      <c r="N476" t="s">
        <v>313</v>
      </c>
      <c r="O476" t="s">
        <v>215</v>
      </c>
      <c r="P476" t="s">
        <v>216</v>
      </c>
      <c r="Q476" t="s">
        <v>217</v>
      </c>
      <c r="R476" t="s">
        <v>218</v>
      </c>
      <c r="S476" t="s">
        <v>244</v>
      </c>
    </row>
    <row r="477" spans="1:19" x14ac:dyDescent="0.35">
      <c r="A477" t="s">
        <v>99</v>
      </c>
      <c r="B477" t="s">
        <v>20</v>
      </c>
      <c r="C477" t="s">
        <v>38</v>
      </c>
      <c r="D477" t="s">
        <v>14</v>
      </c>
      <c r="E477" t="s">
        <v>22</v>
      </c>
      <c r="F477" t="s">
        <v>41</v>
      </c>
      <c r="G477" t="s">
        <v>17</v>
      </c>
      <c r="H477" t="s">
        <v>219</v>
      </c>
      <c r="I477" t="s">
        <v>220</v>
      </c>
      <c r="J477" t="s">
        <v>18</v>
      </c>
      <c r="K477" t="s">
        <v>221</v>
      </c>
      <c r="L477" t="s">
        <v>222</v>
      </c>
      <c r="M477" t="s">
        <v>223</v>
      </c>
      <c r="N477" t="s">
        <v>221</v>
      </c>
      <c r="O477" t="s">
        <v>215</v>
      </c>
      <c r="P477" t="s">
        <v>216</v>
      </c>
      <c r="Q477" t="s">
        <v>217</v>
      </c>
      <c r="R477" t="s">
        <v>218</v>
      </c>
      <c r="S477" t="s">
        <v>220</v>
      </c>
    </row>
    <row r="478" spans="1:19" x14ac:dyDescent="0.35">
      <c r="A478" t="s">
        <v>51</v>
      </c>
      <c r="B478" t="s">
        <v>29</v>
      </c>
      <c r="C478" t="s">
        <v>30</v>
      </c>
      <c r="D478" t="s">
        <v>26</v>
      </c>
      <c r="E478" t="s">
        <v>22</v>
      </c>
      <c r="F478" t="s">
        <v>52</v>
      </c>
      <c r="G478" t="s">
        <v>36</v>
      </c>
      <c r="H478" t="s">
        <v>291</v>
      </c>
      <c r="I478" t="s">
        <v>249</v>
      </c>
      <c r="J478" t="s">
        <v>27</v>
      </c>
      <c r="K478" t="s">
        <v>292</v>
      </c>
      <c r="L478" t="s">
        <v>299</v>
      </c>
      <c r="M478" t="s">
        <v>300</v>
      </c>
      <c r="N478" t="s">
        <v>293</v>
      </c>
      <c r="O478" t="s">
        <v>215</v>
      </c>
      <c r="P478" t="s">
        <v>216</v>
      </c>
      <c r="Q478" t="s">
        <v>217</v>
      </c>
      <c r="R478" t="s">
        <v>218</v>
      </c>
      <c r="S478" t="s">
        <v>244</v>
      </c>
    </row>
    <row r="479" spans="1:19" x14ac:dyDescent="0.35">
      <c r="A479" t="s">
        <v>76</v>
      </c>
      <c r="B479" t="s">
        <v>29</v>
      </c>
      <c r="C479" t="s">
        <v>21</v>
      </c>
      <c r="D479" t="s">
        <v>26</v>
      </c>
      <c r="E479" t="s">
        <v>22</v>
      </c>
      <c r="F479" t="s">
        <v>52</v>
      </c>
      <c r="G479" t="s">
        <v>36</v>
      </c>
      <c r="H479" t="s">
        <v>291</v>
      </c>
      <c r="I479" t="s">
        <v>249</v>
      </c>
      <c r="J479" t="s">
        <v>43</v>
      </c>
      <c r="K479" t="s">
        <v>292</v>
      </c>
      <c r="L479" t="s">
        <v>299</v>
      </c>
      <c r="M479" t="s">
        <v>300</v>
      </c>
      <c r="N479" t="s">
        <v>293</v>
      </c>
      <c r="O479" t="s">
        <v>215</v>
      </c>
      <c r="P479" t="s">
        <v>216</v>
      </c>
      <c r="Q479" t="s">
        <v>217</v>
      </c>
      <c r="R479" t="s">
        <v>218</v>
      </c>
      <c r="S479" t="s">
        <v>265</v>
      </c>
    </row>
    <row r="480" spans="1:19" x14ac:dyDescent="0.35">
      <c r="A480" t="s">
        <v>151</v>
      </c>
      <c r="B480" t="s">
        <v>34</v>
      </c>
      <c r="C480" t="s">
        <v>21</v>
      </c>
      <c r="D480" t="s">
        <v>14</v>
      </c>
      <c r="E480" t="s">
        <v>22</v>
      </c>
      <c r="F480" t="s">
        <v>31</v>
      </c>
      <c r="G480" t="s">
        <v>24</v>
      </c>
      <c r="H480" t="s">
        <v>252</v>
      </c>
      <c r="I480" t="s">
        <v>238</v>
      </c>
      <c r="J480" t="s">
        <v>54</v>
      </c>
      <c r="K480" t="s">
        <v>253</v>
      </c>
      <c r="L480" t="s">
        <v>252</v>
      </c>
      <c r="M480" t="s">
        <v>253</v>
      </c>
      <c r="N480" t="s">
        <v>313</v>
      </c>
      <c r="O480" t="s">
        <v>215</v>
      </c>
      <c r="P480" t="s">
        <v>216</v>
      </c>
      <c r="Q480" t="s">
        <v>217</v>
      </c>
      <c r="R480" t="s">
        <v>218</v>
      </c>
      <c r="S480" t="s">
        <v>238</v>
      </c>
    </row>
    <row r="481" spans="1:19" x14ac:dyDescent="0.35">
      <c r="A481" t="s">
        <v>103</v>
      </c>
      <c r="B481" t="s">
        <v>20</v>
      </c>
      <c r="C481" t="s">
        <v>13</v>
      </c>
      <c r="D481" t="s">
        <v>26</v>
      </c>
      <c r="E481" t="s">
        <v>22</v>
      </c>
      <c r="F481" t="s">
        <v>39</v>
      </c>
      <c r="G481" t="s">
        <v>24</v>
      </c>
      <c r="H481" t="s">
        <v>209</v>
      </c>
      <c r="I481" t="s">
        <v>249</v>
      </c>
      <c r="J481" t="s">
        <v>27</v>
      </c>
      <c r="K481" t="s">
        <v>211</v>
      </c>
      <c r="L481" t="s">
        <v>213</v>
      </c>
      <c r="M481" t="s">
        <v>250</v>
      </c>
      <c r="N481" t="s">
        <v>251</v>
      </c>
      <c r="O481" t="s">
        <v>215</v>
      </c>
      <c r="P481" t="s">
        <v>216</v>
      </c>
      <c r="Q481" t="s">
        <v>217</v>
      </c>
      <c r="R481" t="s">
        <v>218</v>
      </c>
      <c r="S481" t="s">
        <v>244</v>
      </c>
    </row>
    <row r="482" spans="1:19" x14ac:dyDescent="0.35">
      <c r="A482" t="s">
        <v>86</v>
      </c>
      <c r="B482" t="s">
        <v>12</v>
      </c>
      <c r="C482" t="s">
        <v>21</v>
      </c>
      <c r="D482" t="s">
        <v>26</v>
      </c>
      <c r="E482" t="s">
        <v>22</v>
      </c>
      <c r="F482" t="s">
        <v>39</v>
      </c>
      <c r="G482" t="s">
        <v>24</v>
      </c>
      <c r="H482" t="s">
        <v>209</v>
      </c>
      <c r="I482" t="s">
        <v>265</v>
      </c>
      <c r="J482" t="s">
        <v>27</v>
      </c>
      <c r="K482" t="s">
        <v>211</v>
      </c>
      <c r="L482" t="s">
        <v>214</v>
      </c>
      <c r="M482" t="s">
        <v>251</v>
      </c>
      <c r="N482" t="s">
        <v>247</v>
      </c>
      <c r="O482" t="s">
        <v>215</v>
      </c>
      <c r="P482" t="s">
        <v>216</v>
      </c>
      <c r="Q482" t="s">
        <v>217</v>
      </c>
      <c r="R482" t="s">
        <v>218</v>
      </c>
      <c r="S482" t="s">
        <v>238</v>
      </c>
    </row>
    <row r="483" spans="1:19" x14ac:dyDescent="0.35">
      <c r="A483" t="s">
        <v>150</v>
      </c>
      <c r="B483" t="s">
        <v>29</v>
      </c>
      <c r="C483" t="s">
        <v>21</v>
      </c>
      <c r="D483" t="s">
        <v>26</v>
      </c>
      <c r="E483" t="s">
        <v>15</v>
      </c>
      <c r="F483" t="s">
        <v>35</v>
      </c>
      <c r="G483" t="s">
        <v>36</v>
      </c>
      <c r="H483" t="s">
        <v>224</v>
      </c>
      <c r="I483" t="s">
        <v>230</v>
      </c>
      <c r="J483" t="s">
        <v>43</v>
      </c>
      <c r="K483" t="s">
        <v>226</v>
      </c>
      <c r="L483" t="s">
        <v>332</v>
      </c>
      <c r="M483" t="s">
        <v>333</v>
      </c>
      <c r="N483" t="s">
        <v>291</v>
      </c>
      <c r="O483" t="s">
        <v>215</v>
      </c>
      <c r="P483" t="s">
        <v>216</v>
      </c>
      <c r="Q483" t="s">
        <v>217</v>
      </c>
      <c r="R483" t="s">
        <v>218</v>
      </c>
      <c r="S483" t="s">
        <v>220</v>
      </c>
    </row>
    <row r="484" spans="1:19" x14ac:dyDescent="0.35">
      <c r="A484" t="s">
        <v>130</v>
      </c>
      <c r="B484" t="s">
        <v>12</v>
      </c>
      <c r="C484" t="s">
        <v>30</v>
      </c>
      <c r="D484" t="s">
        <v>14</v>
      </c>
      <c r="E484" t="s">
        <v>15</v>
      </c>
      <c r="F484" t="s">
        <v>56</v>
      </c>
      <c r="G484" t="s">
        <v>36</v>
      </c>
      <c r="H484" t="s">
        <v>260</v>
      </c>
      <c r="I484" t="s">
        <v>240</v>
      </c>
      <c r="J484" t="s">
        <v>43</v>
      </c>
      <c r="K484" t="s">
        <v>261</v>
      </c>
      <c r="L484" t="s">
        <v>227</v>
      </c>
      <c r="M484" t="s">
        <v>228</v>
      </c>
      <c r="N484" t="s">
        <v>224</v>
      </c>
      <c r="O484" t="s">
        <v>215</v>
      </c>
      <c r="P484" t="s">
        <v>216</v>
      </c>
      <c r="Q484" t="s">
        <v>217</v>
      </c>
      <c r="R484" t="s">
        <v>218</v>
      </c>
      <c r="S484" t="s">
        <v>238</v>
      </c>
    </row>
    <row r="485" spans="1:19" x14ac:dyDescent="0.35">
      <c r="A485" t="s">
        <v>93</v>
      </c>
      <c r="B485" t="s">
        <v>34</v>
      </c>
      <c r="C485" t="s">
        <v>30</v>
      </c>
      <c r="D485" t="s">
        <v>14</v>
      </c>
      <c r="E485" t="s">
        <v>22</v>
      </c>
      <c r="F485" t="s">
        <v>47</v>
      </c>
      <c r="G485" t="s">
        <v>36</v>
      </c>
      <c r="H485" t="s">
        <v>229</v>
      </c>
      <c r="I485" t="s">
        <v>225</v>
      </c>
      <c r="J485" t="s">
        <v>27</v>
      </c>
      <c r="K485" t="s">
        <v>231</v>
      </c>
      <c r="L485" t="s">
        <v>288</v>
      </c>
      <c r="M485" t="s">
        <v>289</v>
      </c>
      <c r="N485" t="s">
        <v>229</v>
      </c>
      <c r="O485" t="s">
        <v>215</v>
      </c>
      <c r="P485" t="s">
        <v>216</v>
      </c>
      <c r="Q485" t="s">
        <v>217</v>
      </c>
      <c r="R485" t="s">
        <v>218</v>
      </c>
      <c r="S485" t="s">
        <v>220</v>
      </c>
    </row>
    <row r="486" spans="1:19" x14ac:dyDescent="0.35">
      <c r="A486" t="s">
        <v>40</v>
      </c>
      <c r="B486" t="s">
        <v>12</v>
      </c>
      <c r="C486" t="s">
        <v>38</v>
      </c>
      <c r="D486" t="s">
        <v>14</v>
      </c>
      <c r="E486" t="s">
        <v>15</v>
      </c>
      <c r="F486" t="s">
        <v>16</v>
      </c>
      <c r="G486" t="s">
        <v>17</v>
      </c>
      <c r="H486" t="s">
        <v>275</v>
      </c>
      <c r="I486" t="s">
        <v>210</v>
      </c>
      <c r="J486" t="s">
        <v>27</v>
      </c>
      <c r="K486" t="s">
        <v>276</v>
      </c>
      <c r="L486" t="s">
        <v>314</v>
      </c>
      <c r="M486" t="s">
        <v>315</v>
      </c>
      <c r="N486" t="s">
        <v>316</v>
      </c>
      <c r="O486" t="s">
        <v>215</v>
      </c>
      <c r="P486" t="s">
        <v>216</v>
      </c>
      <c r="Q486" t="s">
        <v>217</v>
      </c>
      <c r="R486" t="s">
        <v>218</v>
      </c>
      <c r="S486" t="s">
        <v>244</v>
      </c>
    </row>
    <row r="487" spans="1:19" x14ac:dyDescent="0.35">
      <c r="A487" t="s">
        <v>102</v>
      </c>
      <c r="B487" t="s">
        <v>34</v>
      </c>
      <c r="C487" t="s">
        <v>38</v>
      </c>
      <c r="D487" t="s">
        <v>14</v>
      </c>
      <c r="E487" t="s">
        <v>15</v>
      </c>
      <c r="F487" t="s">
        <v>16</v>
      </c>
      <c r="G487" t="s">
        <v>17</v>
      </c>
      <c r="H487" t="s">
        <v>275</v>
      </c>
      <c r="I487" t="s">
        <v>249</v>
      </c>
      <c r="J487" t="s">
        <v>43</v>
      </c>
      <c r="K487" t="s">
        <v>276</v>
      </c>
      <c r="L487" t="s">
        <v>315</v>
      </c>
      <c r="M487" t="s">
        <v>322</v>
      </c>
      <c r="N487" t="s">
        <v>323</v>
      </c>
      <c r="O487" t="s">
        <v>215</v>
      </c>
      <c r="P487" t="s">
        <v>216</v>
      </c>
      <c r="Q487" t="s">
        <v>217</v>
      </c>
      <c r="R487" t="s">
        <v>218</v>
      </c>
      <c r="S487" t="s">
        <v>238</v>
      </c>
    </row>
    <row r="488" spans="1:19" x14ac:dyDescent="0.35">
      <c r="A488" t="s">
        <v>61</v>
      </c>
      <c r="B488" t="s">
        <v>29</v>
      </c>
      <c r="C488" t="s">
        <v>13</v>
      </c>
      <c r="D488" t="s">
        <v>14</v>
      </c>
      <c r="E488" t="s">
        <v>15</v>
      </c>
      <c r="F488" t="s">
        <v>16</v>
      </c>
      <c r="G488" t="s">
        <v>17</v>
      </c>
      <c r="H488" t="s">
        <v>275</v>
      </c>
      <c r="I488" t="s">
        <v>265</v>
      </c>
      <c r="J488" t="s">
        <v>32</v>
      </c>
      <c r="K488" t="s">
        <v>276</v>
      </c>
      <c r="L488" t="s">
        <v>316</v>
      </c>
      <c r="M488" t="s">
        <v>323</v>
      </c>
      <c r="N488" t="s">
        <v>344</v>
      </c>
      <c r="O488" t="s">
        <v>215</v>
      </c>
      <c r="P488" t="s">
        <v>216</v>
      </c>
      <c r="Q488" t="s">
        <v>217</v>
      </c>
      <c r="R488" t="s">
        <v>218</v>
      </c>
      <c r="S488" t="s">
        <v>225</v>
      </c>
    </row>
    <row r="489" spans="1:19" x14ac:dyDescent="0.35">
      <c r="A489" t="s">
        <v>88</v>
      </c>
      <c r="B489" t="s">
        <v>12</v>
      </c>
      <c r="C489" t="s">
        <v>38</v>
      </c>
      <c r="D489" t="s">
        <v>14</v>
      </c>
      <c r="E489" t="s">
        <v>15</v>
      </c>
      <c r="F489" t="s">
        <v>56</v>
      </c>
      <c r="G489" t="s">
        <v>36</v>
      </c>
      <c r="H489" t="s">
        <v>260</v>
      </c>
      <c r="I489" t="s">
        <v>220</v>
      </c>
      <c r="J489" t="s">
        <v>18</v>
      </c>
      <c r="K489" t="s">
        <v>261</v>
      </c>
      <c r="L489" t="s">
        <v>335</v>
      </c>
      <c r="M489" t="s">
        <v>336</v>
      </c>
      <c r="N489" t="s">
        <v>261</v>
      </c>
      <c r="O489" t="s">
        <v>215</v>
      </c>
      <c r="P489" t="s">
        <v>216</v>
      </c>
      <c r="Q489" t="s">
        <v>217</v>
      </c>
      <c r="R489" t="s">
        <v>218</v>
      </c>
      <c r="S489" t="s">
        <v>244</v>
      </c>
    </row>
    <row r="490" spans="1:19" x14ac:dyDescent="0.35">
      <c r="A490" t="s">
        <v>49</v>
      </c>
      <c r="B490" t="s">
        <v>29</v>
      </c>
      <c r="C490" t="s">
        <v>13</v>
      </c>
      <c r="D490" t="s">
        <v>14</v>
      </c>
      <c r="E490" t="s">
        <v>15</v>
      </c>
      <c r="F490" t="s">
        <v>47</v>
      </c>
      <c r="G490" t="s">
        <v>36</v>
      </c>
      <c r="H490" t="s">
        <v>229</v>
      </c>
      <c r="I490" t="s">
        <v>240</v>
      </c>
      <c r="J490" t="s">
        <v>54</v>
      </c>
      <c r="K490" t="s">
        <v>231</v>
      </c>
      <c r="L490" t="s">
        <v>301</v>
      </c>
      <c r="M490" t="s">
        <v>302</v>
      </c>
      <c r="N490" t="s">
        <v>209</v>
      </c>
      <c r="O490" t="s">
        <v>215</v>
      </c>
      <c r="P490" t="s">
        <v>216</v>
      </c>
      <c r="Q490" t="s">
        <v>217</v>
      </c>
      <c r="R490" t="s">
        <v>218</v>
      </c>
      <c r="S490" t="s">
        <v>220</v>
      </c>
    </row>
    <row r="491" spans="1:19" x14ac:dyDescent="0.35">
      <c r="A491" t="s">
        <v>25</v>
      </c>
      <c r="B491" t="s">
        <v>29</v>
      </c>
      <c r="C491" t="s">
        <v>38</v>
      </c>
      <c r="D491" t="s">
        <v>26</v>
      </c>
      <c r="E491" t="s">
        <v>22</v>
      </c>
      <c r="F491" t="s">
        <v>39</v>
      </c>
      <c r="G491" t="s">
        <v>24</v>
      </c>
      <c r="H491" t="s">
        <v>209</v>
      </c>
      <c r="I491" t="s">
        <v>210</v>
      </c>
      <c r="J491" t="s">
        <v>50</v>
      </c>
      <c r="K491" t="s">
        <v>211</v>
      </c>
      <c r="L491" t="s">
        <v>212</v>
      </c>
      <c r="M491" t="s">
        <v>213</v>
      </c>
      <c r="N491" t="s">
        <v>214</v>
      </c>
      <c r="O491" t="s">
        <v>215</v>
      </c>
      <c r="P491" t="s">
        <v>216</v>
      </c>
      <c r="Q491" t="s">
        <v>217</v>
      </c>
      <c r="R491" t="s">
        <v>218</v>
      </c>
      <c r="S491" t="s">
        <v>265</v>
      </c>
    </row>
    <row r="492" spans="1:19" x14ac:dyDescent="0.35">
      <c r="A492" t="s">
        <v>149</v>
      </c>
      <c r="B492" t="s">
        <v>29</v>
      </c>
      <c r="C492" t="s">
        <v>38</v>
      </c>
      <c r="D492" t="s">
        <v>14</v>
      </c>
      <c r="E492" t="s">
        <v>15</v>
      </c>
      <c r="F492" t="s">
        <v>47</v>
      </c>
      <c r="G492" t="s">
        <v>36</v>
      </c>
      <c r="H492" t="s">
        <v>229</v>
      </c>
      <c r="I492" t="s">
        <v>249</v>
      </c>
      <c r="J492" t="s">
        <v>18</v>
      </c>
      <c r="K492" t="s">
        <v>231</v>
      </c>
      <c r="L492" t="s">
        <v>228</v>
      </c>
      <c r="M492" t="s">
        <v>290</v>
      </c>
      <c r="N492" t="s">
        <v>226</v>
      </c>
      <c r="O492" t="s">
        <v>215</v>
      </c>
      <c r="P492" t="s">
        <v>216</v>
      </c>
      <c r="Q492" t="s">
        <v>217</v>
      </c>
      <c r="R492" t="s">
        <v>218</v>
      </c>
      <c r="S492" t="s">
        <v>244</v>
      </c>
    </row>
    <row r="493" spans="1:19" x14ac:dyDescent="0.35">
      <c r="A493" t="s">
        <v>119</v>
      </c>
      <c r="B493" t="s">
        <v>29</v>
      </c>
      <c r="C493" t="s">
        <v>21</v>
      </c>
      <c r="D493" t="s">
        <v>14</v>
      </c>
      <c r="E493" t="s">
        <v>15</v>
      </c>
      <c r="F493" t="s">
        <v>39</v>
      </c>
      <c r="G493" t="s">
        <v>24</v>
      </c>
      <c r="H493" t="s">
        <v>209</v>
      </c>
      <c r="I493" t="s">
        <v>249</v>
      </c>
      <c r="J493" t="s">
        <v>27</v>
      </c>
      <c r="K493" t="s">
        <v>211</v>
      </c>
      <c r="L493" t="s">
        <v>213</v>
      </c>
      <c r="M493" t="s">
        <v>250</v>
      </c>
      <c r="N493" t="s">
        <v>251</v>
      </c>
      <c r="O493" t="s">
        <v>215</v>
      </c>
      <c r="P493" t="s">
        <v>216</v>
      </c>
      <c r="Q493" t="s">
        <v>217</v>
      </c>
      <c r="R493" t="s">
        <v>218</v>
      </c>
      <c r="S493" t="s">
        <v>238</v>
      </c>
    </row>
    <row r="494" spans="1:19" x14ac:dyDescent="0.35">
      <c r="A494" t="s">
        <v>70</v>
      </c>
      <c r="B494" t="s">
        <v>20</v>
      </c>
      <c r="C494" t="s">
        <v>30</v>
      </c>
      <c r="D494" t="s">
        <v>26</v>
      </c>
      <c r="E494" t="s">
        <v>15</v>
      </c>
      <c r="F494" t="s">
        <v>47</v>
      </c>
      <c r="G494" t="s">
        <v>36</v>
      </c>
      <c r="H494" t="s">
        <v>229</v>
      </c>
      <c r="I494" t="s">
        <v>240</v>
      </c>
      <c r="J494" t="s">
        <v>43</v>
      </c>
      <c r="K494" t="s">
        <v>231</v>
      </c>
      <c r="L494" t="s">
        <v>301</v>
      </c>
      <c r="M494" t="s">
        <v>302</v>
      </c>
      <c r="N494" t="s">
        <v>209</v>
      </c>
      <c r="O494" t="s">
        <v>215</v>
      </c>
      <c r="P494" t="s">
        <v>216</v>
      </c>
      <c r="Q494" t="s">
        <v>217</v>
      </c>
      <c r="R494" t="s">
        <v>218</v>
      </c>
      <c r="S494" t="s">
        <v>265</v>
      </c>
    </row>
    <row r="495" spans="1:19" x14ac:dyDescent="0.35">
      <c r="A495" t="s">
        <v>99</v>
      </c>
      <c r="B495" t="s">
        <v>29</v>
      </c>
      <c r="C495" t="s">
        <v>38</v>
      </c>
      <c r="D495" t="s">
        <v>26</v>
      </c>
      <c r="E495" t="s">
        <v>22</v>
      </c>
      <c r="F495" t="s">
        <v>47</v>
      </c>
      <c r="G495" t="s">
        <v>36</v>
      </c>
      <c r="H495" t="s">
        <v>229</v>
      </c>
      <c r="I495" t="s">
        <v>220</v>
      </c>
      <c r="J495" t="s">
        <v>54</v>
      </c>
      <c r="K495" t="s">
        <v>231</v>
      </c>
      <c r="L495" t="s">
        <v>289</v>
      </c>
      <c r="M495" t="s">
        <v>297</v>
      </c>
      <c r="N495" t="s">
        <v>231</v>
      </c>
      <c r="O495" t="s">
        <v>215</v>
      </c>
      <c r="P495" t="s">
        <v>216</v>
      </c>
      <c r="Q495" t="s">
        <v>217</v>
      </c>
      <c r="R495" t="s">
        <v>218</v>
      </c>
      <c r="S495" t="s">
        <v>220</v>
      </c>
    </row>
    <row r="496" spans="1:19" x14ac:dyDescent="0.35">
      <c r="A496" t="s">
        <v>79</v>
      </c>
      <c r="B496" t="s">
        <v>12</v>
      </c>
      <c r="C496" t="s">
        <v>21</v>
      </c>
      <c r="D496" t="s">
        <v>14</v>
      </c>
      <c r="E496" t="s">
        <v>15</v>
      </c>
      <c r="F496" t="s">
        <v>39</v>
      </c>
      <c r="G496" t="s">
        <v>24</v>
      </c>
      <c r="H496" t="s">
        <v>209</v>
      </c>
      <c r="I496" t="s">
        <v>238</v>
      </c>
      <c r="J496" t="s">
        <v>43</v>
      </c>
      <c r="K496" t="s">
        <v>211</v>
      </c>
      <c r="L496" t="s">
        <v>209</v>
      </c>
      <c r="M496" t="s">
        <v>211</v>
      </c>
      <c r="N496" t="s">
        <v>254</v>
      </c>
      <c r="O496" t="s">
        <v>215</v>
      </c>
      <c r="P496" t="s">
        <v>216</v>
      </c>
      <c r="Q496" t="s">
        <v>217</v>
      </c>
      <c r="R496" t="s">
        <v>218</v>
      </c>
      <c r="S496" t="s">
        <v>238</v>
      </c>
    </row>
    <row r="497" spans="1:19" x14ac:dyDescent="0.35">
      <c r="A497" t="s">
        <v>99</v>
      </c>
      <c r="B497" t="s">
        <v>34</v>
      </c>
      <c r="C497" t="s">
        <v>21</v>
      </c>
      <c r="D497" t="s">
        <v>14</v>
      </c>
      <c r="E497" t="s">
        <v>15</v>
      </c>
      <c r="F497" t="s">
        <v>56</v>
      </c>
      <c r="G497" t="s">
        <v>36</v>
      </c>
      <c r="H497" t="s">
        <v>260</v>
      </c>
      <c r="I497" t="s">
        <v>240</v>
      </c>
      <c r="J497" t="s">
        <v>54</v>
      </c>
      <c r="K497" t="s">
        <v>261</v>
      </c>
      <c r="L497" t="s">
        <v>227</v>
      </c>
      <c r="M497" t="s">
        <v>228</v>
      </c>
      <c r="N497" t="s">
        <v>224</v>
      </c>
      <c r="O497" t="s">
        <v>215</v>
      </c>
      <c r="P497" t="s">
        <v>216</v>
      </c>
      <c r="Q497" t="s">
        <v>217</v>
      </c>
      <c r="R497" t="s">
        <v>218</v>
      </c>
      <c r="S497" t="s">
        <v>220</v>
      </c>
    </row>
    <row r="498" spans="1:19" x14ac:dyDescent="0.35">
      <c r="A498" t="s">
        <v>88</v>
      </c>
      <c r="B498" t="s">
        <v>29</v>
      </c>
      <c r="C498" t="s">
        <v>13</v>
      </c>
      <c r="D498" t="s">
        <v>14</v>
      </c>
      <c r="E498" t="s">
        <v>15</v>
      </c>
      <c r="F498" t="s">
        <v>31</v>
      </c>
      <c r="G498" t="s">
        <v>24</v>
      </c>
      <c r="H498" t="s">
        <v>252</v>
      </c>
      <c r="I498" t="s">
        <v>240</v>
      </c>
      <c r="J498" t="s">
        <v>27</v>
      </c>
      <c r="K498" t="s">
        <v>253</v>
      </c>
      <c r="L498" t="s">
        <v>214</v>
      </c>
      <c r="M498" t="s">
        <v>251</v>
      </c>
      <c r="N498" t="s">
        <v>247</v>
      </c>
      <c r="O498" t="s">
        <v>215</v>
      </c>
      <c r="P498" t="s">
        <v>216</v>
      </c>
      <c r="Q498" t="s">
        <v>217</v>
      </c>
      <c r="R498" t="s">
        <v>218</v>
      </c>
      <c r="S498" t="s">
        <v>244</v>
      </c>
    </row>
    <row r="499" spans="1:19" x14ac:dyDescent="0.35">
      <c r="A499" t="s">
        <v>82</v>
      </c>
      <c r="B499" t="s">
        <v>34</v>
      </c>
      <c r="C499" t="s">
        <v>38</v>
      </c>
      <c r="D499" t="s">
        <v>26</v>
      </c>
      <c r="E499" t="s">
        <v>22</v>
      </c>
      <c r="F499" t="s">
        <v>47</v>
      </c>
      <c r="G499" t="s">
        <v>36</v>
      </c>
      <c r="H499" t="s">
        <v>229</v>
      </c>
      <c r="I499" t="s">
        <v>265</v>
      </c>
      <c r="J499" t="s">
        <v>27</v>
      </c>
      <c r="K499" t="s">
        <v>231</v>
      </c>
      <c r="L499" t="s">
        <v>224</v>
      </c>
      <c r="M499" t="s">
        <v>226</v>
      </c>
      <c r="N499" t="s">
        <v>252</v>
      </c>
      <c r="O499" t="s">
        <v>215</v>
      </c>
      <c r="P499" t="s">
        <v>216</v>
      </c>
      <c r="Q499" t="s">
        <v>217</v>
      </c>
      <c r="R499" t="s">
        <v>218</v>
      </c>
      <c r="S499" t="s">
        <v>238</v>
      </c>
    </row>
    <row r="500" spans="1:19" x14ac:dyDescent="0.35">
      <c r="A500" t="s">
        <v>74</v>
      </c>
      <c r="B500" t="s">
        <v>20</v>
      </c>
      <c r="C500" t="s">
        <v>30</v>
      </c>
      <c r="D500" t="s">
        <v>26</v>
      </c>
      <c r="E500" t="s">
        <v>15</v>
      </c>
      <c r="F500" t="s">
        <v>16</v>
      </c>
      <c r="G500" t="s">
        <v>17</v>
      </c>
      <c r="H500" t="s">
        <v>275</v>
      </c>
      <c r="I500" t="s">
        <v>265</v>
      </c>
      <c r="J500" t="s">
        <v>18</v>
      </c>
      <c r="K500" t="s">
        <v>276</v>
      </c>
      <c r="L500" t="s">
        <v>316</v>
      </c>
      <c r="M500" t="s">
        <v>323</v>
      </c>
      <c r="N500" t="s">
        <v>344</v>
      </c>
      <c r="O500" t="s">
        <v>215</v>
      </c>
      <c r="P500" t="s">
        <v>216</v>
      </c>
      <c r="Q500" t="s">
        <v>217</v>
      </c>
      <c r="R500" t="s">
        <v>218</v>
      </c>
      <c r="S500" t="s">
        <v>265</v>
      </c>
    </row>
    <row r="501" spans="1:19" x14ac:dyDescent="0.35">
      <c r="A501" t="s">
        <v>109</v>
      </c>
      <c r="B501" t="s">
        <v>29</v>
      </c>
      <c r="C501" t="s">
        <v>21</v>
      </c>
      <c r="D501" t="s">
        <v>14</v>
      </c>
      <c r="E501" t="s">
        <v>22</v>
      </c>
      <c r="F501" t="s">
        <v>35</v>
      </c>
      <c r="G501" t="s">
        <v>36</v>
      </c>
      <c r="H501" t="s">
        <v>224</v>
      </c>
      <c r="I501" t="s">
        <v>225</v>
      </c>
      <c r="J501" t="s">
        <v>43</v>
      </c>
      <c r="K501" t="s">
        <v>226</v>
      </c>
      <c r="L501" t="s">
        <v>227</v>
      </c>
      <c r="M501" t="s">
        <v>228</v>
      </c>
      <c r="N501" t="s">
        <v>224</v>
      </c>
      <c r="O501" t="s">
        <v>215</v>
      </c>
      <c r="P501" t="s">
        <v>216</v>
      </c>
      <c r="Q501" t="s">
        <v>217</v>
      </c>
      <c r="R501" t="s">
        <v>218</v>
      </c>
      <c r="S501" t="s">
        <v>265</v>
      </c>
    </row>
    <row r="502" spans="1:19" x14ac:dyDescent="0.35">
      <c r="A502" t="s">
        <v>91</v>
      </c>
      <c r="B502" t="s">
        <v>20</v>
      </c>
      <c r="C502" t="s">
        <v>30</v>
      </c>
      <c r="D502" t="s">
        <v>26</v>
      </c>
      <c r="E502" t="s">
        <v>15</v>
      </c>
      <c r="F502" t="s">
        <v>52</v>
      </c>
      <c r="G502" t="s">
        <v>36</v>
      </c>
      <c r="H502" t="s">
        <v>291</v>
      </c>
      <c r="I502" t="s">
        <v>210</v>
      </c>
      <c r="J502" t="s">
        <v>43</v>
      </c>
      <c r="K502" t="s">
        <v>292</v>
      </c>
      <c r="L502" t="s">
        <v>339</v>
      </c>
      <c r="M502" t="s">
        <v>299</v>
      </c>
      <c r="N502" t="s">
        <v>233</v>
      </c>
      <c r="O502" t="s">
        <v>215</v>
      </c>
      <c r="P502" t="s">
        <v>216</v>
      </c>
      <c r="Q502" t="s">
        <v>217</v>
      </c>
      <c r="R502" t="s">
        <v>218</v>
      </c>
      <c r="S502" t="s">
        <v>220</v>
      </c>
    </row>
    <row r="503" spans="1:19" x14ac:dyDescent="0.35">
      <c r="A503" t="s">
        <v>68</v>
      </c>
      <c r="B503" t="s">
        <v>12</v>
      </c>
      <c r="C503" t="s">
        <v>38</v>
      </c>
      <c r="D503" t="s">
        <v>26</v>
      </c>
      <c r="E503" t="s">
        <v>15</v>
      </c>
      <c r="F503" t="s">
        <v>39</v>
      </c>
      <c r="G503" t="s">
        <v>24</v>
      </c>
      <c r="H503" t="s">
        <v>209</v>
      </c>
      <c r="I503" t="s">
        <v>240</v>
      </c>
      <c r="J503" t="s">
        <v>27</v>
      </c>
      <c r="K503" t="s">
        <v>211</v>
      </c>
      <c r="L503" t="s">
        <v>266</v>
      </c>
      <c r="M503" t="s">
        <v>267</v>
      </c>
      <c r="N503" t="s">
        <v>268</v>
      </c>
      <c r="O503" t="s">
        <v>215</v>
      </c>
      <c r="P503" t="s">
        <v>216</v>
      </c>
      <c r="Q503" t="s">
        <v>217</v>
      </c>
      <c r="R503" t="s">
        <v>218</v>
      </c>
      <c r="S503" t="s">
        <v>238</v>
      </c>
    </row>
    <row r="504" spans="1:19" x14ac:dyDescent="0.35">
      <c r="A504" t="s">
        <v>37</v>
      </c>
      <c r="B504" t="s">
        <v>20</v>
      </c>
      <c r="C504" t="s">
        <v>38</v>
      </c>
      <c r="D504" t="s">
        <v>14</v>
      </c>
      <c r="E504" t="s">
        <v>22</v>
      </c>
      <c r="F504" t="s">
        <v>16</v>
      </c>
      <c r="G504" t="s">
        <v>17</v>
      </c>
      <c r="H504" t="s">
        <v>275</v>
      </c>
      <c r="I504" t="s">
        <v>220</v>
      </c>
      <c r="J504" t="s">
        <v>43</v>
      </c>
      <c r="K504" t="s">
        <v>276</v>
      </c>
      <c r="L504" t="s">
        <v>337</v>
      </c>
      <c r="M504" t="s">
        <v>338</v>
      </c>
      <c r="N504" t="s">
        <v>276</v>
      </c>
      <c r="O504" t="s">
        <v>215</v>
      </c>
      <c r="P504" t="s">
        <v>216</v>
      </c>
      <c r="Q504" t="s">
        <v>217</v>
      </c>
      <c r="R504" t="s">
        <v>218</v>
      </c>
      <c r="S504" t="s">
        <v>244</v>
      </c>
    </row>
    <row r="505" spans="1:19" x14ac:dyDescent="0.35">
      <c r="A505" t="s">
        <v>70</v>
      </c>
      <c r="B505" t="s">
        <v>34</v>
      </c>
      <c r="C505" t="s">
        <v>30</v>
      </c>
      <c r="D505" t="s">
        <v>26</v>
      </c>
      <c r="E505" t="s">
        <v>15</v>
      </c>
      <c r="F505" t="s">
        <v>35</v>
      </c>
      <c r="G505" t="s">
        <v>36</v>
      </c>
      <c r="H505" t="s">
        <v>224</v>
      </c>
      <c r="I505" t="s">
        <v>220</v>
      </c>
      <c r="J505" t="s">
        <v>50</v>
      </c>
      <c r="K505" t="s">
        <v>226</v>
      </c>
      <c r="L505" t="s">
        <v>228</v>
      </c>
      <c r="M505" t="s">
        <v>290</v>
      </c>
      <c r="N505" t="s">
        <v>226</v>
      </c>
      <c r="O505" t="s">
        <v>215</v>
      </c>
      <c r="P505" t="s">
        <v>216</v>
      </c>
      <c r="Q505" t="s">
        <v>217</v>
      </c>
      <c r="R505" t="s">
        <v>218</v>
      </c>
      <c r="S505" t="s">
        <v>265</v>
      </c>
    </row>
    <row r="506" spans="1:19" x14ac:dyDescent="0.35">
      <c r="A506" t="s">
        <v>77</v>
      </c>
      <c r="B506" t="s">
        <v>29</v>
      </c>
      <c r="C506" t="s">
        <v>38</v>
      </c>
      <c r="D506" t="s">
        <v>14</v>
      </c>
      <c r="E506" t="s">
        <v>15</v>
      </c>
      <c r="F506" t="s">
        <v>16</v>
      </c>
      <c r="G506" t="s">
        <v>17</v>
      </c>
      <c r="H506" t="s">
        <v>275</v>
      </c>
      <c r="I506" t="s">
        <v>244</v>
      </c>
      <c r="J506" t="s">
        <v>43</v>
      </c>
      <c r="K506" t="s">
        <v>276</v>
      </c>
      <c r="L506" t="s">
        <v>325</v>
      </c>
      <c r="M506" t="s">
        <v>326</v>
      </c>
      <c r="N506" t="s">
        <v>327</v>
      </c>
      <c r="O506" t="s">
        <v>215</v>
      </c>
      <c r="P506" t="s">
        <v>216</v>
      </c>
      <c r="Q506" t="s">
        <v>217</v>
      </c>
      <c r="R506" t="s">
        <v>218</v>
      </c>
      <c r="S506" t="s">
        <v>238</v>
      </c>
    </row>
    <row r="507" spans="1:19" x14ac:dyDescent="0.35">
      <c r="A507" t="s">
        <v>80</v>
      </c>
      <c r="B507" t="s">
        <v>34</v>
      </c>
      <c r="C507" t="s">
        <v>13</v>
      </c>
      <c r="D507" t="s">
        <v>14</v>
      </c>
      <c r="E507" t="s">
        <v>22</v>
      </c>
      <c r="F507" t="s">
        <v>58</v>
      </c>
      <c r="G507" t="s">
        <v>24</v>
      </c>
      <c r="H507" t="s">
        <v>255</v>
      </c>
      <c r="I507" t="s">
        <v>269</v>
      </c>
      <c r="J507" t="s">
        <v>50</v>
      </c>
      <c r="K507" t="s">
        <v>256</v>
      </c>
      <c r="L507" t="s">
        <v>346</v>
      </c>
      <c r="M507" t="s">
        <v>347</v>
      </c>
      <c r="N507" t="s">
        <v>348</v>
      </c>
      <c r="O507" t="s">
        <v>215</v>
      </c>
      <c r="P507" t="s">
        <v>216</v>
      </c>
      <c r="Q507" t="s">
        <v>217</v>
      </c>
      <c r="R507" t="s">
        <v>218</v>
      </c>
      <c r="S507" t="s">
        <v>265</v>
      </c>
    </row>
    <row r="508" spans="1:19" x14ac:dyDescent="0.35">
      <c r="A508" t="s">
        <v>142</v>
      </c>
      <c r="B508" t="s">
        <v>12</v>
      </c>
      <c r="C508" t="s">
        <v>30</v>
      </c>
      <c r="D508" t="s">
        <v>26</v>
      </c>
      <c r="E508" t="s">
        <v>15</v>
      </c>
      <c r="F508" t="s">
        <v>39</v>
      </c>
      <c r="G508" t="s">
        <v>24</v>
      </c>
      <c r="H508" t="s">
        <v>209</v>
      </c>
      <c r="I508" t="s">
        <v>244</v>
      </c>
      <c r="J508" t="s">
        <v>43</v>
      </c>
      <c r="K508" t="s">
        <v>211</v>
      </c>
      <c r="L508" t="s">
        <v>272</v>
      </c>
      <c r="M508" t="s">
        <v>273</v>
      </c>
      <c r="N508" t="s">
        <v>274</v>
      </c>
      <c r="O508" t="s">
        <v>215</v>
      </c>
      <c r="P508" t="s">
        <v>216</v>
      </c>
      <c r="Q508" t="s">
        <v>217</v>
      </c>
      <c r="R508" t="s">
        <v>218</v>
      </c>
      <c r="S508" t="s">
        <v>220</v>
      </c>
    </row>
    <row r="509" spans="1:19" x14ac:dyDescent="0.35">
      <c r="A509" t="s">
        <v>157</v>
      </c>
      <c r="B509" t="s">
        <v>20</v>
      </c>
      <c r="C509" t="s">
        <v>21</v>
      </c>
      <c r="D509" t="s">
        <v>26</v>
      </c>
      <c r="E509" t="s">
        <v>22</v>
      </c>
      <c r="F509" t="s">
        <v>35</v>
      </c>
      <c r="G509" t="s">
        <v>36</v>
      </c>
      <c r="H509" t="s">
        <v>224</v>
      </c>
      <c r="I509" t="s">
        <v>269</v>
      </c>
      <c r="J509" t="s">
        <v>27</v>
      </c>
      <c r="K509" t="s">
        <v>226</v>
      </c>
      <c r="L509" t="s">
        <v>270</v>
      </c>
      <c r="M509" t="s">
        <v>271</v>
      </c>
      <c r="N509" t="s">
        <v>272</v>
      </c>
      <c r="O509" t="s">
        <v>215</v>
      </c>
      <c r="P509" t="s">
        <v>216</v>
      </c>
      <c r="Q509" t="s">
        <v>217</v>
      </c>
      <c r="R509" t="s">
        <v>218</v>
      </c>
      <c r="S509" t="s">
        <v>244</v>
      </c>
    </row>
    <row r="510" spans="1:19" x14ac:dyDescent="0.35">
      <c r="A510" t="s">
        <v>146</v>
      </c>
      <c r="B510" t="s">
        <v>34</v>
      </c>
      <c r="C510" t="s">
        <v>13</v>
      </c>
      <c r="D510" t="s">
        <v>26</v>
      </c>
      <c r="E510" t="s">
        <v>22</v>
      </c>
      <c r="F510" t="s">
        <v>47</v>
      </c>
      <c r="G510" t="s">
        <v>36</v>
      </c>
      <c r="H510" t="s">
        <v>229</v>
      </c>
      <c r="I510" t="s">
        <v>220</v>
      </c>
      <c r="J510" t="s">
        <v>32</v>
      </c>
      <c r="K510" t="s">
        <v>231</v>
      </c>
      <c r="L510" t="s">
        <v>289</v>
      </c>
      <c r="M510" t="s">
        <v>297</v>
      </c>
      <c r="N510" t="s">
        <v>231</v>
      </c>
      <c r="O510" t="s">
        <v>215</v>
      </c>
      <c r="P510" t="s">
        <v>216</v>
      </c>
      <c r="Q510" t="s">
        <v>217</v>
      </c>
      <c r="R510" t="s">
        <v>218</v>
      </c>
      <c r="S510" t="s">
        <v>244</v>
      </c>
    </row>
    <row r="511" spans="1:19" x14ac:dyDescent="0.35">
      <c r="A511" t="s">
        <v>77</v>
      </c>
      <c r="B511" t="s">
        <v>20</v>
      </c>
      <c r="C511" t="s">
        <v>38</v>
      </c>
      <c r="D511" t="s">
        <v>26</v>
      </c>
      <c r="E511" t="s">
        <v>22</v>
      </c>
      <c r="F511" t="s">
        <v>41</v>
      </c>
      <c r="G511" t="s">
        <v>17</v>
      </c>
      <c r="H511" t="s">
        <v>219</v>
      </c>
      <c r="I511" t="s">
        <v>249</v>
      </c>
      <c r="J511" t="s">
        <v>50</v>
      </c>
      <c r="K511" t="s">
        <v>221</v>
      </c>
      <c r="L511" t="s">
        <v>279</v>
      </c>
      <c r="M511" t="s">
        <v>320</v>
      </c>
      <c r="N511" t="s">
        <v>321</v>
      </c>
      <c r="O511" t="s">
        <v>215</v>
      </c>
      <c r="P511" t="s">
        <v>216</v>
      </c>
      <c r="Q511" t="s">
        <v>217</v>
      </c>
      <c r="R511" t="s">
        <v>218</v>
      </c>
      <c r="S511" t="s">
        <v>238</v>
      </c>
    </row>
    <row r="512" spans="1:19" x14ac:dyDescent="0.35">
      <c r="A512" t="s">
        <v>130</v>
      </c>
      <c r="B512" t="s">
        <v>34</v>
      </c>
      <c r="C512" t="s">
        <v>38</v>
      </c>
      <c r="D512" t="s">
        <v>14</v>
      </c>
      <c r="E512" t="s">
        <v>15</v>
      </c>
      <c r="F512" t="s">
        <v>41</v>
      </c>
      <c r="G512" t="s">
        <v>17</v>
      </c>
      <c r="H512" t="s">
        <v>219</v>
      </c>
      <c r="I512" t="s">
        <v>230</v>
      </c>
      <c r="J512" t="s">
        <v>54</v>
      </c>
      <c r="K512" t="s">
        <v>221</v>
      </c>
      <c r="L512" t="s">
        <v>235</v>
      </c>
      <c r="M512" t="s">
        <v>236</v>
      </c>
      <c r="N512" t="s">
        <v>237</v>
      </c>
      <c r="O512" t="s">
        <v>215</v>
      </c>
      <c r="P512" t="s">
        <v>216</v>
      </c>
      <c r="Q512" t="s">
        <v>217</v>
      </c>
      <c r="R512" t="s">
        <v>218</v>
      </c>
      <c r="S512" t="s">
        <v>238</v>
      </c>
    </row>
    <row r="513" spans="1:19" x14ac:dyDescent="0.35">
      <c r="A513" t="s">
        <v>53</v>
      </c>
      <c r="B513" t="s">
        <v>20</v>
      </c>
      <c r="C513" t="s">
        <v>38</v>
      </c>
      <c r="D513" t="s">
        <v>14</v>
      </c>
      <c r="E513" t="s">
        <v>22</v>
      </c>
      <c r="F513" t="s">
        <v>58</v>
      </c>
      <c r="G513" t="s">
        <v>24</v>
      </c>
      <c r="H513" t="s">
        <v>255</v>
      </c>
      <c r="I513" t="s">
        <v>210</v>
      </c>
      <c r="J513" t="s">
        <v>32</v>
      </c>
      <c r="K513" t="s">
        <v>256</v>
      </c>
      <c r="L513" t="s">
        <v>285</v>
      </c>
      <c r="M513" t="s">
        <v>286</v>
      </c>
      <c r="N513" t="s">
        <v>287</v>
      </c>
      <c r="O513" t="s">
        <v>215</v>
      </c>
      <c r="P513" t="s">
        <v>216</v>
      </c>
      <c r="Q513" t="s">
        <v>217</v>
      </c>
      <c r="R513" t="s">
        <v>218</v>
      </c>
      <c r="S513" t="s">
        <v>244</v>
      </c>
    </row>
    <row r="514" spans="1:19" x14ac:dyDescent="0.35">
      <c r="A514" t="s">
        <v>60</v>
      </c>
      <c r="B514" t="s">
        <v>29</v>
      </c>
      <c r="C514" t="s">
        <v>21</v>
      </c>
      <c r="D514" t="s">
        <v>14</v>
      </c>
      <c r="E514" t="s">
        <v>22</v>
      </c>
      <c r="F514" t="s">
        <v>23</v>
      </c>
      <c r="G514" t="s">
        <v>24</v>
      </c>
      <c r="H514" t="s">
        <v>239</v>
      </c>
      <c r="I514" t="s">
        <v>230</v>
      </c>
      <c r="J514" t="s">
        <v>32</v>
      </c>
      <c r="K514" t="s">
        <v>245</v>
      </c>
      <c r="L514" t="s">
        <v>234</v>
      </c>
      <c r="M514" t="s">
        <v>294</v>
      </c>
      <c r="N514" t="s">
        <v>331</v>
      </c>
      <c r="O514" t="s">
        <v>215</v>
      </c>
      <c r="P514" t="s">
        <v>216</v>
      </c>
      <c r="Q514" t="s">
        <v>217</v>
      </c>
      <c r="R514" t="s">
        <v>218</v>
      </c>
      <c r="S514" t="s">
        <v>244</v>
      </c>
    </row>
    <row r="515" spans="1:19" x14ac:dyDescent="0.35">
      <c r="A515" t="s">
        <v>123</v>
      </c>
      <c r="B515" t="s">
        <v>20</v>
      </c>
      <c r="C515" t="s">
        <v>30</v>
      </c>
      <c r="D515" t="s">
        <v>14</v>
      </c>
      <c r="E515" t="s">
        <v>15</v>
      </c>
      <c r="F515" t="s">
        <v>41</v>
      </c>
      <c r="G515" t="s">
        <v>17</v>
      </c>
      <c r="H515" t="s">
        <v>219</v>
      </c>
      <c r="I515" t="s">
        <v>265</v>
      </c>
      <c r="J515" t="s">
        <v>32</v>
      </c>
      <c r="K515" t="s">
        <v>221</v>
      </c>
      <c r="L515" t="s">
        <v>280</v>
      </c>
      <c r="M515" t="s">
        <v>321</v>
      </c>
      <c r="N515" t="s">
        <v>340</v>
      </c>
      <c r="O515" t="s">
        <v>215</v>
      </c>
      <c r="P515" t="s">
        <v>216</v>
      </c>
      <c r="Q515" t="s">
        <v>217</v>
      </c>
      <c r="R515" t="s">
        <v>218</v>
      </c>
      <c r="S515" t="s">
        <v>220</v>
      </c>
    </row>
    <row r="516" spans="1:19" x14ac:dyDescent="0.35">
      <c r="A516" t="s">
        <v>115</v>
      </c>
      <c r="B516" t="s">
        <v>34</v>
      </c>
      <c r="C516" t="s">
        <v>30</v>
      </c>
      <c r="D516" t="s">
        <v>26</v>
      </c>
      <c r="E516" t="s">
        <v>22</v>
      </c>
      <c r="F516" t="s">
        <v>35</v>
      </c>
      <c r="G516" t="s">
        <v>36</v>
      </c>
      <c r="H516" t="s">
        <v>224</v>
      </c>
      <c r="I516" t="s">
        <v>244</v>
      </c>
      <c r="J516" t="s">
        <v>50</v>
      </c>
      <c r="K516" t="s">
        <v>226</v>
      </c>
      <c r="L516" t="s">
        <v>301</v>
      </c>
      <c r="M516" t="s">
        <v>302</v>
      </c>
      <c r="N516" t="s">
        <v>209</v>
      </c>
      <c r="O516" t="s">
        <v>215</v>
      </c>
      <c r="P516" t="s">
        <v>216</v>
      </c>
      <c r="Q516" t="s">
        <v>217</v>
      </c>
      <c r="R516" t="s">
        <v>218</v>
      </c>
      <c r="S516" t="s">
        <v>238</v>
      </c>
    </row>
    <row r="517" spans="1:19" x14ac:dyDescent="0.35">
      <c r="A517" t="s">
        <v>19</v>
      </c>
      <c r="B517" t="s">
        <v>29</v>
      </c>
      <c r="C517" t="s">
        <v>13</v>
      </c>
      <c r="D517" t="s">
        <v>14</v>
      </c>
      <c r="E517" t="s">
        <v>15</v>
      </c>
      <c r="F517" t="s">
        <v>35</v>
      </c>
      <c r="G517" t="s">
        <v>36</v>
      </c>
      <c r="H517" t="s">
        <v>224</v>
      </c>
      <c r="I517" t="s">
        <v>244</v>
      </c>
      <c r="J517" t="s">
        <v>32</v>
      </c>
      <c r="K517" t="s">
        <v>226</v>
      </c>
      <c r="L517" t="s">
        <v>301</v>
      </c>
      <c r="M517" t="s">
        <v>302</v>
      </c>
      <c r="N517" t="s">
        <v>209</v>
      </c>
      <c r="O517" t="s">
        <v>215</v>
      </c>
      <c r="P517" t="s">
        <v>216</v>
      </c>
      <c r="Q517" t="s">
        <v>217</v>
      </c>
      <c r="R517" t="s">
        <v>218</v>
      </c>
      <c r="S517" t="s">
        <v>220</v>
      </c>
    </row>
    <row r="518" spans="1:19" x14ac:dyDescent="0.35">
      <c r="A518" t="s">
        <v>57</v>
      </c>
      <c r="B518" t="s">
        <v>29</v>
      </c>
      <c r="C518" t="s">
        <v>38</v>
      </c>
      <c r="D518" t="s">
        <v>14</v>
      </c>
      <c r="E518" t="s">
        <v>22</v>
      </c>
      <c r="F518" t="s">
        <v>47</v>
      </c>
      <c r="G518" t="s">
        <v>36</v>
      </c>
      <c r="H518" t="s">
        <v>229</v>
      </c>
      <c r="I518" t="s">
        <v>210</v>
      </c>
      <c r="J518" t="s">
        <v>32</v>
      </c>
      <c r="K518" t="s">
        <v>231</v>
      </c>
      <c r="L518" t="s">
        <v>227</v>
      </c>
      <c r="M518" t="s">
        <v>228</v>
      </c>
      <c r="N518" t="s">
        <v>224</v>
      </c>
      <c r="O518" t="s">
        <v>215</v>
      </c>
      <c r="P518" t="s">
        <v>216</v>
      </c>
      <c r="Q518" t="s">
        <v>217</v>
      </c>
      <c r="R518" t="s">
        <v>218</v>
      </c>
      <c r="S518" t="s">
        <v>265</v>
      </c>
    </row>
    <row r="519" spans="1:19" x14ac:dyDescent="0.35">
      <c r="A519" t="s">
        <v>117</v>
      </c>
      <c r="B519" t="s">
        <v>29</v>
      </c>
      <c r="C519" t="s">
        <v>21</v>
      </c>
      <c r="D519" t="s">
        <v>26</v>
      </c>
      <c r="E519" t="s">
        <v>22</v>
      </c>
      <c r="F519" t="s">
        <v>23</v>
      </c>
      <c r="G519" t="s">
        <v>24</v>
      </c>
      <c r="H519" t="s">
        <v>239</v>
      </c>
      <c r="I519" t="s">
        <v>230</v>
      </c>
      <c r="J519" t="s">
        <v>43</v>
      </c>
      <c r="K519" t="s">
        <v>245</v>
      </c>
      <c r="L519" t="s">
        <v>234</v>
      </c>
      <c r="M519" t="s">
        <v>294</v>
      </c>
      <c r="N519" t="s">
        <v>331</v>
      </c>
      <c r="O519" t="s">
        <v>215</v>
      </c>
      <c r="P519" t="s">
        <v>216</v>
      </c>
      <c r="Q519" t="s">
        <v>217</v>
      </c>
      <c r="R519" t="s">
        <v>218</v>
      </c>
      <c r="S519" t="s">
        <v>220</v>
      </c>
    </row>
    <row r="520" spans="1:19" x14ac:dyDescent="0.35">
      <c r="A520" t="s">
        <v>78</v>
      </c>
      <c r="B520" t="s">
        <v>12</v>
      </c>
      <c r="C520" t="s">
        <v>13</v>
      </c>
      <c r="D520" t="s">
        <v>14</v>
      </c>
      <c r="E520" t="s">
        <v>15</v>
      </c>
      <c r="F520" t="s">
        <v>31</v>
      </c>
      <c r="G520" t="s">
        <v>24</v>
      </c>
      <c r="H520" t="s">
        <v>252</v>
      </c>
      <c r="I520" t="s">
        <v>265</v>
      </c>
      <c r="J520" t="s">
        <v>50</v>
      </c>
      <c r="K520" t="s">
        <v>253</v>
      </c>
      <c r="L520" t="s">
        <v>231</v>
      </c>
      <c r="M520" t="s">
        <v>311</v>
      </c>
      <c r="N520" t="s">
        <v>245</v>
      </c>
      <c r="O520" t="s">
        <v>215</v>
      </c>
      <c r="P520" t="s">
        <v>216</v>
      </c>
      <c r="Q520" t="s">
        <v>217</v>
      </c>
      <c r="R520" t="s">
        <v>218</v>
      </c>
      <c r="S520" t="s">
        <v>220</v>
      </c>
    </row>
    <row r="521" spans="1:19" x14ac:dyDescent="0.35">
      <c r="A521" t="s">
        <v>143</v>
      </c>
      <c r="B521" t="s">
        <v>20</v>
      </c>
      <c r="C521" t="s">
        <v>21</v>
      </c>
      <c r="D521" t="s">
        <v>14</v>
      </c>
      <c r="E521" t="s">
        <v>15</v>
      </c>
      <c r="F521" t="s">
        <v>35</v>
      </c>
      <c r="G521" t="s">
        <v>36</v>
      </c>
      <c r="H521" t="s">
        <v>224</v>
      </c>
      <c r="I521" t="s">
        <v>249</v>
      </c>
      <c r="J521" t="s">
        <v>18</v>
      </c>
      <c r="K521" t="s">
        <v>226</v>
      </c>
      <c r="L521" t="s">
        <v>366</v>
      </c>
      <c r="M521" t="s">
        <v>241</v>
      </c>
      <c r="N521" t="s">
        <v>297</v>
      </c>
      <c r="O521" t="s">
        <v>215</v>
      </c>
      <c r="P521" t="s">
        <v>216</v>
      </c>
      <c r="Q521" t="s">
        <v>217</v>
      </c>
      <c r="R521" t="s">
        <v>218</v>
      </c>
      <c r="S521" t="s">
        <v>238</v>
      </c>
    </row>
    <row r="522" spans="1:19" x14ac:dyDescent="0.35">
      <c r="A522" t="s">
        <v>94</v>
      </c>
      <c r="B522" t="s">
        <v>34</v>
      </c>
      <c r="C522" t="s">
        <v>21</v>
      </c>
      <c r="D522" t="s">
        <v>26</v>
      </c>
      <c r="E522" t="s">
        <v>22</v>
      </c>
      <c r="F522" t="s">
        <v>23</v>
      </c>
      <c r="G522" t="s">
        <v>24</v>
      </c>
      <c r="H522" t="s">
        <v>239</v>
      </c>
      <c r="I522" t="s">
        <v>240</v>
      </c>
      <c r="J522" t="s">
        <v>32</v>
      </c>
      <c r="K522" t="s">
        <v>245</v>
      </c>
      <c r="L522" t="s">
        <v>209</v>
      </c>
      <c r="M522" t="s">
        <v>211</v>
      </c>
      <c r="N522" t="s">
        <v>254</v>
      </c>
      <c r="O522" t="s">
        <v>215</v>
      </c>
      <c r="P522" t="s">
        <v>216</v>
      </c>
      <c r="Q522" t="s">
        <v>217</v>
      </c>
      <c r="R522" t="s">
        <v>218</v>
      </c>
      <c r="S522" t="s">
        <v>244</v>
      </c>
    </row>
    <row r="523" spans="1:19" x14ac:dyDescent="0.35">
      <c r="A523" t="s">
        <v>57</v>
      </c>
      <c r="B523" t="s">
        <v>12</v>
      </c>
      <c r="C523" t="s">
        <v>21</v>
      </c>
      <c r="D523" t="s">
        <v>26</v>
      </c>
      <c r="E523" t="s">
        <v>15</v>
      </c>
      <c r="F523" t="s">
        <v>56</v>
      </c>
      <c r="G523" t="s">
        <v>36</v>
      </c>
      <c r="H523" t="s">
        <v>260</v>
      </c>
      <c r="I523" t="s">
        <v>240</v>
      </c>
      <c r="J523" t="s">
        <v>27</v>
      </c>
      <c r="K523" t="s">
        <v>261</v>
      </c>
      <c r="L523" t="s">
        <v>227</v>
      </c>
      <c r="M523" t="s">
        <v>228</v>
      </c>
      <c r="N523" t="s">
        <v>224</v>
      </c>
      <c r="O523" t="s">
        <v>215</v>
      </c>
      <c r="P523" t="s">
        <v>216</v>
      </c>
      <c r="Q523" t="s">
        <v>217</v>
      </c>
      <c r="R523" t="s">
        <v>218</v>
      </c>
      <c r="S523" t="s">
        <v>265</v>
      </c>
    </row>
    <row r="524" spans="1:19" x14ac:dyDescent="0.35">
      <c r="A524" t="s">
        <v>126</v>
      </c>
      <c r="B524" t="s">
        <v>20</v>
      </c>
      <c r="C524" t="s">
        <v>38</v>
      </c>
      <c r="D524" t="s">
        <v>14</v>
      </c>
      <c r="E524" t="s">
        <v>15</v>
      </c>
      <c r="F524" t="s">
        <v>52</v>
      </c>
      <c r="G524" t="s">
        <v>36</v>
      </c>
      <c r="H524" t="s">
        <v>291</v>
      </c>
      <c r="I524" t="s">
        <v>210</v>
      </c>
      <c r="J524" t="s">
        <v>43</v>
      </c>
      <c r="K524" t="s">
        <v>292</v>
      </c>
      <c r="L524" t="s">
        <v>339</v>
      </c>
      <c r="M524" t="s">
        <v>299</v>
      </c>
      <c r="N524" t="s">
        <v>233</v>
      </c>
      <c r="O524" t="s">
        <v>215</v>
      </c>
      <c r="P524" t="s">
        <v>216</v>
      </c>
      <c r="Q524" t="s">
        <v>217</v>
      </c>
      <c r="R524" t="s">
        <v>218</v>
      </c>
      <c r="S524" t="s">
        <v>244</v>
      </c>
    </row>
    <row r="525" spans="1:19" x14ac:dyDescent="0.35">
      <c r="A525" t="s">
        <v>156</v>
      </c>
      <c r="B525" t="s">
        <v>29</v>
      </c>
      <c r="C525" t="s">
        <v>38</v>
      </c>
      <c r="D525" t="s">
        <v>14</v>
      </c>
      <c r="E525" t="s">
        <v>15</v>
      </c>
      <c r="F525" t="s">
        <v>31</v>
      </c>
      <c r="G525" t="s">
        <v>24</v>
      </c>
      <c r="H525" t="s">
        <v>252</v>
      </c>
      <c r="I525" t="s">
        <v>269</v>
      </c>
      <c r="J525" t="s">
        <v>54</v>
      </c>
      <c r="K525" t="s">
        <v>253</v>
      </c>
      <c r="L525" t="s">
        <v>272</v>
      </c>
      <c r="M525" t="s">
        <v>273</v>
      </c>
      <c r="N525" t="s">
        <v>274</v>
      </c>
      <c r="O525" t="s">
        <v>215</v>
      </c>
      <c r="P525" t="s">
        <v>216</v>
      </c>
      <c r="Q525" t="s">
        <v>217</v>
      </c>
      <c r="R525" t="s">
        <v>218</v>
      </c>
      <c r="S525" t="s">
        <v>244</v>
      </c>
    </row>
    <row r="526" spans="1:19" x14ac:dyDescent="0.35">
      <c r="A526" t="s">
        <v>68</v>
      </c>
      <c r="B526" t="s">
        <v>20</v>
      </c>
      <c r="C526" t="s">
        <v>30</v>
      </c>
      <c r="D526" t="s">
        <v>26</v>
      </c>
      <c r="E526" t="s">
        <v>22</v>
      </c>
      <c r="F526" t="s">
        <v>39</v>
      </c>
      <c r="G526" t="s">
        <v>24</v>
      </c>
      <c r="H526" t="s">
        <v>209</v>
      </c>
      <c r="I526" t="s">
        <v>220</v>
      </c>
      <c r="J526" t="s">
        <v>18</v>
      </c>
      <c r="K526" t="s">
        <v>211</v>
      </c>
      <c r="L526" t="s">
        <v>302</v>
      </c>
      <c r="M526" t="s">
        <v>342</v>
      </c>
      <c r="N526" t="s">
        <v>211</v>
      </c>
      <c r="O526" t="s">
        <v>215</v>
      </c>
      <c r="P526" t="s">
        <v>216</v>
      </c>
      <c r="Q526" t="s">
        <v>217</v>
      </c>
      <c r="R526" t="s">
        <v>218</v>
      </c>
      <c r="S526" t="s">
        <v>238</v>
      </c>
    </row>
    <row r="527" spans="1:19" x14ac:dyDescent="0.35">
      <c r="A527" t="s">
        <v>97</v>
      </c>
      <c r="B527" t="s">
        <v>34</v>
      </c>
      <c r="C527" t="s">
        <v>30</v>
      </c>
      <c r="D527" t="s">
        <v>14</v>
      </c>
      <c r="E527" t="s">
        <v>22</v>
      </c>
      <c r="F527" t="s">
        <v>39</v>
      </c>
      <c r="G527" t="s">
        <v>24</v>
      </c>
      <c r="H527" t="s">
        <v>209</v>
      </c>
      <c r="I527" t="s">
        <v>210</v>
      </c>
      <c r="J527" t="s">
        <v>18</v>
      </c>
      <c r="K527" t="s">
        <v>211</v>
      </c>
      <c r="L527" t="s">
        <v>212</v>
      </c>
      <c r="M527" t="s">
        <v>213</v>
      </c>
      <c r="N527" t="s">
        <v>214</v>
      </c>
      <c r="O527" t="s">
        <v>215</v>
      </c>
      <c r="P527" t="s">
        <v>216</v>
      </c>
      <c r="Q527" t="s">
        <v>217</v>
      </c>
      <c r="R527" t="s">
        <v>218</v>
      </c>
      <c r="S527" t="s">
        <v>265</v>
      </c>
    </row>
    <row r="528" spans="1:19" x14ac:dyDescent="0.35">
      <c r="A528" t="s">
        <v>128</v>
      </c>
      <c r="B528" t="s">
        <v>34</v>
      </c>
      <c r="C528" t="s">
        <v>21</v>
      </c>
      <c r="D528" t="s">
        <v>26</v>
      </c>
      <c r="E528" t="s">
        <v>15</v>
      </c>
      <c r="F528" t="s">
        <v>23</v>
      </c>
      <c r="G528" t="s">
        <v>24</v>
      </c>
      <c r="H528" t="s">
        <v>239</v>
      </c>
      <c r="I528" t="s">
        <v>238</v>
      </c>
      <c r="J528" t="s">
        <v>50</v>
      </c>
      <c r="K528" t="s">
        <v>245</v>
      </c>
      <c r="L528" t="s">
        <v>239</v>
      </c>
      <c r="M528" t="s">
        <v>245</v>
      </c>
      <c r="N528" t="s">
        <v>353</v>
      </c>
      <c r="O528" t="s">
        <v>215</v>
      </c>
      <c r="P528" t="s">
        <v>216</v>
      </c>
      <c r="Q528" t="s">
        <v>217</v>
      </c>
      <c r="R528" t="s">
        <v>218</v>
      </c>
      <c r="S528" t="s">
        <v>220</v>
      </c>
    </row>
    <row r="529" spans="1:19" x14ac:dyDescent="0.35">
      <c r="A529" t="s">
        <v>101</v>
      </c>
      <c r="B529" t="s">
        <v>20</v>
      </c>
      <c r="C529" t="s">
        <v>30</v>
      </c>
      <c r="D529" t="s">
        <v>14</v>
      </c>
      <c r="E529" t="s">
        <v>22</v>
      </c>
      <c r="F529" t="s">
        <v>52</v>
      </c>
      <c r="G529" t="s">
        <v>36</v>
      </c>
      <c r="H529" t="s">
        <v>291</v>
      </c>
      <c r="I529" t="s">
        <v>244</v>
      </c>
      <c r="J529" t="s">
        <v>43</v>
      </c>
      <c r="K529" t="s">
        <v>292</v>
      </c>
      <c r="L529" t="s">
        <v>317</v>
      </c>
      <c r="M529" t="s">
        <v>318</v>
      </c>
      <c r="N529" t="s">
        <v>319</v>
      </c>
      <c r="O529" t="s">
        <v>215</v>
      </c>
      <c r="P529" t="s">
        <v>216</v>
      </c>
      <c r="Q529" t="s">
        <v>217</v>
      </c>
      <c r="R529" t="s">
        <v>218</v>
      </c>
      <c r="S529" t="s">
        <v>220</v>
      </c>
    </row>
    <row r="530" spans="1:19" x14ac:dyDescent="0.35">
      <c r="A530" t="s">
        <v>127</v>
      </c>
      <c r="B530" t="s">
        <v>20</v>
      </c>
      <c r="C530" t="s">
        <v>13</v>
      </c>
      <c r="D530" t="s">
        <v>14</v>
      </c>
      <c r="E530" t="s">
        <v>22</v>
      </c>
      <c r="F530" t="s">
        <v>23</v>
      </c>
      <c r="G530" t="s">
        <v>24</v>
      </c>
      <c r="H530" t="s">
        <v>239</v>
      </c>
      <c r="I530" t="s">
        <v>249</v>
      </c>
      <c r="J530" t="s">
        <v>43</v>
      </c>
      <c r="K530" t="s">
        <v>245</v>
      </c>
      <c r="L530" t="s">
        <v>226</v>
      </c>
      <c r="M530" t="s">
        <v>284</v>
      </c>
      <c r="N530" t="s">
        <v>253</v>
      </c>
      <c r="O530" t="s">
        <v>215</v>
      </c>
      <c r="P530" t="s">
        <v>216</v>
      </c>
      <c r="Q530" t="s">
        <v>217</v>
      </c>
      <c r="R530" t="s">
        <v>218</v>
      </c>
      <c r="S530" t="s">
        <v>220</v>
      </c>
    </row>
    <row r="531" spans="1:19" x14ac:dyDescent="0.35">
      <c r="A531" t="s">
        <v>120</v>
      </c>
      <c r="B531" t="s">
        <v>29</v>
      </c>
      <c r="C531" t="s">
        <v>38</v>
      </c>
      <c r="D531" t="s">
        <v>26</v>
      </c>
      <c r="E531" t="s">
        <v>15</v>
      </c>
      <c r="F531" t="s">
        <v>41</v>
      </c>
      <c r="G531" t="s">
        <v>17</v>
      </c>
      <c r="H531" t="s">
        <v>219</v>
      </c>
      <c r="I531" t="s">
        <v>265</v>
      </c>
      <c r="J531" t="s">
        <v>32</v>
      </c>
      <c r="K531" t="s">
        <v>221</v>
      </c>
      <c r="L531" t="s">
        <v>280</v>
      </c>
      <c r="M531" t="s">
        <v>321</v>
      </c>
      <c r="N531" t="s">
        <v>340</v>
      </c>
      <c r="O531" t="s">
        <v>215</v>
      </c>
      <c r="P531" t="s">
        <v>216</v>
      </c>
      <c r="Q531" t="s">
        <v>217</v>
      </c>
      <c r="R531" t="s">
        <v>218</v>
      </c>
      <c r="S531" t="s">
        <v>244</v>
      </c>
    </row>
    <row r="532" spans="1:19" x14ac:dyDescent="0.35">
      <c r="A532" t="s">
        <v>108</v>
      </c>
      <c r="B532" t="s">
        <v>12</v>
      </c>
      <c r="C532" t="s">
        <v>21</v>
      </c>
      <c r="D532" t="s">
        <v>26</v>
      </c>
      <c r="E532" t="s">
        <v>22</v>
      </c>
      <c r="F532" t="s">
        <v>47</v>
      </c>
      <c r="G532" t="s">
        <v>36</v>
      </c>
      <c r="H532" t="s">
        <v>229</v>
      </c>
      <c r="I532" t="s">
        <v>210</v>
      </c>
      <c r="J532" t="s">
        <v>32</v>
      </c>
      <c r="K532" t="s">
        <v>231</v>
      </c>
      <c r="L532" t="s">
        <v>227</v>
      </c>
      <c r="M532" t="s">
        <v>228</v>
      </c>
      <c r="N532" t="s">
        <v>224</v>
      </c>
      <c r="O532" t="s">
        <v>215</v>
      </c>
      <c r="P532" t="s">
        <v>216</v>
      </c>
      <c r="Q532" t="s">
        <v>217</v>
      </c>
      <c r="R532" t="s">
        <v>218</v>
      </c>
      <c r="S532" t="s">
        <v>220</v>
      </c>
    </row>
    <row r="533" spans="1:19" x14ac:dyDescent="0.35">
      <c r="A533" t="s">
        <v>117</v>
      </c>
      <c r="B533" t="s">
        <v>34</v>
      </c>
      <c r="C533" t="s">
        <v>30</v>
      </c>
      <c r="D533" t="s">
        <v>26</v>
      </c>
      <c r="E533" t="s">
        <v>15</v>
      </c>
      <c r="F533" t="s">
        <v>56</v>
      </c>
      <c r="G533" t="s">
        <v>36</v>
      </c>
      <c r="H533" t="s">
        <v>260</v>
      </c>
      <c r="I533" t="s">
        <v>269</v>
      </c>
      <c r="J533" t="s">
        <v>27</v>
      </c>
      <c r="K533" t="s">
        <v>261</v>
      </c>
      <c r="L533" t="s">
        <v>377</v>
      </c>
      <c r="M533" t="s">
        <v>212</v>
      </c>
      <c r="N533" t="s">
        <v>312</v>
      </c>
      <c r="O533" t="s">
        <v>215</v>
      </c>
      <c r="P533" t="s">
        <v>216</v>
      </c>
      <c r="Q533" t="s">
        <v>217</v>
      </c>
      <c r="R533" t="s">
        <v>218</v>
      </c>
      <c r="S533" t="s">
        <v>220</v>
      </c>
    </row>
    <row r="534" spans="1:19" x14ac:dyDescent="0.35">
      <c r="A534" t="s">
        <v>134</v>
      </c>
      <c r="B534" t="s">
        <v>29</v>
      </c>
      <c r="C534" t="s">
        <v>30</v>
      </c>
      <c r="D534" t="s">
        <v>26</v>
      </c>
      <c r="E534" t="s">
        <v>22</v>
      </c>
      <c r="F534" t="s">
        <v>58</v>
      </c>
      <c r="G534" t="s">
        <v>24</v>
      </c>
      <c r="H534" t="s">
        <v>255</v>
      </c>
      <c r="I534" t="s">
        <v>225</v>
      </c>
      <c r="J534" t="s">
        <v>27</v>
      </c>
      <c r="K534" t="s">
        <v>256</v>
      </c>
      <c r="L534" t="s">
        <v>324</v>
      </c>
      <c r="M534" t="s">
        <v>303</v>
      </c>
      <c r="N534" t="s">
        <v>255</v>
      </c>
      <c r="O534" t="s">
        <v>215</v>
      </c>
      <c r="P534" t="s">
        <v>216</v>
      </c>
      <c r="Q534" t="s">
        <v>217</v>
      </c>
      <c r="R534" t="s">
        <v>218</v>
      </c>
      <c r="S534" t="s">
        <v>220</v>
      </c>
    </row>
    <row r="535" spans="1:19" x14ac:dyDescent="0.35">
      <c r="A535" t="s">
        <v>158</v>
      </c>
      <c r="B535" t="s">
        <v>12</v>
      </c>
      <c r="C535" t="s">
        <v>30</v>
      </c>
      <c r="D535" t="s">
        <v>14</v>
      </c>
      <c r="E535" t="s">
        <v>22</v>
      </c>
      <c r="F535" t="s">
        <v>47</v>
      </c>
      <c r="G535" t="s">
        <v>36</v>
      </c>
      <c r="H535" t="s">
        <v>229</v>
      </c>
      <c r="I535" t="s">
        <v>225</v>
      </c>
      <c r="J535" t="s">
        <v>18</v>
      </c>
      <c r="K535" t="s">
        <v>231</v>
      </c>
      <c r="L535" t="s">
        <v>288</v>
      </c>
      <c r="M535" t="s">
        <v>289</v>
      </c>
      <c r="N535" t="s">
        <v>229</v>
      </c>
      <c r="O535" t="s">
        <v>215</v>
      </c>
      <c r="P535" t="s">
        <v>216</v>
      </c>
      <c r="Q535" t="s">
        <v>217</v>
      </c>
      <c r="R535" t="s">
        <v>218</v>
      </c>
      <c r="S535" t="s">
        <v>244</v>
      </c>
    </row>
    <row r="536" spans="1:19" x14ac:dyDescent="0.35">
      <c r="A536" t="s">
        <v>144</v>
      </c>
      <c r="B536" t="s">
        <v>20</v>
      </c>
      <c r="C536" t="s">
        <v>38</v>
      </c>
      <c r="D536" t="s">
        <v>26</v>
      </c>
      <c r="E536" t="s">
        <v>22</v>
      </c>
      <c r="F536" t="s">
        <v>58</v>
      </c>
      <c r="G536" t="s">
        <v>24</v>
      </c>
      <c r="H536" t="s">
        <v>255</v>
      </c>
      <c r="I536" t="s">
        <v>249</v>
      </c>
      <c r="J536" t="s">
        <v>50</v>
      </c>
      <c r="K536" t="s">
        <v>256</v>
      </c>
      <c r="L536" t="s">
        <v>286</v>
      </c>
      <c r="M536" t="s">
        <v>295</v>
      </c>
      <c r="N536" t="s">
        <v>296</v>
      </c>
      <c r="O536" t="s">
        <v>215</v>
      </c>
      <c r="P536" t="s">
        <v>216</v>
      </c>
      <c r="Q536" t="s">
        <v>217</v>
      </c>
      <c r="R536" t="s">
        <v>218</v>
      </c>
      <c r="S536" t="s">
        <v>265</v>
      </c>
    </row>
    <row r="537" spans="1:19" x14ac:dyDescent="0.35">
      <c r="A537" t="s">
        <v>51</v>
      </c>
      <c r="B537" t="s">
        <v>20</v>
      </c>
      <c r="C537" t="s">
        <v>21</v>
      </c>
      <c r="D537" t="s">
        <v>14</v>
      </c>
      <c r="E537" t="s">
        <v>15</v>
      </c>
      <c r="F537" t="s">
        <v>16</v>
      </c>
      <c r="G537" t="s">
        <v>17</v>
      </c>
      <c r="H537" t="s">
        <v>275</v>
      </c>
      <c r="I537" t="s">
        <v>220</v>
      </c>
      <c r="J537" t="s">
        <v>43</v>
      </c>
      <c r="K537" t="s">
        <v>276</v>
      </c>
      <c r="L537" t="s">
        <v>337</v>
      </c>
      <c r="M537" t="s">
        <v>338</v>
      </c>
      <c r="N537" t="s">
        <v>276</v>
      </c>
      <c r="O537" t="s">
        <v>215</v>
      </c>
      <c r="P537" t="s">
        <v>216</v>
      </c>
      <c r="Q537" t="s">
        <v>217</v>
      </c>
      <c r="R537" t="s">
        <v>218</v>
      </c>
      <c r="S537" t="s">
        <v>244</v>
      </c>
    </row>
    <row r="538" spans="1:19" x14ac:dyDescent="0.35">
      <c r="A538" t="s">
        <v>62</v>
      </c>
      <c r="B538" t="s">
        <v>29</v>
      </c>
      <c r="C538" t="s">
        <v>30</v>
      </c>
      <c r="D538" t="s">
        <v>14</v>
      </c>
      <c r="E538" t="s">
        <v>15</v>
      </c>
      <c r="F538" t="s">
        <v>41</v>
      </c>
      <c r="G538" t="s">
        <v>17</v>
      </c>
      <c r="H538" t="s">
        <v>219</v>
      </c>
      <c r="I538" t="s">
        <v>220</v>
      </c>
      <c r="J538" t="s">
        <v>43</v>
      </c>
      <c r="K538" t="s">
        <v>221</v>
      </c>
      <c r="L538" t="s">
        <v>222</v>
      </c>
      <c r="M538" t="s">
        <v>223</v>
      </c>
      <c r="N538" t="s">
        <v>221</v>
      </c>
      <c r="O538" t="s">
        <v>215</v>
      </c>
      <c r="P538" t="s">
        <v>216</v>
      </c>
      <c r="Q538" t="s">
        <v>217</v>
      </c>
      <c r="R538" t="s">
        <v>218</v>
      </c>
      <c r="S538" t="s">
        <v>220</v>
      </c>
    </row>
    <row r="539" spans="1:19" x14ac:dyDescent="0.35">
      <c r="A539" t="s">
        <v>79</v>
      </c>
      <c r="B539" t="s">
        <v>20</v>
      </c>
      <c r="C539" t="s">
        <v>30</v>
      </c>
      <c r="D539" t="s">
        <v>26</v>
      </c>
      <c r="E539" t="s">
        <v>15</v>
      </c>
      <c r="F539" t="s">
        <v>56</v>
      </c>
      <c r="G539" t="s">
        <v>36</v>
      </c>
      <c r="H539" t="s">
        <v>260</v>
      </c>
      <c r="I539" t="s">
        <v>265</v>
      </c>
      <c r="J539" t="s">
        <v>27</v>
      </c>
      <c r="K539" t="s">
        <v>261</v>
      </c>
      <c r="L539" t="s">
        <v>360</v>
      </c>
      <c r="M539" t="s">
        <v>264</v>
      </c>
      <c r="N539" t="s">
        <v>361</v>
      </c>
      <c r="O539" t="s">
        <v>215</v>
      </c>
      <c r="P539" t="s">
        <v>216</v>
      </c>
      <c r="Q539" t="s">
        <v>217</v>
      </c>
      <c r="R539" t="s">
        <v>218</v>
      </c>
      <c r="S539" t="s">
        <v>238</v>
      </c>
    </row>
    <row r="540" spans="1:19" x14ac:dyDescent="0.35">
      <c r="A540" t="s">
        <v>131</v>
      </c>
      <c r="B540" t="s">
        <v>20</v>
      </c>
      <c r="C540" t="s">
        <v>13</v>
      </c>
      <c r="D540" t="s">
        <v>14</v>
      </c>
      <c r="E540" t="s">
        <v>15</v>
      </c>
      <c r="F540" t="s">
        <v>35</v>
      </c>
      <c r="G540" t="s">
        <v>36</v>
      </c>
      <c r="H540" t="s">
        <v>224</v>
      </c>
      <c r="I540" t="s">
        <v>225</v>
      </c>
      <c r="J540" t="s">
        <v>27</v>
      </c>
      <c r="K540" t="s">
        <v>226</v>
      </c>
      <c r="L540" t="s">
        <v>227</v>
      </c>
      <c r="M540" t="s">
        <v>228</v>
      </c>
      <c r="N540" t="s">
        <v>224</v>
      </c>
      <c r="O540" t="s">
        <v>215</v>
      </c>
      <c r="P540" t="s">
        <v>216</v>
      </c>
      <c r="Q540" t="s">
        <v>217</v>
      </c>
      <c r="R540" t="s">
        <v>218</v>
      </c>
      <c r="S540" t="s">
        <v>238</v>
      </c>
    </row>
    <row r="541" spans="1:19" x14ac:dyDescent="0.35">
      <c r="A541" t="s">
        <v>139</v>
      </c>
      <c r="B541" t="s">
        <v>20</v>
      </c>
      <c r="C541" t="s">
        <v>30</v>
      </c>
      <c r="D541" t="s">
        <v>14</v>
      </c>
      <c r="E541" t="s">
        <v>15</v>
      </c>
      <c r="F541" t="s">
        <v>31</v>
      </c>
      <c r="G541" t="s">
        <v>24</v>
      </c>
      <c r="H541" t="s">
        <v>252</v>
      </c>
      <c r="I541" t="s">
        <v>269</v>
      </c>
      <c r="J541" t="s">
        <v>32</v>
      </c>
      <c r="K541" t="s">
        <v>253</v>
      </c>
      <c r="L541" t="s">
        <v>272</v>
      </c>
      <c r="M541" t="s">
        <v>273</v>
      </c>
      <c r="N541" t="s">
        <v>274</v>
      </c>
      <c r="O541" t="s">
        <v>215</v>
      </c>
      <c r="P541" t="s">
        <v>216</v>
      </c>
      <c r="Q541" t="s">
        <v>217</v>
      </c>
      <c r="R541" t="s">
        <v>218</v>
      </c>
      <c r="S541" t="s">
        <v>265</v>
      </c>
    </row>
    <row r="542" spans="1:19" x14ac:dyDescent="0.35">
      <c r="A542" t="s">
        <v>119</v>
      </c>
      <c r="B542" t="s">
        <v>20</v>
      </c>
      <c r="C542" t="s">
        <v>30</v>
      </c>
      <c r="D542" t="s">
        <v>26</v>
      </c>
      <c r="E542" t="s">
        <v>15</v>
      </c>
      <c r="F542" t="s">
        <v>47</v>
      </c>
      <c r="G542" t="s">
        <v>36</v>
      </c>
      <c r="H542" t="s">
        <v>229</v>
      </c>
      <c r="I542" t="s">
        <v>240</v>
      </c>
      <c r="J542" t="s">
        <v>32</v>
      </c>
      <c r="K542" t="s">
        <v>231</v>
      </c>
      <c r="L542" t="s">
        <v>301</v>
      </c>
      <c r="M542" t="s">
        <v>302</v>
      </c>
      <c r="N542" t="s">
        <v>209</v>
      </c>
      <c r="O542" t="s">
        <v>215</v>
      </c>
      <c r="P542" t="s">
        <v>216</v>
      </c>
      <c r="Q542" t="s">
        <v>217</v>
      </c>
      <c r="R542" t="s">
        <v>218</v>
      </c>
      <c r="S542" t="s">
        <v>238</v>
      </c>
    </row>
    <row r="543" spans="1:19" x14ac:dyDescent="0.35">
      <c r="A543" t="s">
        <v>111</v>
      </c>
      <c r="B543" t="s">
        <v>29</v>
      </c>
      <c r="C543" t="s">
        <v>30</v>
      </c>
      <c r="D543" t="s">
        <v>26</v>
      </c>
      <c r="E543" t="s">
        <v>22</v>
      </c>
      <c r="F543" t="s">
        <v>16</v>
      </c>
      <c r="G543" t="s">
        <v>17</v>
      </c>
      <c r="H543" t="s">
        <v>275</v>
      </c>
      <c r="I543" t="s">
        <v>244</v>
      </c>
      <c r="J543" t="s">
        <v>43</v>
      </c>
      <c r="K543" t="s">
        <v>276</v>
      </c>
      <c r="L543" t="s">
        <v>325</v>
      </c>
      <c r="M543" t="s">
        <v>326</v>
      </c>
      <c r="N543" t="s">
        <v>327</v>
      </c>
      <c r="O543" t="s">
        <v>215</v>
      </c>
      <c r="P543" t="s">
        <v>216</v>
      </c>
      <c r="Q543" t="s">
        <v>217</v>
      </c>
      <c r="R543" t="s">
        <v>218</v>
      </c>
      <c r="S543" t="s">
        <v>238</v>
      </c>
    </row>
    <row r="544" spans="1:19" x14ac:dyDescent="0.35">
      <c r="A544" t="s">
        <v>156</v>
      </c>
      <c r="B544" t="s">
        <v>29</v>
      </c>
      <c r="C544" t="s">
        <v>21</v>
      </c>
      <c r="D544" t="s">
        <v>26</v>
      </c>
      <c r="E544" t="s">
        <v>22</v>
      </c>
      <c r="F544" t="s">
        <v>41</v>
      </c>
      <c r="G544" t="s">
        <v>17</v>
      </c>
      <c r="H544" t="s">
        <v>219</v>
      </c>
      <c r="I544" t="s">
        <v>249</v>
      </c>
      <c r="J544" t="s">
        <v>32</v>
      </c>
      <c r="K544" t="s">
        <v>221</v>
      </c>
      <c r="L544" t="s">
        <v>279</v>
      </c>
      <c r="M544" t="s">
        <v>320</v>
      </c>
      <c r="N544" t="s">
        <v>321</v>
      </c>
      <c r="O544" t="s">
        <v>215</v>
      </c>
      <c r="P544" t="s">
        <v>216</v>
      </c>
      <c r="Q544" t="s">
        <v>217</v>
      </c>
      <c r="R544" t="s">
        <v>218</v>
      </c>
      <c r="S544" t="s">
        <v>244</v>
      </c>
    </row>
    <row r="545" spans="1:19" x14ac:dyDescent="0.35">
      <c r="A545" t="s">
        <v>66</v>
      </c>
      <c r="B545" t="s">
        <v>20</v>
      </c>
      <c r="C545" t="s">
        <v>13</v>
      </c>
      <c r="D545" t="s">
        <v>26</v>
      </c>
      <c r="E545" t="s">
        <v>15</v>
      </c>
      <c r="F545" t="s">
        <v>56</v>
      </c>
      <c r="G545" t="s">
        <v>36</v>
      </c>
      <c r="H545" t="s">
        <v>260</v>
      </c>
      <c r="I545" t="s">
        <v>238</v>
      </c>
      <c r="J545" t="s">
        <v>43</v>
      </c>
      <c r="K545" t="s">
        <v>261</v>
      </c>
      <c r="L545" t="s">
        <v>260</v>
      </c>
      <c r="M545" t="s">
        <v>261</v>
      </c>
      <c r="N545" t="s">
        <v>352</v>
      </c>
      <c r="O545" t="s">
        <v>215</v>
      </c>
      <c r="P545" t="s">
        <v>216</v>
      </c>
      <c r="Q545" t="s">
        <v>217</v>
      </c>
      <c r="R545" t="s">
        <v>218</v>
      </c>
      <c r="S545" t="s">
        <v>244</v>
      </c>
    </row>
    <row r="546" spans="1:19" x14ac:dyDescent="0.35">
      <c r="A546" t="s">
        <v>149</v>
      </c>
      <c r="B546" t="s">
        <v>12</v>
      </c>
      <c r="C546" t="s">
        <v>21</v>
      </c>
      <c r="D546" t="s">
        <v>26</v>
      </c>
      <c r="E546" t="s">
        <v>22</v>
      </c>
      <c r="F546" t="s">
        <v>39</v>
      </c>
      <c r="G546" t="s">
        <v>24</v>
      </c>
      <c r="H546" t="s">
        <v>209</v>
      </c>
      <c r="I546" t="s">
        <v>220</v>
      </c>
      <c r="J546" t="s">
        <v>18</v>
      </c>
      <c r="K546" t="s">
        <v>211</v>
      </c>
      <c r="L546" t="s">
        <v>302</v>
      </c>
      <c r="M546" t="s">
        <v>342</v>
      </c>
      <c r="N546" t="s">
        <v>211</v>
      </c>
      <c r="O546" t="s">
        <v>215</v>
      </c>
      <c r="P546" t="s">
        <v>216</v>
      </c>
      <c r="Q546" t="s">
        <v>217</v>
      </c>
      <c r="R546" t="s">
        <v>218</v>
      </c>
      <c r="S546" t="s">
        <v>244</v>
      </c>
    </row>
    <row r="547" spans="1:19" x14ac:dyDescent="0.35">
      <c r="A547" t="s">
        <v>95</v>
      </c>
      <c r="B547" t="s">
        <v>20</v>
      </c>
      <c r="C547" t="s">
        <v>30</v>
      </c>
      <c r="D547" t="s">
        <v>14</v>
      </c>
      <c r="E547" t="s">
        <v>15</v>
      </c>
      <c r="F547" t="s">
        <v>31</v>
      </c>
      <c r="G547" t="s">
        <v>24</v>
      </c>
      <c r="H547" t="s">
        <v>252</v>
      </c>
      <c r="I547" t="s">
        <v>240</v>
      </c>
      <c r="J547" t="s">
        <v>54</v>
      </c>
      <c r="K547" t="s">
        <v>253</v>
      </c>
      <c r="L547" t="s">
        <v>214</v>
      </c>
      <c r="M547" t="s">
        <v>251</v>
      </c>
      <c r="N547" t="s">
        <v>247</v>
      </c>
      <c r="O547" t="s">
        <v>215</v>
      </c>
      <c r="P547" t="s">
        <v>216</v>
      </c>
      <c r="Q547" t="s">
        <v>217</v>
      </c>
      <c r="R547" t="s">
        <v>218</v>
      </c>
      <c r="S547" t="s">
        <v>238</v>
      </c>
    </row>
    <row r="548" spans="1:19" x14ac:dyDescent="0.35">
      <c r="A548" t="s">
        <v>124</v>
      </c>
      <c r="B548" t="s">
        <v>34</v>
      </c>
      <c r="C548" t="s">
        <v>38</v>
      </c>
      <c r="D548" t="s">
        <v>14</v>
      </c>
      <c r="E548" t="s">
        <v>22</v>
      </c>
      <c r="F548" t="s">
        <v>39</v>
      </c>
      <c r="G548" t="s">
        <v>24</v>
      </c>
      <c r="H548" t="s">
        <v>209</v>
      </c>
      <c r="I548" t="s">
        <v>230</v>
      </c>
      <c r="J548" t="s">
        <v>18</v>
      </c>
      <c r="K548" t="s">
        <v>211</v>
      </c>
      <c r="L548" t="s">
        <v>317</v>
      </c>
      <c r="M548" t="s">
        <v>318</v>
      </c>
      <c r="N548" t="s">
        <v>319</v>
      </c>
      <c r="O548" t="s">
        <v>215</v>
      </c>
      <c r="P548" t="s">
        <v>216</v>
      </c>
      <c r="Q548" t="s">
        <v>217</v>
      </c>
      <c r="R548" t="s">
        <v>218</v>
      </c>
      <c r="S548" t="s">
        <v>238</v>
      </c>
    </row>
    <row r="549" spans="1:19" x14ac:dyDescent="0.35">
      <c r="A549" t="s">
        <v>118</v>
      </c>
      <c r="B549" t="s">
        <v>34</v>
      </c>
      <c r="C549" t="s">
        <v>21</v>
      </c>
      <c r="D549" t="s">
        <v>14</v>
      </c>
      <c r="E549" t="s">
        <v>15</v>
      </c>
      <c r="F549" t="s">
        <v>47</v>
      </c>
      <c r="G549" t="s">
        <v>36</v>
      </c>
      <c r="H549" t="s">
        <v>229</v>
      </c>
      <c r="I549" t="s">
        <v>210</v>
      </c>
      <c r="J549" t="s">
        <v>50</v>
      </c>
      <c r="K549" t="s">
        <v>231</v>
      </c>
      <c r="L549" t="s">
        <v>227</v>
      </c>
      <c r="M549" t="s">
        <v>228</v>
      </c>
      <c r="N549" t="s">
        <v>224</v>
      </c>
      <c r="O549" t="s">
        <v>215</v>
      </c>
      <c r="P549" t="s">
        <v>216</v>
      </c>
      <c r="Q549" t="s">
        <v>217</v>
      </c>
      <c r="R549" t="s">
        <v>218</v>
      </c>
      <c r="S549" t="s">
        <v>238</v>
      </c>
    </row>
    <row r="550" spans="1:19" x14ac:dyDescent="0.35">
      <c r="A550" t="s">
        <v>94</v>
      </c>
      <c r="B550" t="s">
        <v>20</v>
      </c>
      <c r="C550" t="s">
        <v>30</v>
      </c>
      <c r="D550" t="s">
        <v>14</v>
      </c>
      <c r="E550" t="s">
        <v>22</v>
      </c>
      <c r="F550" t="s">
        <v>41</v>
      </c>
      <c r="G550" t="s">
        <v>17</v>
      </c>
      <c r="H550" t="s">
        <v>219</v>
      </c>
      <c r="I550" t="s">
        <v>225</v>
      </c>
      <c r="J550" t="s">
        <v>50</v>
      </c>
      <c r="K550" t="s">
        <v>221</v>
      </c>
      <c r="L550" t="s">
        <v>263</v>
      </c>
      <c r="M550" t="s">
        <v>222</v>
      </c>
      <c r="N550" t="s">
        <v>219</v>
      </c>
      <c r="O550" t="s">
        <v>215</v>
      </c>
      <c r="P550" t="s">
        <v>216</v>
      </c>
      <c r="Q550" t="s">
        <v>217</v>
      </c>
      <c r="R550" t="s">
        <v>218</v>
      </c>
      <c r="S550" t="s">
        <v>244</v>
      </c>
    </row>
    <row r="551" spans="1:19" x14ac:dyDescent="0.35">
      <c r="A551" t="s">
        <v>45</v>
      </c>
      <c r="B551" t="s">
        <v>12</v>
      </c>
      <c r="C551" t="s">
        <v>13</v>
      </c>
      <c r="D551" t="s">
        <v>26</v>
      </c>
      <c r="E551" t="s">
        <v>22</v>
      </c>
      <c r="F551" t="s">
        <v>47</v>
      </c>
      <c r="G551" t="s">
        <v>36</v>
      </c>
      <c r="H551" t="s">
        <v>229</v>
      </c>
      <c r="I551" t="s">
        <v>230</v>
      </c>
      <c r="J551" t="s">
        <v>27</v>
      </c>
      <c r="K551" t="s">
        <v>231</v>
      </c>
      <c r="L551" t="s">
        <v>232</v>
      </c>
      <c r="M551" t="s">
        <v>233</v>
      </c>
      <c r="N551" t="s">
        <v>234</v>
      </c>
      <c r="O551" t="s">
        <v>215</v>
      </c>
      <c r="P551" t="s">
        <v>216</v>
      </c>
      <c r="Q551" t="s">
        <v>217</v>
      </c>
      <c r="R551" t="s">
        <v>218</v>
      </c>
      <c r="S551" t="s">
        <v>244</v>
      </c>
    </row>
    <row r="552" spans="1:19" x14ac:dyDescent="0.35">
      <c r="A552" t="s">
        <v>28</v>
      </c>
      <c r="B552" t="s">
        <v>20</v>
      </c>
      <c r="C552" t="s">
        <v>13</v>
      </c>
      <c r="D552" t="s">
        <v>26</v>
      </c>
      <c r="E552" t="s">
        <v>15</v>
      </c>
      <c r="F552" t="s">
        <v>47</v>
      </c>
      <c r="G552" t="s">
        <v>36</v>
      </c>
      <c r="H552" t="s">
        <v>229</v>
      </c>
      <c r="I552" t="s">
        <v>220</v>
      </c>
      <c r="J552" t="s">
        <v>50</v>
      </c>
      <c r="K552" t="s">
        <v>231</v>
      </c>
      <c r="L552" t="s">
        <v>289</v>
      </c>
      <c r="M552" t="s">
        <v>297</v>
      </c>
      <c r="N552" t="s">
        <v>231</v>
      </c>
      <c r="O552" t="s">
        <v>215</v>
      </c>
      <c r="P552" t="s">
        <v>216</v>
      </c>
      <c r="Q552" t="s">
        <v>217</v>
      </c>
      <c r="R552" t="s">
        <v>218</v>
      </c>
      <c r="S552" t="s">
        <v>220</v>
      </c>
    </row>
    <row r="553" spans="1:19" x14ac:dyDescent="0.35">
      <c r="A553" t="s">
        <v>97</v>
      </c>
      <c r="B553" t="s">
        <v>34</v>
      </c>
      <c r="C553" t="s">
        <v>30</v>
      </c>
      <c r="D553" t="s">
        <v>26</v>
      </c>
      <c r="E553" t="s">
        <v>15</v>
      </c>
      <c r="F553" t="s">
        <v>35</v>
      </c>
      <c r="G553" t="s">
        <v>36</v>
      </c>
      <c r="H553" t="s">
        <v>224</v>
      </c>
      <c r="I553" t="s">
        <v>240</v>
      </c>
      <c r="J553" t="s">
        <v>32</v>
      </c>
      <c r="K553" t="s">
        <v>226</v>
      </c>
      <c r="L553" t="s">
        <v>212</v>
      </c>
      <c r="M553" t="s">
        <v>213</v>
      </c>
      <c r="N553" t="s">
        <v>214</v>
      </c>
      <c r="O553" t="s">
        <v>215</v>
      </c>
      <c r="P553" t="s">
        <v>216</v>
      </c>
      <c r="Q553" t="s">
        <v>217</v>
      </c>
      <c r="R553" t="s">
        <v>218</v>
      </c>
      <c r="S553" t="s">
        <v>265</v>
      </c>
    </row>
    <row r="554" spans="1:19" x14ac:dyDescent="0.35">
      <c r="A554" t="s">
        <v>71</v>
      </c>
      <c r="B554" t="s">
        <v>34</v>
      </c>
      <c r="C554" t="s">
        <v>13</v>
      </c>
      <c r="D554" t="s">
        <v>14</v>
      </c>
      <c r="E554" t="s">
        <v>22</v>
      </c>
      <c r="F554" t="s">
        <v>41</v>
      </c>
      <c r="G554" t="s">
        <v>17</v>
      </c>
      <c r="H554" t="s">
        <v>219</v>
      </c>
      <c r="I554" t="s">
        <v>220</v>
      </c>
      <c r="J554" t="s">
        <v>32</v>
      </c>
      <c r="K554" t="s">
        <v>221</v>
      </c>
      <c r="L554" t="s">
        <v>222</v>
      </c>
      <c r="M554" t="s">
        <v>223</v>
      </c>
      <c r="N554" t="s">
        <v>221</v>
      </c>
      <c r="O554" t="s">
        <v>215</v>
      </c>
      <c r="P554" t="s">
        <v>216</v>
      </c>
      <c r="Q554" t="s">
        <v>217</v>
      </c>
      <c r="R554" t="s">
        <v>218</v>
      </c>
      <c r="S554" t="s">
        <v>265</v>
      </c>
    </row>
    <row r="555" spans="1:19" x14ac:dyDescent="0.35">
      <c r="A555" t="s">
        <v>75</v>
      </c>
      <c r="B555" t="s">
        <v>29</v>
      </c>
      <c r="C555" t="s">
        <v>21</v>
      </c>
      <c r="D555" t="s">
        <v>26</v>
      </c>
      <c r="E555" t="s">
        <v>15</v>
      </c>
      <c r="F555" t="s">
        <v>23</v>
      </c>
      <c r="G555" t="s">
        <v>24</v>
      </c>
      <c r="H555" t="s">
        <v>239</v>
      </c>
      <c r="I555" t="s">
        <v>220</v>
      </c>
      <c r="J555" t="s">
        <v>27</v>
      </c>
      <c r="K555" t="s">
        <v>245</v>
      </c>
      <c r="L555" t="s">
        <v>231</v>
      </c>
      <c r="M555" t="s">
        <v>311</v>
      </c>
      <c r="N555" t="s">
        <v>245</v>
      </c>
      <c r="O555" t="s">
        <v>215</v>
      </c>
      <c r="P555" t="s">
        <v>216</v>
      </c>
      <c r="Q555" t="s">
        <v>217</v>
      </c>
      <c r="R555" t="s">
        <v>218</v>
      </c>
      <c r="S555" t="s">
        <v>265</v>
      </c>
    </row>
    <row r="556" spans="1:19" x14ac:dyDescent="0.35">
      <c r="A556" t="s">
        <v>118</v>
      </c>
      <c r="B556" t="s">
        <v>20</v>
      </c>
      <c r="C556" t="s">
        <v>30</v>
      </c>
      <c r="D556" t="s">
        <v>26</v>
      </c>
      <c r="E556" t="s">
        <v>15</v>
      </c>
      <c r="F556" t="s">
        <v>47</v>
      </c>
      <c r="G556" t="s">
        <v>36</v>
      </c>
      <c r="H556" t="s">
        <v>229</v>
      </c>
      <c r="I556" t="s">
        <v>249</v>
      </c>
      <c r="J556" t="s">
        <v>54</v>
      </c>
      <c r="K556" t="s">
        <v>231</v>
      </c>
      <c r="L556" t="s">
        <v>228</v>
      </c>
      <c r="M556" t="s">
        <v>290</v>
      </c>
      <c r="N556" t="s">
        <v>226</v>
      </c>
      <c r="O556" t="s">
        <v>215</v>
      </c>
      <c r="P556" t="s">
        <v>216</v>
      </c>
      <c r="Q556" t="s">
        <v>217</v>
      </c>
      <c r="R556" t="s">
        <v>218</v>
      </c>
      <c r="S556" t="s">
        <v>238</v>
      </c>
    </row>
    <row r="557" spans="1:19" x14ac:dyDescent="0.35">
      <c r="A557" t="s">
        <v>86</v>
      </c>
      <c r="B557" t="s">
        <v>29</v>
      </c>
      <c r="C557" t="s">
        <v>21</v>
      </c>
      <c r="D557" t="s">
        <v>14</v>
      </c>
      <c r="E557" t="s">
        <v>22</v>
      </c>
      <c r="F557" t="s">
        <v>56</v>
      </c>
      <c r="G557" t="s">
        <v>36</v>
      </c>
      <c r="H557" t="s">
        <v>260</v>
      </c>
      <c r="I557" t="s">
        <v>249</v>
      </c>
      <c r="J557" t="s">
        <v>50</v>
      </c>
      <c r="K557" t="s">
        <v>261</v>
      </c>
      <c r="L557" t="s">
        <v>262</v>
      </c>
      <c r="M557" t="s">
        <v>263</v>
      </c>
      <c r="N557" t="s">
        <v>264</v>
      </c>
      <c r="O557" t="s">
        <v>215</v>
      </c>
      <c r="P557" t="s">
        <v>216</v>
      </c>
      <c r="Q557" t="s">
        <v>217</v>
      </c>
      <c r="R557" t="s">
        <v>218</v>
      </c>
      <c r="S557" t="s">
        <v>238</v>
      </c>
    </row>
    <row r="558" spans="1:19" x14ac:dyDescent="0.35">
      <c r="A558" t="s">
        <v>53</v>
      </c>
      <c r="B558" t="s">
        <v>34</v>
      </c>
      <c r="C558" t="s">
        <v>21</v>
      </c>
      <c r="D558" t="s">
        <v>26</v>
      </c>
      <c r="E558" t="s">
        <v>15</v>
      </c>
      <c r="F558" t="s">
        <v>23</v>
      </c>
      <c r="G558" t="s">
        <v>24</v>
      </c>
      <c r="H558" t="s">
        <v>239</v>
      </c>
      <c r="I558" t="s">
        <v>220</v>
      </c>
      <c r="J558" t="s">
        <v>54</v>
      </c>
      <c r="K558" t="s">
        <v>245</v>
      </c>
      <c r="L558" t="s">
        <v>231</v>
      </c>
      <c r="M558" t="s">
        <v>311</v>
      </c>
      <c r="N558" t="s">
        <v>245</v>
      </c>
      <c r="O558" t="s">
        <v>215</v>
      </c>
      <c r="P558" t="s">
        <v>216</v>
      </c>
      <c r="Q558" t="s">
        <v>217</v>
      </c>
      <c r="R558" t="s">
        <v>218</v>
      </c>
      <c r="S558" t="s">
        <v>244</v>
      </c>
    </row>
    <row r="559" spans="1:19" x14ac:dyDescent="0.35">
      <c r="A559" t="s">
        <v>118</v>
      </c>
      <c r="B559" t="s">
        <v>29</v>
      </c>
      <c r="C559" t="s">
        <v>13</v>
      </c>
      <c r="D559" t="s">
        <v>26</v>
      </c>
      <c r="E559" t="s">
        <v>15</v>
      </c>
      <c r="F559" t="s">
        <v>52</v>
      </c>
      <c r="G559" t="s">
        <v>36</v>
      </c>
      <c r="H559" t="s">
        <v>291</v>
      </c>
      <c r="I559" t="s">
        <v>265</v>
      </c>
      <c r="J559" t="s">
        <v>50</v>
      </c>
      <c r="K559" t="s">
        <v>292</v>
      </c>
      <c r="L559" t="s">
        <v>233</v>
      </c>
      <c r="M559" t="s">
        <v>293</v>
      </c>
      <c r="N559" t="s">
        <v>294</v>
      </c>
      <c r="O559" t="s">
        <v>215</v>
      </c>
      <c r="P559" t="s">
        <v>216</v>
      </c>
      <c r="Q559" t="s">
        <v>217</v>
      </c>
      <c r="R559" t="s">
        <v>218</v>
      </c>
      <c r="S559" t="s">
        <v>238</v>
      </c>
    </row>
    <row r="560" spans="1:19" x14ac:dyDescent="0.35">
      <c r="A560" t="s">
        <v>94</v>
      </c>
      <c r="B560" t="s">
        <v>29</v>
      </c>
      <c r="C560" t="s">
        <v>13</v>
      </c>
      <c r="D560" t="s">
        <v>26</v>
      </c>
      <c r="E560" t="s">
        <v>22</v>
      </c>
      <c r="F560" t="s">
        <v>23</v>
      </c>
      <c r="G560" t="s">
        <v>24</v>
      </c>
      <c r="H560" t="s">
        <v>239</v>
      </c>
      <c r="I560" t="s">
        <v>240</v>
      </c>
      <c r="J560" t="s">
        <v>50</v>
      </c>
      <c r="K560" t="s">
        <v>245</v>
      </c>
      <c r="L560" t="s">
        <v>209</v>
      </c>
      <c r="M560" t="s">
        <v>211</v>
      </c>
      <c r="N560" t="s">
        <v>254</v>
      </c>
      <c r="O560" t="s">
        <v>215</v>
      </c>
      <c r="P560" t="s">
        <v>216</v>
      </c>
      <c r="Q560" t="s">
        <v>217</v>
      </c>
      <c r="R560" t="s">
        <v>218</v>
      </c>
      <c r="S560" t="s">
        <v>244</v>
      </c>
    </row>
    <row r="561" spans="1:19" x14ac:dyDescent="0.35">
      <c r="A561" t="s">
        <v>149</v>
      </c>
      <c r="B561" t="s">
        <v>34</v>
      </c>
      <c r="C561" t="s">
        <v>38</v>
      </c>
      <c r="D561" t="s">
        <v>26</v>
      </c>
      <c r="E561" t="s">
        <v>15</v>
      </c>
      <c r="F561" t="s">
        <v>58</v>
      </c>
      <c r="G561" t="s">
        <v>24</v>
      </c>
      <c r="H561" t="s">
        <v>255</v>
      </c>
      <c r="I561" t="s">
        <v>265</v>
      </c>
      <c r="J561" t="s">
        <v>43</v>
      </c>
      <c r="K561" t="s">
        <v>256</v>
      </c>
      <c r="L561" t="s">
        <v>287</v>
      </c>
      <c r="M561" t="s">
        <v>296</v>
      </c>
      <c r="N561" t="s">
        <v>341</v>
      </c>
      <c r="O561" t="s">
        <v>215</v>
      </c>
      <c r="P561" t="s">
        <v>216</v>
      </c>
      <c r="Q561" t="s">
        <v>217</v>
      </c>
      <c r="R561" t="s">
        <v>218</v>
      </c>
      <c r="S561" t="s">
        <v>244</v>
      </c>
    </row>
    <row r="562" spans="1:19" x14ac:dyDescent="0.35">
      <c r="A562" t="s">
        <v>144</v>
      </c>
      <c r="B562" t="s">
        <v>29</v>
      </c>
      <c r="C562" t="s">
        <v>13</v>
      </c>
      <c r="D562" t="s">
        <v>14</v>
      </c>
      <c r="E562" t="s">
        <v>15</v>
      </c>
      <c r="F562" t="s">
        <v>35</v>
      </c>
      <c r="G562" t="s">
        <v>36</v>
      </c>
      <c r="H562" t="s">
        <v>224</v>
      </c>
      <c r="I562" t="s">
        <v>220</v>
      </c>
      <c r="J562" t="s">
        <v>43</v>
      </c>
      <c r="K562" t="s">
        <v>226</v>
      </c>
      <c r="L562" t="s">
        <v>228</v>
      </c>
      <c r="M562" t="s">
        <v>290</v>
      </c>
      <c r="N562" t="s">
        <v>226</v>
      </c>
      <c r="O562" t="s">
        <v>215</v>
      </c>
      <c r="P562" t="s">
        <v>216</v>
      </c>
      <c r="Q562" t="s">
        <v>217</v>
      </c>
      <c r="R562" t="s">
        <v>218</v>
      </c>
      <c r="S562" t="s">
        <v>265</v>
      </c>
    </row>
    <row r="563" spans="1:19" x14ac:dyDescent="0.35">
      <c r="A563" t="s">
        <v>125</v>
      </c>
      <c r="B563" t="s">
        <v>29</v>
      </c>
      <c r="C563" t="s">
        <v>13</v>
      </c>
      <c r="D563" t="s">
        <v>26</v>
      </c>
      <c r="E563" t="s">
        <v>15</v>
      </c>
      <c r="F563" t="s">
        <v>52</v>
      </c>
      <c r="G563" t="s">
        <v>36</v>
      </c>
      <c r="H563" t="s">
        <v>291</v>
      </c>
      <c r="I563" t="s">
        <v>249</v>
      </c>
      <c r="J563" t="s">
        <v>18</v>
      </c>
      <c r="K563" t="s">
        <v>292</v>
      </c>
      <c r="L563" t="s">
        <v>299</v>
      </c>
      <c r="M563" t="s">
        <v>300</v>
      </c>
      <c r="N563" t="s">
        <v>293</v>
      </c>
      <c r="O563" t="s">
        <v>215</v>
      </c>
      <c r="P563" t="s">
        <v>216</v>
      </c>
      <c r="Q563" t="s">
        <v>217</v>
      </c>
      <c r="R563" t="s">
        <v>218</v>
      </c>
      <c r="S563" t="s">
        <v>220</v>
      </c>
    </row>
    <row r="564" spans="1:19" x14ac:dyDescent="0.35">
      <c r="A564" t="s">
        <v>60</v>
      </c>
      <c r="B564" t="s">
        <v>20</v>
      </c>
      <c r="C564" t="s">
        <v>13</v>
      </c>
      <c r="D564" t="s">
        <v>14</v>
      </c>
      <c r="E564" t="s">
        <v>15</v>
      </c>
      <c r="F564" t="s">
        <v>41</v>
      </c>
      <c r="G564" t="s">
        <v>17</v>
      </c>
      <c r="H564" t="s">
        <v>219</v>
      </c>
      <c r="I564" t="s">
        <v>220</v>
      </c>
      <c r="J564" t="s">
        <v>43</v>
      </c>
      <c r="K564" t="s">
        <v>221</v>
      </c>
      <c r="L564" t="s">
        <v>222</v>
      </c>
      <c r="M564" t="s">
        <v>223</v>
      </c>
      <c r="N564" t="s">
        <v>221</v>
      </c>
      <c r="O564" t="s">
        <v>215</v>
      </c>
      <c r="P564" t="s">
        <v>216</v>
      </c>
      <c r="Q564" t="s">
        <v>217</v>
      </c>
      <c r="R564" t="s">
        <v>218</v>
      </c>
      <c r="S564" t="s">
        <v>244</v>
      </c>
    </row>
    <row r="565" spans="1:19" x14ac:dyDescent="0.35">
      <c r="A565" t="s">
        <v>59</v>
      </c>
      <c r="B565" t="s">
        <v>12</v>
      </c>
      <c r="C565" t="s">
        <v>13</v>
      </c>
      <c r="D565" t="s">
        <v>26</v>
      </c>
      <c r="E565" t="s">
        <v>22</v>
      </c>
      <c r="F565" t="s">
        <v>56</v>
      </c>
      <c r="G565" t="s">
        <v>36</v>
      </c>
      <c r="H565" t="s">
        <v>260</v>
      </c>
      <c r="I565" t="s">
        <v>249</v>
      </c>
      <c r="J565" t="s">
        <v>27</v>
      </c>
      <c r="K565" t="s">
        <v>261</v>
      </c>
      <c r="L565" t="s">
        <v>262</v>
      </c>
      <c r="M565" t="s">
        <v>263</v>
      </c>
      <c r="N565" t="s">
        <v>264</v>
      </c>
      <c r="O565" t="s">
        <v>215</v>
      </c>
      <c r="P565" t="s">
        <v>216</v>
      </c>
      <c r="Q565" t="s">
        <v>217</v>
      </c>
      <c r="R565" t="s">
        <v>218</v>
      </c>
      <c r="S565" t="s">
        <v>265</v>
      </c>
    </row>
    <row r="566" spans="1:19" x14ac:dyDescent="0.35">
      <c r="A566" t="s">
        <v>76</v>
      </c>
      <c r="B566" t="s">
        <v>20</v>
      </c>
      <c r="C566" t="s">
        <v>21</v>
      </c>
      <c r="D566" t="s">
        <v>14</v>
      </c>
      <c r="E566" t="s">
        <v>22</v>
      </c>
      <c r="F566" t="s">
        <v>41</v>
      </c>
      <c r="G566" t="s">
        <v>17</v>
      </c>
      <c r="H566" t="s">
        <v>219</v>
      </c>
      <c r="I566" t="s">
        <v>230</v>
      </c>
      <c r="J566" t="s">
        <v>54</v>
      </c>
      <c r="K566" t="s">
        <v>221</v>
      </c>
      <c r="L566" t="s">
        <v>235</v>
      </c>
      <c r="M566" t="s">
        <v>236</v>
      </c>
      <c r="N566" t="s">
        <v>237</v>
      </c>
      <c r="O566" t="s">
        <v>215</v>
      </c>
      <c r="P566" t="s">
        <v>216</v>
      </c>
      <c r="Q566" t="s">
        <v>217</v>
      </c>
      <c r="R566" t="s">
        <v>218</v>
      </c>
      <c r="S566" t="s">
        <v>265</v>
      </c>
    </row>
    <row r="567" spans="1:19" x14ac:dyDescent="0.35">
      <c r="A567" t="s">
        <v>64</v>
      </c>
      <c r="B567" t="s">
        <v>12</v>
      </c>
      <c r="C567" t="s">
        <v>21</v>
      </c>
      <c r="D567" t="s">
        <v>26</v>
      </c>
      <c r="E567" t="s">
        <v>22</v>
      </c>
      <c r="F567" t="s">
        <v>35</v>
      </c>
      <c r="G567" t="s">
        <v>36</v>
      </c>
      <c r="H567" t="s">
        <v>224</v>
      </c>
      <c r="I567" t="s">
        <v>240</v>
      </c>
      <c r="J567" t="s">
        <v>27</v>
      </c>
      <c r="K567" t="s">
        <v>226</v>
      </c>
      <c r="L567" t="s">
        <v>212</v>
      </c>
      <c r="M567" t="s">
        <v>213</v>
      </c>
      <c r="N567" t="s">
        <v>214</v>
      </c>
      <c r="O567" t="s">
        <v>215</v>
      </c>
      <c r="P567" t="s">
        <v>216</v>
      </c>
      <c r="Q567" t="s">
        <v>217</v>
      </c>
      <c r="R567" t="s">
        <v>218</v>
      </c>
      <c r="S567" t="s">
        <v>265</v>
      </c>
    </row>
    <row r="568" spans="1:19" x14ac:dyDescent="0.35">
      <c r="A568" t="s">
        <v>77</v>
      </c>
      <c r="B568" t="s">
        <v>34</v>
      </c>
      <c r="C568" t="s">
        <v>38</v>
      </c>
      <c r="D568" t="s">
        <v>26</v>
      </c>
      <c r="E568" t="s">
        <v>22</v>
      </c>
      <c r="F568" t="s">
        <v>39</v>
      </c>
      <c r="G568" t="s">
        <v>24</v>
      </c>
      <c r="H568" t="s">
        <v>209</v>
      </c>
      <c r="I568" t="s">
        <v>220</v>
      </c>
      <c r="J568" t="s">
        <v>18</v>
      </c>
      <c r="K568" t="s">
        <v>211</v>
      </c>
      <c r="L568" t="s">
        <v>302</v>
      </c>
      <c r="M568" t="s">
        <v>342</v>
      </c>
      <c r="N568" t="s">
        <v>211</v>
      </c>
      <c r="O568" t="s">
        <v>215</v>
      </c>
      <c r="P568" t="s">
        <v>216</v>
      </c>
      <c r="Q568" t="s">
        <v>217</v>
      </c>
      <c r="R568" t="s">
        <v>218</v>
      </c>
      <c r="S568" t="s">
        <v>238</v>
      </c>
    </row>
    <row r="569" spans="1:19" x14ac:dyDescent="0.35">
      <c r="A569" t="s">
        <v>131</v>
      </c>
      <c r="B569" t="s">
        <v>12</v>
      </c>
      <c r="C569" t="s">
        <v>13</v>
      </c>
      <c r="D569" t="s">
        <v>26</v>
      </c>
      <c r="E569" t="s">
        <v>15</v>
      </c>
      <c r="F569" t="s">
        <v>56</v>
      </c>
      <c r="G569" t="s">
        <v>36</v>
      </c>
      <c r="H569" t="s">
        <v>260</v>
      </c>
      <c r="I569" t="s">
        <v>240</v>
      </c>
      <c r="J569" t="s">
        <v>43</v>
      </c>
      <c r="K569" t="s">
        <v>261</v>
      </c>
      <c r="L569" t="s">
        <v>227</v>
      </c>
      <c r="M569" t="s">
        <v>228</v>
      </c>
      <c r="N569" t="s">
        <v>224</v>
      </c>
      <c r="O569" t="s">
        <v>215</v>
      </c>
      <c r="P569" t="s">
        <v>216</v>
      </c>
      <c r="Q569" t="s">
        <v>217</v>
      </c>
      <c r="R569" t="s">
        <v>218</v>
      </c>
      <c r="S569" t="s">
        <v>238</v>
      </c>
    </row>
    <row r="570" spans="1:19" x14ac:dyDescent="0.35">
      <c r="A570" t="s">
        <v>65</v>
      </c>
      <c r="B570" t="s">
        <v>12</v>
      </c>
      <c r="C570" t="s">
        <v>30</v>
      </c>
      <c r="D570" t="s">
        <v>26</v>
      </c>
      <c r="E570" t="s">
        <v>15</v>
      </c>
      <c r="F570" t="s">
        <v>56</v>
      </c>
      <c r="G570" t="s">
        <v>36</v>
      </c>
      <c r="H570" t="s">
        <v>260</v>
      </c>
      <c r="I570" t="s">
        <v>230</v>
      </c>
      <c r="J570" t="s">
        <v>43</v>
      </c>
      <c r="K570" t="s">
        <v>261</v>
      </c>
      <c r="L570" t="s">
        <v>368</v>
      </c>
      <c r="M570" t="s">
        <v>369</v>
      </c>
      <c r="N570" t="s">
        <v>370</v>
      </c>
      <c r="O570" t="s">
        <v>215</v>
      </c>
      <c r="P570" t="s">
        <v>216</v>
      </c>
      <c r="Q570" t="s">
        <v>217</v>
      </c>
      <c r="R570" t="s">
        <v>218</v>
      </c>
      <c r="S570" t="s">
        <v>265</v>
      </c>
    </row>
    <row r="571" spans="1:19" x14ac:dyDescent="0.35">
      <c r="A571" t="s">
        <v>89</v>
      </c>
      <c r="B571" t="s">
        <v>20</v>
      </c>
      <c r="C571" t="s">
        <v>21</v>
      </c>
      <c r="D571" t="s">
        <v>14</v>
      </c>
      <c r="E571" t="s">
        <v>22</v>
      </c>
      <c r="F571" t="s">
        <v>52</v>
      </c>
      <c r="G571" t="s">
        <v>36</v>
      </c>
      <c r="H571" t="s">
        <v>291</v>
      </c>
      <c r="I571" t="s">
        <v>265</v>
      </c>
      <c r="J571" t="s">
        <v>18</v>
      </c>
      <c r="K571" t="s">
        <v>292</v>
      </c>
      <c r="L571" t="s">
        <v>233</v>
      </c>
      <c r="M571" t="s">
        <v>293</v>
      </c>
      <c r="N571" t="s">
        <v>294</v>
      </c>
      <c r="O571" t="s">
        <v>215</v>
      </c>
      <c r="P571" t="s">
        <v>216</v>
      </c>
      <c r="Q571" t="s">
        <v>217</v>
      </c>
      <c r="R571" t="s">
        <v>218</v>
      </c>
      <c r="S571" t="s">
        <v>244</v>
      </c>
    </row>
    <row r="572" spans="1:19" x14ac:dyDescent="0.35">
      <c r="A572" t="s">
        <v>153</v>
      </c>
      <c r="B572" t="s">
        <v>29</v>
      </c>
      <c r="C572" t="s">
        <v>21</v>
      </c>
      <c r="D572" t="s">
        <v>26</v>
      </c>
      <c r="E572" t="s">
        <v>15</v>
      </c>
      <c r="F572" t="s">
        <v>47</v>
      </c>
      <c r="G572" t="s">
        <v>36</v>
      </c>
      <c r="H572" t="s">
        <v>229</v>
      </c>
      <c r="I572" t="s">
        <v>265</v>
      </c>
      <c r="J572" t="s">
        <v>27</v>
      </c>
      <c r="K572" t="s">
        <v>231</v>
      </c>
      <c r="L572" t="s">
        <v>224</v>
      </c>
      <c r="M572" t="s">
        <v>226</v>
      </c>
      <c r="N572" t="s">
        <v>252</v>
      </c>
      <c r="O572" t="s">
        <v>215</v>
      </c>
      <c r="P572" t="s">
        <v>216</v>
      </c>
      <c r="Q572" t="s">
        <v>217</v>
      </c>
      <c r="R572" t="s">
        <v>218</v>
      </c>
      <c r="S572" t="s">
        <v>220</v>
      </c>
    </row>
    <row r="573" spans="1:19" x14ac:dyDescent="0.35">
      <c r="A573" t="s">
        <v>94</v>
      </c>
      <c r="B573" t="s">
        <v>34</v>
      </c>
      <c r="C573" t="s">
        <v>21</v>
      </c>
      <c r="D573" t="s">
        <v>14</v>
      </c>
      <c r="E573" t="s">
        <v>15</v>
      </c>
      <c r="F573" t="s">
        <v>58</v>
      </c>
      <c r="G573" t="s">
        <v>24</v>
      </c>
      <c r="H573" t="s">
        <v>255</v>
      </c>
      <c r="I573" t="s">
        <v>249</v>
      </c>
      <c r="J573" t="s">
        <v>54</v>
      </c>
      <c r="K573" t="s">
        <v>256</v>
      </c>
      <c r="L573" t="s">
        <v>286</v>
      </c>
      <c r="M573" t="s">
        <v>295</v>
      </c>
      <c r="N573" t="s">
        <v>296</v>
      </c>
      <c r="O573" t="s">
        <v>215</v>
      </c>
      <c r="P573" t="s">
        <v>216</v>
      </c>
      <c r="Q573" t="s">
        <v>217</v>
      </c>
      <c r="R573" t="s">
        <v>218</v>
      </c>
      <c r="S573" t="s">
        <v>244</v>
      </c>
    </row>
    <row r="574" spans="1:19" x14ac:dyDescent="0.35">
      <c r="A574" t="s">
        <v>141</v>
      </c>
      <c r="B574" t="s">
        <v>20</v>
      </c>
      <c r="C574" t="s">
        <v>13</v>
      </c>
      <c r="D574" t="s">
        <v>14</v>
      </c>
      <c r="E574" t="s">
        <v>22</v>
      </c>
      <c r="F574" t="s">
        <v>47</v>
      </c>
      <c r="G574" t="s">
        <v>36</v>
      </c>
      <c r="H574" t="s">
        <v>229</v>
      </c>
      <c r="I574" t="s">
        <v>265</v>
      </c>
      <c r="J574" t="s">
        <v>32</v>
      </c>
      <c r="K574" t="s">
        <v>231</v>
      </c>
      <c r="L574" t="s">
        <v>224</v>
      </c>
      <c r="M574" t="s">
        <v>226</v>
      </c>
      <c r="N574" t="s">
        <v>252</v>
      </c>
      <c r="O574" t="s">
        <v>215</v>
      </c>
      <c r="P574" t="s">
        <v>216</v>
      </c>
      <c r="Q574" t="s">
        <v>217</v>
      </c>
      <c r="R574" t="s">
        <v>218</v>
      </c>
      <c r="S574" t="s">
        <v>265</v>
      </c>
    </row>
    <row r="575" spans="1:19" x14ac:dyDescent="0.35">
      <c r="A575" t="s">
        <v>157</v>
      </c>
      <c r="B575" t="s">
        <v>20</v>
      </c>
      <c r="C575" t="s">
        <v>21</v>
      </c>
      <c r="D575" t="s">
        <v>26</v>
      </c>
      <c r="E575" t="s">
        <v>15</v>
      </c>
      <c r="F575" t="s">
        <v>23</v>
      </c>
      <c r="G575" t="s">
        <v>24</v>
      </c>
      <c r="H575" t="s">
        <v>239</v>
      </c>
      <c r="I575" t="s">
        <v>238</v>
      </c>
      <c r="J575" t="s">
        <v>43</v>
      </c>
      <c r="K575" t="s">
        <v>245</v>
      </c>
      <c r="L575" t="s">
        <v>239</v>
      </c>
      <c r="M575" t="s">
        <v>245</v>
      </c>
      <c r="N575" t="s">
        <v>353</v>
      </c>
      <c r="O575" t="s">
        <v>215</v>
      </c>
      <c r="P575" t="s">
        <v>216</v>
      </c>
      <c r="Q575" t="s">
        <v>217</v>
      </c>
      <c r="R575" t="s">
        <v>218</v>
      </c>
      <c r="S575" t="s">
        <v>244</v>
      </c>
    </row>
    <row r="576" spans="1:19" x14ac:dyDescent="0.35">
      <c r="A576" t="s">
        <v>28</v>
      </c>
      <c r="B576" t="s">
        <v>20</v>
      </c>
      <c r="C576" t="s">
        <v>13</v>
      </c>
      <c r="D576" t="s">
        <v>14</v>
      </c>
      <c r="E576" t="s">
        <v>22</v>
      </c>
      <c r="F576" t="s">
        <v>39</v>
      </c>
      <c r="G576" t="s">
        <v>24</v>
      </c>
      <c r="H576" t="s">
        <v>209</v>
      </c>
      <c r="I576" t="s">
        <v>225</v>
      </c>
      <c r="J576" t="s">
        <v>18</v>
      </c>
      <c r="K576" t="s">
        <v>211</v>
      </c>
      <c r="L576" t="s">
        <v>301</v>
      </c>
      <c r="M576" t="s">
        <v>302</v>
      </c>
      <c r="N576" t="s">
        <v>209</v>
      </c>
      <c r="O576" t="s">
        <v>215</v>
      </c>
      <c r="P576" t="s">
        <v>216</v>
      </c>
      <c r="Q576" t="s">
        <v>217</v>
      </c>
      <c r="R576" t="s">
        <v>218</v>
      </c>
      <c r="S576" t="s">
        <v>220</v>
      </c>
    </row>
    <row r="577" spans="1:19" x14ac:dyDescent="0.35">
      <c r="A577" t="s">
        <v>49</v>
      </c>
      <c r="B577" t="s">
        <v>12</v>
      </c>
      <c r="C577" t="s">
        <v>30</v>
      </c>
      <c r="D577" t="s">
        <v>26</v>
      </c>
      <c r="E577" t="s">
        <v>22</v>
      </c>
      <c r="F577" t="s">
        <v>47</v>
      </c>
      <c r="G577" t="s">
        <v>36</v>
      </c>
      <c r="H577" t="s">
        <v>229</v>
      </c>
      <c r="I577" t="s">
        <v>269</v>
      </c>
      <c r="J577" t="s">
        <v>50</v>
      </c>
      <c r="K577" t="s">
        <v>231</v>
      </c>
      <c r="L577" t="s">
        <v>367</v>
      </c>
      <c r="M577" t="s">
        <v>266</v>
      </c>
      <c r="N577" t="s">
        <v>309</v>
      </c>
      <c r="O577" t="s">
        <v>215</v>
      </c>
      <c r="P577" t="s">
        <v>216</v>
      </c>
      <c r="Q577" t="s">
        <v>217</v>
      </c>
      <c r="R577" t="s">
        <v>218</v>
      </c>
      <c r="S577" t="s">
        <v>220</v>
      </c>
    </row>
    <row r="578" spans="1:19" x14ac:dyDescent="0.35">
      <c r="A578" t="s">
        <v>64</v>
      </c>
      <c r="B578" t="s">
        <v>29</v>
      </c>
      <c r="C578" t="s">
        <v>21</v>
      </c>
      <c r="D578" t="s">
        <v>26</v>
      </c>
      <c r="E578" t="s">
        <v>22</v>
      </c>
      <c r="F578" t="s">
        <v>47</v>
      </c>
      <c r="G578" t="s">
        <v>36</v>
      </c>
      <c r="H578" t="s">
        <v>229</v>
      </c>
      <c r="I578" t="s">
        <v>225</v>
      </c>
      <c r="J578" t="s">
        <v>50</v>
      </c>
      <c r="K578" t="s">
        <v>231</v>
      </c>
      <c r="L578" t="s">
        <v>288</v>
      </c>
      <c r="M578" t="s">
        <v>289</v>
      </c>
      <c r="N578" t="s">
        <v>229</v>
      </c>
      <c r="O578" t="s">
        <v>215</v>
      </c>
      <c r="P578" t="s">
        <v>216</v>
      </c>
      <c r="Q578" t="s">
        <v>217</v>
      </c>
      <c r="R578" t="s">
        <v>218</v>
      </c>
      <c r="S578" t="s">
        <v>265</v>
      </c>
    </row>
    <row r="579" spans="1:19" x14ac:dyDescent="0.35">
      <c r="A579" t="s">
        <v>122</v>
      </c>
      <c r="B579" t="s">
        <v>29</v>
      </c>
      <c r="C579" t="s">
        <v>13</v>
      </c>
      <c r="D579" t="s">
        <v>14</v>
      </c>
      <c r="E579" t="s">
        <v>15</v>
      </c>
      <c r="F579" t="s">
        <v>58</v>
      </c>
      <c r="G579" t="s">
        <v>24</v>
      </c>
      <c r="H579" t="s">
        <v>255</v>
      </c>
      <c r="I579" t="s">
        <v>220</v>
      </c>
      <c r="J579" t="s">
        <v>54</v>
      </c>
      <c r="K579" t="s">
        <v>256</v>
      </c>
      <c r="L579" t="s">
        <v>303</v>
      </c>
      <c r="M579" t="s">
        <v>304</v>
      </c>
      <c r="N579" t="s">
        <v>256</v>
      </c>
      <c r="O579" t="s">
        <v>215</v>
      </c>
      <c r="P579" t="s">
        <v>216</v>
      </c>
      <c r="Q579" t="s">
        <v>217</v>
      </c>
      <c r="R579" t="s">
        <v>218</v>
      </c>
      <c r="S579" t="s">
        <v>220</v>
      </c>
    </row>
    <row r="580" spans="1:19" x14ac:dyDescent="0.35">
      <c r="A580" t="s">
        <v>118</v>
      </c>
      <c r="B580" t="s">
        <v>12</v>
      </c>
      <c r="C580" t="s">
        <v>30</v>
      </c>
      <c r="D580" t="s">
        <v>14</v>
      </c>
      <c r="E580" t="s">
        <v>15</v>
      </c>
      <c r="F580" t="s">
        <v>41</v>
      </c>
      <c r="G580" t="s">
        <v>17</v>
      </c>
      <c r="H580" t="s">
        <v>219</v>
      </c>
      <c r="I580" t="s">
        <v>220</v>
      </c>
      <c r="J580" t="s">
        <v>18</v>
      </c>
      <c r="K580" t="s">
        <v>221</v>
      </c>
      <c r="L580" t="s">
        <v>222</v>
      </c>
      <c r="M580" t="s">
        <v>223</v>
      </c>
      <c r="N580" t="s">
        <v>221</v>
      </c>
      <c r="O580" t="s">
        <v>215</v>
      </c>
      <c r="P580" t="s">
        <v>216</v>
      </c>
      <c r="Q580" t="s">
        <v>217</v>
      </c>
      <c r="R580" t="s">
        <v>218</v>
      </c>
      <c r="S580" t="s">
        <v>238</v>
      </c>
    </row>
    <row r="581" spans="1:19" x14ac:dyDescent="0.35">
      <c r="A581" t="s">
        <v>88</v>
      </c>
      <c r="B581" t="s">
        <v>12</v>
      </c>
      <c r="C581" t="s">
        <v>38</v>
      </c>
      <c r="D581" t="s">
        <v>26</v>
      </c>
      <c r="E581" t="s">
        <v>22</v>
      </c>
      <c r="F581" t="s">
        <v>41</v>
      </c>
      <c r="G581" t="s">
        <v>17</v>
      </c>
      <c r="H581" t="s">
        <v>219</v>
      </c>
      <c r="I581" t="s">
        <v>249</v>
      </c>
      <c r="J581" t="s">
        <v>18</v>
      </c>
      <c r="K581" t="s">
        <v>221</v>
      </c>
      <c r="L581" t="s">
        <v>279</v>
      </c>
      <c r="M581" t="s">
        <v>320</v>
      </c>
      <c r="N581" t="s">
        <v>321</v>
      </c>
      <c r="O581" t="s">
        <v>215</v>
      </c>
      <c r="P581" t="s">
        <v>216</v>
      </c>
      <c r="Q581" t="s">
        <v>217</v>
      </c>
      <c r="R581" t="s">
        <v>218</v>
      </c>
      <c r="S581" t="s">
        <v>244</v>
      </c>
    </row>
    <row r="582" spans="1:19" x14ac:dyDescent="0.35">
      <c r="A582" t="s">
        <v>152</v>
      </c>
      <c r="B582" t="s">
        <v>34</v>
      </c>
      <c r="C582" t="s">
        <v>38</v>
      </c>
      <c r="D582" t="s">
        <v>14</v>
      </c>
      <c r="E582" t="s">
        <v>15</v>
      </c>
      <c r="F582" t="s">
        <v>31</v>
      </c>
      <c r="G582" t="s">
        <v>24</v>
      </c>
      <c r="H582" t="s">
        <v>252</v>
      </c>
      <c r="I582" t="s">
        <v>269</v>
      </c>
      <c r="J582" t="s">
        <v>18</v>
      </c>
      <c r="K582" t="s">
        <v>253</v>
      </c>
      <c r="L582" t="s">
        <v>272</v>
      </c>
      <c r="M582" t="s">
        <v>273</v>
      </c>
      <c r="N582" t="s">
        <v>274</v>
      </c>
      <c r="O582" t="s">
        <v>215</v>
      </c>
      <c r="P582" t="s">
        <v>216</v>
      </c>
      <c r="Q582" t="s">
        <v>217</v>
      </c>
      <c r="R582" t="s">
        <v>218</v>
      </c>
      <c r="S582" t="s">
        <v>220</v>
      </c>
    </row>
    <row r="583" spans="1:19" x14ac:dyDescent="0.35">
      <c r="A583" t="s">
        <v>88</v>
      </c>
      <c r="B583" t="s">
        <v>20</v>
      </c>
      <c r="C583" t="s">
        <v>21</v>
      </c>
      <c r="D583" t="s">
        <v>14</v>
      </c>
      <c r="E583" t="s">
        <v>22</v>
      </c>
      <c r="F583" t="s">
        <v>35</v>
      </c>
      <c r="G583" t="s">
        <v>36</v>
      </c>
      <c r="H583" t="s">
        <v>224</v>
      </c>
      <c r="I583" t="s">
        <v>210</v>
      </c>
      <c r="J583" t="s">
        <v>18</v>
      </c>
      <c r="K583" t="s">
        <v>226</v>
      </c>
      <c r="L583" t="s">
        <v>365</v>
      </c>
      <c r="M583" t="s">
        <v>366</v>
      </c>
      <c r="N583" t="s">
        <v>289</v>
      </c>
      <c r="O583" t="s">
        <v>215</v>
      </c>
      <c r="P583" t="s">
        <v>216</v>
      </c>
      <c r="Q583" t="s">
        <v>217</v>
      </c>
      <c r="R583" t="s">
        <v>218</v>
      </c>
      <c r="S583" t="s">
        <v>244</v>
      </c>
    </row>
    <row r="584" spans="1:19" x14ac:dyDescent="0.35">
      <c r="A584" t="s">
        <v>157</v>
      </c>
      <c r="B584" t="s">
        <v>34</v>
      </c>
      <c r="C584" t="s">
        <v>21</v>
      </c>
      <c r="D584" t="s">
        <v>26</v>
      </c>
      <c r="E584" t="s">
        <v>15</v>
      </c>
      <c r="F584" t="s">
        <v>47</v>
      </c>
      <c r="G584" t="s">
        <v>36</v>
      </c>
      <c r="H584" t="s">
        <v>229</v>
      </c>
      <c r="I584" t="s">
        <v>240</v>
      </c>
      <c r="J584" t="s">
        <v>43</v>
      </c>
      <c r="K584" t="s">
        <v>231</v>
      </c>
      <c r="L584" t="s">
        <v>301</v>
      </c>
      <c r="M584" t="s">
        <v>302</v>
      </c>
      <c r="N584" t="s">
        <v>209</v>
      </c>
      <c r="O584" t="s">
        <v>215</v>
      </c>
      <c r="P584" t="s">
        <v>216</v>
      </c>
      <c r="Q584" t="s">
        <v>217</v>
      </c>
      <c r="R584" t="s">
        <v>218</v>
      </c>
      <c r="S584" t="s">
        <v>244</v>
      </c>
    </row>
    <row r="585" spans="1:19" x14ac:dyDescent="0.35">
      <c r="A585" t="s">
        <v>61</v>
      </c>
      <c r="B585" t="s">
        <v>29</v>
      </c>
      <c r="C585" t="s">
        <v>30</v>
      </c>
      <c r="D585" t="s">
        <v>26</v>
      </c>
      <c r="E585" t="s">
        <v>15</v>
      </c>
      <c r="F585" t="s">
        <v>39</v>
      </c>
      <c r="G585" t="s">
        <v>24</v>
      </c>
      <c r="H585" t="s">
        <v>209</v>
      </c>
      <c r="I585" t="s">
        <v>249</v>
      </c>
      <c r="J585" t="s">
        <v>50</v>
      </c>
      <c r="K585" t="s">
        <v>211</v>
      </c>
      <c r="L585" t="s">
        <v>213</v>
      </c>
      <c r="M585" t="s">
        <v>250</v>
      </c>
      <c r="N585" t="s">
        <v>251</v>
      </c>
      <c r="O585" t="s">
        <v>215</v>
      </c>
      <c r="P585" t="s">
        <v>216</v>
      </c>
      <c r="Q585" t="s">
        <v>217</v>
      </c>
      <c r="R585" t="s">
        <v>218</v>
      </c>
      <c r="S585" t="s">
        <v>225</v>
      </c>
    </row>
    <row r="586" spans="1:19" x14ac:dyDescent="0.35">
      <c r="A586" t="s">
        <v>159</v>
      </c>
      <c r="B586" t="s">
        <v>20</v>
      </c>
      <c r="C586" t="s">
        <v>13</v>
      </c>
      <c r="D586" t="s">
        <v>14</v>
      </c>
      <c r="E586" t="s">
        <v>15</v>
      </c>
      <c r="F586" t="s">
        <v>31</v>
      </c>
      <c r="G586" t="s">
        <v>24</v>
      </c>
      <c r="H586" t="s">
        <v>252</v>
      </c>
      <c r="I586" t="s">
        <v>230</v>
      </c>
      <c r="J586" t="s">
        <v>54</v>
      </c>
      <c r="K586" t="s">
        <v>253</v>
      </c>
      <c r="L586" t="s">
        <v>291</v>
      </c>
      <c r="M586" t="s">
        <v>292</v>
      </c>
      <c r="N586" t="s">
        <v>343</v>
      </c>
      <c r="O586" t="s">
        <v>215</v>
      </c>
      <c r="P586" t="s">
        <v>216</v>
      </c>
      <c r="Q586" t="s">
        <v>217</v>
      </c>
      <c r="R586" t="s">
        <v>218</v>
      </c>
      <c r="S586" t="s">
        <v>265</v>
      </c>
    </row>
    <row r="587" spans="1:19" x14ac:dyDescent="0.35">
      <c r="A587" t="s">
        <v>67</v>
      </c>
      <c r="B587" t="s">
        <v>20</v>
      </c>
      <c r="C587" t="s">
        <v>21</v>
      </c>
      <c r="D587" t="s">
        <v>14</v>
      </c>
      <c r="E587" t="s">
        <v>22</v>
      </c>
      <c r="F587" t="s">
        <v>47</v>
      </c>
      <c r="G587" t="s">
        <v>36</v>
      </c>
      <c r="H587" t="s">
        <v>229</v>
      </c>
      <c r="I587" t="s">
        <v>269</v>
      </c>
      <c r="J587" t="s">
        <v>18</v>
      </c>
      <c r="K587" t="s">
        <v>231</v>
      </c>
      <c r="L587" t="s">
        <v>367</v>
      </c>
      <c r="M587" t="s">
        <v>266</v>
      </c>
      <c r="N587" t="s">
        <v>309</v>
      </c>
      <c r="O587" t="s">
        <v>215</v>
      </c>
      <c r="P587" t="s">
        <v>216</v>
      </c>
      <c r="Q587" t="s">
        <v>217</v>
      </c>
      <c r="R587" t="s">
        <v>218</v>
      </c>
      <c r="S587" t="s">
        <v>244</v>
      </c>
    </row>
    <row r="588" spans="1:19" x14ac:dyDescent="0.35">
      <c r="A588" t="s">
        <v>147</v>
      </c>
      <c r="B588" t="s">
        <v>20</v>
      </c>
      <c r="C588" t="s">
        <v>21</v>
      </c>
      <c r="D588" t="s">
        <v>14</v>
      </c>
      <c r="E588" t="s">
        <v>22</v>
      </c>
      <c r="F588" t="s">
        <v>39</v>
      </c>
      <c r="G588" t="s">
        <v>24</v>
      </c>
      <c r="H588" t="s">
        <v>209</v>
      </c>
      <c r="I588" t="s">
        <v>220</v>
      </c>
      <c r="J588" t="s">
        <v>43</v>
      </c>
      <c r="K588" t="s">
        <v>211</v>
      </c>
      <c r="L588" t="s">
        <v>302</v>
      </c>
      <c r="M588" t="s">
        <v>342</v>
      </c>
      <c r="N588" t="s">
        <v>211</v>
      </c>
      <c r="O588" t="s">
        <v>215</v>
      </c>
      <c r="P588" t="s">
        <v>216</v>
      </c>
      <c r="Q588" t="s">
        <v>217</v>
      </c>
      <c r="R588" t="s">
        <v>218</v>
      </c>
      <c r="S588" t="s">
        <v>220</v>
      </c>
    </row>
    <row r="589" spans="1:19" x14ac:dyDescent="0.35">
      <c r="A589" t="s">
        <v>85</v>
      </c>
      <c r="B589" t="s">
        <v>12</v>
      </c>
      <c r="C589" t="s">
        <v>38</v>
      </c>
      <c r="D589" t="s">
        <v>14</v>
      </c>
      <c r="E589" t="s">
        <v>22</v>
      </c>
      <c r="F589" t="s">
        <v>39</v>
      </c>
      <c r="G589" t="s">
        <v>24</v>
      </c>
      <c r="H589" t="s">
        <v>209</v>
      </c>
      <c r="I589" t="s">
        <v>238</v>
      </c>
      <c r="J589" t="s">
        <v>50</v>
      </c>
      <c r="K589" t="s">
        <v>211</v>
      </c>
      <c r="L589" t="s">
        <v>209</v>
      </c>
      <c r="M589" t="s">
        <v>211</v>
      </c>
      <c r="N589" t="s">
        <v>254</v>
      </c>
      <c r="O589" t="s">
        <v>215</v>
      </c>
      <c r="P589" t="s">
        <v>216</v>
      </c>
      <c r="Q589" t="s">
        <v>217</v>
      </c>
      <c r="R589" t="s">
        <v>218</v>
      </c>
      <c r="S589" t="s">
        <v>238</v>
      </c>
    </row>
    <row r="590" spans="1:19" x14ac:dyDescent="0.35">
      <c r="A590" t="s">
        <v>127</v>
      </c>
      <c r="B590" t="s">
        <v>12</v>
      </c>
      <c r="C590" t="s">
        <v>13</v>
      </c>
      <c r="D590" t="s">
        <v>14</v>
      </c>
      <c r="E590" t="s">
        <v>15</v>
      </c>
      <c r="F590" t="s">
        <v>31</v>
      </c>
      <c r="G590" t="s">
        <v>24</v>
      </c>
      <c r="H590" t="s">
        <v>252</v>
      </c>
      <c r="I590" t="s">
        <v>240</v>
      </c>
      <c r="J590" t="s">
        <v>50</v>
      </c>
      <c r="K590" t="s">
        <v>253</v>
      </c>
      <c r="L590" t="s">
        <v>214</v>
      </c>
      <c r="M590" t="s">
        <v>251</v>
      </c>
      <c r="N590" t="s">
        <v>247</v>
      </c>
      <c r="O590" t="s">
        <v>215</v>
      </c>
      <c r="P590" t="s">
        <v>216</v>
      </c>
      <c r="Q590" t="s">
        <v>217</v>
      </c>
      <c r="R590" t="s">
        <v>218</v>
      </c>
      <c r="S590" t="s">
        <v>220</v>
      </c>
    </row>
    <row r="591" spans="1:19" x14ac:dyDescent="0.35">
      <c r="A591" t="s">
        <v>57</v>
      </c>
      <c r="B591" t="s">
        <v>20</v>
      </c>
      <c r="C591" t="s">
        <v>30</v>
      </c>
      <c r="D591" t="s">
        <v>26</v>
      </c>
      <c r="E591" t="s">
        <v>22</v>
      </c>
      <c r="F591" t="s">
        <v>41</v>
      </c>
      <c r="G591" t="s">
        <v>17</v>
      </c>
      <c r="H591" t="s">
        <v>219</v>
      </c>
      <c r="I591" t="s">
        <v>249</v>
      </c>
      <c r="J591" t="s">
        <v>43</v>
      </c>
      <c r="K591" t="s">
        <v>221</v>
      </c>
      <c r="L591" t="s">
        <v>279</v>
      </c>
      <c r="M591" t="s">
        <v>320</v>
      </c>
      <c r="N591" t="s">
        <v>321</v>
      </c>
      <c r="O591" t="s">
        <v>215</v>
      </c>
      <c r="P591" t="s">
        <v>216</v>
      </c>
      <c r="Q591" t="s">
        <v>217</v>
      </c>
      <c r="R591" t="s">
        <v>218</v>
      </c>
      <c r="S591" t="s">
        <v>265</v>
      </c>
    </row>
    <row r="592" spans="1:19" x14ac:dyDescent="0.35">
      <c r="A592" t="s">
        <v>86</v>
      </c>
      <c r="B592" t="s">
        <v>20</v>
      </c>
      <c r="C592" t="s">
        <v>30</v>
      </c>
      <c r="D592" t="s">
        <v>14</v>
      </c>
      <c r="E592" t="s">
        <v>15</v>
      </c>
      <c r="F592" t="s">
        <v>39</v>
      </c>
      <c r="G592" t="s">
        <v>24</v>
      </c>
      <c r="H592" t="s">
        <v>209</v>
      </c>
      <c r="I592" t="s">
        <v>240</v>
      </c>
      <c r="J592" t="s">
        <v>50</v>
      </c>
      <c r="K592" t="s">
        <v>211</v>
      </c>
      <c r="L592" t="s">
        <v>266</v>
      </c>
      <c r="M592" t="s">
        <v>267</v>
      </c>
      <c r="N592" t="s">
        <v>268</v>
      </c>
      <c r="O592" t="s">
        <v>215</v>
      </c>
      <c r="P592" t="s">
        <v>216</v>
      </c>
      <c r="Q592" t="s">
        <v>217</v>
      </c>
      <c r="R592" t="s">
        <v>218</v>
      </c>
      <c r="S592" t="s">
        <v>238</v>
      </c>
    </row>
    <row r="593" spans="1:19" x14ac:dyDescent="0.35">
      <c r="A593" t="s">
        <v>136</v>
      </c>
      <c r="B593" t="s">
        <v>29</v>
      </c>
      <c r="C593" t="s">
        <v>21</v>
      </c>
      <c r="D593" t="s">
        <v>26</v>
      </c>
      <c r="E593" t="s">
        <v>15</v>
      </c>
      <c r="F593" t="s">
        <v>31</v>
      </c>
      <c r="G593" t="s">
        <v>24</v>
      </c>
      <c r="H593" t="s">
        <v>252</v>
      </c>
      <c r="I593" t="s">
        <v>249</v>
      </c>
      <c r="J593" t="s">
        <v>27</v>
      </c>
      <c r="K593" t="s">
        <v>253</v>
      </c>
      <c r="L593" t="s">
        <v>297</v>
      </c>
      <c r="M593" t="s">
        <v>243</v>
      </c>
      <c r="N593" t="s">
        <v>311</v>
      </c>
      <c r="O593" t="s">
        <v>215</v>
      </c>
      <c r="P593" t="s">
        <v>216</v>
      </c>
      <c r="Q593" t="s">
        <v>217</v>
      </c>
      <c r="R593" t="s">
        <v>218</v>
      </c>
      <c r="S593" t="s">
        <v>265</v>
      </c>
    </row>
    <row r="594" spans="1:19" x14ac:dyDescent="0.35">
      <c r="A594" t="s">
        <v>99</v>
      </c>
      <c r="B594" t="s">
        <v>20</v>
      </c>
      <c r="C594" t="s">
        <v>21</v>
      </c>
      <c r="D594" t="s">
        <v>26</v>
      </c>
      <c r="E594" t="s">
        <v>15</v>
      </c>
      <c r="F594" t="s">
        <v>52</v>
      </c>
      <c r="G594" t="s">
        <v>36</v>
      </c>
      <c r="H594" t="s">
        <v>291</v>
      </c>
      <c r="I594" t="s">
        <v>244</v>
      </c>
      <c r="J594" t="s">
        <v>18</v>
      </c>
      <c r="K594" t="s">
        <v>292</v>
      </c>
      <c r="L594" t="s">
        <v>317</v>
      </c>
      <c r="M594" t="s">
        <v>318</v>
      </c>
      <c r="N594" t="s">
        <v>319</v>
      </c>
      <c r="O594" t="s">
        <v>215</v>
      </c>
      <c r="P594" t="s">
        <v>216</v>
      </c>
      <c r="Q594" t="s">
        <v>217</v>
      </c>
      <c r="R594" t="s">
        <v>218</v>
      </c>
      <c r="S594" t="s">
        <v>220</v>
      </c>
    </row>
    <row r="595" spans="1:19" x14ac:dyDescent="0.35">
      <c r="A595" t="s">
        <v>151</v>
      </c>
      <c r="B595" t="s">
        <v>29</v>
      </c>
      <c r="C595" t="s">
        <v>30</v>
      </c>
      <c r="D595" t="s">
        <v>26</v>
      </c>
      <c r="E595" t="s">
        <v>15</v>
      </c>
      <c r="F595" t="s">
        <v>58</v>
      </c>
      <c r="G595" t="s">
        <v>24</v>
      </c>
      <c r="H595" t="s">
        <v>255</v>
      </c>
      <c r="I595" t="s">
        <v>225</v>
      </c>
      <c r="J595" t="s">
        <v>27</v>
      </c>
      <c r="K595" t="s">
        <v>256</v>
      </c>
      <c r="L595" t="s">
        <v>324</v>
      </c>
      <c r="M595" t="s">
        <v>303</v>
      </c>
      <c r="N595" t="s">
        <v>255</v>
      </c>
      <c r="O595" t="s">
        <v>215</v>
      </c>
      <c r="P595" t="s">
        <v>216</v>
      </c>
      <c r="Q595" t="s">
        <v>217</v>
      </c>
      <c r="R595" t="s">
        <v>218</v>
      </c>
      <c r="S595" t="s">
        <v>238</v>
      </c>
    </row>
    <row r="596" spans="1:19" x14ac:dyDescent="0.35">
      <c r="A596" t="s">
        <v>90</v>
      </c>
      <c r="B596" t="s">
        <v>12</v>
      </c>
      <c r="C596" t="s">
        <v>38</v>
      </c>
      <c r="D596" t="s">
        <v>14</v>
      </c>
      <c r="E596" t="s">
        <v>15</v>
      </c>
      <c r="F596" t="s">
        <v>31</v>
      </c>
      <c r="G596" t="s">
        <v>24</v>
      </c>
      <c r="H596" t="s">
        <v>252</v>
      </c>
      <c r="I596" t="s">
        <v>240</v>
      </c>
      <c r="J596" t="s">
        <v>18</v>
      </c>
      <c r="K596" t="s">
        <v>253</v>
      </c>
      <c r="L596" t="s">
        <v>214</v>
      </c>
      <c r="M596" t="s">
        <v>251</v>
      </c>
      <c r="N596" t="s">
        <v>247</v>
      </c>
      <c r="O596" t="s">
        <v>215</v>
      </c>
      <c r="P596" t="s">
        <v>216</v>
      </c>
      <c r="Q596" t="s">
        <v>217</v>
      </c>
      <c r="R596" t="s">
        <v>218</v>
      </c>
      <c r="S596" t="s">
        <v>244</v>
      </c>
    </row>
    <row r="597" spans="1:19" x14ac:dyDescent="0.35">
      <c r="A597" t="s">
        <v>128</v>
      </c>
      <c r="B597" t="s">
        <v>12</v>
      </c>
      <c r="C597" t="s">
        <v>38</v>
      </c>
      <c r="D597" t="s">
        <v>14</v>
      </c>
      <c r="E597" t="s">
        <v>22</v>
      </c>
      <c r="F597" t="s">
        <v>31</v>
      </c>
      <c r="G597" t="s">
        <v>24</v>
      </c>
      <c r="H597" t="s">
        <v>252</v>
      </c>
      <c r="I597" t="s">
        <v>249</v>
      </c>
      <c r="J597" t="s">
        <v>54</v>
      </c>
      <c r="K597" t="s">
        <v>253</v>
      </c>
      <c r="L597" t="s">
        <v>297</v>
      </c>
      <c r="M597" t="s">
        <v>243</v>
      </c>
      <c r="N597" t="s">
        <v>311</v>
      </c>
      <c r="O597" t="s">
        <v>215</v>
      </c>
      <c r="P597" t="s">
        <v>216</v>
      </c>
      <c r="Q597" t="s">
        <v>217</v>
      </c>
      <c r="R597" t="s">
        <v>218</v>
      </c>
      <c r="S597" t="s">
        <v>220</v>
      </c>
    </row>
    <row r="598" spans="1:19" x14ac:dyDescent="0.35">
      <c r="A598" t="s">
        <v>69</v>
      </c>
      <c r="B598" t="s">
        <v>12</v>
      </c>
      <c r="C598" t="s">
        <v>21</v>
      </c>
      <c r="D598" t="s">
        <v>26</v>
      </c>
      <c r="E598" t="s">
        <v>15</v>
      </c>
      <c r="F598" t="s">
        <v>23</v>
      </c>
      <c r="G598" t="s">
        <v>24</v>
      </c>
      <c r="H598" t="s">
        <v>239</v>
      </c>
      <c r="I598" t="s">
        <v>265</v>
      </c>
      <c r="J598" t="s">
        <v>18</v>
      </c>
      <c r="K598" t="s">
        <v>245</v>
      </c>
      <c r="L598" t="s">
        <v>252</v>
      </c>
      <c r="M598" t="s">
        <v>253</v>
      </c>
      <c r="N598" t="s">
        <v>313</v>
      </c>
      <c r="O598" t="s">
        <v>215</v>
      </c>
      <c r="P598" t="s">
        <v>216</v>
      </c>
      <c r="Q598" t="s">
        <v>217</v>
      </c>
      <c r="R598" t="s">
        <v>218</v>
      </c>
      <c r="S598" t="s">
        <v>238</v>
      </c>
    </row>
    <row r="599" spans="1:19" x14ac:dyDescent="0.35">
      <c r="A599" t="s">
        <v>67</v>
      </c>
      <c r="B599" t="s">
        <v>20</v>
      </c>
      <c r="C599" t="s">
        <v>13</v>
      </c>
      <c r="D599" t="s">
        <v>26</v>
      </c>
      <c r="E599" t="s">
        <v>22</v>
      </c>
      <c r="F599" t="s">
        <v>35</v>
      </c>
      <c r="G599" t="s">
        <v>36</v>
      </c>
      <c r="H599" t="s">
        <v>224</v>
      </c>
      <c r="I599" t="s">
        <v>244</v>
      </c>
      <c r="J599" t="s">
        <v>43</v>
      </c>
      <c r="K599" t="s">
        <v>226</v>
      </c>
      <c r="L599" t="s">
        <v>301</v>
      </c>
      <c r="M599" t="s">
        <v>302</v>
      </c>
      <c r="N599" t="s">
        <v>209</v>
      </c>
      <c r="O599" t="s">
        <v>215</v>
      </c>
      <c r="P599" t="s">
        <v>216</v>
      </c>
      <c r="Q599" t="s">
        <v>217</v>
      </c>
      <c r="R599" t="s">
        <v>218</v>
      </c>
      <c r="S599" t="s">
        <v>244</v>
      </c>
    </row>
    <row r="600" spans="1:19" x14ac:dyDescent="0.35">
      <c r="A600" t="s">
        <v>83</v>
      </c>
      <c r="B600" t="s">
        <v>34</v>
      </c>
      <c r="C600" t="s">
        <v>21</v>
      </c>
      <c r="D600" t="s">
        <v>26</v>
      </c>
      <c r="E600" t="s">
        <v>22</v>
      </c>
      <c r="F600" t="s">
        <v>56</v>
      </c>
      <c r="G600" t="s">
        <v>36</v>
      </c>
      <c r="H600" t="s">
        <v>260</v>
      </c>
      <c r="I600" t="s">
        <v>244</v>
      </c>
      <c r="J600" t="s">
        <v>27</v>
      </c>
      <c r="K600" t="s">
        <v>261</v>
      </c>
      <c r="L600" t="s">
        <v>288</v>
      </c>
      <c r="M600" t="s">
        <v>289</v>
      </c>
      <c r="N600" t="s">
        <v>229</v>
      </c>
      <c r="O600" t="s">
        <v>215</v>
      </c>
      <c r="P600" t="s">
        <v>216</v>
      </c>
      <c r="Q600" t="s">
        <v>217</v>
      </c>
      <c r="R600" t="s">
        <v>218</v>
      </c>
      <c r="S600" t="s">
        <v>238</v>
      </c>
    </row>
    <row r="601" spans="1:19" x14ac:dyDescent="0.35">
      <c r="A601" t="s">
        <v>98</v>
      </c>
      <c r="B601" t="s">
        <v>34</v>
      </c>
      <c r="C601" t="s">
        <v>21</v>
      </c>
      <c r="D601" t="s">
        <v>26</v>
      </c>
      <c r="E601" t="s">
        <v>22</v>
      </c>
      <c r="F601" t="s">
        <v>52</v>
      </c>
      <c r="G601" t="s">
        <v>36</v>
      </c>
      <c r="H601" t="s">
        <v>291</v>
      </c>
      <c r="I601" t="s">
        <v>238</v>
      </c>
      <c r="J601" t="s">
        <v>27</v>
      </c>
      <c r="K601" t="s">
        <v>292</v>
      </c>
      <c r="L601" t="s">
        <v>291</v>
      </c>
      <c r="M601" t="s">
        <v>292</v>
      </c>
      <c r="N601" t="s">
        <v>343</v>
      </c>
      <c r="O601" t="s">
        <v>215</v>
      </c>
      <c r="P601" t="s">
        <v>216</v>
      </c>
      <c r="Q601" t="s">
        <v>217</v>
      </c>
      <c r="R601" t="s">
        <v>218</v>
      </c>
      <c r="S601" t="s">
        <v>220</v>
      </c>
    </row>
    <row r="602" spans="1:19" x14ac:dyDescent="0.35">
      <c r="A602" t="s">
        <v>84</v>
      </c>
      <c r="B602" t="s">
        <v>29</v>
      </c>
      <c r="C602" t="s">
        <v>13</v>
      </c>
      <c r="D602" t="s">
        <v>26</v>
      </c>
      <c r="E602" t="s">
        <v>22</v>
      </c>
      <c r="F602" t="s">
        <v>23</v>
      </c>
      <c r="G602" t="s">
        <v>24</v>
      </c>
      <c r="H602" t="s">
        <v>239</v>
      </c>
      <c r="I602" t="s">
        <v>238</v>
      </c>
      <c r="J602" t="s">
        <v>43</v>
      </c>
      <c r="K602" t="s">
        <v>245</v>
      </c>
      <c r="L602" t="s">
        <v>239</v>
      </c>
      <c r="M602" t="s">
        <v>245</v>
      </c>
      <c r="N602" t="s">
        <v>353</v>
      </c>
      <c r="O602" t="s">
        <v>215</v>
      </c>
      <c r="P602" t="s">
        <v>216</v>
      </c>
      <c r="Q602" t="s">
        <v>217</v>
      </c>
      <c r="R602" t="s">
        <v>218</v>
      </c>
      <c r="S602" t="s">
        <v>220</v>
      </c>
    </row>
    <row r="603" spans="1:19" x14ac:dyDescent="0.35">
      <c r="A603" t="s">
        <v>131</v>
      </c>
      <c r="B603" t="s">
        <v>29</v>
      </c>
      <c r="C603" t="s">
        <v>30</v>
      </c>
      <c r="D603" t="s">
        <v>14</v>
      </c>
      <c r="E603" t="s">
        <v>15</v>
      </c>
      <c r="F603" t="s">
        <v>23</v>
      </c>
      <c r="G603" t="s">
        <v>24</v>
      </c>
      <c r="H603" t="s">
        <v>239</v>
      </c>
      <c r="I603" t="s">
        <v>249</v>
      </c>
      <c r="J603" t="s">
        <v>50</v>
      </c>
      <c r="K603" t="s">
        <v>245</v>
      </c>
      <c r="L603" t="s">
        <v>226</v>
      </c>
      <c r="M603" t="s">
        <v>284</v>
      </c>
      <c r="N603" t="s">
        <v>253</v>
      </c>
      <c r="O603" t="s">
        <v>215</v>
      </c>
      <c r="P603" t="s">
        <v>216</v>
      </c>
      <c r="Q603" t="s">
        <v>217</v>
      </c>
      <c r="R603" t="s">
        <v>218</v>
      </c>
      <c r="S603" t="s">
        <v>238</v>
      </c>
    </row>
    <row r="604" spans="1:19" x14ac:dyDescent="0.35">
      <c r="A604" t="s">
        <v>142</v>
      </c>
      <c r="B604" t="s">
        <v>34</v>
      </c>
      <c r="C604" t="s">
        <v>13</v>
      </c>
      <c r="D604" t="s">
        <v>26</v>
      </c>
      <c r="E604" t="s">
        <v>15</v>
      </c>
      <c r="F604" t="s">
        <v>56</v>
      </c>
      <c r="G604" t="s">
        <v>36</v>
      </c>
      <c r="H604" t="s">
        <v>260</v>
      </c>
      <c r="I604" t="s">
        <v>210</v>
      </c>
      <c r="J604" t="s">
        <v>50</v>
      </c>
      <c r="K604" t="s">
        <v>261</v>
      </c>
      <c r="L604" t="s">
        <v>364</v>
      </c>
      <c r="M604" t="s">
        <v>262</v>
      </c>
      <c r="N604" t="s">
        <v>360</v>
      </c>
      <c r="O604" t="s">
        <v>215</v>
      </c>
      <c r="P604" t="s">
        <v>216</v>
      </c>
      <c r="Q604" t="s">
        <v>217</v>
      </c>
      <c r="R604" t="s">
        <v>218</v>
      </c>
      <c r="S604" t="s">
        <v>220</v>
      </c>
    </row>
    <row r="605" spans="1:19" x14ac:dyDescent="0.35">
      <c r="A605" t="s">
        <v>98</v>
      </c>
      <c r="B605" t="s">
        <v>34</v>
      </c>
      <c r="C605" t="s">
        <v>30</v>
      </c>
      <c r="D605" t="s">
        <v>26</v>
      </c>
      <c r="E605" t="s">
        <v>22</v>
      </c>
      <c r="F605" t="s">
        <v>47</v>
      </c>
      <c r="G605" t="s">
        <v>36</v>
      </c>
      <c r="H605" t="s">
        <v>229</v>
      </c>
      <c r="I605" t="s">
        <v>210</v>
      </c>
      <c r="J605" t="s">
        <v>27</v>
      </c>
      <c r="K605" t="s">
        <v>231</v>
      </c>
      <c r="L605" t="s">
        <v>227</v>
      </c>
      <c r="M605" t="s">
        <v>228</v>
      </c>
      <c r="N605" t="s">
        <v>224</v>
      </c>
      <c r="O605" t="s">
        <v>215</v>
      </c>
      <c r="P605" t="s">
        <v>216</v>
      </c>
      <c r="Q605" t="s">
        <v>217</v>
      </c>
      <c r="R605" t="s">
        <v>218</v>
      </c>
      <c r="S605" t="s">
        <v>220</v>
      </c>
    </row>
    <row r="606" spans="1:19" x14ac:dyDescent="0.35">
      <c r="A606" t="s">
        <v>120</v>
      </c>
      <c r="B606" t="s">
        <v>20</v>
      </c>
      <c r="C606" t="s">
        <v>38</v>
      </c>
      <c r="D606" t="s">
        <v>14</v>
      </c>
      <c r="E606" t="s">
        <v>22</v>
      </c>
      <c r="F606" t="s">
        <v>56</v>
      </c>
      <c r="G606" t="s">
        <v>36</v>
      </c>
      <c r="H606" t="s">
        <v>260</v>
      </c>
      <c r="I606" t="s">
        <v>249</v>
      </c>
      <c r="J606" t="s">
        <v>18</v>
      </c>
      <c r="K606" t="s">
        <v>261</v>
      </c>
      <c r="L606" t="s">
        <v>262</v>
      </c>
      <c r="M606" t="s">
        <v>263</v>
      </c>
      <c r="N606" t="s">
        <v>264</v>
      </c>
      <c r="O606" t="s">
        <v>215</v>
      </c>
      <c r="P606" t="s">
        <v>216</v>
      </c>
      <c r="Q606" t="s">
        <v>217</v>
      </c>
      <c r="R606" t="s">
        <v>218</v>
      </c>
      <c r="S606" t="s">
        <v>244</v>
      </c>
    </row>
    <row r="607" spans="1:19" x14ac:dyDescent="0.35">
      <c r="A607" t="s">
        <v>49</v>
      </c>
      <c r="B607" t="s">
        <v>34</v>
      </c>
      <c r="C607" t="s">
        <v>30</v>
      </c>
      <c r="D607" t="s">
        <v>14</v>
      </c>
      <c r="E607" t="s">
        <v>22</v>
      </c>
      <c r="F607" t="s">
        <v>56</v>
      </c>
      <c r="G607" t="s">
        <v>36</v>
      </c>
      <c r="H607" t="s">
        <v>260</v>
      </c>
      <c r="I607" t="s">
        <v>269</v>
      </c>
      <c r="J607" t="s">
        <v>54</v>
      </c>
      <c r="K607" t="s">
        <v>261</v>
      </c>
      <c r="L607" t="s">
        <v>377</v>
      </c>
      <c r="M607" t="s">
        <v>212</v>
      </c>
      <c r="N607" t="s">
        <v>312</v>
      </c>
      <c r="O607" t="s">
        <v>215</v>
      </c>
      <c r="P607" t="s">
        <v>216</v>
      </c>
      <c r="Q607" t="s">
        <v>217</v>
      </c>
      <c r="R607" t="s">
        <v>218</v>
      </c>
      <c r="S607" t="s">
        <v>220</v>
      </c>
    </row>
    <row r="608" spans="1:19" x14ac:dyDescent="0.35">
      <c r="A608" t="s">
        <v>63</v>
      </c>
      <c r="B608" t="s">
        <v>34</v>
      </c>
      <c r="C608" t="s">
        <v>38</v>
      </c>
      <c r="D608" t="s">
        <v>14</v>
      </c>
      <c r="E608" t="s">
        <v>22</v>
      </c>
      <c r="F608" t="s">
        <v>52</v>
      </c>
      <c r="G608" t="s">
        <v>36</v>
      </c>
      <c r="H608" t="s">
        <v>291</v>
      </c>
      <c r="I608" t="s">
        <v>210</v>
      </c>
      <c r="J608" t="s">
        <v>32</v>
      </c>
      <c r="K608" t="s">
        <v>292</v>
      </c>
      <c r="L608" t="s">
        <v>339</v>
      </c>
      <c r="M608" t="s">
        <v>299</v>
      </c>
      <c r="N608" t="s">
        <v>233</v>
      </c>
      <c r="O608" t="s">
        <v>215</v>
      </c>
      <c r="P608" t="s">
        <v>216</v>
      </c>
      <c r="Q608" t="s">
        <v>217</v>
      </c>
      <c r="R608" t="s">
        <v>218</v>
      </c>
      <c r="S608" t="s">
        <v>220</v>
      </c>
    </row>
    <row r="609" spans="1:19" x14ac:dyDescent="0.35">
      <c r="A609" t="s">
        <v>109</v>
      </c>
      <c r="B609" t="s">
        <v>12</v>
      </c>
      <c r="C609" t="s">
        <v>21</v>
      </c>
      <c r="D609" t="s">
        <v>26</v>
      </c>
      <c r="E609" t="s">
        <v>15</v>
      </c>
      <c r="F609" t="s">
        <v>16</v>
      </c>
      <c r="G609" t="s">
        <v>17</v>
      </c>
      <c r="H609" t="s">
        <v>275</v>
      </c>
      <c r="I609" t="s">
        <v>220</v>
      </c>
      <c r="J609" t="s">
        <v>27</v>
      </c>
      <c r="K609" t="s">
        <v>276</v>
      </c>
      <c r="L609" t="s">
        <v>337</v>
      </c>
      <c r="M609" t="s">
        <v>338</v>
      </c>
      <c r="N609" t="s">
        <v>276</v>
      </c>
      <c r="O609" t="s">
        <v>215</v>
      </c>
      <c r="P609" t="s">
        <v>216</v>
      </c>
      <c r="Q609" t="s">
        <v>217</v>
      </c>
      <c r="R609" t="s">
        <v>218</v>
      </c>
      <c r="S609" t="s">
        <v>265</v>
      </c>
    </row>
    <row r="610" spans="1:19" x14ac:dyDescent="0.35">
      <c r="A610" t="s">
        <v>151</v>
      </c>
      <c r="B610" t="s">
        <v>20</v>
      </c>
      <c r="C610" t="s">
        <v>21</v>
      </c>
      <c r="D610" t="s">
        <v>14</v>
      </c>
      <c r="E610" t="s">
        <v>15</v>
      </c>
      <c r="F610" t="s">
        <v>39</v>
      </c>
      <c r="G610" t="s">
        <v>24</v>
      </c>
      <c r="H610" t="s">
        <v>209</v>
      </c>
      <c r="I610" t="s">
        <v>238</v>
      </c>
      <c r="J610" t="s">
        <v>54</v>
      </c>
      <c r="K610" t="s">
        <v>211</v>
      </c>
      <c r="L610" t="s">
        <v>209</v>
      </c>
      <c r="M610" t="s">
        <v>211</v>
      </c>
      <c r="N610" t="s">
        <v>254</v>
      </c>
      <c r="O610" t="s">
        <v>215</v>
      </c>
      <c r="P610" t="s">
        <v>216</v>
      </c>
      <c r="Q610" t="s">
        <v>217</v>
      </c>
      <c r="R610" t="s">
        <v>218</v>
      </c>
      <c r="S610" t="s">
        <v>238</v>
      </c>
    </row>
    <row r="611" spans="1:19" x14ac:dyDescent="0.35">
      <c r="A611" t="s">
        <v>155</v>
      </c>
      <c r="B611" t="s">
        <v>29</v>
      </c>
      <c r="C611" t="s">
        <v>21</v>
      </c>
      <c r="D611" t="s">
        <v>14</v>
      </c>
      <c r="E611" t="s">
        <v>22</v>
      </c>
      <c r="F611" t="s">
        <v>39</v>
      </c>
      <c r="G611" t="s">
        <v>24</v>
      </c>
      <c r="H611" t="s">
        <v>209</v>
      </c>
      <c r="I611" t="s">
        <v>269</v>
      </c>
      <c r="J611" t="s">
        <v>43</v>
      </c>
      <c r="K611" t="s">
        <v>211</v>
      </c>
      <c r="L611" t="s">
        <v>371</v>
      </c>
      <c r="M611" t="s">
        <v>372</v>
      </c>
      <c r="N611" t="s">
        <v>373</v>
      </c>
      <c r="O611" t="s">
        <v>215</v>
      </c>
      <c r="P611" t="s">
        <v>216</v>
      </c>
      <c r="Q611" t="s">
        <v>217</v>
      </c>
      <c r="R611" t="s">
        <v>218</v>
      </c>
      <c r="S611" t="s">
        <v>238</v>
      </c>
    </row>
    <row r="612" spans="1:19" x14ac:dyDescent="0.35">
      <c r="A612" t="s">
        <v>154</v>
      </c>
      <c r="B612" t="s">
        <v>20</v>
      </c>
      <c r="C612" t="s">
        <v>30</v>
      </c>
      <c r="D612" t="s">
        <v>26</v>
      </c>
      <c r="E612" t="s">
        <v>22</v>
      </c>
      <c r="F612" t="s">
        <v>47</v>
      </c>
      <c r="G612" t="s">
        <v>36</v>
      </c>
      <c r="H612" t="s">
        <v>229</v>
      </c>
      <c r="I612" t="s">
        <v>210</v>
      </c>
      <c r="J612" t="s">
        <v>32</v>
      </c>
      <c r="K612" t="s">
        <v>231</v>
      </c>
      <c r="L612" t="s">
        <v>227</v>
      </c>
      <c r="M612" t="s">
        <v>228</v>
      </c>
      <c r="N612" t="s">
        <v>224</v>
      </c>
      <c r="O612" t="s">
        <v>215</v>
      </c>
      <c r="P612" t="s">
        <v>216</v>
      </c>
      <c r="Q612" t="s">
        <v>217</v>
      </c>
      <c r="R612" t="s">
        <v>218</v>
      </c>
      <c r="S612" t="s">
        <v>265</v>
      </c>
    </row>
    <row r="613" spans="1:19" x14ac:dyDescent="0.35">
      <c r="A613" t="s">
        <v>142</v>
      </c>
      <c r="B613" t="s">
        <v>20</v>
      </c>
      <c r="C613" t="s">
        <v>38</v>
      </c>
      <c r="D613" t="s">
        <v>26</v>
      </c>
      <c r="E613" t="s">
        <v>22</v>
      </c>
      <c r="F613" t="s">
        <v>35</v>
      </c>
      <c r="G613" t="s">
        <v>36</v>
      </c>
      <c r="H613" t="s">
        <v>224</v>
      </c>
      <c r="I613" t="s">
        <v>238</v>
      </c>
      <c r="J613" t="s">
        <v>32</v>
      </c>
      <c r="K613" t="s">
        <v>226</v>
      </c>
      <c r="L613" t="s">
        <v>224</v>
      </c>
      <c r="M613" t="s">
        <v>226</v>
      </c>
      <c r="N613" t="s">
        <v>252</v>
      </c>
      <c r="O613" t="s">
        <v>215</v>
      </c>
      <c r="P613" t="s">
        <v>216</v>
      </c>
      <c r="Q613" t="s">
        <v>217</v>
      </c>
      <c r="R613" t="s">
        <v>218</v>
      </c>
      <c r="S613" t="s">
        <v>220</v>
      </c>
    </row>
    <row r="614" spans="1:19" x14ac:dyDescent="0.35">
      <c r="A614" t="s">
        <v>128</v>
      </c>
      <c r="B614" t="s">
        <v>29</v>
      </c>
      <c r="C614" t="s">
        <v>38</v>
      </c>
      <c r="D614" t="s">
        <v>14</v>
      </c>
      <c r="E614" t="s">
        <v>15</v>
      </c>
      <c r="F614" t="s">
        <v>47</v>
      </c>
      <c r="G614" t="s">
        <v>36</v>
      </c>
      <c r="H614" t="s">
        <v>229</v>
      </c>
      <c r="I614" t="s">
        <v>249</v>
      </c>
      <c r="J614" t="s">
        <v>18</v>
      </c>
      <c r="K614" t="s">
        <v>231</v>
      </c>
      <c r="L614" t="s">
        <v>228</v>
      </c>
      <c r="M614" t="s">
        <v>290</v>
      </c>
      <c r="N614" t="s">
        <v>226</v>
      </c>
      <c r="O614" t="s">
        <v>215</v>
      </c>
      <c r="P614" t="s">
        <v>216</v>
      </c>
      <c r="Q614" t="s">
        <v>217</v>
      </c>
      <c r="R614" t="s">
        <v>218</v>
      </c>
      <c r="S614" t="s">
        <v>220</v>
      </c>
    </row>
    <row r="615" spans="1:19" x14ac:dyDescent="0.35">
      <c r="A615" t="s">
        <v>44</v>
      </c>
      <c r="B615" t="s">
        <v>12</v>
      </c>
      <c r="C615" t="s">
        <v>38</v>
      </c>
      <c r="D615" t="s">
        <v>14</v>
      </c>
      <c r="E615" t="s">
        <v>22</v>
      </c>
      <c r="F615" t="s">
        <v>47</v>
      </c>
      <c r="G615" t="s">
        <v>36</v>
      </c>
      <c r="H615" t="s">
        <v>229</v>
      </c>
      <c r="I615" t="s">
        <v>244</v>
      </c>
      <c r="J615" t="s">
        <v>43</v>
      </c>
      <c r="K615" t="s">
        <v>231</v>
      </c>
      <c r="L615" t="s">
        <v>312</v>
      </c>
      <c r="M615" t="s">
        <v>214</v>
      </c>
      <c r="N615" t="s">
        <v>246</v>
      </c>
      <c r="O615" t="s">
        <v>215</v>
      </c>
      <c r="P615" t="s">
        <v>216</v>
      </c>
      <c r="Q615" t="s">
        <v>217</v>
      </c>
      <c r="R615" t="s">
        <v>218</v>
      </c>
      <c r="S615" t="s">
        <v>244</v>
      </c>
    </row>
    <row r="616" spans="1:19" x14ac:dyDescent="0.35">
      <c r="A616" t="s">
        <v>116</v>
      </c>
      <c r="B616" t="s">
        <v>34</v>
      </c>
      <c r="C616" t="s">
        <v>38</v>
      </c>
      <c r="D616" t="s">
        <v>14</v>
      </c>
      <c r="E616" t="s">
        <v>22</v>
      </c>
      <c r="F616" t="s">
        <v>41</v>
      </c>
      <c r="G616" t="s">
        <v>17</v>
      </c>
      <c r="H616" t="s">
        <v>219</v>
      </c>
      <c r="I616" t="s">
        <v>244</v>
      </c>
      <c r="J616" t="s">
        <v>18</v>
      </c>
      <c r="K616" t="s">
        <v>221</v>
      </c>
      <c r="L616" t="s">
        <v>290</v>
      </c>
      <c r="M616" t="s">
        <v>298</v>
      </c>
      <c r="N616" t="s">
        <v>284</v>
      </c>
      <c r="O616" t="s">
        <v>215</v>
      </c>
      <c r="P616" t="s">
        <v>216</v>
      </c>
      <c r="Q616" t="s">
        <v>217</v>
      </c>
      <c r="R616" t="s">
        <v>218</v>
      </c>
      <c r="S616" t="s">
        <v>244</v>
      </c>
    </row>
    <row r="617" spans="1:19" x14ac:dyDescent="0.35">
      <c r="A617" t="s">
        <v>91</v>
      </c>
      <c r="B617" t="s">
        <v>29</v>
      </c>
      <c r="C617" t="s">
        <v>30</v>
      </c>
      <c r="D617" t="s">
        <v>14</v>
      </c>
      <c r="E617" t="s">
        <v>15</v>
      </c>
      <c r="F617" t="s">
        <v>39</v>
      </c>
      <c r="G617" t="s">
        <v>24</v>
      </c>
      <c r="H617" t="s">
        <v>209</v>
      </c>
      <c r="I617" t="s">
        <v>249</v>
      </c>
      <c r="J617" t="s">
        <v>18</v>
      </c>
      <c r="K617" t="s">
        <v>211</v>
      </c>
      <c r="L617" t="s">
        <v>213</v>
      </c>
      <c r="M617" t="s">
        <v>250</v>
      </c>
      <c r="N617" t="s">
        <v>251</v>
      </c>
      <c r="O617" t="s">
        <v>215</v>
      </c>
      <c r="P617" t="s">
        <v>216</v>
      </c>
      <c r="Q617" t="s">
        <v>217</v>
      </c>
      <c r="R617" t="s">
        <v>218</v>
      </c>
      <c r="S617" t="s">
        <v>220</v>
      </c>
    </row>
    <row r="618" spans="1:19" x14ac:dyDescent="0.35">
      <c r="A618" t="s">
        <v>121</v>
      </c>
      <c r="B618" t="s">
        <v>29</v>
      </c>
      <c r="C618" t="s">
        <v>30</v>
      </c>
      <c r="D618" t="s">
        <v>14</v>
      </c>
      <c r="E618" t="s">
        <v>22</v>
      </c>
      <c r="F618" t="s">
        <v>39</v>
      </c>
      <c r="G618" t="s">
        <v>24</v>
      </c>
      <c r="H618" t="s">
        <v>209</v>
      </c>
      <c r="I618" t="s">
        <v>238</v>
      </c>
      <c r="J618" t="s">
        <v>27</v>
      </c>
      <c r="K618" t="s">
        <v>211</v>
      </c>
      <c r="L618" t="s">
        <v>209</v>
      </c>
      <c r="M618" t="s">
        <v>211</v>
      </c>
      <c r="N618" t="s">
        <v>254</v>
      </c>
      <c r="O618" t="s">
        <v>215</v>
      </c>
      <c r="P618" t="s">
        <v>216</v>
      </c>
      <c r="Q618" t="s">
        <v>217</v>
      </c>
      <c r="R618" t="s">
        <v>218</v>
      </c>
      <c r="S618" t="s">
        <v>265</v>
      </c>
    </row>
    <row r="619" spans="1:19" x14ac:dyDescent="0.35">
      <c r="A619" t="s">
        <v>139</v>
      </c>
      <c r="B619" t="s">
        <v>12</v>
      </c>
      <c r="C619" t="s">
        <v>21</v>
      </c>
      <c r="D619" t="s">
        <v>14</v>
      </c>
      <c r="E619" t="s">
        <v>22</v>
      </c>
      <c r="F619" t="s">
        <v>31</v>
      </c>
      <c r="G619" t="s">
        <v>24</v>
      </c>
      <c r="H619" t="s">
        <v>252</v>
      </c>
      <c r="I619" t="s">
        <v>230</v>
      </c>
      <c r="J619" t="s">
        <v>50</v>
      </c>
      <c r="K619" t="s">
        <v>253</v>
      </c>
      <c r="L619" t="s">
        <v>291</v>
      </c>
      <c r="M619" t="s">
        <v>292</v>
      </c>
      <c r="N619" t="s">
        <v>343</v>
      </c>
      <c r="O619" t="s">
        <v>215</v>
      </c>
      <c r="P619" t="s">
        <v>216</v>
      </c>
      <c r="Q619" t="s">
        <v>217</v>
      </c>
      <c r="R619" t="s">
        <v>218</v>
      </c>
      <c r="S619" t="s">
        <v>265</v>
      </c>
    </row>
    <row r="620" spans="1:19" x14ac:dyDescent="0.35">
      <c r="A620" t="s">
        <v>62</v>
      </c>
      <c r="B620" t="s">
        <v>20</v>
      </c>
      <c r="C620" t="s">
        <v>30</v>
      </c>
      <c r="D620" t="s">
        <v>26</v>
      </c>
      <c r="E620" t="s">
        <v>22</v>
      </c>
      <c r="F620" t="s">
        <v>41</v>
      </c>
      <c r="G620" t="s">
        <v>17</v>
      </c>
      <c r="H620" t="s">
        <v>219</v>
      </c>
      <c r="I620" t="s">
        <v>230</v>
      </c>
      <c r="J620" t="s">
        <v>27</v>
      </c>
      <c r="K620" t="s">
        <v>221</v>
      </c>
      <c r="L620" t="s">
        <v>235</v>
      </c>
      <c r="M620" t="s">
        <v>236</v>
      </c>
      <c r="N620" t="s">
        <v>237</v>
      </c>
      <c r="O620" t="s">
        <v>215</v>
      </c>
      <c r="P620" t="s">
        <v>216</v>
      </c>
      <c r="Q620" t="s">
        <v>217</v>
      </c>
      <c r="R620" t="s">
        <v>218</v>
      </c>
      <c r="S620" t="s">
        <v>220</v>
      </c>
    </row>
    <row r="621" spans="1:19" x14ac:dyDescent="0.35">
      <c r="A621" t="s">
        <v>148</v>
      </c>
      <c r="B621" t="s">
        <v>29</v>
      </c>
      <c r="C621" t="s">
        <v>21</v>
      </c>
      <c r="D621" t="s">
        <v>26</v>
      </c>
      <c r="E621" t="s">
        <v>15</v>
      </c>
      <c r="F621" t="s">
        <v>16</v>
      </c>
      <c r="G621" t="s">
        <v>17</v>
      </c>
      <c r="H621" t="s">
        <v>275</v>
      </c>
      <c r="I621" t="s">
        <v>269</v>
      </c>
      <c r="J621" t="s">
        <v>27</v>
      </c>
      <c r="K621" t="s">
        <v>276</v>
      </c>
      <c r="L621" t="s">
        <v>380</v>
      </c>
      <c r="M621" t="s">
        <v>381</v>
      </c>
      <c r="N621" t="s">
        <v>382</v>
      </c>
      <c r="O621" t="s">
        <v>215</v>
      </c>
      <c r="P621" t="s">
        <v>216</v>
      </c>
      <c r="Q621" t="s">
        <v>217</v>
      </c>
      <c r="R621" t="s">
        <v>218</v>
      </c>
      <c r="S621" t="s">
        <v>220</v>
      </c>
    </row>
    <row r="622" spans="1:19" x14ac:dyDescent="0.35">
      <c r="A622" t="s">
        <v>108</v>
      </c>
      <c r="B622" t="s">
        <v>12</v>
      </c>
      <c r="C622" t="s">
        <v>21</v>
      </c>
      <c r="D622" t="s">
        <v>14</v>
      </c>
      <c r="E622" t="s">
        <v>15</v>
      </c>
      <c r="F622" t="s">
        <v>41</v>
      </c>
      <c r="G622" t="s">
        <v>17</v>
      </c>
      <c r="H622" t="s">
        <v>219</v>
      </c>
      <c r="I622" t="s">
        <v>244</v>
      </c>
      <c r="J622" t="s">
        <v>50</v>
      </c>
      <c r="K622" t="s">
        <v>221</v>
      </c>
      <c r="L622" t="s">
        <v>290</v>
      </c>
      <c r="M622" t="s">
        <v>298</v>
      </c>
      <c r="N622" t="s">
        <v>284</v>
      </c>
      <c r="O622" t="s">
        <v>215</v>
      </c>
      <c r="P622" t="s">
        <v>216</v>
      </c>
      <c r="Q622" t="s">
        <v>217</v>
      </c>
      <c r="R622" t="s">
        <v>218</v>
      </c>
      <c r="S622" t="s">
        <v>220</v>
      </c>
    </row>
    <row r="623" spans="1:19" x14ac:dyDescent="0.35">
      <c r="A623" t="s">
        <v>69</v>
      </c>
      <c r="B623" t="s">
        <v>29</v>
      </c>
      <c r="C623" t="s">
        <v>38</v>
      </c>
      <c r="D623" t="s">
        <v>14</v>
      </c>
      <c r="E623" t="s">
        <v>15</v>
      </c>
      <c r="F623" t="s">
        <v>58</v>
      </c>
      <c r="G623" t="s">
        <v>24</v>
      </c>
      <c r="H623" t="s">
        <v>255</v>
      </c>
      <c r="I623" t="s">
        <v>220</v>
      </c>
      <c r="J623" t="s">
        <v>50</v>
      </c>
      <c r="K623" t="s">
        <v>256</v>
      </c>
      <c r="L623" t="s">
        <v>303</v>
      </c>
      <c r="M623" t="s">
        <v>304</v>
      </c>
      <c r="N623" t="s">
        <v>256</v>
      </c>
      <c r="O623" t="s">
        <v>215</v>
      </c>
      <c r="P623" t="s">
        <v>216</v>
      </c>
      <c r="Q623" t="s">
        <v>217</v>
      </c>
      <c r="R623" t="s">
        <v>218</v>
      </c>
      <c r="S623" t="s">
        <v>238</v>
      </c>
    </row>
    <row r="624" spans="1:19" x14ac:dyDescent="0.35">
      <c r="A624" t="s">
        <v>70</v>
      </c>
      <c r="B624" t="s">
        <v>20</v>
      </c>
      <c r="C624" t="s">
        <v>30</v>
      </c>
      <c r="D624" t="s">
        <v>26</v>
      </c>
      <c r="E624" t="s">
        <v>15</v>
      </c>
      <c r="F624" t="s">
        <v>41</v>
      </c>
      <c r="G624" t="s">
        <v>17</v>
      </c>
      <c r="H624" t="s">
        <v>219</v>
      </c>
      <c r="I624" t="s">
        <v>230</v>
      </c>
      <c r="J624" t="s">
        <v>43</v>
      </c>
      <c r="K624" t="s">
        <v>221</v>
      </c>
      <c r="L624" t="s">
        <v>235</v>
      </c>
      <c r="M624" t="s">
        <v>236</v>
      </c>
      <c r="N624" t="s">
        <v>237</v>
      </c>
      <c r="O624" t="s">
        <v>215</v>
      </c>
      <c r="P624" t="s">
        <v>216</v>
      </c>
      <c r="Q624" t="s">
        <v>217</v>
      </c>
      <c r="R624" t="s">
        <v>218</v>
      </c>
      <c r="S624" t="s">
        <v>265</v>
      </c>
    </row>
    <row r="625" spans="1:19" x14ac:dyDescent="0.35">
      <c r="A625" t="s">
        <v>148</v>
      </c>
      <c r="B625" t="s">
        <v>20</v>
      </c>
      <c r="C625" t="s">
        <v>13</v>
      </c>
      <c r="D625" t="s">
        <v>26</v>
      </c>
      <c r="E625" t="s">
        <v>15</v>
      </c>
      <c r="F625" t="s">
        <v>56</v>
      </c>
      <c r="G625" t="s">
        <v>36</v>
      </c>
      <c r="H625" t="s">
        <v>260</v>
      </c>
      <c r="I625" t="s">
        <v>238</v>
      </c>
      <c r="J625" t="s">
        <v>32</v>
      </c>
      <c r="K625" t="s">
        <v>261</v>
      </c>
      <c r="L625" t="s">
        <v>260</v>
      </c>
      <c r="M625" t="s">
        <v>261</v>
      </c>
      <c r="N625" t="s">
        <v>352</v>
      </c>
      <c r="O625" t="s">
        <v>215</v>
      </c>
      <c r="P625" t="s">
        <v>216</v>
      </c>
      <c r="Q625" t="s">
        <v>217</v>
      </c>
      <c r="R625" t="s">
        <v>218</v>
      </c>
      <c r="S625" t="s">
        <v>220</v>
      </c>
    </row>
    <row r="626" spans="1:19" x14ac:dyDescent="0.35">
      <c r="A626" t="s">
        <v>48</v>
      </c>
      <c r="B626" t="s">
        <v>20</v>
      </c>
      <c r="C626" t="s">
        <v>30</v>
      </c>
      <c r="D626" t="s">
        <v>14</v>
      </c>
      <c r="E626" t="s">
        <v>22</v>
      </c>
      <c r="F626" t="s">
        <v>23</v>
      </c>
      <c r="G626" t="s">
        <v>24</v>
      </c>
      <c r="H626" t="s">
        <v>239</v>
      </c>
      <c r="I626" t="s">
        <v>225</v>
      </c>
      <c r="J626" t="s">
        <v>32</v>
      </c>
      <c r="K626" t="s">
        <v>245</v>
      </c>
      <c r="L626" t="s">
        <v>229</v>
      </c>
      <c r="M626" t="s">
        <v>231</v>
      </c>
      <c r="N626" t="s">
        <v>239</v>
      </c>
      <c r="O626" t="s">
        <v>215</v>
      </c>
      <c r="P626" t="s">
        <v>216</v>
      </c>
      <c r="Q626" t="s">
        <v>217</v>
      </c>
      <c r="R626" t="s">
        <v>218</v>
      </c>
      <c r="S626" t="s">
        <v>238</v>
      </c>
    </row>
    <row r="627" spans="1:19" x14ac:dyDescent="0.35">
      <c r="A627" t="s">
        <v>156</v>
      </c>
      <c r="B627" t="s">
        <v>29</v>
      </c>
      <c r="C627" t="s">
        <v>30</v>
      </c>
      <c r="D627" t="s">
        <v>26</v>
      </c>
      <c r="E627" t="s">
        <v>15</v>
      </c>
      <c r="F627" t="s">
        <v>58</v>
      </c>
      <c r="G627" t="s">
        <v>24</v>
      </c>
      <c r="H627" t="s">
        <v>255</v>
      </c>
      <c r="I627" t="s">
        <v>225</v>
      </c>
      <c r="J627" t="s">
        <v>27</v>
      </c>
      <c r="K627" t="s">
        <v>256</v>
      </c>
      <c r="L627" t="s">
        <v>324</v>
      </c>
      <c r="M627" t="s">
        <v>303</v>
      </c>
      <c r="N627" t="s">
        <v>255</v>
      </c>
      <c r="O627" t="s">
        <v>215</v>
      </c>
      <c r="P627" t="s">
        <v>216</v>
      </c>
      <c r="Q627" t="s">
        <v>217</v>
      </c>
      <c r="R627" t="s">
        <v>218</v>
      </c>
      <c r="S627" t="s">
        <v>244</v>
      </c>
    </row>
    <row r="628" spans="1:19" x14ac:dyDescent="0.35">
      <c r="A628" t="s">
        <v>114</v>
      </c>
      <c r="B628" t="s">
        <v>34</v>
      </c>
      <c r="C628" t="s">
        <v>30</v>
      </c>
      <c r="D628" t="s">
        <v>26</v>
      </c>
      <c r="E628" t="s">
        <v>22</v>
      </c>
      <c r="F628" t="s">
        <v>56</v>
      </c>
      <c r="G628" t="s">
        <v>36</v>
      </c>
      <c r="H628" t="s">
        <v>260</v>
      </c>
      <c r="I628" t="s">
        <v>220</v>
      </c>
      <c r="J628" t="s">
        <v>43</v>
      </c>
      <c r="K628" t="s">
        <v>261</v>
      </c>
      <c r="L628" t="s">
        <v>335</v>
      </c>
      <c r="M628" t="s">
        <v>336</v>
      </c>
      <c r="N628" t="s">
        <v>261</v>
      </c>
      <c r="O628" t="s">
        <v>215</v>
      </c>
      <c r="P628" t="s">
        <v>216</v>
      </c>
      <c r="Q628" t="s">
        <v>217</v>
      </c>
      <c r="R628" t="s">
        <v>218</v>
      </c>
      <c r="S628" t="s">
        <v>244</v>
      </c>
    </row>
    <row r="629" spans="1:19" x14ac:dyDescent="0.35">
      <c r="A629" t="s">
        <v>160</v>
      </c>
      <c r="B629" t="s">
        <v>34</v>
      </c>
      <c r="C629" t="s">
        <v>13</v>
      </c>
      <c r="D629" t="s">
        <v>14</v>
      </c>
      <c r="E629" t="s">
        <v>22</v>
      </c>
      <c r="F629" t="s">
        <v>39</v>
      </c>
      <c r="G629" t="s">
        <v>24</v>
      </c>
      <c r="H629" t="s">
        <v>209</v>
      </c>
      <c r="I629" t="s">
        <v>220</v>
      </c>
      <c r="J629" t="s">
        <v>18</v>
      </c>
      <c r="K629" t="s">
        <v>211</v>
      </c>
      <c r="L629" t="s">
        <v>302</v>
      </c>
      <c r="M629" t="s">
        <v>342</v>
      </c>
      <c r="N629" t="s">
        <v>211</v>
      </c>
      <c r="O629" t="s">
        <v>215</v>
      </c>
      <c r="P629" t="s">
        <v>216</v>
      </c>
      <c r="Q629" t="s">
        <v>217</v>
      </c>
      <c r="R629" t="s">
        <v>218</v>
      </c>
      <c r="S629" t="s">
        <v>238</v>
      </c>
    </row>
    <row r="630" spans="1:19" x14ac:dyDescent="0.35">
      <c r="A630" t="s">
        <v>150</v>
      </c>
      <c r="B630" t="s">
        <v>29</v>
      </c>
      <c r="C630" t="s">
        <v>13</v>
      </c>
      <c r="D630" t="s">
        <v>26</v>
      </c>
      <c r="E630" t="s">
        <v>22</v>
      </c>
      <c r="F630" t="s">
        <v>31</v>
      </c>
      <c r="G630" t="s">
        <v>24</v>
      </c>
      <c r="H630" t="s">
        <v>252</v>
      </c>
      <c r="I630" t="s">
        <v>210</v>
      </c>
      <c r="J630" t="s">
        <v>27</v>
      </c>
      <c r="K630" t="s">
        <v>253</v>
      </c>
      <c r="L630" t="s">
        <v>289</v>
      </c>
      <c r="M630" t="s">
        <v>297</v>
      </c>
      <c r="N630" t="s">
        <v>231</v>
      </c>
      <c r="O630" t="s">
        <v>215</v>
      </c>
      <c r="P630" t="s">
        <v>216</v>
      </c>
      <c r="Q630" t="s">
        <v>217</v>
      </c>
      <c r="R630" t="s">
        <v>218</v>
      </c>
      <c r="S630" t="s">
        <v>220</v>
      </c>
    </row>
    <row r="631" spans="1:19" x14ac:dyDescent="0.35">
      <c r="A631" t="s">
        <v>92</v>
      </c>
      <c r="B631" t="s">
        <v>20</v>
      </c>
      <c r="C631" t="s">
        <v>30</v>
      </c>
      <c r="D631" t="s">
        <v>14</v>
      </c>
      <c r="E631" t="s">
        <v>15</v>
      </c>
      <c r="F631" t="s">
        <v>41</v>
      </c>
      <c r="G631" t="s">
        <v>17</v>
      </c>
      <c r="H631" t="s">
        <v>219</v>
      </c>
      <c r="I631" t="s">
        <v>210</v>
      </c>
      <c r="J631" t="s">
        <v>18</v>
      </c>
      <c r="K631" t="s">
        <v>221</v>
      </c>
      <c r="L631" t="s">
        <v>278</v>
      </c>
      <c r="M631" t="s">
        <v>279</v>
      </c>
      <c r="N631" t="s">
        <v>280</v>
      </c>
      <c r="O631" t="s">
        <v>215</v>
      </c>
      <c r="P631" t="s">
        <v>216</v>
      </c>
      <c r="Q631" t="s">
        <v>217</v>
      </c>
      <c r="R631" t="s">
        <v>218</v>
      </c>
      <c r="S631" t="s">
        <v>265</v>
      </c>
    </row>
    <row r="632" spans="1:19" x14ac:dyDescent="0.35">
      <c r="A632" t="s">
        <v>112</v>
      </c>
      <c r="B632" t="s">
        <v>20</v>
      </c>
      <c r="C632" t="s">
        <v>30</v>
      </c>
      <c r="D632" t="s">
        <v>14</v>
      </c>
      <c r="E632" t="s">
        <v>22</v>
      </c>
      <c r="F632" t="s">
        <v>47</v>
      </c>
      <c r="G632" t="s">
        <v>36</v>
      </c>
      <c r="H632" t="s">
        <v>229</v>
      </c>
      <c r="I632" t="s">
        <v>220</v>
      </c>
      <c r="J632" t="s">
        <v>32</v>
      </c>
      <c r="K632" t="s">
        <v>231</v>
      </c>
      <c r="L632" t="s">
        <v>289</v>
      </c>
      <c r="M632" t="s">
        <v>297</v>
      </c>
      <c r="N632" t="s">
        <v>231</v>
      </c>
      <c r="O632" t="s">
        <v>215</v>
      </c>
      <c r="P632" t="s">
        <v>216</v>
      </c>
      <c r="Q632" t="s">
        <v>217</v>
      </c>
      <c r="R632" t="s">
        <v>218</v>
      </c>
      <c r="S632" t="s">
        <v>238</v>
      </c>
    </row>
    <row r="633" spans="1:19" x14ac:dyDescent="0.35">
      <c r="A633" t="s">
        <v>139</v>
      </c>
      <c r="B633" t="s">
        <v>12</v>
      </c>
      <c r="C633" t="s">
        <v>13</v>
      </c>
      <c r="D633" t="s">
        <v>26</v>
      </c>
      <c r="E633" t="s">
        <v>22</v>
      </c>
      <c r="F633" t="s">
        <v>41</v>
      </c>
      <c r="G633" t="s">
        <v>17</v>
      </c>
      <c r="H633" t="s">
        <v>219</v>
      </c>
      <c r="I633" t="s">
        <v>220</v>
      </c>
      <c r="J633" t="s">
        <v>18</v>
      </c>
      <c r="K633" t="s">
        <v>221</v>
      </c>
      <c r="L633" t="s">
        <v>222</v>
      </c>
      <c r="M633" t="s">
        <v>223</v>
      </c>
      <c r="N633" t="s">
        <v>221</v>
      </c>
      <c r="O633" t="s">
        <v>215</v>
      </c>
      <c r="P633" t="s">
        <v>216</v>
      </c>
      <c r="Q633" t="s">
        <v>217</v>
      </c>
      <c r="R633" t="s">
        <v>218</v>
      </c>
      <c r="S633" t="s">
        <v>265</v>
      </c>
    </row>
    <row r="634" spans="1:19" x14ac:dyDescent="0.35">
      <c r="A634" t="s">
        <v>104</v>
      </c>
      <c r="B634" t="s">
        <v>29</v>
      </c>
      <c r="C634" t="s">
        <v>21</v>
      </c>
      <c r="D634" t="s">
        <v>26</v>
      </c>
      <c r="E634" t="s">
        <v>15</v>
      </c>
      <c r="F634" t="s">
        <v>35</v>
      </c>
      <c r="G634" t="s">
        <v>36</v>
      </c>
      <c r="H634" t="s">
        <v>224</v>
      </c>
      <c r="I634" t="s">
        <v>230</v>
      </c>
      <c r="J634" t="s">
        <v>50</v>
      </c>
      <c r="K634" t="s">
        <v>226</v>
      </c>
      <c r="L634" t="s">
        <v>332</v>
      </c>
      <c r="M634" t="s">
        <v>333</v>
      </c>
      <c r="N634" t="s">
        <v>291</v>
      </c>
      <c r="O634" t="s">
        <v>215</v>
      </c>
      <c r="P634" t="s">
        <v>216</v>
      </c>
      <c r="Q634" t="s">
        <v>217</v>
      </c>
      <c r="R634" t="s">
        <v>218</v>
      </c>
      <c r="S634" t="s">
        <v>265</v>
      </c>
    </row>
    <row r="635" spans="1:19" x14ac:dyDescent="0.35">
      <c r="A635" t="s">
        <v>70</v>
      </c>
      <c r="B635" t="s">
        <v>34</v>
      </c>
      <c r="C635" t="s">
        <v>13</v>
      </c>
      <c r="D635" t="s">
        <v>26</v>
      </c>
      <c r="E635" t="s">
        <v>22</v>
      </c>
      <c r="F635" t="s">
        <v>47</v>
      </c>
      <c r="G635" t="s">
        <v>36</v>
      </c>
      <c r="H635" t="s">
        <v>229</v>
      </c>
      <c r="I635" t="s">
        <v>210</v>
      </c>
      <c r="J635" t="s">
        <v>18</v>
      </c>
      <c r="K635" t="s">
        <v>231</v>
      </c>
      <c r="L635" t="s">
        <v>227</v>
      </c>
      <c r="M635" t="s">
        <v>228</v>
      </c>
      <c r="N635" t="s">
        <v>224</v>
      </c>
      <c r="O635" t="s">
        <v>215</v>
      </c>
      <c r="P635" t="s">
        <v>216</v>
      </c>
      <c r="Q635" t="s">
        <v>217</v>
      </c>
      <c r="R635" t="s">
        <v>218</v>
      </c>
      <c r="S635" t="s">
        <v>265</v>
      </c>
    </row>
    <row r="636" spans="1:19" x14ac:dyDescent="0.35">
      <c r="A636" t="s">
        <v>44</v>
      </c>
      <c r="B636" t="s">
        <v>29</v>
      </c>
      <c r="C636" t="s">
        <v>21</v>
      </c>
      <c r="D636" t="s">
        <v>26</v>
      </c>
      <c r="E636" t="s">
        <v>15</v>
      </c>
      <c r="F636" t="s">
        <v>58</v>
      </c>
      <c r="G636" t="s">
        <v>24</v>
      </c>
      <c r="H636" t="s">
        <v>255</v>
      </c>
      <c r="I636" t="s">
        <v>269</v>
      </c>
      <c r="J636" t="s">
        <v>18</v>
      </c>
      <c r="K636" t="s">
        <v>256</v>
      </c>
      <c r="L636" t="s">
        <v>346</v>
      </c>
      <c r="M636" t="s">
        <v>347</v>
      </c>
      <c r="N636" t="s">
        <v>348</v>
      </c>
      <c r="O636" t="s">
        <v>215</v>
      </c>
      <c r="P636" t="s">
        <v>216</v>
      </c>
      <c r="Q636" t="s">
        <v>217</v>
      </c>
      <c r="R636" t="s">
        <v>218</v>
      </c>
      <c r="S636" t="s">
        <v>244</v>
      </c>
    </row>
    <row r="637" spans="1:19" x14ac:dyDescent="0.35">
      <c r="A637" t="s">
        <v>71</v>
      </c>
      <c r="B637" t="s">
        <v>12</v>
      </c>
      <c r="C637" t="s">
        <v>38</v>
      </c>
      <c r="D637" t="s">
        <v>26</v>
      </c>
      <c r="E637" t="s">
        <v>22</v>
      </c>
      <c r="F637" t="s">
        <v>16</v>
      </c>
      <c r="G637" t="s">
        <v>17</v>
      </c>
      <c r="H637" t="s">
        <v>275</v>
      </c>
      <c r="I637" t="s">
        <v>220</v>
      </c>
      <c r="J637" t="s">
        <v>32</v>
      </c>
      <c r="K637" t="s">
        <v>276</v>
      </c>
      <c r="L637" t="s">
        <v>337</v>
      </c>
      <c r="M637" t="s">
        <v>338</v>
      </c>
      <c r="N637" t="s">
        <v>276</v>
      </c>
      <c r="O637" t="s">
        <v>215</v>
      </c>
      <c r="P637" t="s">
        <v>216</v>
      </c>
      <c r="Q637" t="s">
        <v>217</v>
      </c>
      <c r="R637" t="s">
        <v>218</v>
      </c>
      <c r="S637" t="s">
        <v>265</v>
      </c>
    </row>
    <row r="638" spans="1:19" x14ac:dyDescent="0.35">
      <c r="A638" t="s">
        <v>102</v>
      </c>
      <c r="B638" t="s">
        <v>29</v>
      </c>
      <c r="C638" t="s">
        <v>30</v>
      </c>
      <c r="D638" t="s">
        <v>26</v>
      </c>
      <c r="E638" t="s">
        <v>15</v>
      </c>
      <c r="F638" t="s">
        <v>41</v>
      </c>
      <c r="G638" t="s">
        <v>17</v>
      </c>
      <c r="H638" t="s">
        <v>219</v>
      </c>
      <c r="I638" t="s">
        <v>238</v>
      </c>
      <c r="J638" t="s">
        <v>54</v>
      </c>
      <c r="K638" t="s">
        <v>221</v>
      </c>
      <c r="L638" t="s">
        <v>219</v>
      </c>
      <c r="M638" t="s">
        <v>221</v>
      </c>
      <c r="N638" t="s">
        <v>308</v>
      </c>
      <c r="O638" t="s">
        <v>215</v>
      </c>
      <c r="P638" t="s">
        <v>216</v>
      </c>
      <c r="Q638" t="s">
        <v>217</v>
      </c>
      <c r="R638" t="s">
        <v>218</v>
      </c>
      <c r="S638" t="s">
        <v>238</v>
      </c>
    </row>
    <row r="639" spans="1:19" x14ac:dyDescent="0.35">
      <c r="A639" t="s">
        <v>48</v>
      </c>
      <c r="B639" t="s">
        <v>20</v>
      </c>
      <c r="C639" t="s">
        <v>38</v>
      </c>
      <c r="D639" t="s">
        <v>26</v>
      </c>
      <c r="E639" t="s">
        <v>22</v>
      </c>
      <c r="F639" t="s">
        <v>52</v>
      </c>
      <c r="G639" t="s">
        <v>36</v>
      </c>
      <c r="H639" t="s">
        <v>291</v>
      </c>
      <c r="I639" t="s">
        <v>238</v>
      </c>
      <c r="J639" t="s">
        <v>43</v>
      </c>
      <c r="K639" t="s">
        <v>292</v>
      </c>
      <c r="L639" t="s">
        <v>291</v>
      </c>
      <c r="M639" t="s">
        <v>292</v>
      </c>
      <c r="N639" t="s">
        <v>343</v>
      </c>
      <c r="O639" t="s">
        <v>215</v>
      </c>
      <c r="P639" t="s">
        <v>216</v>
      </c>
      <c r="Q639" t="s">
        <v>217</v>
      </c>
      <c r="R639" t="s">
        <v>218</v>
      </c>
      <c r="S639" t="s">
        <v>238</v>
      </c>
    </row>
    <row r="640" spans="1:19" x14ac:dyDescent="0.35">
      <c r="A640" t="s">
        <v>19</v>
      </c>
      <c r="B640" t="s">
        <v>29</v>
      </c>
      <c r="C640" t="s">
        <v>30</v>
      </c>
      <c r="D640" t="s">
        <v>26</v>
      </c>
      <c r="E640" t="s">
        <v>22</v>
      </c>
      <c r="F640" t="s">
        <v>52</v>
      </c>
      <c r="G640" t="s">
        <v>36</v>
      </c>
      <c r="H640" t="s">
        <v>291</v>
      </c>
      <c r="I640" t="s">
        <v>240</v>
      </c>
      <c r="J640" t="s">
        <v>27</v>
      </c>
      <c r="K640" t="s">
        <v>292</v>
      </c>
      <c r="L640" t="s">
        <v>349</v>
      </c>
      <c r="M640" t="s">
        <v>350</v>
      </c>
      <c r="N640" t="s">
        <v>351</v>
      </c>
      <c r="O640" t="s">
        <v>215</v>
      </c>
      <c r="P640" t="s">
        <v>216</v>
      </c>
      <c r="Q640" t="s">
        <v>217</v>
      </c>
      <c r="R640" t="s">
        <v>218</v>
      </c>
      <c r="S640" t="s">
        <v>220</v>
      </c>
    </row>
    <row r="641" spans="1:19" x14ac:dyDescent="0.35">
      <c r="A641" t="s">
        <v>121</v>
      </c>
      <c r="B641" t="s">
        <v>34</v>
      </c>
      <c r="C641" t="s">
        <v>21</v>
      </c>
      <c r="D641" t="s">
        <v>26</v>
      </c>
      <c r="E641" t="s">
        <v>15</v>
      </c>
      <c r="F641" t="s">
        <v>31</v>
      </c>
      <c r="G641" t="s">
        <v>24</v>
      </c>
      <c r="H641" t="s">
        <v>252</v>
      </c>
      <c r="I641" t="s">
        <v>249</v>
      </c>
      <c r="J641" t="s">
        <v>50</v>
      </c>
      <c r="K641" t="s">
        <v>253</v>
      </c>
      <c r="L641" t="s">
        <v>297</v>
      </c>
      <c r="M641" t="s">
        <v>243</v>
      </c>
      <c r="N641" t="s">
        <v>311</v>
      </c>
      <c r="O641" t="s">
        <v>215</v>
      </c>
      <c r="P641" t="s">
        <v>216</v>
      </c>
      <c r="Q641" t="s">
        <v>217</v>
      </c>
      <c r="R641" t="s">
        <v>218</v>
      </c>
      <c r="S641" t="s">
        <v>265</v>
      </c>
    </row>
    <row r="642" spans="1:19" x14ac:dyDescent="0.35">
      <c r="A642" t="s">
        <v>124</v>
      </c>
      <c r="B642" t="s">
        <v>20</v>
      </c>
      <c r="C642" t="s">
        <v>13</v>
      </c>
      <c r="D642" t="s">
        <v>26</v>
      </c>
      <c r="E642" t="s">
        <v>22</v>
      </c>
      <c r="F642" t="s">
        <v>58</v>
      </c>
      <c r="G642" t="s">
        <v>24</v>
      </c>
      <c r="H642" t="s">
        <v>255</v>
      </c>
      <c r="I642" t="s">
        <v>230</v>
      </c>
      <c r="J642" t="s">
        <v>18</v>
      </c>
      <c r="K642" t="s">
        <v>256</v>
      </c>
      <c r="L642" t="s">
        <v>354</v>
      </c>
      <c r="M642" t="s">
        <v>355</v>
      </c>
      <c r="N642" t="s">
        <v>356</v>
      </c>
      <c r="O642" t="s">
        <v>215</v>
      </c>
      <c r="P642" t="s">
        <v>216</v>
      </c>
      <c r="Q642" t="s">
        <v>217</v>
      </c>
      <c r="R642" t="s">
        <v>218</v>
      </c>
      <c r="S642" t="s">
        <v>238</v>
      </c>
    </row>
    <row r="643" spans="1:19" x14ac:dyDescent="0.35">
      <c r="A643" t="s">
        <v>62</v>
      </c>
      <c r="B643" t="s">
        <v>29</v>
      </c>
      <c r="C643" t="s">
        <v>13</v>
      </c>
      <c r="D643" t="s">
        <v>26</v>
      </c>
      <c r="E643" t="s">
        <v>15</v>
      </c>
      <c r="F643" t="s">
        <v>41</v>
      </c>
      <c r="G643" t="s">
        <v>17</v>
      </c>
      <c r="H643" t="s">
        <v>219</v>
      </c>
      <c r="I643" t="s">
        <v>269</v>
      </c>
      <c r="J643" t="s">
        <v>43</v>
      </c>
      <c r="K643" t="s">
        <v>221</v>
      </c>
      <c r="L643" t="s">
        <v>362</v>
      </c>
      <c r="M643" t="s">
        <v>363</v>
      </c>
      <c r="N643" t="s">
        <v>342</v>
      </c>
      <c r="O643" t="s">
        <v>215</v>
      </c>
      <c r="P643" t="s">
        <v>216</v>
      </c>
      <c r="Q643" t="s">
        <v>217</v>
      </c>
      <c r="R643" t="s">
        <v>218</v>
      </c>
      <c r="S643" t="s">
        <v>220</v>
      </c>
    </row>
    <row r="644" spans="1:19" x14ac:dyDescent="0.35">
      <c r="A644" t="s">
        <v>80</v>
      </c>
      <c r="B644" t="s">
        <v>12</v>
      </c>
      <c r="C644" t="s">
        <v>38</v>
      </c>
      <c r="D644" t="s">
        <v>26</v>
      </c>
      <c r="E644" t="s">
        <v>22</v>
      </c>
      <c r="F644" t="s">
        <v>35</v>
      </c>
      <c r="G644" t="s">
        <v>36</v>
      </c>
      <c r="H644" t="s">
        <v>224</v>
      </c>
      <c r="I644" t="s">
        <v>265</v>
      </c>
      <c r="J644" t="s">
        <v>50</v>
      </c>
      <c r="K644" t="s">
        <v>226</v>
      </c>
      <c r="L644" t="s">
        <v>289</v>
      </c>
      <c r="M644" t="s">
        <v>297</v>
      </c>
      <c r="N644" t="s">
        <v>231</v>
      </c>
      <c r="O644" t="s">
        <v>215</v>
      </c>
      <c r="P644" t="s">
        <v>216</v>
      </c>
      <c r="Q644" t="s">
        <v>217</v>
      </c>
      <c r="R644" t="s">
        <v>218</v>
      </c>
      <c r="S644" t="s">
        <v>265</v>
      </c>
    </row>
    <row r="645" spans="1:19" x14ac:dyDescent="0.35">
      <c r="A645" t="s">
        <v>49</v>
      </c>
      <c r="B645" t="s">
        <v>29</v>
      </c>
      <c r="C645" t="s">
        <v>13</v>
      </c>
      <c r="D645" t="s">
        <v>26</v>
      </c>
      <c r="E645" t="s">
        <v>15</v>
      </c>
      <c r="F645" t="s">
        <v>56</v>
      </c>
      <c r="G645" t="s">
        <v>36</v>
      </c>
      <c r="H645" t="s">
        <v>260</v>
      </c>
      <c r="I645" t="s">
        <v>220</v>
      </c>
      <c r="J645" t="s">
        <v>50</v>
      </c>
      <c r="K645" t="s">
        <v>261</v>
      </c>
      <c r="L645" t="s">
        <v>335</v>
      </c>
      <c r="M645" t="s">
        <v>336</v>
      </c>
      <c r="N645" t="s">
        <v>261</v>
      </c>
      <c r="O645" t="s">
        <v>215</v>
      </c>
      <c r="P645" t="s">
        <v>216</v>
      </c>
      <c r="Q645" t="s">
        <v>217</v>
      </c>
      <c r="R645" t="s">
        <v>218</v>
      </c>
      <c r="S645" t="s">
        <v>220</v>
      </c>
    </row>
    <row r="646" spans="1:19" x14ac:dyDescent="0.35">
      <c r="A646" t="s">
        <v>71</v>
      </c>
      <c r="B646" t="s">
        <v>34</v>
      </c>
      <c r="C646" t="s">
        <v>21</v>
      </c>
      <c r="D646" t="s">
        <v>14</v>
      </c>
      <c r="E646" t="s">
        <v>15</v>
      </c>
      <c r="F646" t="s">
        <v>23</v>
      </c>
      <c r="G646" t="s">
        <v>24</v>
      </c>
      <c r="H646" t="s">
        <v>239</v>
      </c>
      <c r="I646" t="s">
        <v>220</v>
      </c>
      <c r="J646" t="s">
        <v>50</v>
      </c>
      <c r="K646" t="s">
        <v>245</v>
      </c>
      <c r="L646" t="s">
        <v>231</v>
      </c>
      <c r="M646" t="s">
        <v>311</v>
      </c>
      <c r="N646" t="s">
        <v>245</v>
      </c>
      <c r="O646" t="s">
        <v>215</v>
      </c>
      <c r="P646" t="s">
        <v>216</v>
      </c>
      <c r="Q646" t="s">
        <v>217</v>
      </c>
      <c r="R646" t="s">
        <v>218</v>
      </c>
      <c r="S646" t="s">
        <v>265</v>
      </c>
    </row>
    <row r="647" spans="1:19" x14ac:dyDescent="0.35">
      <c r="A647" t="s">
        <v>144</v>
      </c>
      <c r="B647" t="s">
        <v>12</v>
      </c>
      <c r="C647" t="s">
        <v>21</v>
      </c>
      <c r="D647" t="s">
        <v>14</v>
      </c>
      <c r="E647" t="s">
        <v>22</v>
      </c>
      <c r="F647" t="s">
        <v>58</v>
      </c>
      <c r="G647" t="s">
        <v>24</v>
      </c>
      <c r="H647" t="s">
        <v>255</v>
      </c>
      <c r="I647" t="s">
        <v>220</v>
      </c>
      <c r="J647" t="s">
        <v>18</v>
      </c>
      <c r="K647" t="s">
        <v>256</v>
      </c>
      <c r="L647" t="s">
        <v>303</v>
      </c>
      <c r="M647" t="s">
        <v>304</v>
      </c>
      <c r="N647" t="s">
        <v>256</v>
      </c>
      <c r="O647" t="s">
        <v>215</v>
      </c>
      <c r="P647" t="s">
        <v>216</v>
      </c>
      <c r="Q647" t="s">
        <v>217</v>
      </c>
      <c r="R647" t="s">
        <v>218</v>
      </c>
      <c r="S647" t="s">
        <v>265</v>
      </c>
    </row>
    <row r="648" spans="1:19" x14ac:dyDescent="0.35">
      <c r="A648" t="s">
        <v>37</v>
      </c>
      <c r="B648" t="s">
        <v>34</v>
      </c>
      <c r="C648" t="s">
        <v>38</v>
      </c>
      <c r="D648" t="s">
        <v>14</v>
      </c>
      <c r="E648" t="s">
        <v>22</v>
      </c>
      <c r="F648" t="s">
        <v>35</v>
      </c>
      <c r="G648" t="s">
        <v>36</v>
      </c>
      <c r="H648" t="s">
        <v>224</v>
      </c>
      <c r="I648" t="s">
        <v>265</v>
      </c>
      <c r="J648" t="s">
        <v>50</v>
      </c>
      <c r="K648" t="s">
        <v>226</v>
      </c>
      <c r="L648" t="s">
        <v>289</v>
      </c>
      <c r="M648" t="s">
        <v>297</v>
      </c>
      <c r="N648" t="s">
        <v>231</v>
      </c>
      <c r="O648" t="s">
        <v>215</v>
      </c>
      <c r="P648" t="s">
        <v>216</v>
      </c>
      <c r="Q648" t="s">
        <v>217</v>
      </c>
      <c r="R648" t="s">
        <v>218</v>
      </c>
      <c r="S648" t="s">
        <v>244</v>
      </c>
    </row>
    <row r="649" spans="1:19" x14ac:dyDescent="0.35">
      <c r="A649" t="s">
        <v>87</v>
      </c>
      <c r="B649" t="s">
        <v>29</v>
      </c>
      <c r="C649" t="s">
        <v>21</v>
      </c>
      <c r="D649" t="s">
        <v>14</v>
      </c>
      <c r="E649" t="s">
        <v>15</v>
      </c>
      <c r="F649" t="s">
        <v>41</v>
      </c>
      <c r="G649" t="s">
        <v>17</v>
      </c>
      <c r="H649" t="s">
        <v>219</v>
      </c>
      <c r="I649" t="s">
        <v>230</v>
      </c>
      <c r="J649" t="s">
        <v>27</v>
      </c>
      <c r="K649" t="s">
        <v>221</v>
      </c>
      <c r="L649" t="s">
        <v>235</v>
      </c>
      <c r="M649" t="s">
        <v>236</v>
      </c>
      <c r="N649" t="s">
        <v>237</v>
      </c>
      <c r="O649" t="s">
        <v>215</v>
      </c>
      <c r="P649" t="s">
        <v>216</v>
      </c>
      <c r="Q649" t="s">
        <v>217</v>
      </c>
      <c r="R649" t="s">
        <v>218</v>
      </c>
      <c r="S649" t="s">
        <v>244</v>
      </c>
    </row>
    <row r="650" spans="1:19" x14ac:dyDescent="0.35">
      <c r="A650" t="s">
        <v>158</v>
      </c>
      <c r="B650" t="s">
        <v>20</v>
      </c>
      <c r="C650" t="s">
        <v>38</v>
      </c>
      <c r="D650" t="s">
        <v>26</v>
      </c>
      <c r="E650" t="s">
        <v>15</v>
      </c>
      <c r="F650" t="s">
        <v>31</v>
      </c>
      <c r="G650" t="s">
        <v>24</v>
      </c>
      <c r="H650" t="s">
        <v>252</v>
      </c>
      <c r="I650" t="s">
        <v>225</v>
      </c>
      <c r="J650" t="s">
        <v>32</v>
      </c>
      <c r="K650" t="s">
        <v>253</v>
      </c>
      <c r="L650" t="s">
        <v>224</v>
      </c>
      <c r="M650" t="s">
        <v>226</v>
      </c>
      <c r="N650" t="s">
        <v>252</v>
      </c>
      <c r="O650" t="s">
        <v>215</v>
      </c>
      <c r="P650" t="s">
        <v>216</v>
      </c>
      <c r="Q650" t="s">
        <v>217</v>
      </c>
      <c r="R650" t="s">
        <v>218</v>
      </c>
      <c r="S650" t="s">
        <v>244</v>
      </c>
    </row>
    <row r="651" spans="1:19" x14ac:dyDescent="0.35">
      <c r="A651" t="s">
        <v>65</v>
      </c>
      <c r="B651" t="s">
        <v>29</v>
      </c>
      <c r="C651" t="s">
        <v>30</v>
      </c>
      <c r="D651" t="s">
        <v>14</v>
      </c>
      <c r="E651" t="s">
        <v>15</v>
      </c>
      <c r="F651" t="s">
        <v>16</v>
      </c>
      <c r="G651" t="s">
        <v>17</v>
      </c>
      <c r="H651" t="s">
        <v>275</v>
      </c>
      <c r="I651" t="s">
        <v>230</v>
      </c>
      <c r="J651" t="s">
        <v>43</v>
      </c>
      <c r="K651" t="s">
        <v>276</v>
      </c>
      <c r="L651" t="s">
        <v>374</v>
      </c>
      <c r="M651" t="s">
        <v>375</v>
      </c>
      <c r="N651" t="s">
        <v>376</v>
      </c>
      <c r="O651" t="s">
        <v>215</v>
      </c>
      <c r="P651" t="s">
        <v>216</v>
      </c>
      <c r="Q651" t="s">
        <v>217</v>
      </c>
      <c r="R651" t="s">
        <v>218</v>
      </c>
      <c r="S651" t="s">
        <v>265</v>
      </c>
    </row>
    <row r="652" spans="1:19" x14ac:dyDescent="0.35">
      <c r="A652" t="s">
        <v>87</v>
      </c>
      <c r="B652" t="s">
        <v>12</v>
      </c>
      <c r="C652" t="s">
        <v>21</v>
      </c>
      <c r="D652" t="s">
        <v>14</v>
      </c>
      <c r="E652" t="s">
        <v>22</v>
      </c>
      <c r="F652" t="s">
        <v>35</v>
      </c>
      <c r="G652" t="s">
        <v>36</v>
      </c>
      <c r="H652" t="s">
        <v>224</v>
      </c>
      <c r="I652" t="s">
        <v>240</v>
      </c>
      <c r="J652" t="s">
        <v>54</v>
      </c>
      <c r="K652" t="s">
        <v>226</v>
      </c>
      <c r="L652" t="s">
        <v>212</v>
      </c>
      <c r="M652" t="s">
        <v>213</v>
      </c>
      <c r="N652" t="s">
        <v>214</v>
      </c>
      <c r="O652" t="s">
        <v>215</v>
      </c>
      <c r="P652" t="s">
        <v>216</v>
      </c>
      <c r="Q652" t="s">
        <v>217</v>
      </c>
      <c r="R652" t="s">
        <v>218</v>
      </c>
      <c r="S652" t="s">
        <v>244</v>
      </c>
    </row>
    <row r="653" spans="1:19" x14ac:dyDescent="0.35">
      <c r="A653" t="s">
        <v>90</v>
      </c>
      <c r="B653" t="s">
        <v>20</v>
      </c>
      <c r="C653" t="s">
        <v>30</v>
      </c>
      <c r="D653" t="s">
        <v>26</v>
      </c>
      <c r="E653" t="s">
        <v>15</v>
      </c>
      <c r="F653" t="s">
        <v>39</v>
      </c>
      <c r="G653" t="s">
        <v>24</v>
      </c>
      <c r="H653" t="s">
        <v>209</v>
      </c>
      <c r="I653" t="s">
        <v>225</v>
      </c>
      <c r="J653" t="s">
        <v>32</v>
      </c>
      <c r="K653" t="s">
        <v>211</v>
      </c>
      <c r="L653" t="s">
        <v>301</v>
      </c>
      <c r="M653" t="s">
        <v>302</v>
      </c>
      <c r="N653" t="s">
        <v>209</v>
      </c>
      <c r="O653" t="s">
        <v>215</v>
      </c>
      <c r="P653" t="s">
        <v>216</v>
      </c>
      <c r="Q653" t="s">
        <v>217</v>
      </c>
      <c r="R653" t="s">
        <v>218</v>
      </c>
      <c r="S653" t="s">
        <v>244</v>
      </c>
    </row>
    <row r="654" spans="1:19" x14ac:dyDescent="0.35">
      <c r="A654" t="s">
        <v>122</v>
      </c>
      <c r="B654" t="s">
        <v>20</v>
      </c>
      <c r="C654" t="s">
        <v>21</v>
      </c>
      <c r="D654" t="s">
        <v>26</v>
      </c>
      <c r="E654" t="s">
        <v>22</v>
      </c>
      <c r="F654" t="s">
        <v>35</v>
      </c>
      <c r="G654" t="s">
        <v>36</v>
      </c>
      <c r="H654" t="s">
        <v>224</v>
      </c>
      <c r="I654" t="s">
        <v>238</v>
      </c>
      <c r="J654" t="s">
        <v>50</v>
      </c>
      <c r="K654" t="s">
        <v>226</v>
      </c>
      <c r="L654" t="s">
        <v>224</v>
      </c>
      <c r="M654" t="s">
        <v>226</v>
      </c>
      <c r="N654" t="s">
        <v>252</v>
      </c>
      <c r="O654" t="s">
        <v>215</v>
      </c>
      <c r="P654" t="s">
        <v>216</v>
      </c>
      <c r="Q654" t="s">
        <v>217</v>
      </c>
      <c r="R654" t="s">
        <v>218</v>
      </c>
      <c r="S654" t="s">
        <v>220</v>
      </c>
    </row>
    <row r="655" spans="1:19" x14ac:dyDescent="0.35">
      <c r="A655" t="s">
        <v>45</v>
      </c>
      <c r="B655" t="s">
        <v>12</v>
      </c>
      <c r="C655" t="s">
        <v>13</v>
      </c>
      <c r="D655" t="s">
        <v>14</v>
      </c>
      <c r="E655" t="s">
        <v>22</v>
      </c>
      <c r="F655" t="s">
        <v>31</v>
      </c>
      <c r="G655" t="s">
        <v>24</v>
      </c>
      <c r="H655" t="s">
        <v>252</v>
      </c>
      <c r="I655" t="s">
        <v>230</v>
      </c>
      <c r="J655" t="s">
        <v>27</v>
      </c>
      <c r="K655" t="s">
        <v>253</v>
      </c>
      <c r="L655" t="s">
        <v>291</v>
      </c>
      <c r="M655" t="s">
        <v>292</v>
      </c>
      <c r="N655" t="s">
        <v>343</v>
      </c>
      <c r="O655" t="s">
        <v>215</v>
      </c>
      <c r="P655" t="s">
        <v>216</v>
      </c>
      <c r="Q655" t="s">
        <v>217</v>
      </c>
      <c r="R655" t="s">
        <v>218</v>
      </c>
      <c r="S655" t="s">
        <v>244</v>
      </c>
    </row>
    <row r="656" spans="1:19" x14ac:dyDescent="0.35">
      <c r="A656" t="s">
        <v>155</v>
      </c>
      <c r="B656" t="s">
        <v>29</v>
      </c>
      <c r="C656" t="s">
        <v>30</v>
      </c>
      <c r="D656" t="s">
        <v>14</v>
      </c>
      <c r="E656" t="s">
        <v>15</v>
      </c>
      <c r="F656" t="s">
        <v>23</v>
      </c>
      <c r="G656" t="s">
        <v>24</v>
      </c>
      <c r="H656" t="s">
        <v>239</v>
      </c>
      <c r="I656" t="s">
        <v>249</v>
      </c>
      <c r="J656" t="s">
        <v>32</v>
      </c>
      <c r="K656" t="s">
        <v>245</v>
      </c>
      <c r="L656" t="s">
        <v>226</v>
      </c>
      <c r="M656" t="s">
        <v>284</v>
      </c>
      <c r="N656" t="s">
        <v>253</v>
      </c>
      <c r="O656" t="s">
        <v>215</v>
      </c>
      <c r="P656" t="s">
        <v>216</v>
      </c>
      <c r="Q656" t="s">
        <v>217</v>
      </c>
      <c r="R656" t="s">
        <v>218</v>
      </c>
      <c r="S656" t="s">
        <v>238</v>
      </c>
    </row>
    <row r="657" spans="1:19" x14ac:dyDescent="0.35">
      <c r="A657" t="s">
        <v>142</v>
      </c>
      <c r="B657" t="s">
        <v>12</v>
      </c>
      <c r="C657" t="s">
        <v>21</v>
      </c>
      <c r="D657" t="s">
        <v>26</v>
      </c>
      <c r="E657" t="s">
        <v>15</v>
      </c>
      <c r="F657" t="s">
        <v>58</v>
      </c>
      <c r="G657" t="s">
        <v>24</v>
      </c>
      <c r="H657" t="s">
        <v>255</v>
      </c>
      <c r="I657" t="s">
        <v>244</v>
      </c>
      <c r="J657" t="s">
        <v>43</v>
      </c>
      <c r="K657" t="s">
        <v>256</v>
      </c>
      <c r="L657" t="s">
        <v>257</v>
      </c>
      <c r="M657" t="s">
        <v>258</v>
      </c>
      <c r="N657" t="s">
        <v>259</v>
      </c>
      <c r="O657" t="s">
        <v>215</v>
      </c>
      <c r="P657" t="s">
        <v>216</v>
      </c>
      <c r="Q657" t="s">
        <v>217</v>
      </c>
      <c r="R657" t="s">
        <v>218</v>
      </c>
      <c r="S657" t="s">
        <v>220</v>
      </c>
    </row>
    <row r="658" spans="1:19" x14ac:dyDescent="0.35">
      <c r="A658" t="s">
        <v>84</v>
      </c>
      <c r="B658" t="s">
        <v>29</v>
      </c>
      <c r="C658" t="s">
        <v>21</v>
      </c>
      <c r="D658" t="s">
        <v>26</v>
      </c>
      <c r="E658" t="s">
        <v>15</v>
      </c>
      <c r="F658" t="s">
        <v>58</v>
      </c>
      <c r="G658" t="s">
        <v>24</v>
      </c>
      <c r="H658" t="s">
        <v>255</v>
      </c>
      <c r="I658" t="s">
        <v>230</v>
      </c>
      <c r="J658" t="s">
        <v>43</v>
      </c>
      <c r="K658" t="s">
        <v>256</v>
      </c>
      <c r="L658" t="s">
        <v>354</v>
      </c>
      <c r="M658" t="s">
        <v>355</v>
      </c>
      <c r="N658" t="s">
        <v>356</v>
      </c>
      <c r="O658" t="s">
        <v>215</v>
      </c>
      <c r="P658" t="s">
        <v>216</v>
      </c>
      <c r="Q658" t="s">
        <v>217</v>
      </c>
      <c r="R658" t="s">
        <v>218</v>
      </c>
      <c r="S658" t="s">
        <v>220</v>
      </c>
    </row>
    <row r="659" spans="1:19" x14ac:dyDescent="0.35">
      <c r="A659" t="s">
        <v>103</v>
      </c>
      <c r="B659" t="s">
        <v>34</v>
      </c>
      <c r="C659" t="s">
        <v>13</v>
      </c>
      <c r="D659" t="s">
        <v>14</v>
      </c>
      <c r="E659" t="s">
        <v>22</v>
      </c>
      <c r="F659" t="s">
        <v>39</v>
      </c>
      <c r="G659" t="s">
        <v>24</v>
      </c>
      <c r="H659" t="s">
        <v>209</v>
      </c>
      <c r="I659" t="s">
        <v>265</v>
      </c>
      <c r="J659" t="s">
        <v>27</v>
      </c>
      <c r="K659" t="s">
        <v>211</v>
      </c>
      <c r="L659" t="s">
        <v>214</v>
      </c>
      <c r="M659" t="s">
        <v>251</v>
      </c>
      <c r="N659" t="s">
        <v>247</v>
      </c>
      <c r="O659" t="s">
        <v>215</v>
      </c>
      <c r="P659" t="s">
        <v>216</v>
      </c>
      <c r="Q659" t="s">
        <v>217</v>
      </c>
      <c r="R659" t="s">
        <v>218</v>
      </c>
      <c r="S659" t="s">
        <v>244</v>
      </c>
    </row>
    <row r="660" spans="1:19" x14ac:dyDescent="0.35">
      <c r="A660" t="s">
        <v>40</v>
      </c>
      <c r="B660" t="s">
        <v>12</v>
      </c>
      <c r="C660" t="s">
        <v>30</v>
      </c>
      <c r="D660" t="s">
        <v>14</v>
      </c>
      <c r="E660" t="s">
        <v>22</v>
      </c>
      <c r="F660" t="s">
        <v>31</v>
      </c>
      <c r="G660" t="s">
        <v>24</v>
      </c>
      <c r="H660" t="s">
        <v>252</v>
      </c>
      <c r="I660" t="s">
        <v>249</v>
      </c>
      <c r="J660" t="s">
        <v>50</v>
      </c>
      <c r="K660" t="s">
        <v>253</v>
      </c>
      <c r="L660" t="s">
        <v>297</v>
      </c>
      <c r="M660" t="s">
        <v>243</v>
      </c>
      <c r="N660" t="s">
        <v>311</v>
      </c>
      <c r="O660" t="s">
        <v>215</v>
      </c>
      <c r="P660" t="s">
        <v>216</v>
      </c>
      <c r="Q660" t="s">
        <v>217</v>
      </c>
      <c r="R660" t="s">
        <v>218</v>
      </c>
      <c r="S660" t="s">
        <v>244</v>
      </c>
    </row>
    <row r="661" spans="1:19" x14ac:dyDescent="0.35">
      <c r="A661" t="s">
        <v>69</v>
      </c>
      <c r="B661" t="s">
        <v>34</v>
      </c>
      <c r="C661" t="s">
        <v>21</v>
      </c>
      <c r="D661" t="s">
        <v>14</v>
      </c>
      <c r="E661" t="s">
        <v>15</v>
      </c>
      <c r="F661" t="s">
        <v>23</v>
      </c>
      <c r="G661" t="s">
        <v>24</v>
      </c>
      <c r="H661" t="s">
        <v>239</v>
      </c>
      <c r="I661" t="s">
        <v>265</v>
      </c>
      <c r="J661" t="s">
        <v>43</v>
      </c>
      <c r="K661" t="s">
        <v>245</v>
      </c>
      <c r="L661" t="s">
        <v>252</v>
      </c>
      <c r="M661" t="s">
        <v>253</v>
      </c>
      <c r="N661" t="s">
        <v>313</v>
      </c>
      <c r="O661" t="s">
        <v>215</v>
      </c>
      <c r="P661" t="s">
        <v>216</v>
      </c>
      <c r="Q661" t="s">
        <v>217</v>
      </c>
      <c r="R661" t="s">
        <v>218</v>
      </c>
      <c r="S661" t="s">
        <v>238</v>
      </c>
    </row>
    <row r="662" spans="1:19" x14ac:dyDescent="0.35">
      <c r="A662" t="s">
        <v>82</v>
      </c>
      <c r="B662" t="s">
        <v>34</v>
      </c>
      <c r="C662" t="s">
        <v>21</v>
      </c>
      <c r="D662" t="s">
        <v>26</v>
      </c>
      <c r="E662" t="s">
        <v>15</v>
      </c>
      <c r="F662" t="s">
        <v>47</v>
      </c>
      <c r="G662" t="s">
        <v>36</v>
      </c>
      <c r="H662" t="s">
        <v>229</v>
      </c>
      <c r="I662" t="s">
        <v>225</v>
      </c>
      <c r="J662" t="s">
        <v>43</v>
      </c>
      <c r="K662" t="s">
        <v>231</v>
      </c>
      <c r="L662" t="s">
        <v>288</v>
      </c>
      <c r="M662" t="s">
        <v>289</v>
      </c>
      <c r="N662" t="s">
        <v>229</v>
      </c>
      <c r="O662" t="s">
        <v>215</v>
      </c>
      <c r="P662" t="s">
        <v>216</v>
      </c>
      <c r="Q662" t="s">
        <v>217</v>
      </c>
      <c r="R662" t="s">
        <v>218</v>
      </c>
      <c r="S662" t="s">
        <v>238</v>
      </c>
    </row>
    <row r="663" spans="1:19" x14ac:dyDescent="0.35">
      <c r="A663" t="s">
        <v>107</v>
      </c>
      <c r="B663" t="s">
        <v>12</v>
      </c>
      <c r="C663" t="s">
        <v>21</v>
      </c>
      <c r="D663" t="s">
        <v>26</v>
      </c>
      <c r="E663" t="s">
        <v>22</v>
      </c>
      <c r="F663" t="s">
        <v>56</v>
      </c>
      <c r="G663" t="s">
        <v>36</v>
      </c>
      <c r="H663" t="s">
        <v>260</v>
      </c>
      <c r="I663" t="s">
        <v>225</v>
      </c>
      <c r="J663" t="s">
        <v>43</v>
      </c>
      <c r="K663" t="s">
        <v>261</v>
      </c>
      <c r="L663" t="s">
        <v>379</v>
      </c>
      <c r="M663" t="s">
        <v>335</v>
      </c>
      <c r="N663" t="s">
        <v>260</v>
      </c>
      <c r="O663" t="s">
        <v>215</v>
      </c>
      <c r="P663" t="s">
        <v>216</v>
      </c>
      <c r="Q663" t="s">
        <v>217</v>
      </c>
      <c r="R663" t="s">
        <v>218</v>
      </c>
      <c r="S663" t="s">
        <v>244</v>
      </c>
    </row>
    <row r="664" spans="1:19" x14ac:dyDescent="0.35">
      <c r="A664" t="s">
        <v>25</v>
      </c>
      <c r="B664" t="s">
        <v>29</v>
      </c>
      <c r="C664" t="s">
        <v>13</v>
      </c>
      <c r="D664" t="s">
        <v>26</v>
      </c>
      <c r="E664" t="s">
        <v>15</v>
      </c>
      <c r="F664" t="s">
        <v>16</v>
      </c>
      <c r="G664" t="s">
        <v>17</v>
      </c>
      <c r="H664" t="s">
        <v>275</v>
      </c>
      <c r="I664" t="s">
        <v>220</v>
      </c>
      <c r="J664" t="s">
        <v>27</v>
      </c>
      <c r="K664" t="s">
        <v>276</v>
      </c>
      <c r="L664" t="s">
        <v>337</v>
      </c>
      <c r="M664" t="s">
        <v>338</v>
      </c>
      <c r="N664" t="s">
        <v>276</v>
      </c>
      <c r="O664" t="s">
        <v>215</v>
      </c>
      <c r="P664" t="s">
        <v>216</v>
      </c>
      <c r="Q664" t="s">
        <v>217</v>
      </c>
      <c r="R664" t="s">
        <v>218</v>
      </c>
      <c r="S664" t="s">
        <v>265</v>
      </c>
    </row>
    <row r="665" spans="1:19" x14ac:dyDescent="0.35">
      <c r="A665" t="s">
        <v>156</v>
      </c>
      <c r="B665" t="s">
        <v>12</v>
      </c>
      <c r="C665" t="s">
        <v>30</v>
      </c>
      <c r="D665" t="s">
        <v>14</v>
      </c>
      <c r="E665" t="s">
        <v>22</v>
      </c>
      <c r="F665" t="s">
        <v>35</v>
      </c>
      <c r="G665" t="s">
        <v>36</v>
      </c>
      <c r="H665" t="s">
        <v>224</v>
      </c>
      <c r="I665" t="s">
        <v>210</v>
      </c>
      <c r="J665" t="s">
        <v>27</v>
      </c>
      <c r="K665" t="s">
        <v>226</v>
      </c>
      <c r="L665" t="s">
        <v>365</v>
      </c>
      <c r="M665" t="s">
        <v>366</v>
      </c>
      <c r="N665" t="s">
        <v>289</v>
      </c>
      <c r="O665" t="s">
        <v>215</v>
      </c>
      <c r="P665" t="s">
        <v>216</v>
      </c>
      <c r="Q665" t="s">
        <v>217</v>
      </c>
      <c r="R665" t="s">
        <v>218</v>
      </c>
      <c r="S665" t="s">
        <v>244</v>
      </c>
    </row>
    <row r="666" spans="1:19" x14ac:dyDescent="0.35">
      <c r="A666" t="s">
        <v>138</v>
      </c>
      <c r="B666" t="s">
        <v>29</v>
      </c>
      <c r="C666" t="s">
        <v>13</v>
      </c>
      <c r="D666" t="s">
        <v>26</v>
      </c>
      <c r="E666" t="s">
        <v>15</v>
      </c>
      <c r="F666" t="s">
        <v>56</v>
      </c>
      <c r="G666" t="s">
        <v>36</v>
      </c>
      <c r="H666" t="s">
        <v>260</v>
      </c>
      <c r="I666" t="s">
        <v>249</v>
      </c>
      <c r="J666" t="s">
        <v>54</v>
      </c>
      <c r="K666" t="s">
        <v>261</v>
      </c>
      <c r="L666" t="s">
        <v>262</v>
      </c>
      <c r="M666" t="s">
        <v>263</v>
      </c>
      <c r="N666" t="s">
        <v>264</v>
      </c>
      <c r="O666" t="s">
        <v>215</v>
      </c>
      <c r="P666" t="s">
        <v>216</v>
      </c>
      <c r="Q666" t="s">
        <v>217</v>
      </c>
      <c r="R666" t="s">
        <v>218</v>
      </c>
      <c r="S666" t="s">
        <v>244</v>
      </c>
    </row>
    <row r="667" spans="1:19" x14ac:dyDescent="0.35">
      <c r="A667" t="s">
        <v>148</v>
      </c>
      <c r="B667" t="s">
        <v>12</v>
      </c>
      <c r="C667" t="s">
        <v>21</v>
      </c>
      <c r="D667" t="s">
        <v>14</v>
      </c>
      <c r="E667" t="s">
        <v>22</v>
      </c>
      <c r="F667" t="s">
        <v>41</v>
      </c>
      <c r="G667" t="s">
        <v>17</v>
      </c>
      <c r="H667" t="s">
        <v>219</v>
      </c>
      <c r="I667" t="s">
        <v>220</v>
      </c>
      <c r="J667" t="s">
        <v>54</v>
      </c>
      <c r="K667" t="s">
        <v>221</v>
      </c>
      <c r="L667" t="s">
        <v>222</v>
      </c>
      <c r="M667" t="s">
        <v>223</v>
      </c>
      <c r="N667" t="s">
        <v>221</v>
      </c>
      <c r="O667" t="s">
        <v>215</v>
      </c>
      <c r="P667" t="s">
        <v>216</v>
      </c>
      <c r="Q667" t="s">
        <v>217</v>
      </c>
      <c r="R667" t="s">
        <v>218</v>
      </c>
      <c r="S667" t="s">
        <v>220</v>
      </c>
    </row>
    <row r="668" spans="1:19" x14ac:dyDescent="0.35">
      <c r="A668" t="s">
        <v>142</v>
      </c>
      <c r="B668" t="s">
        <v>34</v>
      </c>
      <c r="C668" t="s">
        <v>21</v>
      </c>
      <c r="D668" t="s">
        <v>26</v>
      </c>
      <c r="E668" t="s">
        <v>22</v>
      </c>
      <c r="F668" t="s">
        <v>23</v>
      </c>
      <c r="G668" t="s">
        <v>24</v>
      </c>
      <c r="H668" t="s">
        <v>239</v>
      </c>
      <c r="I668" t="s">
        <v>210</v>
      </c>
      <c r="J668" t="s">
        <v>32</v>
      </c>
      <c r="K668" t="s">
        <v>245</v>
      </c>
      <c r="L668" t="s">
        <v>224</v>
      </c>
      <c r="M668" t="s">
        <v>226</v>
      </c>
      <c r="N668" t="s">
        <v>252</v>
      </c>
      <c r="O668" t="s">
        <v>215</v>
      </c>
      <c r="P668" t="s">
        <v>216</v>
      </c>
      <c r="Q668" t="s">
        <v>217</v>
      </c>
      <c r="R668" t="s">
        <v>218</v>
      </c>
      <c r="S668" t="s">
        <v>220</v>
      </c>
    </row>
    <row r="669" spans="1:19" x14ac:dyDescent="0.35">
      <c r="A669" t="s">
        <v>91</v>
      </c>
      <c r="B669" t="s">
        <v>34</v>
      </c>
      <c r="C669" t="s">
        <v>13</v>
      </c>
      <c r="D669" t="s">
        <v>26</v>
      </c>
      <c r="E669" t="s">
        <v>15</v>
      </c>
      <c r="F669" t="s">
        <v>56</v>
      </c>
      <c r="G669" t="s">
        <v>36</v>
      </c>
      <c r="H669" t="s">
        <v>260</v>
      </c>
      <c r="I669" t="s">
        <v>220</v>
      </c>
      <c r="J669" t="s">
        <v>50</v>
      </c>
      <c r="K669" t="s">
        <v>261</v>
      </c>
      <c r="L669" t="s">
        <v>335</v>
      </c>
      <c r="M669" t="s">
        <v>336</v>
      </c>
      <c r="N669" t="s">
        <v>261</v>
      </c>
      <c r="O669" t="s">
        <v>215</v>
      </c>
      <c r="P669" t="s">
        <v>216</v>
      </c>
      <c r="Q669" t="s">
        <v>217</v>
      </c>
      <c r="R669" t="s">
        <v>218</v>
      </c>
      <c r="S669" t="s">
        <v>220</v>
      </c>
    </row>
    <row r="670" spans="1:19" x14ac:dyDescent="0.35">
      <c r="A670" t="s">
        <v>100</v>
      </c>
      <c r="B670" t="s">
        <v>20</v>
      </c>
      <c r="C670" t="s">
        <v>13</v>
      </c>
      <c r="D670" t="s">
        <v>26</v>
      </c>
      <c r="E670" t="s">
        <v>15</v>
      </c>
      <c r="F670" t="s">
        <v>41</v>
      </c>
      <c r="G670" t="s">
        <v>17</v>
      </c>
      <c r="H670" t="s">
        <v>219</v>
      </c>
      <c r="I670" t="s">
        <v>225</v>
      </c>
      <c r="J670" t="s">
        <v>32</v>
      </c>
      <c r="K670" t="s">
        <v>221</v>
      </c>
      <c r="L670" t="s">
        <v>263</v>
      </c>
      <c r="M670" t="s">
        <v>222</v>
      </c>
      <c r="N670" t="s">
        <v>219</v>
      </c>
      <c r="O670" t="s">
        <v>215</v>
      </c>
      <c r="P670" t="s">
        <v>216</v>
      </c>
      <c r="Q670" t="s">
        <v>217</v>
      </c>
      <c r="R670" t="s">
        <v>218</v>
      </c>
      <c r="S670" t="s">
        <v>238</v>
      </c>
    </row>
    <row r="671" spans="1:19" x14ac:dyDescent="0.35">
      <c r="A671" t="s">
        <v>53</v>
      </c>
      <c r="B671" t="s">
        <v>20</v>
      </c>
      <c r="C671" t="s">
        <v>21</v>
      </c>
      <c r="D671" t="s">
        <v>14</v>
      </c>
      <c r="E671" t="s">
        <v>22</v>
      </c>
      <c r="F671" t="s">
        <v>41</v>
      </c>
      <c r="G671" t="s">
        <v>17</v>
      </c>
      <c r="H671" t="s">
        <v>219</v>
      </c>
      <c r="I671" t="s">
        <v>269</v>
      </c>
      <c r="J671" t="s">
        <v>54</v>
      </c>
      <c r="K671" t="s">
        <v>221</v>
      </c>
      <c r="L671" t="s">
        <v>362</v>
      </c>
      <c r="M671" t="s">
        <v>363</v>
      </c>
      <c r="N671" t="s">
        <v>342</v>
      </c>
      <c r="O671" t="s">
        <v>215</v>
      </c>
      <c r="P671" t="s">
        <v>216</v>
      </c>
      <c r="Q671" t="s">
        <v>217</v>
      </c>
      <c r="R671" t="s">
        <v>218</v>
      </c>
      <c r="S671" t="s">
        <v>244</v>
      </c>
    </row>
    <row r="672" spans="1:19" x14ac:dyDescent="0.35">
      <c r="A672" t="s">
        <v>89</v>
      </c>
      <c r="B672" t="s">
        <v>20</v>
      </c>
      <c r="C672" t="s">
        <v>21</v>
      </c>
      <c r="D672" t="s">
        <v>14</v>
      </c>
      <c r="E672" t="s">
        <v>15</v>
      </c>
      <c r="F672" t="s">
        <v>39</v>
      </c>
      <c r="G672" t="s">
        <v>24</v>
      </c>
      <c r="H672" t="s">
        <v>209</v>
      </c>
      <c r="I672" t="s">
        <v>238</v>
      </c>
      <c r="J672" t="s">
        <v>50</v>
      </c>
      <c r="K672" t="s">
        <v>211</v>
      </c>
      <c r="L672" t="s">
        <v>209</v>
      </c>
      <c r="M672" t="s">
        <v>211</v>
      </c>
      <c r="N672" t="s">
        <v>254</v>
      </c>
      <c r="O672" t="s">
        <v>215</v>
      </c>
      <c r="P672" t="s">
        <v>216</v>
      </c>
      <c r="Q672" t="s">
        <v>217</v>
      </c>
      <c r="R672" t="s">
        <v>218</v>
      </c>
      <c r="S672" t="s">
        <v>244</v>
      </c>
    </row>
    <row r="673" spans="1:19" x14ac:dyDescent="0.35">
      <c r="A673" t="s">
        <v>78</v>
      </c>
      <c r="B673" t="s">
        <v>29</v>
      </c>
      <c r="C673" t="s">
        <v>13</v>
      </c>
      <c r="D673" t="s">
        <v>14</v>
      </c>
      <c r="E673" t="s">
        <v>15</v>
      </c>
      <c r="F673" t="s">
        <v>23</v>
      </c>
      <c r="G673" t="s">
        <v>24</v>
      </c>
      <c r="H673" t="s">
        <v>239</v>
      </c>
      <c r="I673" t="s">
        <v>230</v>
      </c>
      <c r="J673" t="s">
        <v>32</v>
      </c>
      <c r="K673" t="s">
        <v>245</v>
      </c>
      <c r="L673" t="s">
        <v>234</v>
      </c>
      <c r="M673" t="s">
        <v>294</v>
      </c>
      <c r="N673" t="s">
        <v>331</v>
      </c>
      <c r="O673" t="s">
        <v>215</v>
      </c>
      <c r="P673" t="s">
        <v>216</v>
      </c>
      <c r="Q673" t="s">
        <v>217</v>
      </c>
      <c r="R673" t="s">
        <v>218</v>
      </c>
      <c r="S673" t="s">
        <v>220</v>
      </c>
    </row>
    <row r="674" spans="1:19" x14ac:dyDescent="0.35">
      <c r="A674" t="s">
        <v>19</v>
      </c>
      <c r="B674" t="s">
        <v>34</v>
      </c>
      <c r="C674" t="s">
        <v>38</v>
      </c>
      <c r="D674" t="s">
        <v>26</v>
      </c>
      <c r="E674" t="s">
        <v>22</v>
      </c>
      <c r="F674" t="s">
        <v>58</v>
      </c>
      <c r="G674" t="s">
        <v>24</v>
      </c>
      <c r="H674" t="s">
        <v>255</v>
      </c>
      <c r="I674" t="s">
        <v>225</v>
      </c>
      <c r="J674" t="s">
        <v>43</v>
      </c>
      <c r="K674" t="s">
        <v>256</v>
      </c>
      <c r="L674" t="s">
        <v>324</v>
      </c>
      <c r="M674" t="s">
        <v>303</v>
      </c>
      <c r="N674" t="s">
        <v>255</v>
      </c>
      <c r="O674" t="s">
        <v>215</v>
      </c>
      <c r="P674" t="s">
        <v>216</v>
      </c>
      <c r="Q674" t="s">
        <v>217</v>
      </c>
      <c r="R674" t="s">
        <v>218</v>
      </c>
      <c r="S674" t="s">
        <v>220</v>
      </c>
    </row>
    <row r="675" spans="1:19" x14ac:dyDescent="0.35">
      <c r="A675" t="s">
        <v>64</v>
      </c>
      <c r="B675" t="s">
        <v>34</v>
      </c>
      <c r="C675" t="s">
        <v>38</v>
      </c>
      <c r="D675" t="s">
        <v>26</v>
      </c>
      <c r="E675" t="s">
        <v>15</v>
      </c>
      <c r="F675" t="s">
        <v>39</v>
      </c>
      <c r="G675" t="s">
        <v>24</v>
      </c>
      <c r="H675" t="s">
        <v>209</v>
      </c>
      <c r="I675" t="s">
        <v>220</v>
      </c>
      <c r="J675" t="s">
        <v>54</v>
      </c>
      <c r="K675" t="s">
        <v>211</v>
      </c>
      <c r="L675" t="s">
        <v>302</v>
      </c>
      <c r="M675" t="s">
        <v>342</v>
      </c>
      <c r="N675" t="s">
        <v>211</v>
      </c>
      <c r="O675" t="s">
        <v>215</v>
      </c>
      <c r="P675" t="s">
        <v>216</v>
      </c>
      <c r="Q675" t="s">
        <v>217</v>
      </c>
      <c r="R675" t="s">
        <v>218</v>
      </c>
      <c r="S675" t="s">
        <v>265</v>
      </c>
    </row>
    <row r="676" spans="1:19" x14ac:dyDescent="0.35">
      <c r="A676" t="s">
        <v>72</v>
      </c>
      <c r="B676" t="s">
        <v>29</v>
      </c>
      <c r="C676" t="s">
        <v>13</v>
      </c>
      <c r="D676" t="s">
        <v>26</v>
      </c>
      <c r="E676" t="s">
        <v>15</v>
      </c>
      <c r="F676" t="s">
        <v>39</v>
      </c>
      <c r="G676" t="s">
        <v>24</v>
      </c>
      <c r="H676" t="s">
        <v>209</v>
      </c>
      <c r="I676" t="s">
        <v>265</v>
      </c>
      <c r="J676" t="s">
        <v>32</v>
      </c>
      <c r="K676" t="s">
        <v>211</v>
      </c>
      <c r="L676" t="s">
        <v>214</v>
      </c>
      <c r="M676" t="s">
        <v>251</v>
      </c>
      <c r="N676" t="s">
        <v>247</v>
      </c>
      <c r="O676" t="s">
        <v>215</v>
      </c>
      <c r="P676" t="s">
        <v>216</v>
      </c>
      <c r="Q676" t="s">
        <v>217</v>
      </c>
      <c r="R676" t="s">
        <v>218</v>
      </c>
      <c r="S676" t="s">
        <v>244</v>
      </c>
    </row>
    <row r="677" spans="1:19" x14ac:dyDescent="0.35">
      <c r="A677" t="s">
        <v>57</v>
      </c>
      <c r="B677" t="s">
        <v>12</v>
      </c>
      <c r="C677" t="s">
        <v>30</v>
      </c>
      <c r="D677" t="s">
        <v>26</v>
      </c>
      <c r="E677" t="s">
        <v>15</v>
      </c>
      <c r="F677" t="s">
        <v>58</v>
      </c>
      <c r="G677" t="s">
        <v>24</v>
      </c>
      <c r="H677" t="s">
        <v>255</v>
      </c>
      <c r="I677" t="s">
        <v>265</v>
      </c>
      <c r="J677" t="s">
        <v>50</v>
      </c>
      <c r="K677" t="s">
        <v>256</v>
      </c>
      <c r="L677" t="s">
        <v>287</v>
      </c>
      <c r="M677" t="s">
        <v>296</v>
      </c>
      <c r="N677" t="s">
        <v>341</v>
      </c>
      <c r="O677" t="s">
        <v>215</v>
      </c>
      <c r="P677" t="s">
        <v>216</v>
      </c>
      <c r="Q677" t="s">
        <v>217</v>
      </c>
      <c r="R677" t="s">
        <v>218</v>
      </c>
      <c r="S677" t="s">
        <v>265</v>
      </c>
    </row>
    <row r="678" spans="1:19" x14ac:dyDescent="0.35">
      <c r="A678" t="s">
        <v>128</v>
      </c>
      <c r="B678" t="s">
        <v>12</v>
      </c>
      <c r="C678" t="s">
        <v>21</v>
      </c>
      <c r="D678" t="s">
        <v>26</v>
      </c>
      <c r="E678" t="s">
        <v>22</v>
      </c>
      <c r="F678" t="s">
        <v>31</v>
      </c>
      <c r="G678" t="s">
        <v>24</v>
      </c>
      <c r="H678" t="s">
        <v>252</v>
      </c>
      <c r="I678" t="s">
        <v>210</v>
      </c>
      <c r="J678" t="s">
        <v>50</v>
      </c>
      <c r="K678" t="s">
        <v>253</v>
      </c>
      <c r="L678" t="s">
        <v>289</v>
      </c>
      <c r="M678" t="s">
        <v>297</v>
      </c>
      <c r="N678" t="s">
        <v>231</v>
      </c>
      <c r="O678" t="s">
        <v>215</v>
      </c>
      <c r="P678" t="s">
        <v>216</v>
      </c>
      <c r="Q678" t="s">
        <v>217</v>
      </c>
      <c r="R678" t="s">
        <v>218</v>
      </c>
      <c r="S678" t="s">
        <v>220</v>
      </c>
    </row>
    <row r="679" spans="1:19" x14ac:dyDescent="0.35">
      <c r="A679" t="s">
        <v>96</v>
      </c>
      <c r="B679" t="s">
        <v>34</v>
      </c>
      <c r="C679" t="s">
        <v>13</v>
      </c>
      <c r="D679" t="s">
        <v>14</v>
      </c>
      <c r="E679" t="s">
        <v>22</v>
      </c>
      <c r="F679" t="s">
        <v>23</v>
      </c>
      <c r="G679" t="s">
        <v>24</v>
      </c>
      <c r="H679" t="s">
        <v>239</v>
      </c>
      <c r="I679" t="s">
        <v>265</v>
      </c>
      <c r="J679" t="s">
        <v>54</v>
      </c>
      <c r="K679" t="s">
        <v>245</v>
      </c>
      <c r="L679" t="s">
        <v>252</v>
      </c>
      <c r="M679" t="s">
        <v>253</v>
      </c>
      <c r="N679" t="s">
        <v>313</v>
      </c>
      <c r="O679" t="s">
        <v>215</v>
      </c>
      <c r="P679" t="s">
        <v>216</v>
      </c>
      <c r="Q679" t="s">
        <v>217</v>
      </c>
      <c r="R679" t="s">
        <v>218</v>
      </c>
      <c r="S679" t="s">
        <v>265</v>
      </c>
    </row>
    <row r="680" spans="1:19" x14ac:dyDescent="0.35">
      <c r="A680" t="s">
        <v>143</v>
      </c>
      <c r="B680" t="s">
        <v>20</v>
      </c>
      <c r="C680" t="s">
        <v>21</v>
      </c>
      <c r="D680" t="s">
        <v>26</v>
      </c>
      <c r="E680" t="s">
        <v>15</v>
      </c>
      <c r="F680" t="s">
        <v>35</v>
      </c>
      <c r="G680" t="s">
        <v>36</v>
      </c>
      <c r="H680" t="s">
        <v>224</v>
      </c>
      <c r="I680" t="s">
        <v>244</v>
      </c>
      <c r="J680" t="s">
        <v>27</v>
      </c>
      <c r="K680" t="s">
        <v>226</v>
      </c>
      <c r="L680" t="s">
        <v>301</v>
      </c>
      <c r="M680" t="s">
        <v>302</v>
      </c>
      <c r="N680" t="s">
        <v>209</v>
      </c>
      <c r="O680" t="s">
        <v>215</v>
      </c>
      <c r="P680" t="s">
        <v>216</v>
      </c>
      <c r="Q680" t="s">
        <v>217</v>
      </c>
      <c r="R680" t="s">
        <v>218</v>
      </c>
      <c r="S680" t="s">
        <v>238</v>
      </c>
    </row>
    <row r="681" spans="1:19" x14ac:dyDescent="0.35">
      <c r="A681" t="s">
        <v>72</v>
      </c>
      <c r="B681" t="s">
        <v>29</v>
      </c>
      <c r="C681" t="s">
        <v>30</v>
      </c>
      <c r="D681" t="s">
        <v>14</v>
      </c>
      <c r="E681" t="s">
        <v>22</v>
      </c>
      <c r="F681" t="s">
        <v>23</v>
      </c>
      <c r="G681" t="s">
        <v>24</v>
      </c>
      <c r="H681" t="s">
        <v>239</v>
      </c>
      <c r="I681" t="s">
        <v>249</v>
      </c>
      <c r="J681" t="s">
        <v>18</v>
      </c>
      <c r="K681" t="s">
        <v>245</v>
      </c>
      <c r="L681" t="s">
        <v>226</v>
      </c>
      <c r="M681" t="s">
        <v>284</v>
      </c>
      <c r="N681" t="s">
        <v>253</v>
      </c>
      <c r="O681" t="s">
        <v>215</v>
      </c>
      <c r="P681" t="s">
        <v>216</v>
      </c>
      <c r="Q681" t="s">
        <v>217</v>
      </c>
      <c r="R681" t="s">
        <v>218</v>
      </c>
      <c r="S681" t="s">
        <v>244</v>
      </c>
    </row>
    <row r="682" spans="1:19" x14ac:dyDescent="0.35">
      <c r="A682" t="s">
        <v>60</v>
      </c>
      <c r="B682" t="s">
        <v>34</v>
      </c>
      <c r="C682" t="s">
        <v>13</v>
      </c>
      <c r="D682" t="s">
        <v>14</v>
      </c>
      <c r="E682" t="s">
        <v>15</v>
      </c>
      <c r="F682" t="s">
        <v>35</v>
      </c>
      <c r="G682" t="s">
        <v>36</v>
      </c>
      <c r="H682" t="s">
        <v>224</v>
      </c>
      <c r="I682" t="s">
        <v>230</v>
      </c>
      <c r="J682" t="s">
        <v>18</v>
      </c>
      <c r="K682" t="s">
        <v>226</v>
      </c>
      <c r="L682" t="s">
        <v>332</v>
      </c>
      <c r="M682" t="s">
        <v>333</v>
      </c>
      <c r="N682" t="s">
        <v>291</v>
      </c>
      <c r="O682" t="s">
        <v>215</v>
      </c>
      <c r="P682" t="s">
        <v>216</v>
      </c>
      <c r="Q682" t="s">
        <v>217</v>
      </c>
      <c r="R682" t="s">
        <v>218</v>
      </c>
      <c r="S682" t="s">
        <v>244</v>
      </c>
    </row>
    <row r="683" spans="1:19" x14ac:dyDescent="0.35">
      <c r="A683" t="s">
        <v>117</v>
      </c>
      <c r="B683" t="s">
        <v>20</v>
      </c>
      <c r="C683" t="s">
        <v>13</v>
      </c>
      <c r="D683" t="s">
        <v>14</v>
      </c>
      <c r="E683" t="s">
        <v>15</v>
      </c>
      <c r="F683" t="s">
        <v>23</v>
      </c>
      <c r="G683" t="s">
        <v>24</v>
      </c>
      <c r="H683" t="s">
        <v>239</v>
      </c>
      <c r="I683" t="s">
        <v>265</v>
      </c>
      <c r="J683" t="s">
        <v>43</v>
      </c>
      <c r="K683" t="s">
        <v>245</v>
      </c>
      <c r="L683" t="s">
        <v>252</v>
      </c>
      <c r="M683" t="s">
        <v>253</v>
      </c>
      <c r="N683" t="s">
        <v>313</v>
      </c>
      <c r="O683" t="s">
        <v>215</v>
      </c>
      <c r="P683" t="s">
        <v>216</v>
      </c>
      <c r="Q683" t="s">
        <v>217</v>
      </c>
      <c r="R683" t="s">
        <v>218</v>
      </c>
      <c r="S683" t="s">
        <v>220</v>
      </c>
    </row>
    <row r="684" spans="1:19" x14ac:dyDescent="0.35">
      <c r="A684" t="s">
        <v>89</v>
      </c>
      <c r="B684" t="s">
        <v>20</v>
      </c>
      <c r="C684" t="s">
        <v>13</v>
      </c>
      <c r="D684" t="s">
        <v>26</v>
      </c>
      <c r="E684" t="s">
        <v>22</v>
      </c>
      <c r="F684" t="s">
        <v>58</v>
      </c>
      <c r="G684" t="s">
        <v>24</v>
      </c>
      <c r="H684" t="s">
        <v>255</v>
      </c>
      <c r="I684" t="s">
        <v>249</v>
      </c>
      <c r="J684" t="s">
        <v>32</v>
      </c>
      <c r="K684" t="s">
        <v>256</v>
      </c>
      <c r="L684" t="s">
        <v>286</v>
      </c>
      <c r="M684" t="s">
        <v>295</v>
      </c>
      <c r="N684" t="s">
        <v>296</v>
      </c>
      <c r="O684" t="s">
        <v>215</v>
      </c>
      <c r="P684" t="s">
        <v>216</v>
      </c>
      <c r="Q684" t="s">
        <v>217</v>
      </c>
      <c r="R684" t="s">
        <v>218</v>
      </c>
      <c r="S684" t="s">
        <v>244</v>
      </c>
    </row>
    <row r="685" spans="1:19" x14ac:dyDescent="0.35">
      <c r="A685" t="s">
        <v>150</v>
      </c>
      <c r="B685" t="s">
        <v>12</v>
      </c>
      <c r="C685" t="s">
        <v>30</v>
      </c>
      <c r="D685" t="s">
        <v>14</v>
      </c>
      <c r="E685" t="s">
        <v>15</v>
      </c>
      <c r="F685" t="s">
        <v>31</v>
      </c>
      <c r="G685" t="s">
        <v>24</v>
      </c>
      <c r="H685" t="s">
        <v>252</v>
      </c>
      <c r="I685" t="s">
        <v>238</v>
      </c>
      <c r="J685" t="s">
        <v>18</v>
      </c>
      <c r="K685" t="s">
        <v>253</v>
      </c>
      <c r="L685" t="s">
        <v>252</v>
      </c>
      <c r="M685" t="s">
        <v>253</v>
      </c>
      <c r="N685" t="s">
        <v>313</v>
      </c>
      <c r="O685" t="s">
        <v>215</v>
      </c>
      <c r="P685" t="s">
        <v>216</v>
      </c>
      <c r="Q685" t="s">
        <v>217</v>
      </c>
      <c r="R685" t="s">
        <v>218</v>
      </c>
      <c r="S685" t="s">
        <v>220</v>
      </c>
    </row>
    <row r="686" spans="1:19" x14ac:dyDescent="0.35">
      <c r="A686" t="s">
        <v>67</v>
      </c>
      <c r="B686" t="s">
        <v>29</v>
      </c>
      <c r="C686" t="s">
        <v>30</v>
      </c>
      <c r="D686" t="s">
        <v>26</v>
      </c>
      <c r="E686" t="s">
        <v>15</v>
      </c>
      <c r="F686" t="s">
        <v>16</v>
      </c>
      <c r="G686" t="s">
        <v>17</v>
      </c>
      <c r="H686" t="s">
        <v>275</v>
      </c>
      <c r="I686" t="s">
        <v>269</v>
      </c>
      <c r="J686" t="s">
        <v>50</v>
      </c>
      <c r="K686" t="s">
        <v>276</v>
      </c>
      <c r="L686" t="s">
        <v>380</v>
      </c>
      <c r="M686" t="s">
        <v>381</v>
      </c>
      <c r="N686" t="s">
        <v>382</v>
      </c>
      <c r="O686" t="s">
        <v>215</v>
      </c>
      <c r="P686" t="s">
        <v>216</v>
      </c>
      <c r="Q686" t="s">
        <v>217</v>
      </c>
      <c r="R686" t="s">
        <v>218</v>
      </c>
      <c r="S686" t="s">
        <v>244</v>
      </c>
    </row>
    <row r="687" spans="1:19" x14ac:dyDescent="0.35">
      <c r="A687" t="s">
        <v>64</v>
      </c>
      <c r="B687" t="s">
        <v>20</v>
      </c>
      <c r="C687" t="s">
        <v>21</v>
      </c>
      <c r="D687" t="s">
        <v>14</v>
      </c>
      <c r="E687" t="s">
        <v>22</v>
      </c>
      <c r="F687" t="s">
        <v>16</v>
      </c>
      <c r="G687" t="s">
        <v>17</v>
      </c>
      <c r="H687" t="s">
        <v>275</v>
      </c>
      <c r="I687" t="s">
        <v>220</v>
      </c>
      <c r="J687" t="s">
        <v>43</v>
      </c>
      <c r="K687" t="s">
        <v>276</v>
      </c>
      <c r="L687" t="s">
        <v>337</v>
      </c>
      <c r="M687" t="s">
        <v>338</v>
      </c>
      <c r="N687" t="s">
        <v>276</v>
      </c>
      <c r="O687" t="s">
        <v>215</v>
      </c>
      <c r="P687" t="s">
        <v>216</v>
      </c>
      <c r="Q687" t="s">
        <v>217</v>
      </c>
      <c r="R687" t="s">
        <v>218</v>
      </c>
      <c r="S687" t="s">
        <v>265</v>
      </c>
    </row>
    <row r="688" spans="1:19" x14ac:dyDescent="0.35">
      <c r="A688" t="s">
        <v>137</v>
      </c>
      <c r="B688" t="s">
        <v>20</v>
      </c>
      <c r="C688" t="s">
        <v>38</v>
      </c>
      <c r="D688" t="s">
        <v>26</v>
      </c>
      <c r="E688" t="s">
        <v>22</v>
      </c>
      <c r="F688" t="s">
        <v>39</v>
      </c>
      <c r="G688" t="s">
        <v>24</v>
      </c>
      <c r="H688" t="s">
        <v>209</v>
      </c>
      <c r="I688" t="s">
        <v>240</v>
      </c>
      <c r="J688" t="s">
        <v>18</v>
      </c>
      <c r="K688" t="s">
        <v>211</v>
      </c>
      <c r="L688" t="s">
        <v>266</v>
      </c>
      <c r="M688" t="s">
        <v>267</v>
      </c>
      <c r="N688" t="s">
        <v>268</v>
      </c>
      <c r="O688" t="s">
        <v>215</v>
      </c>
      <c r="P688" t="s">
        <v>216</v>
      </c>
      <c r="Q688" t="s">
        <v>217</v>
      </c>
      <c r="R688" t="s">
        <v>218</v>
      </c>
      <c r="S688" t="s">
        <v>238</v>
      </c>
    </row>
    <row r="689" spans="1:19" x14ac:dyDescent="0.35">
      <c r="A689" t="s">
        <v>66</v>
      </c>
      <c r="B689" t="s">
        <v>12</v>
      </c>
      <c r="C689" t="s">
        <v>38</v>
      </c>
      <c r="D689" t="s">
        <v>14</v>
      </c>
      <c r="E689" t="s">
        <v>15</v>
      </c>
      <c r="F689" t="s">
        <v>39</v>
      </c>
      <c r="G689" t="s">
        <v>24</v>
      </c>
      <c r="H689" t="s">
        <v>209</v>
      </c>
      <c r="I689" t="s">
        <v>265</v>
      </c>
      <c r="J689" t="s">
        <v>54</v>
      </c>
      <c r="K689" t="s">
        <v>211</v>
      </c>
      <c r="L689" t="s">
        <v>214</v>
      </c>
      <c r="M689" t="s">
        <v>251</v>
      </c>
      <c r="N689" t="s">
        <v>247</v>
      </c>
      <c r="O689" t="s">
        <v>215</v>
      </c>
      <c r="P689" t="s">
        <v>216</v>
      </c>
      <c r="Q689" t="s">
        <v>217</v>
      </c>
      <c r="R689" t="s">
        <v>218</v>
      </c>
      <c r="S689" t="s">
        <v>244</v>
      </c>
    </row>
    <row r="690" spans="1:19" x14ac:dyDescent="0.35">
      <c r="A690" t="s">
        <v>131</v>
      </c>
      <c r="B690" t="s">
        <v>34</v>
      </c>
      <c r="C690" t="s">
        <v>13</v>
      </c>
      <c r="D690" t="s">
        <v>14</v>
      </c>
      <c r="E690" t="s">
        <v>15</v>
      </c>
      <c r="F690" t="s">
        <v>31</v>
      </c>
      <c r="G690" t="s">
        <v>24</v>
      </c>
      <c r="H690" t="s">
        <v>252</v>
      </c>
      <c r="I690" t="s">
        <v>249</v>
      </c>
      <c r="J690" t="s">
        <v>32</v>
      </c>
      <c r="K690" t="s">
        <v>253</v>
      </c>
      <c r="L690" t="s">
        <v>297</v>
      </c>
      <c r="M690" t="s">
        <v>243</v>
      </c>
      <c r="N690" t="s">
        <v>311</v>
      </c>
      <c r="O690" t="s">
        <v>215</v>
      </c>
      <c r="P690" t="s">
        <v>216</v>
      </c>
      <c r="Q690" t="s">
        <v>217</v>
      </c>
      <c r="R690" t="s">
        <v>218</v>
      </c>
      <c r="S690" t="s">
        <v>238</v>
      </c>
    </row>
    <row r="691" spans="1:19" x14ac:dyDescent="0.35">
      <c r="A691" t="s">
        <v>69</v>
      </c>
      <c r="B691" t="s">
        <v>34</v>
      </c>
      <c r="C691" t="s">
        <v>38</v>
      </c>
      <c r="D691" t="s">
        <v>14</v>
      </c>
      <c r="E691" t="s">
        <v>15</v>
      </c>
      <c r="F691" t="s">
        <v>41</v>
      </c>
      <c r="G691" t="s">
        <v>17</v>
      </c>
      <c r="H691" t="s">
        <v>219</v>
      </c>
      <c r="I691" t="s">
        <v>220</v>
      </c>
      <c r="J691" t="s">
        <v>43</v>
      </c>
      <c r="K691" t="s">
        <v>221</v>
      </c>
      <c r="L691" t="s">
        <v>222</v>
      </c>
      <c r="M691" t="s">
        <v>223</v>
      </c>
      <c r="N691" t="s">
        <v>221</v>
      </c>
      <c r="O691" t="s">
        <v>215</v>
      </c>
      <c r="P691" t="s">
        <v>216</v>
      </c>
      <c r="Q691" t="s">
        <v>217</v>
      </c>
      <c r="R691" t="s">
        <v>218</v>
      </c>
      <c r="S691" t="s">
        <v>238</v>
      </c>
    </row>
    <row r="692" spans="1:19" x14ac:dyDescent="0.35">
      <c r="A692" t="s">
        <v>122</v>
      </c>
      <c r="B692" t="s">
        <v>20</v>
      </c>
      <c r="C692" t="s">
        <v>21</v>
      </c>
      <c r="D692" t="s">
        <v>26</v>
      </c>
      <c r="E692" t="s">
        <v>15</v>
      </c>
      <c r="F692" t="s">
        <v>39</v>
      </c>
      <c r="G692" t="s">
        <v>24</v>
      </c>
      <c r="H692" t="s">
        <v>209</v>
      </c>
      <c r="I692" t="s">
        <v>244</v>
      </c>
      <c r="J692" t="s">
        <v>27</v>
      </c>
      <c r="K692" t="s">
        <v>211</v>
      </c>
      <c r="L692" t="s">
        <v>272</v>
      </c>
      <c r="M692" t="s">
        <v>273</v>
      </c>
      <c r="N692" t="s">
        <v>274</v>
      </c>
      <c r="O692" t="s">
        <v>215</v>
      </c>
      <c r="P692" t="s">
        <v>216</v>
      </c>
      <c r="Q692" t="s">
        <v>217</v>
      </c>
      <c r="R692" t="s">
        <v>218</v>
      </c>
      <c r="S692" t="s">
        <v>220</v>
      </c>
    </row>
    <row r="693" spans="1:19" x14ac:dyDescent="0.35">
      <c r="A693" t="s">
        <v>107</v>
      </c>
      <c r="B693" t="s">
        <v>20</v>
      </c>
      <c r="C693" t="s">
        <v>13</v>
      </c>
      <c r="D693" t="s">
        <v>14</v>
      </c>
      <c r="E693" t="s">
        <v>22</v>
      </c>
      <c r="F693" t="s">
        <v>47</v>
      </c>
      <c r="G693" t="s">
        <v>36</v>
      </c>
      <c r="H693" t="s">
        <v>229</v>
      </c>
      <c r="I693" t="s">
        <v>269</v>
      </c>
      <c r="J693" t="s">
        <v>32</v>
      </c>
      <c r="K693" t="s">
        <v>231</v>
      </c>
      <c r="L693" t="s">
        <v>367</v>
      </c>
      <c r="M693" t="s">
        <v>266</v>
      </c>
      <c r="N693" t="s">
        <v>309</v>
      </c>
      <c r="O693" t="s">
        <v>215</v>
      </c>
      <c r="P693" t="s">
        <v>216</v>
      </c>
      <c r="Q693" t="s">
        <v>217</v>
      </c>
      <c r="R693" t="s">
        <v>218</v>
      </c>
      <c r="S693" t="s">
        <v>244</v>
      </c>
    </row>
    <row r="694" spans="1:19" x14ac:dyDescent="0.35">
      <c r="A694" t="s">
        <v>125</v>
      </c>
      <c r="B694" t="s">
        <v>20</v>
      </c>
      <c r="C694" t="s">
        <v>21</v>
      </c>
      <c r="D694" t="s">
        <v>26</v>
      </c>
      <c r="E694" t="s">
        <v>22</v>
      </c>
      <c r="F694" t="s">
        <v>16</v>
      </c>
      <c r="G694" t="s">
        <v>17</v>
      </c>
      <c r="H694" t="s">
        <v>275</v>
      </c>
      <c r="I694" t="s">
        <v>220</v>
      </c>
      <c r="J694" t="s">
        <v>18</v>
      </c>
      <c r="K694" t="s">
        <v>276</v>
      </c>
      <c r="L694" t="s">
        <v>337</v>
      </c>
      <c r="M694" t="s">
        <v>338</v>
      </c>
      <c r="N694" t="s">
        <v>276</v>
      </c>
      <c r="O694" t="s">
        <v>215</v>
      </c>
      <c r="P694" t="s">
        <v>216</v>
      </c>
      <c r="Q694" t="s">
        <v>217</v>
      </c>
      <c r="R694" t="s">
        <v>218</v>
      </c>
      <c r="S694" t="s">
        <v>220</v>
      </c>
    </row>
    <row r="695" spans="1:19" x14ac:dyDescent="0.35">
      <c r="A695" t="s">
        <v>128</v>
      </c>
      <c r="B695" t="s">
        <v>29</v>
      </c>
      <c r="C695" t="s">
        <v>30</v>
      </c>
      <c r="D695" t="s">
        <v>14</v>
      </c>
      <c r="E695" t="s">
        <v>15</v>
      </c>
      <c r="F695" t="s">
        <v>58</v>
      </c>
      <c r="G695" t="s">
        <v>24</v>
      </c>
      <c r="H695" t="s">
        <v>255</v>
      </c>
      <c r="I695" t="s">
        <v>220</v>
      </c>
      <c r="J695" t="s">
        <v>18</v>
      </c>
      <c r="K695" t="s">
        <v>256</v>
      </c>
      <c r="L695" t="s">
        <v>303</v>
      </c>
      <c r="M695" t="s">
        <v>304</v>
      </c>
      <c r="N695" t="s">
        <v>256</v>
      </c>
      <c r="O695" t="s">
        <v>215</v>
      </c>
      <c r="P695" t="s">
        <v>216</v>
      </c>
      <c r="Q695" t="s">
        <v>217</v>
      </c>
      <c r="R695" t="s">
        <v>218</v>
      </c>
      <c r="S695" t="s">
        <v>220</v>
      </c>
    </row>
    <row r="696" spans="1:19" x14ac:dyDescent="0.35">
      <c r="A696" t="s">
        <v>75</v>
      </c>
      <c r="B696" t="s">
        <v>34</v>
      </c>
      <c r="C696" t="s">
        <v>13</v>
      </c>
      <c r="D696" t="s">
        <v>14</v>
      </c>
      <c r="E696" t="s">
        <v>15</v>
      </c>
      <c r="F696" t="s">
        <v>23</v>
      </c>
      <c r="G696" t="s">
        <v>24</v>
      </c>
      <c r="H696" t="s">
        <v>239</v>
      </c>
      <c r="I696" t="s">
        <v>249</v>
      </c>
      <c r="J696" t="s">
        <v>50</v>
      </c>
      <c r="K696" t="s">
        <v>245</v>
      </c>
      <c r="L696" t="s">
        <v>226</v>
      </c>
      <c r="M696" t="s">
        <v>284</v>
      </c>
      <c r="N696" t="s">
        <v>253</v>
      </c>
      <c r="O696" t="s">
        <v>215</v>
      </c>
      <c r="P696" t="s">
        <v>216</v>
      </c>
      <c r="Q696" t="s">
        <v>217</v>
      </c>
      <c r="R696" t="s">
        <v>218</v>
      </c>
      <c r="S696" t="s">
        <v>265</v>
      </c>
    </row>
    <row r="697" spans="1:19" x14ac:dyDescent="0.35">
      <c r="A697" t="s">
        <v>143</v>
      </c>
      <c r="B697" t="s">
        <v>29</v>
      </c>
      <c r="C697" t="s">
        <v>13</v>
      </c>
      <c r="D697" t="s">
        <v>14</v>
      </c>
      <c r="E697" t="s">
        <v>15</v>
      </c>
      <c r="F697" t="s">
        <v>16</v>
      </c>
      <c r="G697" t="s">
        <v>17</v>
      </c>
      <c r="H697" t="s">
        <v>275</v>
      </c>
      <c r="I697" t="s">
        <v>220</v>
      </c>
      <c r="J697" t="s">
        <v>18</v>
      </c>
      <c r="K697" t="s">
        <v>276</v>
      </c>
      <c r="L697" t="s">
        <v>337</v>
      </c>
      <c r="M697" t="s">
        <v>338</v>
      </c>
      <c r="N697" t="s">
        <v>276</v>
      </c>
      <c r="O697" t="s">
        <v>215</v>
      </c>
      <c r="P697" t="s">
        <v>216</v>
      </c>
      <c r="Q697" t="s">
        <v>217</v>
      </c>
      <c r="R697" t="s">
        <v>218</v>
      </c>
      <c r="S697" t="s">
        <v>238</v>
      </c>
    </row>
    <row r="698" spans="1:19" x14ac:dyDescent="0.35">
      <c r="A698" t="s">
        <v>74</v>
      </c>
      <c r="B698" t="s">
        <v>34</v>
      </c>
      <c r="C698" t="s">
        <v>13</v>
      </c>
      <c r="D698" t="s">
        <v>14</v>
      </c>
      <c r="E698" t="s">
        <v>15</v>
      </c>
      <c r="F698" t="s">
        <v>35</v>
      </c>
      <c r="G698" t="s">
        <v>36</v>
      </c>
      <c r="H698" t="s">
        <v>224</v>
      </c>
      <c r="I698" t="s">
        <v>265</v>
      </c>
      <c r="J698" t="s">
        <v>32</v>
      </c>
      <c r="K698" t="s">
        <v>226</v>
      </c>
      <c r="L698" t="s">
        <v>289</v>
      </c>
      <c r="M698" t="s">
        <v>297</v>
      </c>
      <c r="N698" t="s">
        <v>231</v>
      </c>
      <c r="O698" t="s">
        <v>215</v>
      </c>
      <c r="P698" t="s">
        <v>216</v>
      </c>
      <c r="Q698" t="s">
        <v>217</v>
      </c>
      <c r="R698" t="s">
        <v>218</v>
      </c>
      <c r="S698" t="s">
        <v>265</v>
      </c>
    </row>
    <row r="699" spans="1:19" x14ac:dyDescent="0.35">
      <c r="A699" t="s">
        <v>157</v>
      </c>
      <c r="B699" t="s">
        <v>12</v>
      </c>
      <c r="C699" t="s">
        <v>30</v>
      </c>
      <c r="D699" t="s">
        <v>26</v>
      </c>
      <c r="E699" t="s">
        <v>22</v>
      </c>
      <c r="F699" t="s">
        <v>16</v>
      </c>
      <c r="G699" t="s">
        <v>17</v>
      </c>
      <c r="H699" t="s">
        <v>275</v>
      </c>
      <c r="I699" t="s">
        <v>265</v>
      </c>
      <c r="J699" t="s">
        <v>50</v>
      </c>
      <c r="K699" t="s">
        <v>276</v>
      </c>
      <c r="L699" t="s">
        <v>316</v>
      </c>
      <c r="M699" t="s">
        <v>323</v>
      </c>
      <c r="N699" t="s">
        <v>344</v>
      </c>
      <c r="O699" t="s">
        <v>215</v>
      </c>
      <c r="P699" t="s">
        <v>216</v>
      </c>
      <c r="Q699" t="s">
        <v>217</v>
      </c>
      <c r="R699" t="s">
        <v>218</v>
      </c>
      <c r="S699" t="s">
        <v>244</v>
      </c>
    </row>
    <row r="700" spans="1:19" x14ac:dyDescent="0.35">
      <c r="A700" t="s">
        <v>28</v>
      </c>
      <c r="B700" t="s">
        <v>12</v>
      </c>
      <c r="C700" t="s">
        <v>13</v>
      </c>
      <c r="D700" t="s">
        <v>26</v>
      </c>
      <c r="E700" t="s">
        <v>15</v>
      </c>
      <c r="F700" t="s">
        <v>52</v>
      </c>
      <c r="G700" t="s">
        <v>36</v>
      </c>
      <c r="H700" t="s">
        <v>291</v>
      </c>
      <c r="I700" t="s">
        <v>225</v>
      </c>
      <c r="J700" t="s">
        <v>18</v>
      </c>
      <c r="K700" t="s">
        <v>292</v>
      </c>
      <c r="L700" t="s">
        <v>332</v>
      </c>
      <c r="M700" t="s">
        <v>333</v>
      </c>
      <c r="N700" t="s">
        <v>291</v>
      </c>
      <c r="O700" t="s">
        <v>215</v>
      </c>
      <c r="P700" t="s">
        <v>216</v>
      </c>
      <c r="Q700" t="s">
        <v>217</v>
      </c>
      <c r="R700" t="s">
        <v>218</v>
      </c>
      <c r="S700" t="s">
        <v>220</v>
      </c>
    </row>
    <row r="701" spans="1:19" x14ac:dyDescent="0.35">
      <c r="A701" t="s">
        <v>127</v>
      </c>
      <c r="B701" t="s">
        <v>29</v>
      </c>
      <c r="C701" t="s">
        <v>30</v>
      </c>
      <c r="D701" t="s">
        <v>26</v>
      </c>
      <c r="E701" t="s">
        <v>15</v>
      </c>
      <c r="F701" t="s">
        <v>35</v>
      </c>
      <c r="G701" t="s">
        <v>36</v>
      </c>
      <c r="H701" t="s">
        <v>224</v>
      </c>
      <c r="I701" t="s">
        <v>249</v>
      </c>
      <c r="J701" t="s">
        <v>27</v>
      </c>
      <c r="K701" t="s">
        <v>226</v>
      </c>
      <c r="L701" t="s">
        <v>366</v>
      </c>
      <c r="M701" t="s">
        <v>241</v>
      </c>
      <c r="N701" t="s">
        <v>297</v>
      </c>
      <c r="O701" t="s">
        <v>215</v>
      </c>
      <c r="P701" t="s">
        <v>216</v>
      </c>
      <c r="Q701" t="s">
        <v>217</v>
      </c>
      <c r="R701" t="s">
        <v>218</v>
      </c>
      <c r="S701" t="s">
        <v>220</v>
      </c>
    </row>
    <row r="702" spans="1:19" x14ac:dyDescent="0.35">
      <c r="A702" t="s">
        <v>128</v>
      </c>
      <c r="B702" t="s">
        <v>12</v>
      </c>
      <c r="C702" t="s">
        <v>21</v>
      </c>
      <c r="D702" t="s">
        <v>26</v>
      </c>
      <c r="E702" t="s">
        <v>22</v>
      </c>
      <c r="F702" t="s">
        <v>31</v>
      </c>
      <c r="G702" t="s">
        <v>24</v>
      </c>
      <c r="H702" t="s">
        <v>252</v>
      </c>
      <c r="I702" t="s">
        <v>238</v>
      </c>
      <c r="J702" t="s">
        <v>18</v>
      </c>
      <c r="K702" t="s">
        <v>253</v>
      </c>
      <c r="L702" t="s">
        <v>252</v>
      </c>
      <c r="M702" t="s">
        <v>253</v>
      </c>
      <c r="N702" t="s">
        <v>313</v>
      </c>
      <c r="O702" t="s">
        <v>215</v>
      </c>
      <c r="P702" t="s">
        <v>216</v>
      </c>
      <c r="Q702" t="s">
        <v>217</v>
      </c>
      <c r="R702" t="s">
        <v>218</v>
      </c>
      <c r="S702" t="s">
        <v>220</v>
      </c>
    </row>
    <row r="703" spans="1:19" x14ac:dyDescent="0.35">
      <c r="A703" t="s">
        <v>25</v>
      </c>
      <c r="B703" t="s">
        <v>12</v>
      </c>
      <c r="C703" t="s">
        <v>30</v>
      </c>
      <c r="D703" t="s">
        <v>14</v>
      </c>
      <c r="E703" t="s">
        <v>15</v>
      </c>
      <c r="F703" t="s">
        <v>56</v>
      </c>
      <c r="G703" t="s">
        <v>36</v>
      </c>
      <c r="H703" t="s">
        <v>260</v>
      </c>
      <c r="I703" t="s">
        <v>249</v>
      </c>
      <c r="J703" t="s">
        <v>18</v>
      </c>
      <c r="K703" t="s">
        <v>261</v>
      </c>
      <c r="L703" t="s">
        <v>262</v>
      </c>
      <c r="M703" t="s">
        <v>263</v>
      </c>
      <c r="N703" t="s">
        <v>264</v>
      </c>
      <c r="O703" t="s">
        <v>215</v>
      </c>
      <c r="P703" t="s">
        <v>216</v>
      </c>
      <c r="Q703" t="s">
        <v>217</v>
      </c>
      <c r="R703" t="s">
        <v>218</v>
      </c>
      <c r="S703" t="s">
        <v>265</v>
      </c>
    </row>
    <row r="704" spans="1:19" x14ac:dyDescent="0.35">
      <c r="A704" t="s">
        <v>123</v>
      </c>
      <c r="B704" t="s">
        <v>12</v>
      </c>
      <c r="C704" t="s">
        <v>21</v>
      </c>
      <c r="D704" t="s">
        <v>26</v>
      </c>
      <c r="E704" t="s">
        <v>15</v>
      </c>
      <c r="F704" t="s">
        <v>35</v>
      </c>
      <c r="G704" t="s">
        <v>36</v>
      </c>
      <c r="H704" t="s">
        <v>224</v>
      </c>
      <c r="I704" t="s">
        <v>220</v>
      </c>
      <c r="J704" t="s">
        <v>18</v>
      </c>
      <c r="K704" t="s">
        <v>226</v>
      </c>
      <c r="L704" t="s">
        <v>228</v>
      </c>
      <c r="M704" t="s">
        <v>290</v>
      </c>
      <c r="N704" t="s">
        <v>226</v>
      </c>
      <c r="O704" t="s">
        <v>215</v>
      </c>
      <c r="P704" t="s">
        <v>216</v>
      </c>
      <c r="Q704" t="s">
        <v>217</v>
      </c>
      <c r="R704" t="s">
        <v>218</v>
      </c>
      <c r="S704" t="s">
        <v>220</v>
      </c>
    </row>
    <row r="705" spans="1:19" x14ac:dyDescent="0.35">
      <c r="A705" t="s">
        <v>121</v>
      </c>
      <c r="B705" t="s">
        <v>20</v>
      </c>
      <c r="C705" t="s">
        <v>30</v>
      </c>
      <c r="D705" t="s">
        <v>26</v>
      </c>
      <c r="E705" t="s">
        <v>15</v>
      </c>
      <c r="F705" t="s">
        <v>35</v>
      </c>
      <c r="G705" t="s">
        <v>36</v>
      </c>
      <c r="H705" t="s">
        <v>224</v>
      </c>
      <c r="I705" t="s">
        <v>210</v>
      </c>
      <c r="J705" t="s">
        <v>50</v>
      </c>
      <c r="K705" t="s">
        <v>226</v>
      </c>
      <c r="L705" t="s">
        <v>365</v>
      </c>
      <c r="M705" t="s">
        <v>366</v>
      </c>
      <c r="N705" t="s">
        <v>289</v>
      </c>
      <c r="O705" t="s">
        <v>215</v>
      </c>
      <c r="P705" t="s">
        <v>216</v>
      </c>
      <c r="Q705" t="s">
        <v>217</v>
      </c>
      <c r="R705" t="s">
        <v>218</v>
      </c>
      <c r="S705" t="s">
        <v>265</v>
      </c>
    </row>
    <row r="706" spans="1:19" x14ac:dyDescent="0.35">
      <c r="A706" t="s">
        <v>131</v>
      </c>
      <c r="B706" t="s">
        <v>29</v>
      </c>
      <c r="C706" t="s">
        <v>21</v>
      </c>
      <c r="D706" t="s">
        <v>14</v>
      </c>
      <c r="E706" t="s">
        <v>15</v>
      </c>
      <c r="F706" t="s">
        <v>35</v>
      </c>
      <c r="G706" t="s">
        <v>36</v>
      </c>
      <c r="H706" t="s">
        <v>224</v>
      </c>
      <c r="I706" t="s">
        <v>265</v>
      </c>
      <c r="J706" t="s">
        <v>54</v>
      </c>
      <c r="K706" t="s">
        <v>226</v>
      </c>
      <c r="L706" t="s">
        <v>289</v>
      </c>
      <c r="M706" t="s">
        <v>297</v>
      </c>
      <c r="N706" t="s">
        <v>231</v>
      </c>
      <c r="O706" t="s">
        <v>215</v>
      </c>
      <c r="P706" t="s">
        <v>216</v>
      </c>
      <c r="Q706" t="s">
        <v>217</v>
      </c>
      <c r="R706" t="s">
        <v>218</v>
      </c>
      <c r="S706" t="s">
        <v>238</v>
      </c>
    </row>
    <row r="707" spans="1:19" x14ac:dyDescent="0.35">
      <c r="A707" t="s">
        <v>159</v>
      </c>
      <c r="B707" t="s">
        <v>12</v>
      </c>
      <c r="C707" t="s">
        <v>38</v>
      </c>
      <c r="D707" t="s">
        <v>14</v>
      </c>
      <c r="E707" t="s">
        <v>22</v>
      </c>
      <c r="F707" t="s">
        <v>16</v>
      </c>
      <c r="G707" t="s">
        <v>17</v>
      </c>
      <c r="H707" t="s">
        <v>275</v>
      </c>
      <c r="I707" t="s">
        <v>265</v>
      </c>
      <c r="J707" t="s">
        <v>43</v>
      </c>
      <c r="K707" t="s">
        <v>276</v>
      </c>
      <c r="L707" t="s">
        <v>316</v>
      </c>
      <c r="M707" t="s">
        <v>323</v>
      </c>
      <c r="N707" t="s">
        <v>344</v>
      </c>
      <c r="O707" t="s">
        <v>215</v>
      </c>
      <c r="P707" t="s">
        <v>216</v>
      </c>
      <c r="Q707" t="s">
        <v>217</v>
      </c>
      <c r="R707" t="s">
        <v>218</v>
      </c>
      <c r="S707" t="s">
        <v>265</v>
      </c>
    </row>
    <row r="708" spans="1:19" x14ac:dyDescent="0.35">
      <c r="A708" t="s">
        <v>84</v>
      </c>
      <c r="B708" t="s">
        <v>34</v>
      </c>
      <c r="C708" t="s">
        <v>21</v>
      </c>
      <c r="D708" t="s">
        <v>14</v>
      </c>
      <c r="E708" t="s">
        <v>15</v>
      </c>
      <c r="F708" t="s">
        <v>41</v>
      </c>
      <c r="G708" t="s">
        <v>17</v>
      </c>
      <c r="H708" t="s">
        <v>219</v>
      </c>
      <c r="I708" t="s">
        <v>244</v>
      </c>
      <c r="J708" t="s">
        <v>32</v>
      </c>
      <c r="K708" t="s">
        <v>221</v>
      </c>
      <c r="L708" t="s">
        <v>290</v>
      </c>
      <c r="M708" t="s">
        <v>298</v>
      </c>
      <c r="N708" t="s">
        <v>284</v>
      </c>
      <c r="O708" t="s">
        <v>215</v>
      </c>
      <c r="P708" t="s">
        <v>216</v>
      </c>
      <c r="Q708" t="s">
        <v>217</v>
      </c>
      <c r="R708" t="s">
        <v>218</v>
      </c>
      <c r="S708" t="s">
        <v>220</v>
      </c>
    </row>
    <row r="709" spans="1:19" x14ac:dyDescent="0.35">
      <c r="A709" t="s">
        <v>109</v>
      </c>
      <c r="B709" t="s">
        <v>12</v>
      </c>
      <c r="C709" t="s">
        <v>30</v>
      </c>
      <c r="D709" t="s">
        <v>14</v>
      </c>
      <c r="E709" t="s">
        <v>22</v>
      </c>
      <c r="F709" t="s">
        <v>47</v>
      </c>
      <c r="G709" t="s">
        <v>36</v>
      </c>
      <c r="H709" t="s">
        <v>229</v>
      </c>
      <c r="I709" t="s">
        <v>220</v>
      </c>
      <c r="J709" t="s">
        <v>18</v>
      </c>
      <c r="K709" t="s">
        <v>231</v>
      </c>
      <c r="L709" t="s">
        <v>289</v>
      </c>
      <c r="M709" t="s">
        <v>297</v>
      </c>
      <c r="N709" t="s">
        <v>231</v>
      </c>
      <c r="O709" t="s">
        <v>215</v>
      </c>
      <c r="P709" t="s">
        <v>216</v>
      </c>
      <c r="Q709" t="s">
        <v>217</v>
      </c>
      <c r="R709" t="s">
        <v>218</v>
      </c>
      <c r="S709" t="s">
        <v>265</v>
      </c>
    </row>
    <row r="710" spans="1:19" x14ac:dyDescent="0.35">
      <c r="A710" t="s">
        <v>132</v>
      </c>
      <c r="B710" t="s">
        <v>12</v>
      </c>
      <c r="C710" t="s">
        <v>30</v>
      </c>
      <c r="D710" t="s">
        <v>26</v>
      </c>
      <c r="E710" t="s">
        <v>22</v>
      </c>
      <c r="F710" t="s">
        <v>31</v>
      </c>
      <c r="G710" t="s">
        <v>24</v>
      </c>
      <c r="H710" t="s">
        <v>252</v>
      </c>
      <c r="I710" t="s">
        <v>249</v>
      </c>
      <c r="J710" t="s">
        <v>32</v>
      </c>
      <c r="K710" t="s">
        <v>253</v>
      </c>
      <c r="L710" t="s">
        <v>297</v>
      </c>
      <c r="M710" t="s">
        <v>243</v>
      </c>
      <c r="N710" t="s">
        <v>311</v>
      </c>
      <c r="O710" t="s">
        <v>215</v>
      </c>
      <c r="P710" t="s">
        <v>216</v>
      </c>
      <c r="Q710" t="s">
        <v>217</v>
      </c>
      <c r="R710" t="s">
        <v>218</v>
      </c>
      <c r="S710" t="s">
        <v>238</v>
      </c>
    </row>
    <row r="711" spans="1:19" x14ac:dyDescent="0.35">
      <c r="A711" t="s">
        <v>66</v>
      </c>
      <c r="B711" t="s">
        <v>34</v>
      </c>
      <c r="C711" t="s">
        <v>13</v>
      </c>
      <c r="D711" t="s">
        <v>26</v>
      </c>
      <c r="E711" t="s">
        <v>22</v>
      </c>
      <c r="F711" t="s">
        <v>16</v>
      </c>
      <c r="G711" t="s">
        <v>17</v>
      </c>
      <c r="H711" t="s">
        <v>275</v>
      </c>
      <c r="I711" t="s">
        <v>265</v>
      </c>
      <c r="J711" t="s">
        <v>18</v>
      </c>
      <c r="K711" t="s">
        <v>276</v>
      </c>
      <c r="L711" t="s">
        <v>316</v>
      </c>
      <c r="M711" t="s">
        <v>323</v>
      </c>
      <c r="N711" t="s">
        <v>344</v>
      </c>
      <c r="O711" t="s">
        <v>215</v>
      </c>
      <c r="P711" t="s">
        <v>216</v>
      </c>
      <c r="Q711" t="s">
        <v>217</v>
      </c>
      <c r="R711" t="s">
        <v>218</v>
      </c>
      <c r="S711" t="s">
        <v>244</v>
      </c>
    </row>
    <row r="712" spans="1:19" x14ac:dyDescent="0.35">
      <c r="A712" t="s">
        <v>19</v>
      </c>
      <c r="B712" t="s">
        <v>34</v>
      </c>
      <c r="C712" t="s">
        <v>21</v>
      </c>
      <c r="D712" t="s">
        <v>26</v>
      </c>
      <c r="E712" t="s">
        <v>22</v>
      </c>
      <c r="F712" t="s">
        <v>35</v>
      </c>
      <c r="G712" t="s">
        <v>36</v>
      </c>
      <c r="H712" t="s">
        <v>224</v>
      </c>
      <c r="I712" t="s">
        <v>249</v>
      </c>
      <c r="J712" t="s">
        <v>27</v>
      </c>
      <c r="K712" t="s">
        <v>226</v>
      </c>
      <c r="L712" t="s">
        <v>366</v>
      </c>
      <c r="M712" t="s">
        <v>241</v>
      </c>
      <c r="N712" t="s">
        <v>297</v>
      </c>
      <c r="O712" t="s">
        <v>215</v>
      </c>
      <c r="P712" t="s">
        <v>216</v>
      </c>
      <c r="Q712" t="s">
        <v>217</v>
      </c>
      <c r="R712" t="s">
        <v>218</v>
      </c>
      <c r="S712" t="s">
        <v>220</v>
      </c>
    </row>
    <row r="713" spans="1:19" x14ac:dyDescent="0.35">
      <c r="A713" t="s">
        <v>108</v>
      </c>
      <c r="B713" t="s">
        <v>34</v>
      </c>
      <c r="C713" t="s">
        <v>13</v>
      </c>
      <c r="D713" t="s">
        <v>14</v>
      </c>
      <c r="E713" t="s">
        <v>15</v>
      </c>
      <c r="F713" t="s">
        <v>41</v>
      </c>
      <c r="G713" t="s">
        <v>17</v>
      </c>
      <c r="H713" t="s">
        <v>219</v>
      </c>
      <c r="I713" t="s">
        <v>225</v>
      </c>
      <c r="J713" t="s">
        <v>50</v>
      </c>
      <c r="K713" t="s">
        <v>221</v>
      </c>
      <c r="L713" t="s">
        <v>263</v>
      </c>
      <c r="M713" t="s">
        <v>222</v>
      </c>
      <c r="N713" t="s">
        <v>219</v>
      </c>
      <c r="O713" t="s">
        <v>215</v>
      </c>
      <c r="P713" t="s">
        <v>216</v>
      </c>
      <c r="Q713" t="s">
        <v>217</v>
      </c>
      <c r="R713" t="s">
        <v>218</v>
      </c>
      <c r="S713" t="s">
        <v>220</v>
      </c>
    </row>
    <row r="714" spans="1:19" x14ac:dyDescent="0.35">
      <c r="A714" t="s">
        <v>131</v>
      </c>
      <c r="B714" t="s">
        <v>12</v>
      </c>
      <c r="C714" t="s">
        <v>21</v>
      </c>
      <c r="D714" t="s">
        <v>26</v>
      </c>
      <c r="E714" t="s">
        <v>22</v>
      </c>
      <c r="F714" t="s">
        <v>23</v>
      </c>
      <c r="G714" t="s">
        <v>24</v>
      </c>
      <c r="H714" t="s">
        <v>239</v>
      </c>
      <c r="I714" t="s">
        <v>244</v>
      </c>
      <c r="J714" t="s">
        <v>27</v>
      </c>
      <c r="K714" t="s">
        <v>245</v>
      </c>
      <c r="L714" t="s">
        <v>246</v>
      </c>
      <c r="M714" t="s">
        <v>247</v>
      </c>
      <c r="N714" t="s">
        <v>248</v>
      </c>
      <c r="O714" t="s">
        <v>215</v>
      </c>
      <c r="P714" t="s">
        <v>216</v>
      </c>
      <c r="Q714" t="s">
        <v>217</v>
      </c>
      <c r="R714" t="s">
        <v>218</v>
      </c>
      <c r="S714" t="s">
        <v>238</v>
      </c>
    </row>
    <row r="715" spans="1:19" x14ac:dyDescent="0.35">
      <c r="A715" t="s">
        <v>61</v>
      </c>
      <c r="B715" t="s">
        <v>29</v>
      </c>
      <c r="C715" t="s">
        <v>13</v>
      </c>
      <c r="D715" t="s">
        <v>14</v>
      </c>
      <c r="E715" t="s">
        <v>22</v>
      </c>
      <c r="F715" t="s">
        <v>23</v>
      </c>
      <c r="G715" t="s">
        <v>24</v>
      </c>
      <c r="H715" t="s">
        <v>239</v>
      </c>
      <c r="I715" t="s">
        <v>238</v>
      </c>
      <c r="J715" t="s">
        <v>27</v>
      </c>
      <c r="K715" t="s">
        <v>245</v>
      </c>
      <c r="L715" t="s">
        <v>239</v>
      </c>
      <c r="M715" t="s">
        <v>245</v>
      </c>
      <c r="N715" t="s">
        <v>353</v>
      </c>
      <c r="O715" t="s">
        <v>215</v>
      </c>
      <c r="P715" t="s">
        <v>216</v>
      </c>
      <c r="Q715" t="s">
        <v>217</v>
      </c>
      <c r="R715" t="s">
        <v>218</v>
      </c>
      <c r="S715" t="s">
        <v>225</v>
      </c>
    </row>
    <row r="716" spans="1:19" x14ac:dyDescent="0.35">
      <c r="A716" t="s">
        <v>72</v>
      </c>
      <c r="B716" t="s">
        <v>29</v>
      </c>
      <c r="C716" t="s">
        <v>38</v>
      </c>
      <c r="D716" t="s">
        <v>26</v>
      </c>
      <c r="E716" t="s">
        <v>22</v>
      </c>
      <c r="F716" t="s">
        <v>47</v>
      </c>
      <c r="G716" t="s">
        <v>36</v>
      </c>
      <c r="H716" t="s">
        <v>229</v>
      </c>
      <c r="I716" t="s">
        <v>244</v>
      </c>
      <c r="J716" t="s">
        <v>27</v>
      </c>
      <c r="K716" t="s">
        <v>231</v>
      </c>
      <c r="L716" t="s">
        <v>312</v>
      </c>
      <c r="M716" t="s">
        <v>214</v>
      </c>
      <c r="N716" t="s">
        <v>246</v>
      </c>
      <c r="O716" t="s">
        <v>215</v>
      </c>
      <c r="P716" t="s">
        <v>216</v>
      </c>
      <c r="Q716" t="s">
        <v>217</v>
      </c>
      <c r="R716" t="s">
        <v>218</v>
      </c>
      <c r="S716" t="s">
        <v>244</v>
      </c>
    </row>
    <row r="717" spans="1:19" x14ac:dyDescent="0.35">
      <c r="A717" t="s">
        <v>62</v>
      </c>
      <c r="B717" t="s">
        <v>29</v>
      </c>
      <c r="C717" t="s">
        <v>30</v>
      </c>
      <c r="D717" t="s">
        <v>14</v>
      </c>
      <c r="E717" t="s">
        <v>15</v>
      </c>
      <c r="F717" t="s">
        <v>23</v>
      </c>
      <c r="G717" t="s">
        <v>24</v>
      </c>
      <c r="H717" t="s">
        <v>239</v>
      </c>
      <c r="I717" t="s">
        <v>225</v>
      </c>
      <c r="J717" t="s">
        <v>43</v>
      </c>
      <c r="K717" t="s">
        <v>245</v>
      </c>
      <c r="L717" t="s">
        <v>229</v>
      </c>
      <c r="M717" t="s">
        <v>231</v>
      </c>
      <c r="N717" t="s">
        <v>239</v>
      </c>
      <c r="O717" t="s">
        <v>215</v>
      </c>
      <c r="P717" t="s">
        <v>216</v>
      </c>
      <c r="Q717" t="s">
        <v>217</v>
      </c>
      <c r="R717" t="s">
        <v>218</v>
      </c>
      <c r="S717" t="s">
        <v>220</v>
      </c>
    </row>
    <row r="718" spans="1:19" x14ac:dyDescent="0.35">
      <c r="A718" t="s">
        <v>42</v>
      </c>
      <c r="B718" t="s">
        <v>34</v>
      </c>
      <c r="C718" t="s">
        <v>38</v>
      </c>
      <c r="D718" t="s">
        <v>26</v>
      </c>
      <c r="E718" t="s">
        <v>22</v>
      </c>
      <c r="F718" t="s">
        <v>39</v>
      </c>
      <c r="G718" t="s">
        <v>24</v>
      </c>
      <c r="H718" t="s">
        <v>209</v>
      </c>
      <c r="I718" t="s">
        <v>220</v>
      </c>
      <c r="J718" t="s">
        <v>27</v>
      </c>
      <c r="K718" t="s">
        <v>211</v>
      </c>
      <c r="L718" t="s">
        <v>302</v>
      </c>
      <c r="M718" t="s">
        <v>342</v>
      </c>
      <c r="N718" t="s">
        <v>211</v>
      </c>
      <c r="O718" t="s">
        <v>215</v>
      </c>
      <c r="P718" t="s">
        <v>216</v>
      </c>
      <c r="Q718" t="s">
        <v>217</v>
      </c>
      <c r="R718" t="s">
        <v>218</v>
      </c>
      <c r="S718" t="s">
        <v>265</v>
      </c>
    </row>
    <row r="719" spans="1:19" x14ac:dyDescent="0.35">
      <c r="A719" t="s">
        <v>145</v>
      </c>
      <c r="B719" t="s">
        <v>29</v>
      </c>
      <c r="C719" t="s">
        <v>30</v>
      </c>
      <c r="D719" t="s">
        <v>26</v>
      </c>
      <c r="E719" t="s">
        <v>22</v>
      </c>
      <c r="F719" t="s">
        <v>39</v>
      </c>
      <c r="G719" t="s">
        <v>24</v>
      </c>
      <c r="H719" t="s">
        <v>209</v>
      </c>
      <c r="I719" t="s">
        <v>244</v>
      </c>
      <c r="J719" t="s">
        <v>54</v>
      </c>
      <c r="K719" t="s">
        <v>211</v>
      </c>
      <c r="L719" t="s">
        <v>272</v>
      </c>
      <c r="M719" t="s">
        <v>273</v>
      </c>
      <c r="N719" t="s">
        <v>274</v>
      </c>
      <c r="O719" t="s">
        <v>215</v>
      </c>
      <c r="P719" t="s">
        <v>216</v>
      </c>
      <c r="Q719" t="s">
        <v>217</v>
      </c>
      <c r="R719" t="s">
        <v>218</v>
      </c>
      <c r="S719" t="s">
        <v>238</v>
      </c>
    </row>
    <row r="720" spans="1:19" x14ac:dyDescent="0.35">
      <c r="A720" t="s">
        <v>110</v>
      </c>
      <c r="B720" t="s">
        <v>20</v>
      </c>
      <c r="C720" t="s">
        <v>21</v>
      </c>
      <c r="D720" t="s">
        <v>26</v>
      </c>
      <c r="E720" t="s">
        <v>22</v>
      </c>
      <c r="F720" t="s">
        <v>35</v>
      </c>
      <c r="G720" t="s">
        <v>36</v>
      </c>
      <c r="H720" t="s">
        <v>224</v>
      </c>
      <c r="I720" t="s">
        <v>249</v>
      </c>
      <c r="J720" t="s">
        <v>18</v>
      </c>
      <c r="K720" t="s">
        <v>226</v>
      </c>
      <c r="L720" t="s">
        <v>366</v>
      </c>
      <c r="M720" t="s">
        <v>241</v>
      </c>
      <c r="N720" t="s">
        <v>297</v>
      </c>
      <c r="O720" t="s">
        <v>215</v>
      </c>
      <c r="P720" t="s">
        <v>216</v>
      </c>
      <c r="Q720" t="s">
        <v>217</v>
      </c>
      <c r="R720" t="s">
        <v>218</v>
      </c>
      <c r="S720" t="s">
        <v>265</v>
      </c>
    </row>
    <row r="721" spans="1:19" x14ac:dyDescent="0.35">
      <c r="A721" t="s">
        <v>64</v>
      </c>
      <c r="B721" t="s">
        <v>20</v>
      </c>
      <c r="C721" t="s">
        <v>38</v>
      </c>
      <c r="D721" t="s">
        <v>26</v>
      </c>
      <c r="E721" t="s">
        <v>15</v>
      </c>
      <c r="F721" t="s">
        <v>16</v>
      </c>
      <c r="G721" t="s">
        <v>17</v>
      </c>
      <c r="H721" t="s">
        <v>275</v>
      </c>
      <c r="I721" t="s">
        <v>249</v>
      </c>
      <c r="J721" t="s">
        <v>27</v>
      </c>
      <c r="K721" t="s">
        <v>276</v>
      </c>
      <c r="L721" t="s">
        <v>315</v>
      </c>
      <c r="M721" t="s">
        <v>322</v>
      </c>
      <c r="N721" t="s">
        <v>323</v>
      </c>
      <c r="O721" t="s">
        <v>215</v>
      </c>
      <c r="P721" t="s">
        <v>216</v>
      </c>
      <c r="Q721" t="s">
        <v>217</v>
      </c>
      <c r="R721" t="s">
        <v>218</v>
      </c>
      <c r="S721" t="s">
        <v>265</v>
      </c>
    </row>
    <row r="722" spans="1:19" x14ac:dyDescent="0.35">
      <c r="A722" t="s">
        <v>75</v>
      </c>
      <c r="B722" t="s">
        <v>34</v>
      </c>
      <c r="C722" t="s">
        <v>21</v>
      </c>
      <c r="D722" t="s">
        <v>14</v>
      </c>
      <c r="E722" t="s">
        <v>22</v>
      </c>
      <c r="F722" t="s">
        <v>39</v>
      </c>
      <c r="G722" t="s">
        <v>24</v>
      </c>
      <c r="H722" t="s">
        <v>209</v>
      </c>
      <c r="I722" t="s">
        <v>238</v>
      </c>
      <c r="J722" t="s">
        <v>18</v>
      </c>
      <c r="K722" t="s">
        <v>211</v>
      </c>
      <c r="L722" t="s">
        <v>209</v>
      </c>
      <c r="M722" t="s">
        <v>211</v>
      </c>
      <c r="N722" t="s">
        <v>254</v>
      </c>
      <c r="O722" t="s">
        <v>215</v>
      </c>
      <c r="P722" t="s">
        <v>216</v>
      </c>
      <c r="Q722" t="s">
        <v>217</v>
      </c>
      <c r="R722" t="s">
        <v>218</v>
      </c>
      <c r="S722" t="s">
        <v>265</v>
      </c>
    </row>
    <row r="723" spans="1:19" x14ac:dyDescent="0.35">
      <c r="A723" t="s">
        <v>93</v>
      </c>
      <c r="B723" t="s">
        <v>29</v>
      </c>
      <c r="C723" t="s">
        <v>13</v>
      </c>
      <c r="D723" t="s">
        <v>26</v>
      </c>
      <c r="E723" t="s">
        <v>15</v>
      </c>
      <c r="F723" t="s">
        <v>52</v>
      </c>
      <c r="G723" t="s">
        <v>36</v>
      </c>
      <c r="H723" t="s">
        <v>291</v>
      </c>
      <c r="I723" t="s">
        <v>240</v>
      </c>
      <c r="J723" t="s">
        <v>27</v>
      </c>
      <c r="K723" t="s">
        <v>292</v>
      </c>
      <c r="L723" t="s">
        <v>349</v>
      </c>
      <c r="M723" t="s">
        <v>350</v>
      </c>
      <c r="N723" t="s">
        <v>351</v>
      </c>
      <c r="O723" t="s">
        <v>215</v>
      </c>
      <c r="P723" t="s">
        <v>216</v>
      </c>
      <c r="Q723" t="s">
        <v>217</v>
      </c>
      <c r="R723" t="s">
        <v>218</v>
      </c>
      <c r="S723" t="s">
        <v>220</v>
      </c>
    </row>
    <row r="724" spans="1:19" x14ac:dyDescent="0.35">
      <c r="A724" t="s">
        <v>125</v>
      </c>
      <c r="B724" t="s">
        <v>12</v>
      </c>
      <c r="C724" t="s">
        <v>38</v>
      </c>
      <c r="D724" t="s">
        <v>14</v>
      </c>
      <c r="E724" t="s">
        <v>22</v>
      </c>
      <c r="F724" t="s">
        <v>52</v>
      </c>
      <c r="G724" t="s">
        <v>36</v>
      </c>
      <c r="H724" t="s">
        <v>291</v>
      </c>
      <c r="I724" t="s">
        <v>220</v>
      </c>
      <c r="J724" t="s">
        <v>50</v>
      </c>
      <c r="K724" t="s">
        <v>292</v>
      </c>
      <c r="L724" t="s">
        <v>333</v>
      </c>
      <c r="M724" t="s">
        <v>345</v>
      </c>
      <c r="N724" t="s">
        <v>292</v>
      </c>
      <c r="O724" t="s">
        <v>215</v>
      </c>
      <c r="P724" t="s">
        <v>216</v>
      </c>
      <c r="Q724" t="s">
        <v>217</v>
      </c>
      <c r="R724" t="s">
        <v>218</v>
      </c>
      <c r="S724" t="s">
        <v>220</v>
      </c>
    </row>
    <row r="725" spans="1:19" x14ac:dyDescent="0.35">
      <c r="A725" t="s">
        <v>87</v>
      </c>
      <c r="B725" t="s">
        <v>20</v>
      </c>
      <c r="C725" t="s">
        <v>38</v>
      </c>
      <c r="D725" t="s">
        <v>26</v>
      </c>
      <c r="E725" t="s">
        <v>22</v>
      </c>
      <c r="F725" t="s">
        <v>39</v>
      </c>
      <c r="G725" t="s">
        <v>24</v>
      </c>
      <c r="H725" t="s">
        <v>209</v>
      </c>
      <c r="I725" t="s">
        <v>244</v>
      </c>
      <c r="J725" t="s">
        <v>27</v>
      </c>
      <c r="K725" t="s">
        <v>211</v>
      </c>
      <c r="L725" t="s">
        <v>272</v>
      </c>
      <c r="M725" t="s">
        <v>273</v>
      </c>
      <c r="N725" t="s">
        <v>274</v>
      </c>
      <c r="O725" t="s">
        <v>215</v>
      </c>
      <c r="P725" t="s">
        <v>216</v>
      </c>
      <c r="Q725" t="s">
        <v>217</v>
      </c>
      <c r="R725" t="s">
        <v>218</v>
      </c>
      <c r="S725" t="s">
        <v>244</v>
      </c>
    </row>
    <row r="726" spans="1:19" x14ac:dyDescent="0.35">
      <c r="A726" t="s">
        <v>51</v>
      </c>
      <c r="B726" t="s">
        <v>29</v>
      </c>
      <c r="C726" t="s">
        <v>21</v>
      </c>
      <c r="D726" t="s">
        <v>14</v>
      </c>
      <c r="E726" t="s">
        <v>15</v>
      </c>
      <c r="F726" t="s">
        <v>31</v>
      </c>
      <c r="G726" t="s">
        <v>24</v>
      </c>
      <c r="H726" t="s">
        <v>252</v>
      </c>
      <c r="I726" t="s">
        <v>244</v>
      </c>
      <c r="J726" t="s">
        <v>27</v>
      </c>
      <c r="K726" t="s">
        <v>253</v>
      </c>
      <c r="L726" t="s">
        <v>209</v>
      </c>
      <c r="M726" t="s">
        <v>211</v>
      </c>
      <c r="N726" t="s">
        <v>254</v>
      </c>
      <c r="O726" t="s">
        <v>215</v>
      </c>
      <c r="P726" t="s">
        <v>216</v>
      </c>
      <c r="Q726" t="s">
        <v>217</v>
      </c>
      <c r="R726" t="s">
        <v>218</v>
      </c>
      <c r="S726" t="s">
        <v>244</v>
      </c>
    </row>
    <row r="727" spans="1:19" x14ac:dyDescent="0.35">
      <c r="A727" t="s">
        <v>83</v>
      </c>
      <c r="B727" t="s">
        <v>20</v>
      </c>
      <c r="C727" t="s">
        <v>38</v>
      </c>
      <c r="D727" t="s">
        <v>14</v>
      </c>
      <c r="E727" t="s">
        <v>22</v>
      </c>
      <c r="F727" t="s">
        <v>47</v>
      </c>
      <c r="G727" t="s">
        <v>36</v>
      </c>
      <c r="H727" t="s">
        <v>229</v>
      </c>
      <c r="I727" t="s">
        <v>238</v>
      </c>
      <c r="J727" t="s">
        <v>32</v>
      </c>
      <c r="K727" t="s">
        <v>231</v>
      </c>
      <c r="L727" t="s">
        <v>229</v>
      </c>
      <c r="M727" t="s">
        <v>231</v>
      </c>
      <c r="N727" t="s">
        <v>239</v>
      </c>
      <c r="O727" t="s">
        <v>215</v>
      </c>
      <c r="P727" t="s">
        <v>216</v>
      </c>
      <c r="Q727" t="s">
        <v>217</v>
      </c>
      <c r="R727" t="s">
        <v>218</v>
      </c>
      <c r="S727" t="s">
        <v>238</v>
      </c>
    </row>
    <row r="728" spans="1:19" x14ac:dyDescent="0.35">
      <c r="A728" t="s">
        <v>118</v>
      </c>
      <c r="B728" t="s">
        <v>29</v>
      </c>
      <c r="C728" t="s">
        <v>13</v>
      </c>
      <c r="D728" t="s">
        <v>26</v>
      </c>
      <c r="E728" t="s">
        <v>15</v>
      </c>
      <c r="F728" t="s">
        <v>52</v>
      </c>
      <c r="G728" t="s">
        <v>36</v>
      </c>
      <c r="H728" t="s">
        <v>291</v>
      </c>
      <c r="I728" t="s">
        <v>220</v>
      </c>
      <c r="J728" t="s">
        <v>27</v>
      </c>
      <c r="K728" t="s">
        <v>292</v>
      </c>
      <c r="L728" t="s">
        <v>333</v>
      </c>
      <c r="M728" t="s">
        <v>345</v>
      </c>
      <c r="N728" t="s">
        <v>292</v>
      </c>
      <c r="O728" t="s">
        <v>215</v>
      </c>
      <c r="P728" t="s">
        <v>216</v>
      </c>
      <c r="Q728" t="s">
        <v>217</v>
      </c>
      <c r="R728" t="s">
        <v>218</v>
      </c>
      <c r="S728" t="s">
        <v>238</v>
      </c>
    </row>
    <row r="729" spans="1:19" x14ac:dyDescent="0.35">
      <c r="A729" t="s">
        <v>99</v>
      </c>
      <c r="B729" t="s">
        <v>34</v>
      </c>
      <c r="C729" t="s">
        <v>21</v>
      </c>
      <c r="D729" t="s">
        <v>26</v>
      </c>
      <c r="E729" t="s">
        <v>15</v>
      </c>
      <c r="F729" t="s">
        <v>56</v>
      </c>
      <c r="G729" t="s">
        <v>36</v>
      </c>
      <c r="H729" t="s">
        <v>260</v>
      </c>
      <c r="I729" t="s">
        <v>240</v>
      </c>
      <c r="J729" t="s">
        <v>32</v>
      </c>
      <c r="K729" t="s">
        <v>261</v>
      </c>
      <c r="L729" t="s">
        <v>227</v>
      </c>
      <c r="M729" t="s">
        <v>228</v>
      </c>
      <c r="N729" t="s">
        <v>224</v>
      </c>
      <c r="O729" t="s">
        <v>215</v>
      </c>
      <c r="P729" t="s">
        <v>216</v>
      </c>
      <c r="Q729" t="s">
        <v>217</v>
      </c>
      <c r="R729" t="s">
        <v>218</v>
      </c>
      <c r="S729" t="s">
        <v>220</v>
      </c>
    </row>
    <row r="730" spans="1:19" x14ac:dyDescent="0.35">
      <c r="A730" t="s">
        <v>103</v>
      </c>
      <c r="B730" t="s">
        <v>29</v>
      </c>
      <c r="C730" t="s">
        <v>13</v>
      </c>
      <c r="D730" t="s">
        <v>26</v>
      </c>
      <c r="E730" t="s">
        <v>22</v>
      </c>
      <c r="F730" t="s">
        <v>41</v>
      </c>
      <c r="G730" t="s">
        <v>17</v>
      </c>
      <c r="H730" t="s">
        <v>219</v>
      </c>
      <c r="I730" t="s">
        <v>238</v>
      </c>
      <c r="J730" t="s">
        <v>43</v>
      </c>
      <c r="K730" t="s">
        <v>221</v>
      </c>
      <c r="L730" t="s">
        <v>219</v>
      </c>
      <c r="M730" t="s">
        <v>221</v>
      </c>
      <c r="N730" t="s">
        <v>308</v>
      </c>
      <c r="O730" t="s">
        <v>215</v>
      </c>
      <c r="P730" t="s">
        <v>216</v>
      </c>
      <c r="Q730" t="s">
        <v>217</v>
      </c>
      <c r="R730" t="s">
        <v>218</v>
      </c>
      <c r="S730" t="s">
        <v>244</v>
      </c>
    </row>
    <row r="731" spans="1:19" x14ac:dyDescent="0.35">
      <c r="A731" t="s">
        <v>100</v>
      </c>
      <c r="B731" t="s">
        <v>34</v>
      </c>
      <c r="C731" t="s">
        <v>38</v>
      </c>
      <c r="D731" t="s">
        <v>26</v>
      </c>
      <c r="E731" t="s">
        <v>22</v>
      </c>
      <c r="F731" t="s">
        <v>58</v>
      </c>
      <c r="G731" t="s">
        <v>24</v>
      </c>
      <c r="H731" t="s">
        <v>255</v>
      </c>
      <c r="I731" t="s">
        <v>210</v>
      </c>
      <c r="J731" t="s">
        <v>54</v>
      </c>
      <c r="K731" t="s">
        <v>256</v>
      </c>
      <c r="L731" t="s">
        <v>285</v>
      </c>
      <c r="M731" t="s">
        <v>286</v>
      </c>
      <c r="N731" t="s">
        <v>287</v>
      </c>
      <c r="O731" t="s">
        <v>215</v>
      </c>
      <c r="P731" t="s">
        <v>216</v>
      </c>
      <c r="Q731" t="s">
        <v>217</v>
      </c>
      <c r="R731" t="s">
        <v>218</v>
      </c>
      <c r="S731" t="s">
        <v>238</v>
      </c>
    </row>
    <row r="732" spans="1:19" x14ac:dyDescent="0.35">
      <c r="A732" t="s">
        <v>63</v>
      </c>
      <c r="B732" t="s">
        <v>34</v>
      </c>
      <c r="C732" t="s">
        <v>21</v>
      </c>
      <c r="D732" t="s">
        <v>14</v>
      </c>
      <c r="E732" t="s">
        <v>15</v>
      </c>
      <c r="F732" t="s">
        <v>58</v>
      </c>
      <c r="G732" t="s">
        <v>24</v>
      </c>
      <c r="H732" t="s">
        <v>255</v>
      </c>
      <c r="I732" t="s">
        <v>225</v>
      </c>
      <c r="J732" t="s">
        <v>27</v>
      </c>
      <c r="K732" t="s">
        <v>256</v>
      </c>
      <c r="L732" t="s">
        <v>324</v>
      </c>
      <c r="M732" t="s">
        <v>303</v>
      </c>
      <c r="N732" t="s">
        <v>255</v>
      </c>
      <c r="O732" t="s">
        <v>215</v>
      </c>
      <c r="P732" t="s">
        <v>216</v>
      </c>
      <c r="Q732" t="s">
        <v>217</v>
      </c>
      <c r="R732" t="s">
        <v>218</v>
      </c>
      <c r="S732" t="s">
        <v>220</v>
      </c>
    </row>
    <row r="733" spans="1:19" x14ac:dyDescent="0.35">
      <c r="A733" t="s">
        <v>95</v>
      </c>
      <c r="B733" t="s">
        <v>29</v>
      </c>
      <c r="C733" t="s">
        <v>30</v>
      </c>
      <c r="D733" t="s">
        <v>26</v>
      </c>
      <c r="E733" t="s">
        <v>22</v>
      </c>
      <c r="F733" t="s">
        <v>58</v>
      </c>
      <c r="G733" t="s">
        <v>24</v>
      </c>
      <c r="H733" t="s">
        <v>255</v>
      </c>
      <c r="I733" t="s">
        <v>249</v>
      </c>
      <c r="J733" t="s">
        <v>54</v>
      </c>
      <c r="K733" t="s">
        <v>256</v>
      </c>
      <c r="L733" t="s">
        <v>286</v>
      </c>
      <c r="M733" t="s">
        <v>295</v>
      </c>
      <c r="N733" t="s">
        <v>296</v>
      </c>
      <c r="O733" t="s">
        <v>215</v>
      </c>
      <c r="P733" t="s">
        <v>216</v>
      </c>
      <c r="Q733" t="s">
        <v>217</v>
      </c>
      <c r="R733" t="s">
        <v>218</v>
      </c>
      <c r="S733" t="s">
        <v>238</v>
      </c>
    </row>
    <row r="734" spans="1:19" x14ac:dyDescent="0.35">
      <c r="A734" t="s">
        <v>149</v>
      </c>
      <c r="B734" t="s">
        <v>20</v>
      </c>
      <c r="C734" t="s">
        <v>13</v>
      </c>
      <c r="D734" t="s">
        <v>14</v>
      </c>
      <c r="E734" t="s">
        <v>15</v>
      </c>
      <c r="F734" t="s">
        <v>58</v>
      </c>
      <c r="G734" t="s">
        <v>24</v>
      </c>
      <c r="H734" t="s">
        <v>255</v>
      </c>
      <c r="I734" t="s">
        <v>269</v>
      </c>
      <c r="J734" t="s">
        <v>32</v>
      </c>
      <c r="K734" t="s">
        <v>256</v>
      </c>
      <c r="L734" t="s">
        <v>346</v>
      </c>
      <c r="M734" t="s">
        <v>347</v>
      </c>
      <c r="N734" t="s">
        <v>348</v>
      </c>
      <c r="O734" t="s">
        <v>215</v>
      </c>
      <c r="P734" t="s">
        <v>216</v>
      </c>
      <c r="Q734" t="s">
        <v>217</v>
      </c>
      <c r="R734" t="s">
        <v>218</v>
      </c>
      <c r="S734" t="s">
        <v>244</v>
      </c>
    </row>
    <row r="735" spans="1:19" x14ac:dyDescent="0.35">
      <c r="A735" t="s">
        <v>105</v>
      </c>
      <c r="B735" t="s">
        <v>34</v>
      </c>
      <c r="C735" t="s">
        <v>30</v>
      </c>
      <c r="D735" t="s">
        <v>26</v>
      </c>
      <c r="E735" t="s">
        <v>15</v>
      </c>
      <c r="F735" t="s">
        <v>35</v>
      </c>
      <c r="G735" t="s">
        <v>36</v>
      </c>
      <c r="H735" t="s">
        <v>224</v>
      </c>
      <c r="I735" t="s">
        <v>230</v>
      </c>
      <c r="J735" t="s">
        <v>54</v>
      </c>
      <c r="K735" t="s">
        <v>226</v>
      </c>
      <c r="L735" t="s">
        <v>332</v>
      </c>
      <c r="M735" t="s">
        <v>333</v>
      </c>
      <c r="N735" t="s">
        <v>291</v>
      </c>
      <c r="O735" t="s">
        <v>215</v>
      </c>
      <c r="P735" t="s">
        <v>216</v>
      </c>
      <c r="Q735" t="s">
        <v>217</v>
      </c>
      <c r="R735" t="s">
        <v>218</v>
      </c>
      <c r="S735" t="s">
        <v>244</v>
      </c>
    </row>
    <row r="736" spans="1:19" x14ac:dyDescent="0.35">
      <c r="A736" t="s">
        <v>89</v>
      </c>
      <c r="B736" t="s">
        <v>12</v>
      </c>
      <c r="C736" t="s">
        <v>38</v>
      </c>
      <c r="D736" t="s">
        <v>14</v>
      </c>
      <c r="E736" t="s">
        <v>15</v>
      </c>
      <c r="F736" t="s">
        <v>52</v>
      </c>
      <c r="G736" t="s">
        <v>36</v>
      </c>
      <c r="H736" t="s">
        <v>291</v>
      </c>
      <c r="I736" t="s">
        <v>238</v>
      </c>
      <c r="J736" t="s">
        <v>32</v>
      </c>
      <c r="K736" t="s">
        <v>292</v>
      </c>
      <c r="L736" t="s">
        <v>291</v>
      </c>
      <c r="M736" t="s">
        <v>292</v>
      </c>
      <c r="N736" t="s">
        <v>343</v>
      </c>
      <c r="O736" t="s">
        <v>215</v>
      </c>
      <c r="P736" t="s">
        <v>216</v>
      </c>
      <c r="Q736" t="s">
        <v>217</v>
      </c>
      <c r="R736" t="s">
        <v>218</v>
      </c>
      <c r="S736" t="s">
        <v>244</v>
      </c>
    </row>
    <row r="737" spans="1:19" x14ac:dyDescent="0.35">
      <c r="A737" t="s">
        <v>74</v>
      </c>
      <c r="B737" t="s">
        <v>12</v>
      </c>
      <c r="C737" t="s">
        <v>21</v>
      </c>
      <c r="D737" t="s">
        <v>26</v>
      </c>
      <c r="E737" t="s">
        <v>22</v>
      </c>
      <c r="F737" t="s">
        <v>39</v>
      </c>
      <c r="G737" t="s">
        <v>24</v>
      </c>
      <c r="H737" t="s">
        <v>209</v>
      </c>
      <c r="I737" t="s">
        <v>240</v>
      </c>
      <c r="J737" t="s">
        <v>32</v>
      </c>
      <c r="K737" t="s">
        <v>211</v>
      </c>
      <c r="L737" t="s">
        <v>266</v>
      </c>
      <c r="M737" t="s">
        <v>267</v>
      </c>
      <c r="N737" t="s">
        <v>268</v>
      </c>
      <c r="O737" t="s">
        <v>215</v>
      </c>
      <c r="P737" t="s">
        <v>216</v>
      </c>
      <c r="Q737" t="s">
        <v>217</v>
      </c>
      <c r="R737" t="s">
        <v>218</v>
      </c>
      <c r="S737" t="s">
        <v>265</v>
      </c>
    </row>
    <row r="738" spans="1:19" x14ac:dyDescent="0.35">
      <c r="A738" t="s">
        <v>84</v>
      </c>
      <c r="B738" t="s">
        <v>34</v>
      </c>
      <c r="C738" t="s">
        <v>13</v>
      </c>
      <c r="D738" t="s">
        <v>14</v>
      </c>
      <c r="E738" t="s">
        <v>15</v>
      </c>
      <c r="F738" t="s">
        <v>56</v>
      </c>
      <c r="G738" t="s">
        <v>36</v>
      </c>
      <c r="H738" t="s">
        <v>260</v>
      </c>
      <c r="I738" t="s">
        <v>244</v>
      </c>
      <c r="J738" t="s">
        <v>32</v>
      </c>
      <c r="K738" t="s">
        <v>261</v>
      </c>
      <c r="L738" t="s">
        <v>288</v>
      </c>
      <c r="M738" t="s">
        <v>289</v>
      </c>
      <c r="N738" t="s">
        <v>229</v>
      </c>
      <c r="O738" t="s">
        <v>215</v>
      </c>
      <c r="P738" t="s">
        <v>216</v>
      </c>
      <c r="Q738" t="s">
        <v>217</v>
      </c>
      <c r="R738" t="s">
        <v>218</v>
      </c>
      <c r="S738" t="s">
        <v>220</v>
      </c>
    </row>
    <row r="739" spans="1:19" x14ac:dyDescent="0.35">
      <c r="A739" t="s">
        <v>123</v>
      </c>
      <c r="B739" t="s">
        <v>34</v>
      </c>
      <c r="C739" t="s">
        <v>38</v>
      </c>
      <c r="D739" t="s">
        <v>14</v>
      </c>
      <c r="E739" t="s">
        <v>15</v>
      </c>
      <c r="F739" t="s">
        <v>41</v>
      </c>
      <c r="G739" t="s">
        <v>17</v>
      </c>
      <c r="H739" t="s">
        <v>219</v>
      </c>
      <c r="I739" t="s">
        <v>265</v>
      </c>
      <c r="J739" t="s">
        <v>18</v>
      </c>
      <c r="K739" t="s">
        <v>221</v>
      </c>
      <c r="L739" t="s">
        <v>280</v>
      </c>
      <c r="M739" t="s">
        <v>321</v>
      </c>
      <c r="N739" t="s">
        <v>340</v>
      </c>
      <c r="O739" t="s">
        <v>215</v>
      </c>
      <c r="P739" t="s">
        <v>216</v>
      </c>
      <c r="Q739" t="s">
        <v>217</v>
      </c>
      <c r="R739" t="s">
        <v>218</v>
      </c>
      <c r="S739" t="s">
        <v>220</v>
      </c>
    </row>
    <row r="740" spans="1:19" x14ac:dyDescent="0.35">
      <c r="A740" t="s">
        <v>49</v>
      </c>
      <c r="B740" t="s">
        <v>20</v>
      </c>
      <c r="C740" t="s">
        <v>21</v>
      </c>
      <c r="D740" t="s">
        <v>26</v>
      </c>
      <c r="E740" t="s">
        <v>15</v>
      </c>
      <c r="F740" t="s">
        <v>31</v>
      </c>
      <c r="G740" t="s">
        <v>24</v>
      </c>
      <c r="H740" t="s">
        <v>252</v>
      </c>
      <c r="I740" t="s">
        <v>244</v>
      </c>
      <c r="J740" t="s">
        <v>27</v>
      </c>
      <c r="K740" t="s">
        <v>253</v>
      </c>
      <c r="L740" t="s">
        <v>209</v>
      </c>
      <c r="M740" t="s">
        <v>211</v>
      </c>
      <c r="N740" t="s">
        <v>254</v>
      </c>
      <c r="O740" t="s">
        <v>215</v>
      </c>
      <c r="P740" t="s">
        <v>216</v>
      </c>
      <c r="Q740" t="s">
        <v>217</v>
      </c>
      <c r="R740" t="s">
        <v>218</v>
      </c>
      <c r="S740" t="s">
        <v>220</v>
      </c>
    </row>
    <row r="741" spans="1:19" x14ac:dyDescent="0.35">
      <c r="A741" t="s">
        <v>128</v>
      </c>
      <c r="B741" t="s">
        <v>29</v>
      </c>
      <c r="C741" t="s">
        <v>38</v>
      </c>
      <c r="D741" t="s">
        <v>26</v>
      </c>
      <c r="E741" t="s">
        <v>22</v>
      </c>
      <c r="F741" t="s">
        <v>23</v>
      </c>
      <c r="G741" t="s">
        <v>24</v>
      </c>
      <c r="H741" t="s">
        <v>239</v>
      </c>
      <c r="I741" t="s">
        <v>269</v>
      </c>
      <c r="J741" t="s">
        <v>27</v>
      </c>
      <c r="K741" t="s">
        <v>245</v>
      </c>
      <c r="L741" t="s">
        <v>309</v>
      </c>
      <c r="M741" t="s">
        <v>268</v>
      </c>
      <c r="N741" t="s">
        <v>310</v>
      </c>
      <c r="O741" t="s">
        <v>215</v>
      </c>
      <c r="P741" t="s">
        <v>216</v>
      </c>
      <c r="Q741" t="s">
        <v>217</v>
      </c>
      <c r="R741" t="s">
        <v>218</v>
      </c>
      <c r="S741" t="s">
        <v>220</v>
      </c>
    </row>
    <row r="742" spans="1:19" x14ac:dyDescent="0.35">
      <c r="A742" t="s">
        <v>42</v>
      </c>
      <c r="B742" t="s">
        <v>20</v>
      </c>
      <c r="C742" t="s">
        <v>30</v>
      </c>
      <c r="D742" t="s">
        <v>26</v>
      </c>
      <c r="E742" t="s">
        <v>22</v>
      </c>
      <c r="F742" t="s">
        <v>39</v>
      </c>
      <c r="G742" t="s">
        <v>24</v>
      </c>
      <c r="H742" t="s">
        <v>209</v>
      </c>
      <c r="I742" t="s">
        <v>240</v>
      </c>
      <c r="J742" t="s">
        <v>27</v>
      </c>
      <c r="K742" t="s">
        <v>211</v>
      </c>
      <c r="L742" t="s">
        <v>266</v>
      </c>
      <c r="M742" t="s">
        <v>267</v>
      </c>
      <c r="N742" t="s">
        <v>268</v>
      </c>
      <c r="O742" t="s">
        <v>215</v>
      </c>
      <c r="P742" t="s">
        <v>216</v>
      </c>
      <c r="Q742" t="s">
        <v>217</v>
      </c>
      <c r="R742" t="s">
        <v>218</v>
      </c>
      <c r="S742" t="s">
        <v>265</v>
      </c>
    </row>
    <row r="743" spans="1:19" x14ac:dyDescent="0.35">
      <c r="A743" t="s">
        <v>84</v>
      </c>
      <c r="B743" t="s">
        <v>29</v>
      </c>
      <c r="C743" t="s">
        <v>30</v>
      </c>
      <c r="D743" t="s">
        <v>26</v>
      </c>
      <c r="E743" t="s">
        <v>15</v>
      </c>
      <c r="F743" t="s">
        <v>31</v>
      </c>
      <c r="G743" t="s">
        <v>24</v>
      </c>
      <c r="H743" t="s">
        <v>252</v>
      </c>
      <c r="I743" t="s">
        <v>249</v>
      </c>
      <c r="J743" t="s">
        <v>50</v>
      </c>
      <c r="K743" t="s">
        <v>253</v>
      </c>
      <c r="L743" t="s">
        <v>297</v>
      </c>
      <c r="M743" t="s">
        <v>243</v>
      </c>
      <c r="N743" t="s">
        <v>311</v>
      </c>
      <c r="O743" t="s">
        <v>215</v>
      </c>
      <c r="P743" t="s">
        <v>216</v>
      </c>
      <c r="Q743" t="s">
        <v>217</v>
      </c>
      <c r="R743" t="s">
        <v>218</v>
      </c>
      <c r="S743" t="s">
        <v>220</v>
      </c>
    </row>
    <row r="744" spans="1:19" x14ac:dyDescent="0.35">
      <c r="A744" t="s">
        <v>82</v>
      </c>
      <c r="B744" t="s">
        <v>29</v>
      </c>
      <c r="C744" t="s">
        <v>30</v>
      </c>
      <c r="D744" t="s">
        <v>26</v>
      </c>
      <c r="E744" t="s">
        <v>15</v>
      </c>
      <c r="F744" t="s">
        <v>31</v>
      </c>
      <c r="G744" t="s">
        <v>24</v>
      </c>
      <c r="H744" t="s">
        <v>252</v>
      </c>
      <c r="I744" t="s">
        <v>249</v>
      </c>
      <c r="J744" t="s">
        <v>54</v>
      </c>
      <c r="K744" t="s">
        <v>253</v>
      </c>
      <c r="L744" t="s">
        <v>297</v>
      </c>
      <c r="M744" t="s">
        <v>243</v>
      </c>
      <c r="N744" t="s">
        <v>311</v>
      </c>
      <c r="O744" t="s">
        <v>215</v>
      </c>
      <c r="P744" t="s">
        <v>216</v>
      </c>
      <c r="Q744" t="s">
        <v>217</v>
      </c>
      <c r="R744" t="s">
        <v>218</v>
      </c>
      <c r="S744" t="s">
        <v>238</v>
      </c>
    </row>
    <row r="745" spans="1:19" x14ac:dyDescent="0.35">
      <c r="A745" t="s">
        <v>91</v>
      </c>
      <c r="B745" t="s">
        <v>29</v>
      </c>
      <c r="C745" t="s">
        <v>30</v>
      </c>
      <c r="D745" t="s">
        <v>26</v>
      </c>
      <c r="E745" t="s">
        <v>22</v>
      </c>
      <c r="F745" t="s">
        <v>56</v>
      </c>
      <c r="G745" t="s">
        <v>36</v>
      </c>
      <c r="H745" t="s">
        <v>260</v>
      </c>
      <c r="I745" t="s">
        <v>244</v>
      </c>
      <c r="J745" t="s">
        <v>43</v>
      </c>
      <c r="K745" t="s">
        <v>261</v>
      </c>
      <c r="L745" t="s">
        <v>288</v>
      </c>
      <c r="M745" t="s">
        <v>289</v>
      </c>
      <c r="N745" t="s">
        <v>229</v>
      </c>
      <c r="O745" t="s">
        <v>215</v>
      </c>
      <c r="P745" t="s">
        <v>216</v>
      </c>
      <c r="Q745" t="s">
        <v>217</v>
      </c>
      <c r="R745" t="s">
        <v>218</v>
      </c>
      <c r="S745" t="s">
        <v>220</v>
      </c>
    </row>
    <row r="746" spans="1:19" x14ac:dyDescent="0.35">
      <c r="A746" t="s">
        <v>118</v>
      </c>
      <c r="B746" t="s">
        <v>34</v>
      </c>
      <c r="C746" t="s">
        <v>30</v>
      </c>
      <c r="D746" t="s">
        <v>26</v>
      </c>
      <c r="E746" t="s">
        <v>22</v>
      </c>
      <c r="F746" t="s">
        <v>16</v>
      </c>
      <c r="G746" t="s">
        <v>17</v>
      </c>
      <c r="H746" t="s">
        <v>275</v>
      </c>
      <c r="I746" t="s">
        <v>240</v>
      </c>
      <c r="J746" t="s">
        <v>50</v>
      </c>
      <c r="K746" t="s">
        <v>276</v>
      </c>
      <c r="L746" t="s">
        <v>281</v>
      </c>
      <c r="M746" t="s">
        <v>282</v>
      </c>
      <c r="N746" t="s">
        <v>283</v>
      </c>
      <c r="O746" t="s">
        <v>215</v>
      </c>
      <c r="P746" t="s">
        <v>216</v>
      </c>
      <c r="Q746" t="s">
        <v>217</v>
      </c>
      <c r="R746" t="s">
        <v>218</v>
      </c>
      <c r="S746" t="s">
        <v>238</v>
      </c>
    </row>
    <row r="747" spans="1:19" x14ac:dyDescent="0.35">
      <c r="A747" t="s">
        <v>102</v>
      </c>
      <c r="B747" t="s">
        <v>20</v>
      </c>
      <c r="C747" t="s">
        <v>38</v>
      </c>
      <c r="D747" t="s">
        <v>26</v>
      </c>
      <c r="E747" t="s">
        <v>15</v>
      </c>
      <c r="F747" t="s">
        <v>58</v>
      </c>
      <c r="G747" t="s">
        <v>24</v>
      </c>
      <c r="H747" t="s">
        <v>255</v>
      </c>
      <c r="I747" t="s">
        <v>269</v>
      </c>
      <c r="J747" t="s">
        <v>32</v>
      </c>
      <c r="K747" t="s">
        <v>256</v>
      </c>
      <c r="L747" t="s">
        <v>346</v>
      </c>
      <c r="M747" t="s">
        <v>347</v>
      </c>
      <c r="N747" t="s">
        <v>348</v>
      </c>
      <c r="O747" t="s">
        <v>215</v>
      </c>
      <c r="P747" t="s">
        <v>216</v>
      </c>
      <c r="Q747" t="s">
        <v>217</v>
      </c>
      <c r="R747" t="s">
        <v>218</v>
      </c>
      <c r="S747" t="s">
        <v>238</v>
      </c>
    </row>
    <row r="748" spans="1:19" x14ac:dyDescent="0.35">
      <c r="A748" t="s">
        <v>79</v>
      </c>
      <c r="B748" t="s">
        <v>34</v>
      </c>
      <c r="C748" t="s">
        <v>38</v>
      </c>
      <c r="D748" t="s">
        <v>26</v>
      </c>
      <c r="E748" t="s">
        <v>22</v>
      </c>
      <c r="F748" t="s">
        <v>56</v>
      </c>
      <c r="G748" t="s">
        <v>36</v>
      </c>
      <c r="H748" t="s">
        <v>260</v>
      </c>
      <c r="I748" t="s">
        <v>220</v>
      </c>
      <c r="J748" t="s">
        <v>32</v>
      </c>
      <c r="K748" t="s">
        <v>261</v>
      </c>
      <c r="L748" t="s">
        <v>335</v>
      </c>
      <c r="M748" t="s">
        <v>336</v>
      </c>
      <c r="N748" t="s">
        <v>261</v>
      </c>
      <c r="O748" t="s">
        <v>215</v>
      </c>
      <c r="P748" t="s">
        <v>216</v>
      </c>
      <c r="Q748" t="s">
        <v>217</v>
      </c>
      <c r="R748" t="s">
        <v>218</v>
      </c>
      <c r="S748" t="s">
        <v>238</v>
      </c>
    </row>
    <row r="749" spans="1:19" x14ac:dyDescent="0.35">
      <c r="A749" t="s">
        <v>53</v>
      </c>
      <c r="B749" t="s">
        <v>29</v>
      </c>
      <c r="C749" t="s">
        <v>30</v>
      </c>
      <c r="D749" t="s">
        <v>26</v>
      </c>
      <c r="E749" t="s">
        <v>22</v>
      </c>
      <c r="F749" t="s">
        <v>56</v>
      </c>
      <c r="G749" t="s">
        <v>36</v>
      </c>
      <c r="H749" t="s">
        <v>260</v>
      </c>
      <c r="I749" t="s">
        <v>244</v>
      </c>
      <c r="J749" t="s">
        <v>18</v>
      </c>
      <c r="K749" t="s">
        <v>261</v>
      </c>
      <c r="L749" t="s">
        <v>288</v>
      </c>
      <c r="M749" t="s">
        <v>289</v>
      </c>
      <c r="N749" t="s">
        <v>229</v>
      </c>
      <c r="O749" t="s">
        <v>215</v>
      </c>
      <c r="P749" t="s">
        <v>216</v>
      </c>
      <c r="Q749" t="s">
        <v>217</v>
      </c>
      <c r="R749" t="s">
        <v>218</v>
      </c>
      <c r="S749" t="s">
        <v>244</v>
      </c>
    </row>
    <row r="750" spans="1:19" x14ac:dyDescent="0.35">
      <c r="A750" t="s">
        <v>46</v>
      </c>
      <c r="B750" t="s">
        <v>29</v>
      </c>
      <c r="C750" t="s">
        <v>38</v>
      </c>
      <c r="D750" t="s">
        <v>26</v>
      </c>
      <c r="E750" t="s">
        <v>22</v>
      </c>
      <c r="F750" t="s">
        <v>23</v>
      </c>
      <c r="G750" t="s">
        <v>24</v>
      </c>
      <c r="H750" t="s">
        <v>239</v>
      </c>
      <c r="I750" t="s">
        <v>210</v>
      </c>
      <c r="J750" t="s">
        <v>18</v>
      </c>
      <c r="K750" t="s">
        <v>245</v>
      </c>
      <c r="L750" t="s">
        <v>224</v>
      </c>
      <c r="M750" t="s">
        <v>226</v>
      </c>
      <c r="N750" t="s">
        <v>252</v>
      </c>
      <c r="O750" t="s">
        <v>215</v>
      </c>
      <c r="P750" t="s">
        <v>216</v>
      </c>
      <c r="Q750" t="s">
        <v>217</v>
      </c>
      <c r="R750" t="s">
        <v>218</v>
      </c>
      <c r="S750" t="s">
        <v>238</v>
      </c>
    </row>
    <row r="751" spans="1:19" x14ac:dyDescent="0.35">
      <c r="A751" t="s">
        <v>61</v>
      </c>
      <c r="B751" t="s">
        <v>34</v>
      </c>
      <c r="C751" t="s">
        <v>30</v>
      </c>
      <c r="D751" t="s">
        <v>26</v>
      </c>
      <c r="E751" t="s">
        <v>22</v>
      </c>
      <c r="F751" t="s">
        <v>35</v>
      </c>
      <c r="G751" t="s">
        <v>36</v>
      </c>
      <c r="H751" t="s">
        <v>224</v>
      </c>
      <c r="I751" t="s">
        <v>220</v>
      </c>
      <c r="J751" t="s">
        <v>54</v>
      </c>
      <c r="K751" t="s">
        <v>226</v>
      </c>
      <c r="L751" t="s">
        <v>228</v>
      </c>
      <c r="M751" t="s">
        <v>290</v>
      </c>
      <c r="N751" t="s">
        <v>226</v>
      </c>
      <c r="O751" t="s">
        <v>215</v>
      </c>
      <c r="P751" t="s">
        <v>216</v>
      </c>
      <c r="Q751" t="s">
        <v>217</v>
      </c>
      <c r="R751" t="s">
        <v>218</v>
      </c>
      <c r="S751" t="s">
        <v>225</v>
      </c>
    </row>
    <row r="752" spans="1:19" x14ac:dyDescent="0.35">
      <c r="A752" t="s">
        <v>91</v>
      </c>
      <c r="B752" t="s">
        <v>29</v>
      </c>
      <c r="C752" t="s">
        <v>13</v>
      </c>
      <c r="D752" t="s">
        <v>26</v>
      </c>
      <c r="E752" t="s">
        <v>22</v>
      </c>
      <c r="F752" t="s">
        <v>41</v>
      </c>
      <c r="G752" t="s">
        <v>17</v>
      </c>
      <c r="H752" t="s">
        <v>219</v>
      </c>
      <c r="I752" t="s">
        <v>265</v>
      </c>
      <c r="J752" t="s">
        <v>43</v>
      </c>
      <c r="K752" t="s">
        <v>221</v>
      </c>
      <c r="L752" t="s">
        <v>280</v>
      </c>
      <c r="M752" t="s">
        <v>321</v>
      </c>
      <c r="N752" t="s">
        <v>340</v>
      </c>
      <c r="O752" t="s">
        <v>215</v>
      </c>
      <c r="P752" t="s">
        <v>216</v>
      </c>
      <c r="Q752" t="s">
        <v>217</v>
      </c>
      <c r="R752" t="s">
        <v>218</v>
      </c>
      <c r="S752" t="s">
        <v>220</v>
      </c>
    </row>
    <row r="753" spans="1:19" x14ac:dyDescent="0.35">
      <c r="A753" t="s">
        <v>85</v>
      </c>
      <c r="B753" t="s">
        <v>29</v>
      </c>
      <c r="C753" t="s">
        <v>38</v>
      </c>
      <c r="D753" t="s">
        <v>26</v>
      </c>
      <c r="E753" t="s">
        <v>22</v>
      </c>
      <c r="F753" t="s">
        <v>52</v>
      </c>
      <c r="G753" t="s">
        <v>36</v>
      </c>
      <c r="H753" t="s">
        <v>291</v>
      </c>
      <c r="I753" t="s">
        <v>249</v>
      </c>
      <c r="J753" t="s">
        <v>54</v>
      </c>
      <c r="K753" t="s">
        <v>292</v>
      </c>
      <c r="L753" t="s">
        <v>299</v>
      </c>
      <c r="M753" t="s">
        <v>300</v>
      </c>
      <c r="N753" t="s">
        <v>293</v>
      </c>
      <c r="O753" t="s">
        <v>215</v>
      </c>
      <c r="P753" t="s">
        <v>216</v>
      </c>
      <c r="Q753" t="s">
        <v>217</v>
      </c>
      <c r="R753" t="s">
        <v>218</v>
      </c>
      <c r="S753" t="s">
        <v>238</v>
      </c>
    </row>
    <row r="754" spans="1:19" x14ac:dyDescent="0.35">
      <c r="A754" t="s">
        <v>109</v>
      </c>
      <c r="B754" t="s">
        <v>29</v>
      </c>
      <c r="C754" t="s">
        <v>38</v>
      </c>
      <c r="D754" t="s">
        <v>26</v>
      </c>
      <c r="E754" t="s">
        <v>22</v>
      </c>
      <c r="F754" t="s">
        <v>23</v>
      </c>
      <c r="G754" t="s">
        <v>24</v>
      </c>
      <c r="H754" t="s">
        <v>239</v>
      </c>
      <c r="I754" t="s">
        <v>265</v>
      </c>
      <c r="J754" t="s">
        <v>27</v>
      </c>
      <c r="K754" t="s">
        <v>245</v>
      </c>
      <c r="L754" t="s">
        <v>252</v>
      </c>
      <c r="M754" t="s">
        <v>253</v>
      </c>
      <c r="N754" t="s">
        <v>313</v>
      </c>
      <c r="O754" t="s">
        <v>215</v>
      </c>
      <c r="P754" t="s">
        <v>216</v>
      </c>
      <c r="Q754" t="s">
        <v>217</v>
      </c>
      <c r="R754" t="s">
        <v>218</v>
      </c>
      <c r="S754" t="s">
        <v>265</v>
      </c>
    </row>
    <row r="755" spans="1:19" x14ac:dyDescent="0.35">
      <c r="A755" t="s">
        <v>73</v>
      </c>
      <c r="B755" t="s">
        <v>34</v>
      </c>
      <c r="C755" t="s">
        <v>38</v>
      </c>
      <c r="D755" t="s">
        <v>26</v>
      </c>
      <c r="E755" t="s">
        <v>22</v>
      </c>
      <c r="F755" t="s">
        <v>47</v>
      </c>
      <c r="G755" t="s">
        <v>36</v>
      </c>
      <c r="H755" t="s">
        <v>229</v>
      </c>
      <c r="I755" t="s">
        <v>244</v>
      </c>
      <c r="J755" t="s">
        <v>18</v>
      </c>
      <c r="K755" t="s">
        <v>231</v>
      </c>
      <c r="L755" t="s">
        <v>312</v>
      </c>
      <c r="M755" t="s">
        <v>214</v>
      </c>
      <c r="N755" t="s">
        <v>246</v>
      </c>
      <c r="O755" t="s">
        <v>215</v>
      </c>
      <c r="P755" t="s">
        <v>216</v>
      </c>
      <c r="Q755" t="s">
        <v>217</v>
      </c>
      <c r="R755" t="s">
        <v>218</v>
      </c>
      <c r="S755" t="s">
        <v>265</v>
      </c>
    </row>
    <row r="756" spans="1:19" x14ac:dyDescent="0.35">
      <c r="A756" t="s">
        <v>103</v>
      </c>
      <c r="B756" t="s">
        <v>29</v>
      </c>
      <c r="C756" t="s">
        <v>21</v>
      </c>
      <c r="D756" t="s">
        <v>26</v>
      </c>
      <c r="E756" t="s">
        <v>22</v>
      </c>
      <c r="F756" t="s">
        <v>58</v>
      </c>
      <c r="G756" t="s">
        <v>24</v>
      </c>
      <c r="H756" t="s">
        <v>255</v>
      </c>
      <c r="I756" t="s">
        <v>240</v>
      </c>
      <c r="J756" t="s">
        <v>27</v>
      </c>
      <c r="K756" t="s">
        <v>256</v>
      </c>
      <c r="L756" t="s">
        <v>305</v>
      </c>
      <c r="M756" t="s">
        <v>306</v>
      </c>
      <c r="N756" t="s">
        <v>307</v>
      </c>
      <c r="O756" t="s">
        <v>215</v>
      </c>
      <c r="P756" t="s">
        <v>216</v>
      </c>
      <c r="Q756" t="s">
        <v>217</v>
      </c>
      <c r="R756" t="s">
        <v>218</v>
      </c>
      <c r="S756" t="s">
        <v>244</v>
      </c>
    </row>
    <row r="757" spans="1:19" x14ac:dyDescent="0.35">
      <c r="A757" t="s">
        <v>84</v>
      </c>
      <c r="B757" t="s">
        <v>12</v>
      </c>
      <c r="C757" t="s">
        <v>13</v>
      </c>
      <c r="D757" t="s">
        <v>26</v>
      </c>
      <c r="E757" t="s">
        <v>15</v>
      </c>
      <c r="F757" t="s">
        <v>31</v>
      </c>
      <c r="G757" t="s">
        <v>24</v>
      </c>
      <c r="H757" t="s">
        <v>252</v>
      </c>
      <c r="I757" t="s">
        <v>230</v>
      </c>
      <c r="J757" t="s">
        <v>43</v>
      </c>
      <c r="K757" t="s">
        <v>253</v>
      </c>
      <c r="L757" t="s">
        <v>291</v>
      </c>
      <c r="M757" t="s">
        <v>292</v>
      </c>
      <c r="N757" t="s">
        <v>343</v>
      </c>
      <c r="O757" t="s">
        <v>215</v>
      </c>
      <c r="P757" t="s">
        <v>216</v>
      </c>
      <c r="Q757" t="s">
        <v>217</v>
      </c>
      <c r="R757" t="s">
        <v>218</v>
      </c>
      <c r="S757" t="s">
        <v>220</v>
      </c>
    </row>
    <row r="758" spans="1:19" x14ac:dyDescent="0.35">
      <c r="A758" t="s">
        <v>144</v>
      </c>
      <c r="B758" t="s">
        <v>29</v>
      </c>
      <c r="C758" t="s">
        <v>13</v>
      </c>
      <c r="D758" t="s">
        <v>14</v>
      </c>
      <c r="E758" t="s">
        <v>15</v>
      </c>
      <c r="F758" t="s">
        <v>16</v>
      </c>
      <c r="G758" t="s">
        <v>17</v>
      </c>
      <c r="H758" t="s">
        <v>275</v>
      </c>
      <c r="I758" t="s">
        <v>230</v>
      </c>
      <c r="J758" t="s">
        <v>43</v>
      </c>
      <c r="K758" t="s">
        <v>276</v>
      </c>
      <c r="L758" t="s">
        <v>374</v>
      </c>
      <c r="M758" t="s">
        <v>375</v>
      </c>
      <c r="N758" t="s">
        <v>376</v>
      </c>
      <c r="O758" t="s">
        <v>215</v>
      </c>
      <c r="P758" t="s">
        <v>216</v>
      </c>
      <c r="Q758" t="s">
        <v>217</v>
      </c>
      <c r="R758" t="s">
        <v>218</v>
      </c>
      <c r="S758" t="s">
        <v>265</v>
      </c>
    </row>
    <row r="759" spans="1:19" x14ac:dyDescent="0.35">
      <c r="A759" t="s">
        <v>68</v>
      </c>
      <c r="B759" t="s">
        <v>12</v>
      </c>
      <c r="C759" t="s">
        <v>21</v>
      </c>
      <c r="D759" t="s">
        <v>14</v>
      </c>
      <c r="E759" t="s">
        <v>15</v>
      </c>
      <c r="F759" t="s">
        <v>52</v>
      </c>
      <c r="G759" t="s">
        <v>36</v>
      </c>
      <c r="H759" t="s">
        <v>291</v>
      </c>
      <c r="I759" t="s">
        <v>240</v>
      </c>
      <c r="J759" t="s">
        <v>18</v>
      </c>
      <c r="K759" t="s">
        <v>292</v>
      </c>
      <c r="L759" t="s">
        <v>349</v>
      </c>
      <c r="M759" t="s">
        <v>350</v>
      </c>
      <c r="N759" t="s">
        <v>351</v>
      </c>
      <c r="O759" t="s">
        <v>215</v>
      </c>
      <c r="P759" t="s">
        <v>216</v>
      </c>
      <c r="Q759" t="s">
        <v>217</v>
      </c>
      <c r="R759" t="s">
        <v>218</v>
      </c>
      <c r="S759" t="s">
        <v>238</v>
      </c>
    </row>
    <row r="760" spans="1:19" x14ac:dyDescent="0.35">
      <c r="A760" t="s">
        <v>63</v>
      </c>
      <c r="B760" t="s">
        <v>12</v>
      </c>
      <c r="C760" t="s">
        <v>13</v>
      </c>
      <c r="D760" t="s">
        <v>14</v>
      </c>
      <c r="E760" t="s">
        <v>22</v>
      </c>
      <c r="F760" t="s">
        <v>35</v>
      </c>
      <c r="G760" t="s">
        <v>36</v>
      </c>
      <c r="H760" t="s">
        <v>224</v>
      </c>
      <c r="I760" t="s">
        <v>244</v>
      </c>
      <c r="J760" t="s">
        <v>32</v>
      </c>
      <c r="K760" t="s">
        <v>226</v>
      </c>
      <c r="L760" t="s">
        <v>301</v>
      </c>
      <c r="M760" t="s">
        <v>302</v>
      </c>
      <c r="N760" t="s">
        <v>209</v>
      </c>
      <c r="O760" t="s">
        <v>215</v>
      </c>
      <c r="P760" t="s">
        <v>216</v>
      </c>
      <c r="Q760" t="s">
        <v>217</v>
      </c>
      <c r="R760" t="s">
        <v>218</v>
      </c>
      <c r="S760" t="s">
        <v>220</v>
      </c>
    </row>
    <row r="761" spans="1:19" x14ac:dyDescent="0.35">
      <c r="A761" t="s">
        <v>161</v>
      </c>
      <c r="B761" t="s">
        <v>34</v>
      </c>
      <c r="C761" t="s">
        <v>38</v>
      </c>
      <c r="D761" t="s">
        <v>14</v>
      </c>
      <c r="E761" t="s">
        <v>15</v>
      </c>
      <c r="F761" t="s">
        <v>58</v>
      </c>
      <c r="G761" t="s">
        <v>24</v>
      </c>
      <c r="H761" t="s">
        <v>255</v>
      </c>
      <c r="I761" t="s">
        <v>210</v>
      </c>
      <c r="J761" t="s">
        <v>18</v>
      </c>
      <c r="K761" t="s">
        <v>256</v>
      </c>
      <c r="L761" t="s">
        <v>285</v>
      </c>
      <c r="M761" t="s">
        <v>286</v>
      </c>
      <c r="N761" t="s">
        <v>287</v>
      </c>
      <c r="O761" t="s">
        <v>215</v>
      </c>
      <c r="P761" t="s">
        <v>216</v>
      </c>
      <c r="Q761" t="s">
        <v>217</v>
      </c>
      <c r="R761" t="s">
        <v>218</v>
      </c>
      <c r="S761" t="s">
        <v>238</v>
      </c>
    </row>
    <row r="762" spans="1:19" x14ac:dyDescent="0.35">
      <c r="A762" t="s">
        <v>25</v>
      </c>
      <c r="B762" t="s">
        <v>34</v>
      </c>
      <c r="C762" t="s">
        <v>13</v>
      </c>
      <c r="D762" t="s">
        <v>26</v>
      </c>
      <c r="E762" t="s">
        <v>22</v>
      </c>
      <c r="F762" t="s">
        <v>16</v>
      </c>
      <c r="G762" t="s">
        <v>17</v>
      </c>
      <c r="H762" t="s">
        <v>275</v>
      </c>
      <c r="I762" t="s">
        <v>220</v>
      </c>
      <c r="J762" t="s">
        <v>43</v>
      </c>
      <c r="K762" t="s">
        <v>276</v>
      </c>
      <c r="L762" t="s">
        <v>337</v>
      </c>
      <c r="M762" t="s">
        <v>338</v>
      </c>
      <c r="N762" t="s">
        <v>276</v>
      </c>
      <c r="O762" t="s">
        <v>215</v>
      </c>
      <c r="P762" t="s">
        <v>216</v>
      </c>
      <c r="Q762" t="s">
        <v>217</v>
      </c>
      <c r="R762" t="s">
        <v>218</v>
      </c>
      <c r="S762" t="s">
        <v>265</v>
      </c>
    </row>
    <row r="763" spans="1:19" x14ac:dyDescent="0.35">
      <c r="A763" t="s">
        <v>156</v>
      </c>
      <c r="B763" t="s">
        <v>34</v>
      </c>
      <c r="C763" t="s">
        <v>21</v>
      </c>
      <c r="D763" t="s">
        <v>14</v>
      </c>
      <c r="E763" t="s">
        <v>22</v>
      </c>
      <c r="F763" t="s">
        <v>41</v>
      </c>
      <c r="G763" t="s">
        <v>17</v>
      </c>
      <c r="H763" t="s">
        <v>219</v>
      </c>
      <c r="I763" t="s">
        <v>220</v>
      </c>
      <c r="J763" t="s">
        <v>54</v>
      </c>
      <c r="K763" t="s">
        <v>221</v>
      </c>
      <c r="L763" t="s">
        <v>222</v>
      </c>
      <c r="M763" t="s">
        <v>223</v>
      </c>
      <c r="N763" t="s">
        <v>221</v>
      </c>
      <c r="O763" t="s">
        <v>215</v>
      </c>
      <c r="P763" t="s">
        <v>216</v>
      </c>
      <c r="Q763" t="s">
        <v>217</v>
      </c>
      <c r="R763" t="s">
        <v>218</v>
      </c>
      <c r="S763" t="s">
        <v>244</v>
      </c>
    </row>
    <row r="764" spans="1:19" x14ac:dyDescent="0.35">
      <c r="A764" t="s">
        <v>124</v>
      </c>
      <c r="B764" t="s">
        <v>29</v>
      </c>
      <c r="C764" t="s">
        <v>38</v>
      </c>
      <c r="D764" t="s">
        <v>14</v>
      </c>
      <c r="E764" t="s">
        <v>22</v>
      </c>
      <c r="F764" t="s">
        <v>47</v>
      </c>
      <c r="G764" t="s">
        <v>36</v>
      </c>
      <c r="H764" t="s">
        <v>229</v>
      </c>
      <c r="I764" t="s">
        <v>240</v>
      </c>
      <c r="J764" t="s">
        <v>54</v>
      </c>
      <c r="K764" t="s">
        <v>231</v>
      </c>
      <c r="L764" t="s">
        <v>301</v>
      </c>
      <c r="M764" t="s">
        <v>302</v>
      </c>
      <c r="N764" t="s">
        <v>209</v>
      </c>
      <c r="O764" t="s">
        <v>215</v>
      </c>
      <c r="P764" t="s">
        <v>216</v>
      </c>
      <c r="Q764" t="s">
        <v>217</v>
      </c>
      <c r="R764" t="s">
        <v>218</v>
      </c>
      <c r="S764" t="s">
        <v>238</v>
      </c>
    </row>
    <row r="765" spans="1:19" x14ac:dyDescent="0.35">
      <c r="A765" t="s">
        <v>124</v>
      </c>
      <c r="B765" t="s">
        <v>12</v>
      </c>
      <c r="C765" t="s">
        <v>21</v>
      </c>
      <c r="D765" t="s">
        <v>14</v>
      </c>
      <c r="E765" t="s">
        <v>22</v>
      </c>
      <c r="F765" t="s">
        <v>41</v>
      </c>
      <c r="G765" t="s">
        <v>17</v>
      </c>
      <c r="H765" t="s">
        <v>219</v>
      </c>
      <c r="I765" t="s">
        <v>265</v>
      </c>
      <c r="J765" t="s">
        <v>54</v>
      </c>
      <c r="K765" t="s">
        <v>221</v>
      </c>
      <c r="L765" t="s">
        <v>280</v>
      </c>
      <c r="M765" t="s">
        <v>321</v>
      </c>
      <c r="N765" t="s">
        <v>340</v>
      </c>
      <c r="O765" t="s">
        <v>215</v>
      </c>
      <c r="P765" t="s">
        <v>216</v>
      </c>
      <c r="Q765" t="s">
        <v>217</v>
      </c>
      <c r="R765" t="s">
        <v>218</v>
      </c>
      <c r="S765" t="s">
        <v>238</v>
      </c>
    </row>
    <row r="766" spans="1:19" x14ac:dyDescent="0.35">
      <c r="A766" t="s">
        <v>133</v>
      </c>
      <c r="B766" t="s">
        <v>34</v>
      </c>
      <c r="C766" t="s">
        <v>30</v>
      </c>
      <c r="D766" t="s">
        <v>14</v>
      </c>
      <c r="E766" t="s">
        <v>15</v>
      </c>
      <c r="F766" t="s">
        <v>41</v>
      </c>
      <c r="G766" t="s">
        <v>17</v>
      </c>
      <c r="H766" t="s">
        <v>219</v>
      </c>
      <c r="I766" t="s">
        <v>210</v>
      </c>
      <c r="J766" t="s">
        <v>54</v>
      </c>
      <c r="K766" t="s">
        <v>221</v>
      </c>
      <c r="L766" t="s">
        <v>278</v>
      </c>
      <c r="M766" t="s">
        <v>279</v>
      </c>
      <c r="N766" t="s">
        <v>280</v>
      </c>
      <c r="O766" t="s">
        <v>215</v>
      </c>
      <c r="P766" t="s">
        <v>216</v>
      </c>
      <c r="Q766" t="s">
        <v>217</v>
      </c>
      <c r="R766" t="s">
        <v>218</v>
      </c>
      <c r="S766" t="s">
        <v>265</v>
      </c>
    </row>
    <row r="767" spans="1:19" x14ac:dyDescent="0.35">
      <c r="A767" t="s">
        <v>141</v>
      </c>
      <c r="B767" t="s">
        <v>29</v>
      </c>
      <c r="C767" t="s">
        <v>21</v>
      </c>
      <c r="D767" t="s">
        <v>26</v>
      </c>
      <c r="E767" t="s">
        <v>15</v>
      </c>
      <c r="F767" t="s">
        <v>52</v>
      </c>
      <c r="G767" t="s">
        <v>36</v>
      </c>
      <c r="H767" t="s">
        <v>291</v>
      </c>
      <c r="I767" t="s">
        <v>249</v>
      </c>
      <c r="J767" t="s">
        <v>18</v>
      </c>
      <c r="K767" t="s">
        <v>292</v>
      </c>
      <c r="L767" t="s">
        <v>299</v>
      </c>
      <c r="M767" t="s">
        <v>300</v>
      </c>
      <c r="N767" t="s">
        <v>293</v>
      </c>
      <c r="O767" t="s">
        <v>215</v>
      </c>
      <c r="P767" t="s">
        <v>216</v>
      </c>
      <c r="Q767" t="s">
        <v>217</v>
      </c>
      <c r="R767" t="s">
        <v>218</v>
      </c>
      <c r="S767" t="s">
        <v>265</v>
      </c>
    </row>
    <row r="768" spans="1:19" x14ac:dyDescent="0.35">
      <c r="A768" t="s">
        <v>67</v>
      </c>
      <c r="B768" t="s">
        <v>34</v>
      </c>
      <c r="C768" t="s">
        <v>13</v>
      </c>
      <c r="D768" t="s">
        <v>26</v>
      </c>
      <c r="E768" t="s">
        <v>15</v>
      </c>
      <c r="F768" t="s">
        <v>47</v>
      </c>
      <c r="G768" t="s">
        <v>36</v>
      </c>
      <c r="H768" t="s">
        <v>229</v>
      </c>
      <c r="I768" t="s">
        <v>225</v>
      </c>
      <c r="J768" t="s">
        <v>50</v>
      </c>
      <c r="K768" t="s">
        <v>231</v>
      </c>
      <c r="L768" t="s">
        <v>288</v>
      </c>
      <c r="M768" t="s">
        <v>289</v>
      </c>
      <c r="N768" t="s">
        <v>229</v>
      </c>
      <c r="O768" t="s">
        <v>215</v>
      </c>
      <c r="P768" t="s">
        <v>216</v>
      </c>
      <c r="Q768" t="s">
        <v>217</v>
      </c>
      <c r="R768" t="s">
        <v>218</v>
      </c>
      <c r="S768" t="s">
        <v>244</v>
      </c>
    </row>
    <row r="769" spans="1:19" x14ac:dyDescent="0.35">
      <c r="A769" t="s">
        <v>99</v>
      </c>
      <c r="B769" t="s">
        <v>12</v>
      </c>
      <c r="C769" t="s">
        <v>30</v>
      </c>
      <c r="D769" t="s">
        <v>26</v>
      </c>
      <c r="E769" t="s">
        <v>22</v>
      </c>
      <c r="F769" t="s">
        <v>16</v>
      </c>
      <c r="G769" t="s">
        <v>17</v>
      </c>
      <c r="H769" t="s">
        <v>275</v>
      </c>
      <c r="I769" t="s">
        <v>238</v>
      </c>
      <c r="J769" t="s">
        <v>50</v>
      </c>
      <c r="K769" t="s">
        <v>276</v>
      </c>
      <c r="L769" t="s">
        <v>275</v>
      </c>
      <c r="M769" t="s">
        <v>276</v>
      </c>
      <c r="N769" t="s">
        <v>277</v>
      </c>
      <c r="O769" t="s">
        <v>215</v>
      </c>
      <c r="P769" t="s">
        <v>216</v>
      </c>
      <c r="Q769" t="s">
        <v>217</v>
      </c>
      <c r="R769" t="s">
        <v>218</v>
      </c>
      <c r="S769" t="s">
        <v>220</v>
      </c>
    </row>
    <row r="770" spans="1:19" x14ac:dyDescent="0.35">
      <c r="A770" t="s">
        <v>98</v>
      </c>
      <c r="B770" t="s">
        <v>20</v>
      </c>
      <c r="C770" t="s">
        <v>38</v>
      </c>
      <c r="D770" t="s">
        <v>26</v>
      </c>
      <c r="E770" t="s">
        <v>22</v>
      </c>
      <c r="F770" t="s">
        <v>52</v>
      </c>
      <c r="G770" t="s">
        <v>36</v>
      </c>
      <c r="H770" t="s">
        <v>291</v>
      </c>
      <c r="I770" t="s">
        <v>265</v>
      </c>
      <c r="J770" t="s">
        <v>54</v>
      </c>
      <c r="K770" t="s">
        <v>292</v>
      </c>
      <c r="L770" t="s">
        <v>233</v>
      </c>
      <c r="M770" t="s">
        <v>293</v>
      </c>
      <c r="N770" t="s">
        <v>294</v>
      </c>
      <c r="O770" t="s">
        <v>215</v>
      </c>
      <c r="P770" t="s">
        <v>216</v>
      </c>
      <c r="Q770" t="s">
        <v>217</v>
      </c>
      <c r="R770" t="s">
        <v>218</v>
      </c>
      <c r="S770" t="s">
        <v>220</v>
      </c>
    </row>
    <row r="771" spans="1:19" x14ac:dyDescent="0.35">
      <c r="A771" t="s">
        <v>100</v>
      </c>
      <c r="B771" t="s">
        <v>20</v>
      </c>
      <c r="C771" t="s">
        <v>38</v>
      </c>
      <c r="D771" t="s">
        <v>14</v>
      </c>
      <c r="E771" t="s">
        <v>22</v>
      </c>
      <c r="F771" t="s">
        <v>39</v>
      </c>
      <c r="G771" t="s">
        <v>24</v>
      </c>
      <c r="H771" t="s">
        <v>209</v>
      </c>
      <c r="I771" t="s">
        <v>240</v>
      </c>
      <c r="J771" t="s">
        <v>54</v>
      </c>
      <c r="K771" t="s">
        <v>211</v>
      </c>
      <c r="L771" t="s">
        <v>266</v>
      </c>
      <c r="M771" t="s">
        <v>267</v>
      </c>
      <c r="N771" t="s">
        <v>268</v>
      </c>
      <c r="O771" t="s">
        <v>215</v>
      </c>
      <c r="P771" t="s">
        <v>216</v>
      </c>
      <c r="Q771" t="s">
        <v>217</v>
      </c>
      <c r="R771" t="s">
        <v>218</v>
      </c>
      <c r="S771" t="s">
        <v>238</v>
      </c>
    </row>
    <row r="772" spans="1:19" x14ac:dyDescent="0.35">
      <c r="A772" t="s">
        <v>139</v>
      </c>
      <c r="B772" t="s">
        <v>20</v>
      </c>
      <c r="C772" t="s">
        <v>13</v>
      </c>
      <c r="D772" t="s">
        <v>14</v>
      </c>
      <c r="E772" t="s">
        <v>22</v>
      </c>
      <c r="F772" t="s">
        <v>58</v>
      </c>
      <c r="G772" t="s">
        <v>24</v>
      </c>
      <c r="H772" t="s">
        <v>255</v>
      </c>
      <c r="I772" t="s">
        <v>230</v>
      </c>
      <c r="J772" t="s">
        <v>18</v>
      </c>
      <c r="K772" t="s">
        <v>256</v>
      </c>
      <c r="L772" t="s">
        <v>354</v>
      </c>
      <c r="M772" t="s">
        <v>355</v>
      </c>
      <c r="N772" t="s">
        <v>356</v>
      </c>
      <c r="O772" t="s">
        <v>215</v>
      </c>
      <c r="P772" t="s">
        <v>216</v>
      </c>
      <c r="Q772" t="s">
        <v>217</v>
      </c>
      <c r="R772" t="s">
        <v>218</v>
      </c>
      <c r="S772" t="s">
        <v>265</v>
      </c>
    </row>
    <row r="773" spans="1:19" x14ac:dyDescent="0.35">
      <c r="A773" t="s">
        <v>33</v>
      </c>
      <c r="B773" t="s">
        <v>20</v>
      </c>
      <c r="C773" t="s">
        <v>13</v>
      </c>
      <c r="D773" t="s">
        <v>14</v>
      </c>
      <c r="E773" t="s">
        <v>15</v>
      </c>
      <c r="F773" t="s">
        <v>58</v>
      </c>
      <c r="G773" t="s">
        <v>24</v>
      </c>
      <c r="H773" t="s">
        <v>255</v>
      </c>
      <c r="I773" t="s">
        <v>225</v>
      </c>
      <c r="J773" t="s">
        <v>27</v>
      </c>
      <c r="K773" t="s">
        <v>256</v>
      </c>
      <c r="L773" t="s">
        <v>324</v>
      </c>
      <c r="M773" t="s">
        <v>303</v>
      </c>
      <c r="N773" t="s">
        <v>255</v>
      </c>
      <c r="O773" t="s">
        <v>215</v>
      </c>
      <c r="P773" t="s">
        <v>216</v>
      </c>
      <c r="Q773" t="s">
        <v>217</v>
      </c>
      <c r="R773" t="s">
        <v>218</v>
      </c>
      <c r="S773" t="s">
        <v>220</v>
      </c>
    </row>
    <row r="774" spans="1:19" x14ac:dyDescent="0.35">
      <c r="A774" t="s">
        <v>53</v>
      </c>
      <c r="B774" t="s">
        <v>34</v>
      </c>
      <c r="C774" t="s">
        <v>13</v>
      </c>
      <c r="D774" t="s">
        <v>14</v>
      </c>
      <c r="E774" t="s">
        <v>22</v>
      </c>
      <c r="F774" t="s">
        <v>35</v>
      </c>
      <c r="G774" t="s">
        <v>36</v>
      </c>
      <c r="H774" t="s">
        <v>224</v>
      </c>
      <c r="I774" t="s">
        <v>240</v>
      </c>
      <c r="J774" t="s">
        <v>32</v>
      </c>
      <c r="K774" t="s">
        <v>226</v>
      </c>
      <c r="L774" t="s">
        <v>212</v>
      </c>
      <c r="M774" t="s">
        <v>213</v>
      </c>
      <c r="N774" t="s">
        <v>214</v>
      </c>
      <c r="O774" t="s">
        <v>215</v>
      </c>
      <c r="P774" t="s">
        <v>216</v>
      </c>
      <c r="Q774" t="s">
        <v>217</v>
      </c>
      <c r="R774" t="s">
        <v>218</v>
      </c>
      <c r="S774" t="s">
        <v>244</v>
      </c>
    </row>
    <row r="775" spans="1:19" x14ac:dyDescent="0.35">
      <c r="A775" t="s">
        <v>140</v>
      </c>
      <c r="B775" t="s">
        <v>12</v>
      </c>
      <c r="C775" t="s">
        <v>30</v>
      </c>
      <c r="D775" t="s">
        <v>14</v>
      </c>
      <c r="E775" t="s">
        <v>22</v>
      </c>
      <c r="F775" t="s">
        <v>56</v>
      </c>
      <c r="G775" t="s">
        <v>36</v>
      </c>
      <c r="H775" t="s">
        <v>260</v>
      </c>
      <c r="I775" t="s">
        <v>220</v>
      </c>
      <c r="J775" t="s">
        <v>32</v>
      </c>
      <c r="K775" t="s">
        <v>261</v>
      </c>
      <c r="L775" t="s">
        <v>335</v>
      </c>
      <c r="M775" t="s">
        <v>336</v>
      </c>
      <c r="N775" t="s">
        <v>261</v>
      </c>
      <c r="O775" t="s">
        <v>215</v>
      </c>
      <c r="P775" t="s">
        <v>216</v>
      </c>
      <c r="Q775" t="s">
        <v>217</v>
      </c>
      <c r="R775" t="s">
        <v>218</v>
      </c>
      <c r="S775" t="s">
        <v>220</v>
      </c>
    </row>
    <row r="776" spans="1:19" x14ac:dyDescent="0.35">
      <c r="A776" t="s">
        <v>84</v>
      </c>
      <c r="B776" t="s">
        <v>34</v>
      </c>
      <c r="C776" t="s">
        <v>21</v>
      </c>
      <c r="D776" t="s">
        <v>26</v>
      </c>
      <c r="E776" t="s">
        <v>15</v>
      </c>
      <c r="F776" t="s">
        <v>41</v>
      </c>
      <c r="G776" t="s">
        <v>17</v>
      </c>
      <c r="H776" t="s">
        <v>219</v>
      </c>
      <c r="I776" t="s">
        <v>225</v>
      </c>
      <c r="J776" t="s">
        <v>27</v>
      </c>
      <c r="K776" t="s">
        <v>221</v>
      </c>
      <c r="L776" t="s">
        <v>263</v>
      </c>
      <c r="M776" t="s">
        <v>222</v>
      </c>
      <c r="N776" t="s">
        <v>219</v>
      </c>
      <c r="O776" t="s">
        <v>215</v>
      </c>
      <c r="P776" t="s">
        <v>216</v>
      </c>
      <c r="Q776" t="s">
        <v>217</v>
      </c>
      <c r="R776" t="s">
        <v>218</v>
      </c>
      <c r="S776" t="s">
        <v>220</v>
      </c>
    </row>
    <row r="777" spans="1:19" x14ac:dyDescent="0.35">
      <c r="A777" t="s">
        <v>149</v>
      </c>
      <c r="B777" t="s">
        <v>34</v>
      </c>
      <c r="C777" t="s">
        <v>13</v>
      </c>
      <c r="D777" t="s">
        <v>14</v>
      </c>
      <c r="E777" t="s">
        <v>22</v>
      </c>
      <c r="F777" t="s">
        <v>35</v>
      </c>
      <c r="G777" t="s">
        <v>36</v>
      </c>
      <c r="H777" t="s">
        <v>224</v>
      </c>
      <c r="I777" t="s">
        <v>210</v>
      </c>
      <c r="J777" t="s">
        <v>54</v>
      </c>
      <c r="K777" t="s">
        <v>226</v>
      </c>
      <c r="L777" t="s">
        <v>365</v>
      </c>
      <c r="M777" t="s">
        <v>366</v>
      </c>
      <c r="N777" t="s">
        <v>289</v>
      </c>
      <c r="O777" t="s">
        <v>215</v>
      </c>
      <c r="P777" t="s">
        <v>216</v>
      </c>
      <c r="Q777" t="s">
        <v>217</v>
      </c>
      <c r="R777" t="s">
        <v>218</v>
      </c>
      <c r="S777" t="s">
        <v>244</v>
      </c>
    </row>
    <row r="778" spans="1:19" x14ac:dyDescent="0.35">
      <c r="A778" t="s">
        <v>72</v>
      </c>
      <c r="B778" t="s">
        <v>34</v>
      </c>
      <c r="C778" t="s">
        <v>13</v>
      </c>
      <c r="D778" t="s">
        <v>14</v>
      </c>
      <c r="E778" t="s">
        <v>22</v>
      </c>
      <c r="F778" t="s">
        <v>31</v>
      </c>
      <c r="G778" t="s">
        <v>24</v>
      </c>
      <c r="H778" t="s">
        <v>252</v>
      </c>
      <c r="I778" t="s">
        <v>225</v>
      </c>
      <c r="J778" t="s">
        <v>50</v>
      </c>
      <c r="K778" t="s">
        <v>253</v>
      </c>
      <c r="L778" t="s">
        <v>224</v>
      </c>
      <c r="M778" t="s">
        <v>226</v>
      </c>
      <c r="N778" t="s">
        <v>252</v>
      </c>
      <c r="O778" t="s">
        <v>215</v>
      </c>
      <c r="P778" t="s">
        <v>216</v>
      </c>
      <c r="Q778" t="s">
        <v>217</v>
      </c>
      <c r="R778" t="s">
        <v>218</v>
      </c>
      <c r="S778" t="s">
        <v>244</v>
      </c>
    </row>
    <row r="779" spans="1:19" x14ac:dyDescent="0.35">
      <c r="A779" t="s">
        <v>122</v>
      </c>
      <c r="B779" t="s">
        <v>34</v>
      </c>
      <c r="C779" t="s">
        <v>30</v>
      </c>
      <c r="D779" t="s">
        <v>14</v>
      </c>
      <c r="E779" t="s">
        <v>15</v>
      </c>
      <c r="F779" t="s">
        <v>52</v>
      </c>
      <c r="G779" t="s">
        <v>36</v>
      </c>
      <c r="H779" t="s">
        <v>291</v>
      </c>
      <c r="I779" t="s">
        <v>249</v>
      </c>
      <c r="J779" t="s">
        <v>43</v>
      </c>
      <c r="K779" t="s">
        <v>292</v>
      </c>
      <c r="L779" t="s">
        <v>299</v>
      </c>
      <c r="M779" t="s">
        <v>300</v>
      </c>
      <c r="N779" t="s">
        <v>293</v>
      </c>
      <c r="O779" t="s">
        <v>215</v>
      </c>
      <c r="P779" t="s">
        <v>216</v>
      </c>
      <c r="Q779" t="s">
        <v>217</v>
      </c>
      <c r="R779" t="s">
        <v>218</v>
      </c>
      <c r="S779" t="s">
        <v>220</v>
      </c>
    </row>
    <row r="780" spans="1:19" x14ac:dyDescent="0.35">
      <c r="A780" t="s">
        <v>100</v>
      </c>
      <c r="B780" t="s">
        <v>12</v>
      </c>
      <c r="C780" t="s">
        <v>38</v>
      </c>
      <c r="D780" t="s">
        <v>26</v>
      </c>
      <c r="E780" t="s">
        <v>15</v>
      </c>
      <c r="F780" t="s">
        <v>35</v>
      </c>
      <c r="G780" t="s">
        <v>36</v>
      </c>
      <c r="H780" t="s">
        <v>224</v>
      </c>
      <c r="I780" t="s">
        <v>238</v>
      </c>
      <c r="J780" t="s">
        <v>27</v>
      </c>
      <c r="K780" t="s">
        <v>226</v>
      </c>
      <c r="L780" t="s">
        <v>224</v>
      </c>
      <c r="M780" t="s">
        <v>226</v>
      </c>
      <c r="N780" t="s">
        <v>252</v>
      </c>
      <c r="O780" t="s">
        <v>215</v>
      </c>
      <c r="P780" t="s">
        <v>216</v>
      </c>
      <c r="Q780" t="s">
        <v>217</v>
      </c>
      <c r="R780" t="s">
        <v>218</v>
      </c>
      <c r="S780" t="s">
        <v>238</v>
      </c>
    </row>
    <row r="781" spans="1:19" x14ac:dyDescent="0.35">
      <c r="A781" t="s">
        <v>72</v>
      </c>
      <c r="B781" t="s">
        <v>12</v>
      </c>
      <c r="C781" t="s">
        <v>30</v>
      </c>
      <c r="D781" t="s">
        <v>26</v>
      </c>
      <c r="E781" t="s">
        <v>22</v>
      </c>
      <c r="F781" t="s">
        <v>52</v>
      </c>
      <c r="G781" t="s">
        <v>36</v>
      </c>
      <c r="H781" t="s">
        <v>291</v>
      </c>
      <c r="I781" t="s">
        <v>265</v>
      </c>
      <c r="J781" t="s">
        <v>50</v>
      </c>
      <c r="K781" t="s">
        <v>292</v>
      </c>
      <c r="L781" t="s">
        <v>233</v>
      </c>
      <c r="M781" t="s">
        <v>293</v>
      </c>
      <c r="N781" t="s">
        <v>294</v>
      </c>
      <c r="O781" t="s">
        <v>215</v>
      </c>
      <c r="P781" t="s">
        <v>216</v>
      </c>
      <c r="Q781" t="s">
        <v>217</v>
      </c>
      <c r="R781" t="s">
        <v>218</v>
      </c>
      <c r="S781" t="s">
        <v>244</v>
      </c>
    </row>
    <row r="782" spans="1:19" x14ac:dyDescent="0.35">
      <c r="A782" t="s">
        <v>161</v>
      </c>
      <c r="B782" t="s">
        <v>29</v>
      </c>
      <c r="C782" t="s">
        <v>21</v>
      </c>
      <c r="D782" t="s">
        <v>26</v>
      </c>
      <c r="E782" t="s">
        <v>15</v>
      </c>
      <c r="F782" t="s">
        <v>52</v>
      </c>
      <c r="G782" t="s">
        <v>36</v>
      </c>
      <c r="H782" t="s">
        <v>291</v>
      </c>
      <c r="I782" t="s">
        <v>230</v>
      </c>
      <c r="J782" t="s">
        <v>43</v>
      </c>
      <c r="K782" t="s">
        <v>292</v>
      </c>
      <c r="L782" t="s">
        <v>357</v>
      </c>
      <c r="M782" t="s">
        <v>358</v>
      </c>
      <c r="N782" t="s">
        <v>359</v>
      </c>
      <c r="O782" t="s">
        <v>215</v>
      </c>
      <c r="P782" t="s">
        <v>216</v>
      </c>
      <c r="Q782" t="s">
        <v>217</v>
      </c>
      <c r="R782" t="s">
        <v>218</v>
      </c>
      <c r="S782" t="s">
        <v>238</v>
      </c>
    </row>
    <row r="783" spans="1:19" x14ac:dyDescent="0.35">
      <c r="A783" t="s">
        <v>137</v>
      </c>
      <c r="B783" t="s">
        <v>12</v>
      </c>
      <c r="C783" t="s">
        <v>30</v>
      </c>
      <c r="D783" t="s">
        <v>26</v>
      </c>
      <c r="E783" t="s">
        <v>15</v>
      </c>
      <c r="F783" t="s">
        <v>39</v>
      </c>
      <c r="G783" t="s">
        <v>24</v>
      </c>
      <c r="H783" t="s">
        <v>209</v>
      </c>
      <c r="I783" t="s">
        <v>249</v>
      </c>
      <c r="J783" t="s">
        <v>32</v>
      </c>
      <c r="K783" t="s">
        <v>211</v>
      </c>
      <c r="L783" t="s">
        <v>213</v>
      </c>
      <c r="M783" t="s">
        <v>250</v>
      </c>
      <c r="N783" t="s">
        <v>251</v>
      </c>
      <c r="O783" t="s">
        <v>215</v>
      </c>
      <c r="P783" t="s">
        <v>216</v>
      </c>
      <c r="Q783" t="s">
        <v>217</v>
      </c>
      <c r="R783" t="s">
        <v>218</v>
      </c>
      <c r="S783" t="s">
        <v>238</v>
      </c>
    </row>
    <row r="784" spans="1:19" x14ac:dyDescent="0.35">
      <c r="A784" t="s">
        <v>119</v>
      </c>
      <c r="B784" t="s">
        <v>12</v>
      </c>
      <c r="C784" t="s">
        <v>30</v>
      </c>
      <c r="D784" t="s">
        <v>14</v>
      </c>
      <c r="E784" t="s">
        <v>15</v>
      </c>
      <c r="F784" t="s">
        <v>31</v>
      </c>
      <c r="G784" t="s">
        <v>24</v>
      </c>
      <c r="H784" t="s">
        <v>252</v>
      </c>
      <c r="I784" t="s">
        <v>230</v>
      </c>
      <c r="J784" t="s">
        <v>32</v>
      </c>
      <c r="K784" t="s">
        <v>253</v>
      </c>
      <c r="L784" t="s">
        <v>291</v>
      </c>
      <c r="M784" t="s">
        <v>292</v>
      </c>
      <c r="N784" t="s">
        <v>343</v>
      </c>
      <c r="O784" t="s">
        <v>215</v>
      </c>
      <c r="P784" t="s">
        <v>216</v>
      </c>
      <c r="Q784" t="s">
        <v>217</v>
      </c>
      <c r="R784" t="s">
        <v>218</v>
      </c>
      <c r="S784" t="s">
        <v>238</v>
      </c>
    </row>
    <row r="785" spans="1:19" x14ac:dyDescent="0.35">
      <c r="A785" t="s">
        <v>78</v>
      </c>
      <c r="B785" t="s">
        <v>20</v>
      </c>
      <c r="C785" t="s">
        <v>21</v>
      </c>
      <c r="D785" t="s">
        <v>26</v>
      </c>
      <c r="E785" t="s">
        <v>15</v>
      </c>
      <c r="F785" t="s">
        <v>52</v>
      </c>
      <c r="G785" t="s">
        <v>36</v>
      </c>
      <c r="H785" t="s">
        <v>291</v>
      </c>
      <c r="I785" t="s">
        <v>230</v>
      </c>
      <c r="J785" t="s">
        <v>32</v>
      </c>
      <c r="K785" t="s">
        <v>292</v>
      </c>
      <c r="L785" t="s">
        <v>357</v>
      </c>
      <c r="M785" t="s">
        <v>358</v>
      </c>
      <c r="N785" t="s">
        <v>359</v>
      </c>
      <c r="O785" t="s">
        <v>215</v>
      </c>
      <c r="P785" t="s">
        <v>216</v>
      </c>
      <c r="Q785" t="s">
        <v>217</v>
      </c>
      <c r="R785" t="s">
        <v>218</v>
      </c>
      <c r="S785" t="s">
        <v>220</v>
      </c>
    </row>
    <row r="786" spans="1:19" x14ac:dyDescent="0.35">
      <c r="A786" t="s">
        <v>75</v>
      </c>
      <c r="B786" t="s">
        <v>20</v>
      </c>
      <c r="C786" t="s">
        <v>13</v>
      </c>
      <c r="D786" t="s">
        <v>14</v>
      </c>
      <c r="E786" t="s">
        <v>15</v>
      </c>
      <c r="F786" t="s">
        <v>39</v>
      </c>
      <c r="G786" t="s">
        <v>24</v>
      </c>
      <c r="H786" t="s">
        <v>209</v>
      </c>
      <c r="I786" t="s">
        <v>225</v>
      </c>
      <c r="J786" t="s">
        <v>54</v>
      </c>
      <c r="K786" t="s">
        <v>211</v>
      </c>
      <c r="L786" t="s">
        <v>301</v>
      </c>
      <c r="M786" t="s">
        <v>302</v>
      </c>
      <c r="N786" t="s">
        <v>209</v>
      </c>
      <c r="O786" t="s">
        <v>215</v>
      </c>
      <c r="P786" t="s">
        <v>216</v>
      </c>
      <c r="Q786" t="s">
        <v>217</v>
      </c>
      <c r="R786" t="s">
        <v>218</v>
      </c>
      <c r="S786" t="s">
        <v>265</v>
      </c>
    </row>
    <row r="787" spans="1:19" x14ac:dyDescent="0.35">
      <c r="A787" t="s">
        <v>146</v>
      </c>
      <c r="B787" t="s">
        <v>20</v>
      </c>
      <c r="C787" t="s">
        <v>30</v>
      </c>
      <c r="D787" t="s">
        <v>26</v>
      </c>
      <c r="E787" t="s">
        <v>22</v>
      </c>
      <c r="F787" t="s">
        <v>52</v>
      </c>
      <c r="G787" t="s">
        <v>36</v>
      </c>
      <c r="H787" t="s">
        <v>291</v>
      </c>
      <c r="I787" t="s">
        <v>269</v>
      </c>
      <c r="J787" t="s">
        <v>54</v>
      </c>
      <c r="K787" t="s">
        <v>292</v>
      </c>
      <c r="L787" t="s">
        <v>328</v>
      </c>
      <c r="M787" t="s">
        <v>329</v>
      </c>
      <c r="N787" t="s">
        <v>330</v>
      </c>
      <c r="O787" t="s">
        <v>215</v>
      </c>
      <c r="P787" t="s">
        <v>216</v>
      </c>
      <c r="Q787" t="s">
        <v>217</v>
      </c>
      <c r="R787" t="s">
        <v>218</v>
      </c>
      <c r="S787" t="s">
        <v>244</v>
      </c>
    </row>
    <row r="788" spans="1:19" x14ac:dyDescent="0.35">
      <c r="A788" t="s">
        <v>59</v>
      </c>
      <c r="B788" t="s">
        <v>20</v>
      </c>
      <c r="C788" t="s">
        <v>30</v>
      </c>
      <c r="D788" t="s">
        <v>26</v>
      </c>
      <c r="E788" t="s">
        <v>22</v>
      </c>
      <c r="F788" t="s">
        <v>35</v>
      </c>
      <c r="G788" t="s">
        <v>36</v>
      </c>
      <c r="H788" t="s">
        <v>224</v>
      </c>
      <c r="I788" t="s">
        <v>230</v>
      </c>
      <c r="J788" t="s">
        <v>43</v>
      </c>
      <c r="K788" t="s">
        <v>226</v>
      </c>
      <c r="L788" t="s">
        <v>332</v>
      </c>
      <c r="M788" t="s">
        <v>333</v>
      </c>
      <c r="N788" t="s">
        <v>291</v>
      </c>
      <c r="O788" t="s">
        <v>215</v>
      </c>
      <c r="P788" t="s">
        <v>216</v>
      </c>
      <c r="Q788" t="s">
        <v>217</v>
      </c>
      <c r="R788" t="s">
        <v>218</v>
      </c>
      <c r="S788" t="s">
        <v>265</v>
      </c>
    </row>
    <row r="789" spans="1:19" x14ac:dyDescent="0.35">
      <c r="A789" t="s">
        <v>63</v>
      </c>
      <c r="B789" t="s">
        <v>12</v>
      </c>
      <c r="C789" t="s">
        <v>38</v>
      </c>
      <c r="D789" t="s">
        <v>14</v>
      </c>
      <c r="E789" t="s">
        <v>22</v>
      </c>
      <c r="F789" t="s">
        <v>47</v>
      </c>
      <c r="G789" t="s">
        <v>36</v>
      </c>
      <c r="H789" t="s">
        <v>229</v>
      </c>
      <c r="I789" t="s">
        <v>244</v>
      </c>
      <c r="J789" t="s">
        <v>27</v>
      </c>
      <c r="K789" t="s">
        <v>231</v>
      </c>
      <c r="L789" t="s">
        <v>312</v>
      </c>
      <c r="M789" t="s">
        <v>214</v>
      </c>
      <c r="N789" t="s">
        <v>246</v>
      </c>
      <c r="O789" t="s">
        <v>215</v>
      </c>
      <c r="P789" t="s">
        <v>216</v>
      </c>
      <c r="Q789" t="s">
        <v>217</v>
      </c>
      <c r="R789" t="s">
        <v>218</v>
      </c>
      <c r="S789" t="s">
        <v>220</v>
      </c>
    </row>
    <row r="790" spans="1:19" x14ac:dyDescent="0.35">
      <c r="A790" t="s">
        <v>112</v>
      </c>
      <c r="B790" t="s">
        <v>12</v>
      </c>
      <c r="C790" t="s">
        <v>21</v>
      </c>
      <c r="D790" t="s">
        <v>14</v>
      </c>
      <c r="E790" t="s">
        <v>22</v>
      </c>
      <c r="F790" t="s">
        <v>35</v>
      </c>
      <c r="G790" t="s">
        <v>36</v>
      </c>
      <c r="H790" t="s">
        <v>224</v>
      </c>
      <c r="I790" t="s">
        <v>210</v>
      </c>
      <c r="J790" t="s">
        <v>54</v>
      </c>
      <c r="K790" t="s">
        <v>226</v>
      </c>
      <c r="L790" t="s">
        <v>365</v>
      </c>
      <c r="M790" t="s">
        <v>366</v>
      </c>
      <c r="N790" t="s">
        <v>289</v>
      </c>
      <c r="O790" t="s">
        <v>215</v>
      </c>
      <c r="P790" t="s">
        <v>216</v>
      </c>
      <c r="Q790" t="s">
        <v>217</v>
      </c>
      <c r="R790" t="s">
        <v>218</v>
      </c>
      <c r="S790" t="s">
        <v>238</v>
      </c>
    </row>
    <row r="791" spans="1:19" x14ac:dyDescent="0.35">
      <c r="A791" t="s">
        <v>96</v>
      </c>
      <c r="B791" t="s">
        <v>20</v>
      </c>
      <c r="C791" t="s">
        <v>13</v>
      </c>
      <c r="D791" t="s">
        <v>14</v>
      </c>
      <c r="E791" t="s">
        <v>15</v>
      </c>
      <c r="F791" t="s">
        <v>52</v>
      </c>
      <c r="G791" t="s">
        <v>36</v>
      </c>
      <c r="H791" t="s">
        <v>291</v>
      </c>
      <c r="I791" t="s">
        <v>249</v>
      </c>
      <c r="J791" t="s">
        <v>54</v>
      </c>
      <c r="K791" t="s">
        <v>292</v>
      </c>
      <c r="L791" t="s">
        <v>299</v>
      </c>
      <c r="M791" t="s">
        <v>300</v>
      </c>
      <c r="N791" t="s">
        <v>293</v>
      </c>
      <c r="O791" t="s">
        <v>215</v>
      </c>
      <c r="P791" t="s">
        <v>216</v>
      </c>
      <c r="Q791" t="s">
        <v>217</v>
      </c>
      <c r="R791" t="s">
        <v>218</v>
      </c>
      <c r="S791" t="s">
        <v>265</v>
      </c>
    </row>
    <row r="792" spans="1:19" x14ac:dyDescent="0.35">
      <c r="A792" t="s">
        <v>156</v>
      </c>
      <c r="B792" t="s">
        <v>12</v>
      </c>
      <c r="C792" t="s">
        <v>30</v>
      </c>
      <c r="D792" t="s">
        <v>26</v>
      </c>
      <c r="E792" t="s">
        <v>22</v>
      </c>
      <c r="F792" t="s">
        <v>58</v>
      </c>
      <c r="G792" t="s">
        <v>24</v>
      </c>
      <c r="H792" t="s">
        <v>255</v>
      </c>
      <c r="I792" t="s">
        <v>265</v>
      </c>
      <c r="J792" t="s">
        <v>32</v>
      </c>
      <c r="K792" t="s">
        <v>256</v>
      </c>
      <c r="L792" t="s">
        <v>287</v>
      </c>
      <c r="M792" t="s">
        <v>296</v>
      </c>
      <c r="N792" t="s">
        <v>341</v>
      </c>
      <c r="O792" t="s">
        <v>215</v>
      </c>
      <c r="P792" t="s">
        <v>216</v>
      </c>
      <c r="Q792" t="s">
        <v>217</v>
      </c>
      <c r="R792" t="s">
        <v>218</v>
      </c>
      <c r="S792" t="s">
        <v>244</v>
      </c>
    </row>
    <row r="793" spans="1:19" x14ac:dyDescent="0.35">
      <c r="A793" t="s">
        <v>133</v>
      </c>
      <c r="B793" t="s">
        <v>12</v>
      </c>
      <c r="C793" t="s">
        <v>38</v>
      </c>
      <c r="D793" t="s">
        <v>14</v>
      </c>
      <c r="E793" t="s">
        <v>15</v>
      </c>
      <c r="F793" t="s">
        <v>47</v>
      </c>
      <c r="G793" t="s">
        <v>36</v>
      </c>
      <c r="H793" t="s">
        <v>229</v>
      </c>
      <c r="I793" t="s">
        <v>220</v>
      </c>
      <c r="J793" t="s">
        <v>18</v>
      </c>
      <c r="K793" t="s">
        <v>231</v>
      </c>
      <c r="L793" t="s">
        <v>289</v>
      </c>
      <c r="M793" t="s">
        <v>297</v>
      </c>
      <c r="N793" t="s">
        <v>231</v>
      </c>
      <c r="O793" t="s">
        <v>215</v>
      </c>
      <c r="P793" t="s">
        <v>216</v>
      </c>
      <c r="Q793" t="s">
        <v>217</v>
      </c>
      <c r="R793" t="s">
        <v>218</v>
      </c>
      <c r="S793" t="s">
        <v>265</v>
      </c>
    </row>
    <row r="794" spans="1:19" x14ac:dyDescent="0.35">
      <c r="A794" t="s">
        <v>118</v>
      </c>
      <c r="B794" t="s">
        <v>12</v>
      </c>
      <c r="C794" t="s">
        <v>21</v>
      </c>
      <c r="D794" t="s">
        <v>14</v>
      </c>
      <c r="E794" t="s">
        <v>15</v>
      </c>
      <c r="F794" t="s">
        <v>23</v>
      </c>
      <c r="G794" t="s">
        <v>24</v>
      </c>
      <c r="H794" t="s">
        <v>239</v>
      </c>
      <c r="I794" t="s">
        <v>249</v>
      </c>
      <c r="J794" t="s">
        <v>43</v>
      </c>
      <c r="K794" t="s">
        <v>245</v>
      </c>
      <c r="L794" t="s">
        <v>226</v>
      </c>
      <c r="M794" t="s">
        <v>284</v>
      </c>
      <c r="N794" t="s">
        <v>253</v>
      </c>
      <c r="O794" t="s">
        <v>215</v>
      </c>
      <c r="P794" t="s">
        <v>216</v>
      </c>
      <c r="Q794" t="s">
        <v>217</v>
      </c>
      <c r="R794" t="s">
        <v>218</v>
      </c>
      <c r="S794" t="s">
        <v>238</v>
      </c>
    </row>
    <row r="795" spans="1:19" x14ac:dyDescent="0.35">
      <c r="A795" t="s">
        <v>80</v>
      </c>
      <c r="B795" t="s">
        <v>12</v>
      </c>
      <c r="C795" t="s">
        <v>30</v>
      </c>
      <c r="D795" t="s">
        <v>26</v>
      </c>
      <c r="E795" t="s">
        <v>22</v>
      </c>
      <c r="F795" t="s">
        <v>52</v>
      </c>
      <c r="G795" t="s">
        <v>36</v>
      </c>
      <c r="H795" t="s">
        <v>291</v>
      </c>
      <c r="I795" t="s">
        <v>244</v>
      </c>
      <c r="J795" t="s">
        <v>50</v>
      </c>
      <c r="K795" t="s">
        <v>292</v>
      </c>
      <c r="L795" t="s">
        <v>317</v>
      </c>
      <c r="M795" t="s">
        <v>318</v>
      </c>
      <c r="N795" t="s">
        <v>319</v>
      </c>
      <c r="O795" t="s">
        <v>215</v>
      </c>
      <c r="P795" t="s">
        <v>216</v>
      </c>
      <c r="Q795" t="s">
        <v>217</v>
      </c>
      <c r="R795" t="s">
        <v>218</v>
      </c>
      <c r="S795" t="s">
        <v>265</v>
      </c>
    </row>
    <row r="796" spans="1:19" x14ac:dyDescent="0.35">
      <c r="A796" t="s">
        <v>112</v>
      </c>
      <c r="B796" t="s">
        <v>12</v>
      </c>
      <c r="C796" t="s">
        <v>13</v>
      </c>
      <c r="D796" t="s">
        <v>26</v>
      </c>
      <c r="E796" t="s">
        <v>22</v>
      </c>
      <c r="F796" t="s">
        <v>35</v>
      </c>
      <c r="G796" t="s">
        <v>36</v>
      </c>
      <c r="H796" t="s">
        <v>224</v>
      </c>
      <c r="I796" t="s">
        <v>220</v>
      </c>
      <c r="J796" t="s">
        <v>54</v>
      </c>
      <c r="K796" t="s">
        <v>226</v>
      </c>
      <c r="L796" t="s">
        <v>228</v>
      </c>
      <c r="M796" t="s">
        <v>290</v>
      </c>
      <c r="N796" t="s">
        <v>226</v>
      </c>
      <c r="O796" t="s">
        <v>215</v>
      </c>
      <c r="P796" t="s">
        <v>216</v>
      </c>
      <c r="Q796" t="s">
        <v>217</v>
      </c>
      <c r="R796" t="s">
        <v>218</v>
      </c>
      <c r="S796" t="s">
        <v>238</v>
      </c>
    </row>
    <row r="797" spans="1:19" x14ac:dyDescent="0.35">
      <c r="A797" t="s">
        <v>107</v>
      </c>
      <c r="B797" t="s">
        <v>12</v>
      </c>
      <c r="C797" t="s">
        <v>21</v>
      </c>
      <c r="D797" t="s">
        <v>14</v>
      </c>
      <c r="E797" t="s">
        <v>15</v>
      </c>
      <c r="F797" t="s">
        <v>56</v>
      </c>
      <c r="G797" t="s">
        <v>36</v>
      </c>
      <c r="H797" t="s">
        <v>260</v>
      </c>
      <c r="I797" t="s">
        <v>240</v>
      </c>
      <c r="J797" t="s">
        <v>27</v>
      </c>
      <c r="K797" t="s">
        <v>261</v>
      </c>
      <c r="L797" t="s">
        <v>227</v>
      </c>
      <c r="M797" t="s">
        <v>228</v>
      </c>
      <c r="N797" t="s">
        <v>224</v>
      </c>
      <c r="O797" t="s">
        <v>215</v>
      </c>
      <c r="P797" t="s">
        <v>216</v>
      </c>
      <c r="Q797" t="s">
        <v>217</v>
      </c>
      <c r="R797" t="s">
        <v>218</v>
      </c>
      <c r="S797" t="s">
        <v>244</v>
      </c>
    </row>
    <row r="798" spans="1:19" x14ac:dyDescent="0.35">
      <c r="A798" t="s">
        <v>140</v>
      </c>
      <c r="B798" t="s">
        <v>12</v>
      </c>
      <c r="C798" t="s">
        <v>30</v>
      </c>
      <c r="D798" t="s">
        <v>26</v>
      </c>
      <c r="E798" t="s">
        <v>22</v>
      </c>
      <c r="F798" t="s">
        <v>41</v>
      </c>
      <c r="G798" t="s">
        <v>17</v>
      </c>
      <c r="H798" t="s">
        <v>219</v>
      </c>
      <c r="I798" t="s">
        <v>240</v>
      </c>
      <c r="J798" t="s">
        <v>43</v>
      </c>
      <c r="K798" t="s">
        <v>221</v>
      </c>
      <c r="L798" t="s">
        <v>241</v>
      </c>
      <c r="M798" t="s">
        <v>242</v>
      </c>
      <c r="N798" t="s">
        <v>243</v>
      </c>
      <c r="O798" t="s">
        <v>215</v>
      </c>
      <c r="P798" t="s">
        <v>216</v>
      </c>
      <c r="Q798" t="s">
        <v>217</v>
      </c>
      <c r="R798" t="s">
        <v>218</v>
      </c>
      <c r="S798" t="s">
        <v>220</v>
      </c>
    </row>
    <row r="799" spans="1:19" x14ac:dyDescent="0.35">
      <c r="A799" t="s">
        <v>143</v>
      </c>
      <c r="B799" t="s">
        <v>12</v>
      </c>
      <c r="C799" t="s">
        <v>30</v>
      </c>
      <c r="D799" t="s">
        <v>14</v>
      </c>
      <c r="E799" t="s">
        <v>15</v>
      </c>
      <c r="F799" t="s">
        <v>39</v>
      </c>
      <c r="G799" t="s">
        <v>24</v>
      </c>
      <c r="H799" t="s">
        <v>209</v>
      </c>
      <c r="I799" t="s">
        <v>225</v>
      </c>
      <c r="J799" t="s">
        <v>43</v>
      </c>
      <c r="K799" t="s">
        <v>211</v>
      </c>
      <c r="L799" t="s">
        <v>301</v>
      </c>
      <c r="M799" t="s">
        <v>302</v>
      </c>
      <c r="N799" t="s">
        <v>209</v>
      </c>
      <c r="O799" t="s">
        <v>215</v>
      </c>
      <c r="P799" t="s">
        <v>216</v>
      </c>
      <c r="Q799" t="s">
        <v>217</v>
      </c>
      <c r="R799" t="s">
        <v>218</v>
      </c>
      <c r="S799" t="s">
        <v>238</v>
      </c>
    </row>
    <row r="800" spans="1:19" x14ac:dyDescent="0.35">
      <c r="A800" t="s">
        <v>159</v>
      </c>
      <c r="B800" t="s">
        <v>12</v>
      </c>
      <c r="C800" t="s">
        <v>13</v>
      </c>
      <c r="D800" t="s">
        <v>14</v>
      </c>
      <c r="E800" t="s">
        <v>15</v>
      </c>
      <c r="F800" t="s">
        <v>47</v>
      </c>
      <c r="G800" t="s">
        <v>36</v>
      </c>
      <c r="H800" t="s">
        <v>229</v>
      </c>
      <c r="I800" t="s">
        <v>238</v>
      </c>
      <c r="J800" t="s">
        <v>32</v>
      </c>
      <c r="K800" t="s">
        <v>231</v>
      </c>
      <c r="L800" t="s">
        <v>229</v>
      </c>
      <c r="M800" t="s">
        <v>231</v>
      </c>
      <c r="N800" t="s">
        <v>239</v>
      </c>
      <c r="O800" t="s">
        <v>215</v>
      </c>
      <c r="P800" t="s">
        <v>216</v>
      </c>
      <c r="Q800" t="s">
        <v>217</v>
      </c>
      <c r="R800" t="s">
        <v>218</v>
      </c>
      <c r="S800" t="s">
        <v>265</v>
      </c>
    </row>
    <row r="801" spans="1:19" x14ac:dyDescent="0.35">
      <c r="A801" t="s">
        <v>86</v>
      </c>
      <c r="B801" t="s">
        <v>12</v>
      </c>
      <c r="C801" t="s">
        <v>13</v>
      </c>
      <c r="D801" t="s">
        <v>14</v>
      </c>
      <c r="E801" t="s">
        <v>22</v>
      </c>
      <c r="F801" t="s">
        <v>31</v>
      </c>
      <c r="G801" t="s">
        <v>24</v>
      </c>
      <c r="H801" t="s">
        <v>252</v>
      </c>
      <c r="I801" t="s">
        <v>244</v>
      </c>
      <c r="J801" t="s">
        <v>54</v>
      </c>
      <c r="K801" t="s">
        <v>253</v>
      </c>
      <c r="L801" t="s">
        <v>209</v>
      </c>
      <c r="M801" t="s">
        <v>211</v>
      </c>
      <c r="N801" t="s">
        <v>254</v>
      </c>
      <c r="O801" t="s">
        <v>215</v>
      </c>
      <c r="P801" t="s">
        <v>216</v>
      </c>
      <c r="Q801" t="s">
        <v>217</v>
      </c>
      <c r="R801" t="s">
        <v>218</v>
      </c>
      <c r="S801" t="s">
        <v>238</v>
      </c>
    </row>
    <row r="802" spans="1:19" x14ac:dyDescent="0.35">
      <c r="A802" t="s">
        <v>88</v>
      </c>
      <c r="B802" t="s">
        <v>20</v>
      </c>
      <c r="C802" t="s">
        <v>38</v>
      </c>
      <c r="D802" t="s">
        <v>26</v>
      </c>
      <c r="E802" t="s">
        <v>15</v>
      </c>
      <c r="F802" t="s">
        <v>16</v>
      </c>
      <c r="G802" t="s">
        <v>17</v>
      </c>
      <c r="H802" t="s">
        <v>275</v>
      </c>
      <c r="I802" t="s">
        <v>210</v>
      </c>
      <c r="J802" t="s">
        <v>27</v>
      </c>
      <c r="K802" t="s">
        <v>276</v>
      </c>
      <c r="L802" t="s">
        <v>314</v>
      </c>
      <c r="M802" t="s">
        <v>315</v>
      </c>
      <c r="N802" t="s">
        <v>316</v>
      </c>
      <c r="O802" t="s">
        <v>215</v>
      </c>
      <c r="P802" t="s">
        <v>216</v>
      </c>
      <c r="Q802" t="s">
        <v>217</v>
      </c>
      <c r="R802" t="s">
        <v>218</v>
      </c>
      <c r="S802" t="s">
        <v>244</v>
      </c>
    </row>
    <row r="803" spans="1:19" x14ac:dyDescent="0.35">
      <c r="A803" t="s">
        <v>122</v>
      </c>
      <c r="B803" t="s">
        <v>12</v>
      </c>
      <c r="C803" t="s">
        <v>38</v>
      </c>
      <c r="D803" t="s">
        <v>26</v>
      </c>
      <c r="E803" t="s">
        <v>22</v>
      </c>
      <c r="F803" t="s">
        <v>47</v>
      </c>
      <c r="G803" t="s">
        <v>36</v>
      </c>
      <c r="H803" t="s">
        <v>229</v>
      </c>
      <c r="I803" t="s">
        <v>244</v>
      </c>
      <c r="J803" t="s">
        <v>50</v>
      </c>
      <c r="K803" t="s">
        <v>231</v>
      </c>
      <c r="L803" t="s">
        <v>312</v>
      </c>
      <c r="M803" t="s">
        <v>214</v>
      </c>
      <c r="N803" t="s">
        <v>246</v>
      </c>
      <c r="O803" t="s">
        <v>215</v>
      </c>
      <c r="P803" t="s">
        <v>216</v>
      </c>
      <c r="Q803" t="s">
        <v>217</v>
      </c>
      <c r="R803" t="s">
        <v>218</v>
      </c>
      <c r="S803" t="s">
        <v>220</v>
      </c>
    </row>
    <row r="804" spans="1:19" x14ac:dyDescent="0.35">
      <c r="A804" t="s">
        <v>42</v>
      </c>
      <c r="B804" t="s">
        <v>29</v>
      </c>
      <c r="C804" t="s">
        <v>13</v>
      </c>
      <c r="D804" t="s">
        <v>26</v>
      </c>
      <c r="E804" t="s">
        <v>22</v>
      </c>
      <c r="F804" t="s">
        <v>52</v>
      </c>
      <c r="G804" t="s">
        <v>36</v>
      </c>
      <c r="H804" t="s">
        <v>291</v>
      </c>
      <c r="I804" t="s">
        <v>269</v>
      </c>
      <c r="J804" t="s">
        <v>50</v>
      </c>
      <c r="K804" t="s">
        <v>292</v>
      </c>
      <c r="L804" t="s">
        <v>328</v>
      </c>
      <c r="M804" t="s">
        <v>329</v>
      </c>
      <c r="N804" t="s">
        <v>330</v>
      </c>
      <c r="O804" t="s">
        <v>215</v>
      </c>
      <c r="P804" t="s">
        <v>216</v>
      </c>
      <c r="Q804" t="s">
        <v>217</v>
      </c>
      <c r="R804" t="s">
        <v>218</v>
      </c>
      <c r="S804" t="s">
        <v>265</v>
      </c>
    </row>
    <row r="805" spans="1:19" x14ac:dyDescent="0.35">
      <c r="A805" t="s">
        <v>55</v>
      </c>
      <c r="B805" t="s">
        <v>29</v>
      </c>
      <c r="C805" t="s">
        <v>38</v>
      </c>
      <c r="D805" t="s">
        <v>14</v>
      </c>
      <c r="E805" t="s">
        <v>22</v>
      </c>
      <c r="F805" t="s">
        <v>58</v>
      </c>
      <c r="G805" t="s">
        <v>24</v>
      </c>
      <c r="H805" t="s">
        <v>255</v>
      </c>
      <c r="I805" t="s">
        <v>238</v>
      </c>
      <c r="J805" t="s">
        <v>43</v>
      </c>
      <c r="K805" t="s">
        <v>256</v>
      </c>
      <c r="L805" t="s">
        <v>255</v>
      </c>
      <c r="M805" t="s">
        <v>256</v>
      </c>
      <c r="N805" t="s">
        <v>334</v>
      </c>
      <c r="O805" t="s">
        <v>215</v>
      </c>
      <c r="P805" t="s">
        <v>216</v>
      </c>
      <c r="Q805" t="s">
        <v>217</v>
      </c>
      <c r="R805" t="s">
        <v>218</v>
      </c>
      <c r="S805" t="s">
        <v>220</v>
      </c>
    </row>
    <row r="806" spans="1:19" x14ac:dyDescent="0.35">
      <c r="A806" t="s">
        <v>129</v>
      </c>
      <c r="B806" t="s">
        <v>20</v>
      </c>
      <c r="C806" t="s">
        <v>38</v>
      </c>
      <c r="D806" t="s">
        <v>26</v>
      </c>
      <c r="E806" t="s">
        <v>15</v>
      </c>
      <c r="F806" t="s">
        <v>16</v>
      </c>
      <c r="G806" t="s">
        <v>17</v>
      </c>
      <c r="H806" t="s">
        <v>275</v>
      </c>
      <c r="I806" t="s">
        <v>220</v>
      </c>
      <c r="J806" t="s">
        <v>27</v>
      </c>
      <c r="K806" t="s">
        <v>276</v>
      </c>
      <c r="L806" t="s">
        <v>337</v>
      </c>
      <c r="M806" t="s">
        <v>338</v>
      </c>
      <c r="N806" t="s">
        <v>276</v>
      </c>
      <c r="O806" t="s">
        <v>215</v>
      </c>
      <c r="P806" t="s">
        <v>216</v>
      </c>
      <c r="Q806" t="s">
        <v>217</v>
      </c>
      <c r="R806" t="s">
        <v>218</v>
      </c>
      <c r="S806" t="s">
        <v>265</v>
      </c>
    </row>
    <row r="807" spans="1:19" x14ac:dyDescent="0.35">
      <c r="A807" t="s">
        <v>128</v>
      </c>
      <c r="B807" t="s">
        <v>12</v>
      </c>
      <c r="C807" t="s">
        <v>13</v>
      </c>
      <c r="D807" t="s">
        <v>14</v>
      </c>
      <c r="E807" t="s">
        <v>15</v>
      </c>
      <c r="F807" t="s">
        <v>52</v>
      </c>
      <c r="G807" t="s">
        <v>36</v>
      </c>
      <c r="H807" t="s">
        <v>291</v>
      </c>
      <c r="I807" t="s">
        <v>240</v>
      </c>
      <c r="J807" t="s">
        <v>50</v>
      </c>
      <c r="K807" t="s">
        <v>292</v>
      </c>
      <c r="L807" t="s">
        <v>349</v>
      </c>
      <c r="M807" t="s">
        <v>350</v>
      </c>
      <c r="N807" t="s">
        <v>351</v>
      </c>
      <c r="O807" t="s">
        <v>215</v>
      </c>
      <c r="P807" t="s">
        <v>216</v>
      </c>
      <c r="Q807" t="s">
        <v>217</v>
      </c>
      <c r="R807" t="s">
        <v>218</v>
      </c>
      <c r="S807" t="s">
        <v>220</v>
      </c>
    </row>
    <row r="808" spans="1:19" x14ac:dyDescent="0.35">
      <c r="A808" t="s">
        <v>117</v>
      </c>
      <c r="B808" t="s">
        <v>34</v>
      </c>
      <c r="C808" t="s">
        <v>38</v>
      </c>
      <c r="D808" t="s">
        <v>26</v>
      </c>
      <c r="E808" t="s">
        <v>15</v>
      </c>
      <c r="F808" t="s">
        <v>52</v>
      </c>
      <c r="G808" t="s">
        <v>36</v>
      </c>
      <c r="H808" t="s">
        <v>291</v>
      </c>
      <c r="I808" t="s">
        <v>240</v>
      </c>
      <c r="J808" t="s">
        <v>32</v>
      </c>
      <c r="K808" t="s">
        <v>292</v>
      </c>
      <c r="L808" t="s">
        <v>349</v>
      </c>
      <c r="M808" t="s">
        <v>350</v>
      </c>
      <c r="N808" t="s">
        <v>351</v>
      </c>
      <c r="O808" t="s">
        <v>215</v>
      </c>
      <c r="P808" t="s">
        <v>216</v>
      </c>
      <c r="Q808" t="s">
        <v>217</v>
      </c>
      <c r="R808" t="s">
        <v>218</v>
      </c>
      <c r="S808" t="s">
        <v>220</v>
      </c>
    </row>
    <row r="809" spans="1:19" x14ac:dyDescent="0.35">
      <c r="A809" t="s">
        <v>86</v>
      </c>
      <c r="B809" t="s">
        <v>20</v>
      </c>
      <c r="C809" t="s">
        <v>13</v>
      </c>
      <c r="D809" t="s">
        <v>14</v>
      </c>
      <c r="E809" t="s">
        <v>15</v>
      </c>
      <c r="F809" t="s">
        <v>35</v>
      </c>
      <c r="G809" t="s">
        <v>36</v>
      </c>
      <c r="H809" t="s">
        <v>224</v>
      </c>
      <c r="I809" t="s">
        <v>210</v>
      </c>
      <c r="J809" t="s">
        <v>43</v>
      </c>
      <c r="K809" t="s">
        <v>226</v>
      </c>
      <c r="L809" t="s">
        <v>365</v>
      </c>
      <c r="M809" t="s">
        <v>366</v>
      </c>
      <c r="N809" t="s">
        <v>289</v>
      </c>
      <c r="O809" t="s">
        <v>215</v>
      </c>
      <c r="P809" t="s">
        <v>216</v>
      </c>
      <c r="Q809" t="s">
        <v>217</v>
      </c>
      <c r="R809" t="s">
        <v>218</v>
      </c>
      <c r="S809" t="s">
        <v>238</v>
      </c>
    </row>
    <row r="810" spans="1:19" x14ac:dyDescent="0.35">
      <c r="A810" t="s">
        <v>131</v>
      </c>
      <c r="B810" t="s">
        <v>29</v>
      </c>
      <c r="C810" t="s">
        <v>21</v>
      </c>
      <c r="D810" t="s">
        <v>14</v>
      </c>
      <c r="E810" t="s">
        <v>22</v>
      </c>
      <c r="F810" t="s">
        <v>58</v>
      </c>
      <c r="G810" t="s">
        <v>24</v>
      </c>
      <c r="H810" t="s">
        <v>255</v>
      </c>
      <c r="I810" t="s">
        <v>220</v>
      </c>
      <c r="J810" t="s">
        <v>32</v>
      </c>
      <c r="K810" t="s">
        <v>256</v>
      </c>
      <c r="L810" t="s">
        <v>303</v>
      </c>
      <c r="M810" t="s">
        <v>304</v>
      </c>
      <c r="N810" t="s">
        <v>256</v>
      </c>
      <c r="O810" t="s">
        <v>215</v>
      </c>
      <c r="P810" t="s">
        <v>216</v>
      </c>
      <c r="Q810" t="s">
        <v>217</v>
      </c>
      <c r="R810" t="s">
        <v>218</v>
      </c>
      <c r="S810" t="s">
        <v>238</v>
      </c>
    </row>
    <row r="811" spans="1:19" x14ac:dyDescent="0.35">
      <c r="A811" t="s">
        <v>87</v>
      </c>
      <c r="B811" t="s">
        <v>12</v>
      </c>
      <c r="C811" t="s">
        <v>38</v>
      </c>
      <c r="D811" t="s">
        <v>14</v>
      </c>
      <c r="E811" t="s">
        <v>22</v>
      </c>
      <c r="F811" t="s">
        <v>39</v>
      </c>
      <c r="G811" t="s">
        <v>24</v>
      </c>
      <c r="H811" t="s">
        <v>209</v>
      </c>
      <c r="I811" t="s">
        <v>249</v>
      </c>
      <c r="J811" t="s">
        <v>50</v>
      </c>
      <c r="K811" t="s">
        <v>211</v>
      </c>
      <c r="L811" t="s">
        <v>213</v>
      </c>
      <c r="M811" t="s">
        <v>250</v>
      </c>
      <c r="N811" t="s">
        <v>251</v>
      </c>
      <c r="O811" t="s">
        <v>215</v>
      </c>
      <c r="P811" t="s">
        <v>216</v>
      </c>
      <c r="Q811" t="s">
        <v>217</v>
      </c>
      <c r="R811" t="s">
        <v>218</v>
      </c>
      <c r="S811" t="s">
        <v>244</v>
      </c>
    </row>
    <row r="812" spans="1:19" x14ac:dyDescent="0.35">
      <c r="A812" t="s">
        <v>93</v>
      </c>
      <c r="B812" t="s">
        <v>12</v>
      </c>
      <c r="C812" t="s">
        <v>38</v>
      </c>
      <c r="D812" t="s">
        <v>14</v>
      </c>
      <c r="E812" t="s">
        <v>15</v>
      </c>
      <c r="F812" t="s">
        <v>56</v>
      </c>
      <c r="G812" t="s">
        <v>36</v>
      </c>
      <c r="H812" t="s">
        <v>260</v>
      </c>
      <c r="I812" t="s">
        <v>244</v>
      </c>
      <c r="J812" t="s">
        <v>18</v>
      </c>
      <c r="K812" t="s">
        <v>261</v>
      </c>
      <c r="L812" t="s">
        <v>288</v>
      </c>
      <c r="M812" t="s">
        <v>289</v>
      </c>
      <c r="N812" t="s">
        <v>229</v>
      </c>
      <c r="O812" t="s">
        <v>215</v>
      </c>
      <c r="P812" t="s">
        <v>216</v>
      </c>
      <c r="Q812" t="s">
        <v>217</v>
      </c>
      <c r="R812" t="s">
        <v>218</v>
      </c>
      <c r="S812" t="s">
        <v>220</v>
      </c>
    </row>
    <row r="813" spans="1:19" x14ac:dyDescent="0.35">
      <c r="A813" t="s">
        <v>155</v>
      </c>
      <c r="B813" t="s">
        <v>34</v>
      </c>
      <c r="C813" t="s">
        <v>30</v>
      </c>
      <c r="D813" t="s">
        <v>26</v>
      </c>
      <c r="E813" t="s">
        <v>15</v>
      </c>
      <c r="F813" t="s">
        <v>35</v>
      </c>
      <c r="G813" t="s">
        <v>36</v>
      </c>
      <c r="H813" t="s">
        <v>224</v>
      </c>
      <c r="I813" t="s">
        <v>230</v>
      </c>
      <c r="J813" t="s">
        <v>18</v>
      </c>
      <c r="K813" t="s">
        <v>226</v>
      </c>
      <c r="L813" t="s">
        <v>332</v>
      </c>
      <c r="M813" t="s">
        <v>333</v>
      </c>
      <c r="N813" t="s">
        <v>291</v>
      </c>
      <c r="O813" t="s">
        <v>215</v>
      </c>
      <c r="P813" t="s">
        <v>216</v>
      </c>
      <c r="Q813" t="s">
        <v>217</v>
      </c>
      <c r="R813" t="s">
        <v>218</v>
      </c>
      <c r="S813" t="s">
        <v>238</v>
      </c>
    </row>
    <row r="814" spans="1:19" x14ac:dyDescent="0.35">
      <c r="A814" t="s">
        <v>155</v>
      </c>
      <c r="B814" t="s">
        <v>34</v>
      </c>
      <c r="C814" t="s">
        <v>38</v>
      </c>
      <c r="D814" t="s">
        <v>14</v>
      </c>
      <c r="E814" t="s">
        <v>22</v>
      </c>
      <c r="F814" t="s">
        <v>35</v>
      </c>
      <c r="G814" t="s">
        <v>36</v>
      </c>
      <c r="H814" t="s">
        <v>224</v>
      </c>
      <c r="I814" t="s">
        <v>230</v>
      </c>
      <c r="J814" t="s">
        <v>54</v>
      </c>
      <c r="K814" t="s">
        <v>226</v>
      </c>
      <c r="L814" t="s">
        <v>332</v>
      </c>
      <c r="M814" t="s">
        <v>333</v>
      </c>
      <c r="N814" t="s">
        <v>291</v>
      </c>
      <c r="O814" t="s">
        <v>215</v>
      </c>
      <c r="P814" t="s">
        <v>216</v>
      </c>
      <c r="Q814" t="s">
        <v>217</v>
      </c>
      <c r="R814" t="s">
        <v>218</v>
      </c>
      <c r="S814" t="s">
        <v>238</v>
      </c>
    </row>
    <row r="815" spans="1:19" x14ac:dyDescent="0.35">
      <c r="A815" t="s">
        <v>134</v>
      </c>
      <c r="B815" t="s">
        <v>34</v>
      </c>
      <c r="C815" t="s">
        <v>38</v>
      </c>
      <c r="D815" t="s">
        <v>26</v>
      </c>
      <c r="E815" t="s">
        <v>22</v>
      </c>
      <c r="F815" t="s">
        <v>56</v>
      </c>
      <c r="G815" t="s">
        <v>36</v>
      </c>
      <c r="H815" t="s">
        <v>260</v>
      </c>
      <c r="I815" t="s">
        <v>238</v>
      </c>
      <c r="J815" t="s">
        <v>50</v>
      </c>
      <c r="K815" t="s">
        <v>261</v>
      </c>
      <c r="L815" t="s">
        <v>260</v>
      </c>
      <c r="M815" t="s">
        <v>261</v>
      </c>
      <c r="N815" t="s">
        <v>352</v>
      </c>
      <c r="O815" t="s">
        <v>215</v>
      </c>
      <c r="P815" t="s">
        <v>216</v>
      </c>
      <c r="Q815" t="s">
        <v>217</v>
      </c>
      <c r="R815" t="s">
        <v>218</v>
      </c>
      <c r="S815" t="s">
        <v>220</v>
      </c>
    </row>
    <row r="816" spans="1:19" x14ac:dyDescent="0.35">
      <c r="A816" t="s">
        <v>133</v>
      </c>
      <c r="B816" t="s">
        <v>12</v>
      </c>
      <c r="C816" t="s">
        <v>21</v>
      </c>
      <c r="D816" t="s">
        <v>26</v>
      </c>
      <c r="E816" t="s">
        <v>15</v>
      </c>
      <c r="F816" t="s">
        <v>35</v>
      </c>
      <c r="G816" t="s">
        <v>36</v>
      </c>
      <c r="H816" t="s">
        <v>224</v>
      </c>
      <c r="I816" t="s">
        <v>244</v>
      </c>
      <c r="J816" t="s">
        <v>43</v>
      </c>
      <c r="K816" t="s">
        <v>226</v>
      </c>
      <c r="L816" t="s">
        <v>301</v>
      </c>
      <c r="M816" t="s">
        <v>302</v>
      </c>
      <c r="N816" t="s">
        <v>209</v>
      </c>
      <c r="O816" t="s">
        <v>215</v>
      </c>
      <c r="P816" t="s">
        <v>216</v>
      </c>
      <c r="Q816" t="s">
        <v>217</v>
      </c>
      <c r="R816" t="s">
        <v>218</v>
      </c>
      <c r="S816" t="s">
        <v>265</v>
      </c>
    </row>
    <row r="817" spans="1:19" x14ac:dyDescent="0.35">
      <c r="A817" t="s">
        <v>142</v>
      </c>
      <c r="B817" t="s">
        <v>29</v>
      </c>
      <c r="C817" t="s">
        <v>13</v>
      </c>
      <c r="D817" t="s">
        <v>14</v>
      </c>
      <c r="E817" t="s">
        <v>15</v>
      </c>
      <c r="F817" t="s">
        <v>52</v>
      </c>
      <c r="G817" t="s">
        <v>36</v>
      </c>
      <c r="H817" t="s">
        <v>291</v>
      </c>
      <c r="I817" t="s">
        <v>210</v>
      </c>
      <c r="J817" t="s">
        <v>32</v>
      </c>
      <c r="K817" t="s">
        <v>292</v>
      </c>
      <c r="L817" t="s">
        <v>339</v>
      </c>
      <c r="M817" t="s">
        <v>299</v>
      </c>
      <c r="N817" t="s">
        <v>233</v>
      </c>
      <c r="O817" t="s">
        <v>215</v>
      </c>
      <c r="P817" t="s">
        <v>216</v>
      </c>
      <c r="Q817" t="s">
        <v>217</v>
      </c>
      <c r="R817" t="s">
        <v>218</v>
      </c>
      <c r="S817" t="s">
        <v>220</v>
      </c>
    </row>
    <row r="818" spans="1:19" x14ac:dyDescent="0.35">
      <c r="A818" t="s">
        <v>98</v>
      </c>
      <c r="B818" t="s">
        <v>34</v>
      </c>
      <c r="C818" t="s">
        <v>30</v>
      </c>
      <c r="D818" t="s">
        <v>26</v>
      </c>
      <c r="E818" t="s">
        <v>15</v>
      </c>
      <c r="F818" t="s">
        <v>31</v>
      </c>
      <c r="G818" t="s">
        <v>24</v>
      </c>
      <c r="H818" t="s">
        <v>252</v>
      </c>
      <c r="I818" t="s">
        <v>269</v>
      </c>
      <c r="J818" t="s">
        <v>43</v>
      </c>
      <c r="K818" t="s">
        <v>253</v>
      </c>
      <c r="L818" t="s">
        <v>272</v>
      </c>
      <c r="M818" t="s">
        <v>273</v>
      </c>
      <c r="N818" t="s">
        <v>274</v>
      </c>
      <c r="O818" t="s">
        <v>215</v>
      </c>
      <c r="P818" t="s">
        <v>216</v>
      </c>
      <c r="Q818" t="s">
        <v>217</v>
      </c>
      <c r="R818" t="s">
        <v>218</v>
      </c>
      <c r="S818" t="s">
        <v>220</v>
      </c>
    </row>
    <row r="819" spans="1:19" x14ac:dyDescent="0.35">
      <c r="A819" t="s">
        <v>106</v>
      </c>
      <c r="B819" t="s">
        <v>12</v>
      </c>
      <c r="C819" t="s">
        <v>13</v>
      </c>
      <c r="D819" t="s">
        <v>14</v>
      </c>
      <c r="E819" t="s">
        <v>15</v>
      </c>
      <c r="F819" t="s">
        <v>56</v>
      </c>
      <c r="G819" t="s">
        <v>36</v>
      </c>
      <c r="H819" t="s">
        <v>260</v>
      </c>
      <c r="I819" t="s">
        <v>220</v>
      </c>
      <c r="J819" t="s">
        <v>32</v>
      </c>
      <c r="K819" t="s">
        <v>261</v>
      </c>
      <c r="L819" t="s">
        <v>335</v>
      </c>
      <c r="M819" t="s">
        <v>336</v>
      </c>
      <c r="N819" t="s">
        <v>261</v>
      </c>
      <c r="O819" t="s">
        <v>215</v>
      </c>
      <c r="P819" t="s">
        <v>216</v>
      </c>
      <c r="Q819" t="s">
        <v>217</v>
      </c>
      <c r="R819" t="s">
        <v>218</v>
      </c>
      <c r="S819" t="s">
        <v>220</v>
      </c>
    </row>
    <row r="820" spans="1:19" x14ac:dyDescent="0.35">
      <c r="A820" t="s">
        <v>19</v>
      </c>
      <c r="B820" t="s">
        <v>20</v>
      </c>
      <c r="C820" t="s">
        <v>30</v>
      </c>
      <c r="D820" t="s">
        <v>14</v>
      </c>
      <c r="E820" t="s">
        <v>15</v>
      </c>
      <c r="F820" t="s">
        <v>56</v>
      </c>
      <c r="G820" t="s">
        <v>36</v>
      </c>
      <c r="H820" t="s">
        <v>260</v>
      </c>
      <c r="I820" t="s">
        <v>244</v>
      </c>
      <c r="J820" t="s">
        <v>50</v>
      </c>
      <c r="K820" t="s">
        <v>261</v>
      </c>
      <c r="L820" t="s">
        <v>288</v>
      </c>
      <c r="M820" t="s">
        <v>289</v>
      </c>
      <c r="N820" t="s">
        <v>229</v>
      </c>
      <c r="O820" t="s">
        <v>215</v>
      </c>
      <c r="P820" t="s">
        <v>216</v>
      </c>
      <c r="Q820" t="s">
        <v>217</v>
      </c>
      <c r="R820" t="s">
        <v>218</v>
      </c>
      <c r="S820" t="s">
        <v>220</v>
      </c>
    </row>
    <row r="821" spans="1:19" x14ac:dyDescent="0.35">
      <c r="A821" t="s">
        <v>104</v>
      </c>
      <c r="B821" t="s">
        <v>12</v>
      </c>
      <c r="C821" t="s">
        <v>38</v>
      </c>
      <c r="D821" t="s">
        <v>14</v>
      </c>
      <c r="E821" t="s">
        <v>22</v>
      </c>
      <c r="F821" t="s">
        <v>31</v>
      </c>
      <c r="G821" t="s">
        <v>24</v>
      </c>
      <c r="H821" t="s">
        <v>252</v>
      </c>
      <c r="I821" t="s">
        <v>244</v>
      </c>
      <c r="J821" t="s">
        <v>18</v>
      </c>
      <c r="K821" t="s">
        <v>253</v>
      </c>
      <c r="L821" t="s">
        <v>209</v>
      </c>
      <c r="M821" t="s">
        <v>211</v>
      </c>
      <c r="N821" t="s">
        <v>254</v>
      </c>
      <c r="O821" t="s">
        <v>215</v>
      </c>
      <c r="P821" t="s">
        <v>216</v>
      </c>
      <c r="Q821" t="s">
        <v>217</v>
      </c>
      <c r="R821" t="s">
        <v>218</v>
      </c>
      <c r="S821" t="s">
        <v>265</v>
      </c>
    </row>
    <row r="822" spans="1:19" x14ac:dyDescent="0.35">
      <c r="A822" t="s">
        <v>73</v>
      </c>
      <c r="B822" t="s">
        <v>12</v>
      </c>
      <c r="C822" t="s">
        <v>21</v>
      </c>
      <c r="D822" t="s">
        <v>26</v>
      </c>
      <c r="E822" t="s">
        <v>15</v>
      </c>
      <c r="F822" t="s">
        <v>41</v>
      </c>
      <c r="G822" t="s">
        <v>17</v>
      </c>
      <c r="H822" t="s">
        <v>219</v>
      </c>
      <c r="I822" t="s">
        <v>238</v>
      </c>
      <c r="J822" t="s">
        <v>27</v>
      </c>
      <c r="K822" t="s">
        <v>221</v>
      </c>
      <c r="L822" t="s">
        <v>219</v>
      </c>
      <c r="M822" t="s">
        <v>221</v>
      </c>
      <c r="N822" t="s">
        <v>308</v>
      </c>
      <c r="O822" t="s">
        <v>215</v>
      </c>
      <c r="P822" t="s">
        <v>216</v>
      </c>
      <c r="Q822" t="s">
        <v>217</v>
      </c>
      <c r="R822" t="s">
        <v>218</v>
      </c>
      <c r="S822" t="s">
        <v>265</v>
      </c>
    </row>
    <row r="823" spans="1:19" x14ac:dyDescent="0.35">
      <c r="A823" t="s">
        <v>121</v>
      </c>
      <c r="B823" t="s">
        <v>34</v>
      </c>
      <c r="C823" t="s">
        <v>38</v>
      </c>
      <c r="D823" t="s">
        <v>26</v>
      </c>
      <c r="E823" t="s">
        <v>22</v>
      </c>
      <c r="F823" t="s">
        <v>31</v>
      </c>
      <c r="G823" t="s">
        <v>24</v>
      </c>
      <c r="H823" t="s">
        <v>252</v>
      </c>
      <c r="I823" t="s">
        <v>249</v>
      </c>
      <c r="J823" t="s">
        <v>27</v>
      </c>
      <c r="K823" t="s">
        <v>253</v>
      </c>
      <c r="L823" t="s">
        <v>297</v>
      </c>
      <c r="M823" t="s">
        <v>243</v>
      </c>
      <c r="N823" t="s">
        <v>311</v>
      </c>
      <c r="O823" t="s">
        <v>215</v>
      </c>
      <c r="P823" t="s">
        <v>216</v>
      </c>
      <c r="Q823" t="s">
        <v>217</v>
      </c>
      <c r="R823" t="s">
        <v>218</v>
      </c>
      <c r="S823" t="s">
        <v>265</v>
      </c>
    </row>
    <row r="824" spans="1:19" x14ac:dyDescent="0.35">
      <c r="A824" t="s">
        <v>141</v>
      </c>
      <c r="B824" t="s">
        <v>20</v>
      </c>
      <c r="C824" t="s">
        <v>30</v>
      </c>
      <c r="D824" t="s">
        <v>26</v>
      </c>
      <c r="E824" t="s">
        <v>22</v>
      </c>
      <c r="F824" t="s">
        <v>56</v>
      </c>
      <c r="G824" t="s">
        <v>36</v>
      </c>
      <c r="H824" t="s">
        <v>260</v>
      </c>
      <c r="I824" t="s">
        <v>225</v>
      </c>
      <c r="J824" t="s">
        <v>43</v>
      </c>
      <c r="K824" t="s">
        <v>261</v>
      </c>
      <c r="L824" t="s">
        <v>379</v>
      </c>
      <c r="M824" t="s">
        <v>335</v>
      </c>
      <c r="N824" t="s">
        <v>260</v>
      </c>
      <c r="O824" t="s">
        <v>215</v>
      </c>
      <c r="P824" t="s">
        <v>216</v>
      </c>
      <c r="Q824" t="s">
        <v>217</v>
      </c>
      <c r="R824" t="s">
        <v>218</v>
      </c>
      <c r="S824" t="s">
        <v>265</v>
      </c>
    </row>
    <row r="825" spans="1:19" x14ac:dyDescent="0.35">
      <c r="A825" t="s">
        <v>103</v>
      </c>
      <c r="B825" t="s">
        <v>12</v>
      </c>
      <c r="C825" t="s">
        <v>13</v>
      </c>
      <c r="D825" t="s">
        <v>26</v>
      </c>
      <c r="E825" t="s">
        <v>22</v>
      </c>
      <c r="F825" t="s">
        <v>41</v>
      </c>
      <c r="G825" t="s">
        <v>17</v>
      </c>
      <c r="H825" t="s">
        <v>219</v>
      </c>
      <c r="I825" t="s">
        <v>265</v>
      </c>
      <c r="J825" t="s">
        <v>54</v>
      </c>
      <c r="K825" t="s">
        <v>221</v>
      </c>
      <c r="L825" t="s">
        <v>280</v>
      </c>
      <c r="M825" t="s">
        <v>321</v>
      </c>
      <c r="N825" t="s">
        <v>340</v>
      </c>
      <c r="O825" t="s">
        <v>215</v>
      </c>
      <c r="P825" t="s">
        <v>216</v>
      </c>
      <c r="Q825" t="s">
        <v>217</v>
      </c>
      <c r="R825" t="s">
        <v>218</v>
      </c>
      <c r="S825" t="s">
        <v>244</v>
      </c>
    </row>
    <row r="826" spans="1:19" x14ac:dyDescent="0.35">
      <c r="A826" t="s">
        <v>109</v>
      </c>
      <c r="B826" t="s">
        <v>29</v>
      </c>
      <c r="C826" t="s">
        <v>30</v>
      </c>
      <c r="D826" t="s">
        <v>26</v>
      </c>
      <c r="E826" t="s">
        <v>15</v>
      </c>
      <c r="F826" t="s">
        <v>58</v>
      </c>
      <c r="G826" t="s">
        <v>24</v>
      </c>
      <c r="H826" t="s">
        <v>255</v>
      </c>
      <c r="I826" t="s">
        <v>225</v>
      </c>
      <c r="J826" t="s">
        <v>27</v>
      </c>
      <c r="K826" t="s">
        <v>256</v>
      </c>
      <c r="L826" t="s">
        <v>324</v>
      </c>
      <c r="M826" t="s">
        <v>303</v>
      </c>
      <c r="N826" t="s">
        <v>255</v>
      </c>
      <c r="O826" t="s">
        <v>215</v>
      </c>
      <c r="P826" t="s">
        <v>216</v>
      </c>
      <c r="Q826" t="s">
        <v>217</v>
      </c>
      <c r="R826" t="s">
        <v>218</v>
      </c>
      <c r="S826" t="s">
        <v>265</v>
      </c>
    </row>
    <row r="827" spans="1:19" x14ac:dyDescent="0.35">
      <c r="A827" t="s">
        <v>81</v>
      </c>
      <c r="B827" t="s">
        <v>12</v>
      </c>
      <c r="C827" t="s">
        <v>21</v>
      </c>
      <c r="D827" t="s">
        <v>26</v>
      </c>
      <c r="E827" t="s">
        <v>22</v>
      </c>
      <c r="F827" t="s">
        <v>56</v>
      </c>
      <c r="G827" t="s">
        <v>36</v>
      </c>
      <c r="H827" t="s">
        <v>260</v>
      </c>
      <c r="I827" t="s">
        <v>244</v>
      </c>
      <c r="J827" t="s">
        <v>18</v>
      </c>
      <c r="K827" t="s">
        <v>261</v>
      </c>
      <c r="L827" t="s">
        <v>288</v>
      </c>
      <c r="M827" t="s">
        <v>289</v>
      </c>
      <c r="N827" t="s">
        <v>229</v>
      </c>
      <c r="O827" t="s">
        <v>215</v>
      </c>
      <c r="P827" t="s">
        <v>216</v>
      </c>
      <c r="Q827" t="s">
        <v>217</v>
      </c>
      <c r="R827" t="s">
        <v>218</v>
      </c>
      <c r="S827" t="s">
        <v>244</v>
      </c>
    </row>
    <row r="828" spans="1:19" x14ac:dyDescent="0.35">
      <c r="A828" t="s">
        <v>120</v>
      </c>
      <c r="B828" t="s">
        <v>12</v>
      </c>
      <c r="C828" t="s">
        <v>30</v>
      </c>
      <c r="D828" t="s">
        <v>14</v>
      </c>
      <c r="E828" t="s">
        <v>22</v>
      </c>
      <c r="F828" t="s">
        <v>16</v>
      </c>
      <c r="G828" t="s">
        <v>17</v>
      </c>
      <c r="H828" t="s">
        <v>275</v>
      </c>
      <c r="I828" t="s">
        <v>210</v>
      </c>
      <c r="J828" t="s">
        <v>32</v>
      </c>
      <c r="K828" t="s">
        <v>276</v>
      </c>
      <c r="L828" t="s">
        <v>314</v>
      </c>
      <c r="M828" t="s">
        <v>315</v>
      </c>
      <c r="N828" t="s">
        <v>316</v>
      </c>
      <c r="O828" t="s">
        <v>215</v>
      </c>
      <c r="P828" t="s">
        <v>216</v>
      </c>
      <c r="Q828" t="s">
        <v>217</v>
      </c>
      <c r="R828" t="s">
        <v>218</v>
      </c>
      <c r="S828" t="s">
        <v>244</v>
      </c>
    </row>
    <row r="829" spans="1:19" x14ac:dyDescent="0.35">
      <c r="A829" t="s">
        <v>129</v>
      </c>
      <c r="B829" t="s">
        <v>29</v>
      </c>
      <c r="C829" t="s">
        <v>13</v>
      </c>
      <c r="D829" t="s">
        <v>14</v>
      </c>
      <c r="E829" t="s">
        <v>22</v>
      </c>
      <c r="F829" t="s">
        <v>52</v>
      </c>
      <c r="G829" t="s">
        <v>36</v>
      </c>
      <c r="H829" t="s">
        <v>291</v>
      </c>
      <c r="I829" t="s">
        <v>240</v>
      </c>
      <c r="J829" t="s">
        <v>43</v>
      </c>
      <c r="K829" t="s">
        <v>292</v>
      </c>
      <c r="L829" t="s">
        <v>349</v>
      </c>
      <c r="M829" t="s">
        <v>350</v>
      </c>
      <c r="N829" t="s">
        <v>351</v>
      </c>
      <c r="O829" t="s">
        <v>215</v>
      </c>
      <c r="P829" t="s">
        <v>216</v>
      </c>
      <c r="Q829" t="s">
        <v>217</v>
      </c>
      <c r="R829" t="s">
        <v>218</v>
      </c>
      <c r="S829" t="s">
        <v>265</v>
      </c>
    </row>
    <row r="830" spans="1:19" x14ac:dyDescent="0.35">
      <c r="A830" t="s">
        <v>93</v>
      </c>
      <c r="B830" t="s">
        <v>34</v>
      </c>
      <c r="C830" t="s">
        <v>21</v>
      </c>
      <c r="D830" t="s">
        <v>14</v>
      </c>
      <c r="E830" t="s">
        <v>22</v>
      </c>
      <c r="F830" t="s">
        <v>47</v>
      </c>
      <c r="G830" t="s">
        <v>36</v>
      </c>
      <c r="H830" t="s">
        <v>229</v>
      </c>
      <c r="I830" t="s">
        <v>225</v>
      </c>
      <c r="J830" t="s">
        <v>27</v>
      </c>
      <c r="K830" t="s">
        <v>231</v>
      </c>
      <c r="L830" t="s">
        <v>288</v>
      </c>
      <c r="M830" t="s">
        <v>289</v>
      </c>
      <c r="N830" t="s">
        <v>229</v>
      </c>
      <c r="O830" t="s">
        <v>215</v>
      </c>
      <c r="P830" t="s">
        <v>216</v>
      </c>
      <c r="Q830" t="s">
        <v>217</v>
      </c>
      <c r="R830" t="s">
        <v>218</v>
      </c>
      <c r="S830" t="s">
        <v>220</v>
      </c>
    </row>
    <row r="831" spans="1:19" x14ac:dyDescent="0.35">
      <c r="A831" t="s">
        <v>134</v>
      </c>
      <c r="B831" t="s">
        <v>34</v>
      </c>
      <c r="C831" t="s">
        <v>13</v>
      </c>
      <c r="D831" t="s">
        <v>14</v>
      </c>
      <c r="E831" t="s">
        <v>22</v>
      </c>
      <c r="F831" t="s">
        <v>41</v>
      </c>
      <c r="G831" t="s">
        <v>17</v>
      </c>
      <c r="H831" t="s">
        <v>219</v>
      </c>
      <c r="I831" t="s">
        <v>244</v>
      </c>
      <c r="J831" t="s">
        <v>50</v>
      </c>
      <c r="K831" t="s">
        <v>221</v>
      </c>
      <c r="L831" t="s">
        <v>290</v>
      </c>
      <c r="M831" t="s">
        <v>298</v>
      </c>
      <c r="N831" t="s">
        <v>284</v>
      </c>
      <c r="O831" t="s">
        <v>215</v>
      </c>
      <c r="P831" t="s">
        <v>216</v>
      </c>
      <c r="Q831" t="s">
        <v>217</v>
      </c>
      <c r="R831" t="s">
        <v>218</v>
      </c>
      <c r="S831" t="s">
        <v>220</v>
      </c>
    </row>
    <row r="832" spans="1:19" x14ac:dyDescent="0.35">
      <c r="A832" t="s">
        <v>134</v>
      </c>
      <c r="B832" t="s">
        <v>34</v>
      </c>
      <c r="C832" t="s">
        <v>38</v>
      </c>
      <c r="D832" t="s">
        <v>26</v>
      </c>
      <c r="E832" t="s">
        <v>15</v>
      </c>
      <c r="F832" t="s">
        <v>23</v>
      </c>
      <c r="G832" t="s">
        <v>24</v>
      </c>
      <c r="H832" t="s">
        <v>239</v>
      </c>
      <c r="I832" t="s">
        <v>238</v>
      </c>
      <c r="J832" t="s">
        <v>43</v>
      </c>
      <c r="K832" t="s">
        <v>245</v>
      </c>
      <c r="L832" t="s">
        <v>239</v>
      </c>
      <c r="M832" t="s">
        <v>245</v>
      </c>
      <c r="N832" t="s">
        <v>353</v>
      </c>
      <c r="O832" t="s">
        <v>215</v>
      </c>
      <c r="P832" t="s">
        <v>216</v>
      </c>
      <c r="Q832" t="s">
        <v>217</v>
      </c>
      <c r="R832" t="s">
        <v>218</v>
      </c>
      <c r="S832" t="s">
        <v>220</v>
      </c>
    </row>
    <row r="833" spans="1:19" x14ac:dyDescent="0.35">
      <c r="A833" t="s">
        <v>73</v>
      </c>
      <c r="B833" t="s">
        <v>12</v>
      </c>
      <c r="C833" t="s">
        <v>30</v>
      </c>
      <c r="D833" t="s">
        <v>14</v>
      </c>
      <c r="E833" t="s">
        <v>15</v>
      </c>
      <c r="F833" t="s">
        <v>39</v>
      </c>
      <c r="G833" t="s">
        <v>24</v>
      </c>
      <c r="H833" t="s">
        <v>209</v>
      </c>
      <c r="I833" t="s">
        <v>210</v>
      </c>
      <c r="J833" t="s">
        <v>43</v>
      </c>
      <c r="K833" t="s">
        <v>211</v>
      </c>
      <c r="L833" t="s">
        <v>212</v>
      </c>
      <c r="M833" t="s">
        <v>213</v>
      </c>
      <c r="N833" t="s">
        <v>214</v>
      </c>
      <c r="O833" t="s">
        <v>215</v>
      </c>
      <c r="P833" t="s">
        <v>216</v>
      </c>
      <c r="Q833" t="s">
        <v>217</v>
      </c>
      <c r="R833" t="s">
        <v>218</v>
      </c>
      <c r="S833" t="s">
        <v>265</v>
      </c>
    </row>
    <row r="834" spans="1:19" x14ac:dyDescent="0.35">
      <c r="A834" t="s">
        <v>143</v>
      </c>
      <c r="B834" t="s">
        <v>29</v>
      </c>
      <c r="C834" t="s">
        <v>13</v>
      </c>
      <c r="D834" t="s">
        <v>26</v>
      </c>
      <c r="E834" t="s">
        <v>22</v>
      </c>
      <c r="F834" t="s">
        <v>39</v>
      </c>
      <c r="G834" t="s">
        <v>24</v>
      </c>
      <c r="H834" t="s">
        <v>209</v>
      </c>
      <c r="I834" t="s">
        <v>244</v>
      </c>
      <c r="J834" t="s">
        <v>18</v>
      </c>
      <c r="K834" t="s">
        <v>211</v>
      </c>
      <c r="L834" t="s">
        <v>272</v>
      </c>
      <c r="M834" t="s">
        <v>273</v>
      </c>
      <c r="N834" t="s">
        <v>274</v>
      </c>
      <c r="O834" t="s">
        <v>215</v>
      </c>
      <c r="P834" t="s">
        <v>216</v>
      </c>
      <c r="Q834" t="s">
        <v>217</v>
      </c>
      <c r="R834" t="s">
        <v>218</v>
      </c>
      <c r="S834" t="s">
        <v>238</v>
      </c>
    </row>
    <row r="835" spans="1:19" x14ac:dyDescent="0.35">
      <c r="A835" t="s">
        <v>133</v>
      </c>
      <c r="B835" t="s">
        <v>20</v>
      </c>
      <c r="C835" t="s">
        <v>13</v>
      </c>
      <c r="D835" t="s">
        <v>26</v>
      </c>
      <c r="E835" t="s">
        <v>15</v>
      </c>
      <c r="F835" t="s">
        <v>52</v>
      </c>
      <c r="G835" t="s">
        <v>36</v>
      </c>
      <c r="H835" t="s">
        <v>291</v>
      </c>
      <c r="I835" t="s">
        <v>244</v>
      </c>
      <c r="J835" t="s">
        <v>27</v>
      </c>
      <c r="K835" t="s">
        <v>292</v>
      </c>
      <c r="L835" t="s">
        <v>317</v>
      </c>
      <c r="M835" t="s">
        <v>318</v>
      </c>
      <c r="N835" t="s">
        <v>319</v>
      </c>
      <c r="O835" t="s">
        <v>215</v>
      </c>
      <c r="P835" t="s">
        <v>216</v>
      </c>
      <c r="Q835" t="s">
        <v>217</v>
      </c>
      <c r="R835" t="s">
        <v>218</v>
      </c>
      <c r="S835" t="s">
        <v>265</v>
      </c>
    </row>
    <row r="836" spans="1:19" x14ac:dyDescent="0.35">
      <c r="A836" t="s">
        <v>153</v>
      </c>
      <c r="B836" t="s">
        <v>20</v>
      </c>
      <c r="C836" t="s">
        <v>21</v>
      </c>
      <c r="D836" t="s">
        <v>14</v>
      </c>
      <c r="E836" t="s">
        <v>15</v>
      </c>
      <c r="F836" t="s">
        <v>58</v>
      </c>
      <c r="G836" t="s">
        <v>24</v>
      </c>
      <c r="H836" t="s">
        <v>255</v>
      </c>
      <c r="I836" t="s">
        <v>240</v>
      </c>
      <c r="J836" t="s">
        <v>50</v>
      </c>
      <c r="K836" t="s">
        <v>256</v>
      </c>
      <c r="L836" t="s">
        <v>305</v>
      </c>
      <c r="M836" t="s">
        <v>306</v>
      </c>
      <c r="N836" t="s">
        <v>307</v>
      </c>
      <c r="O836" t="s">
        <v>215</v>
      </c>
      <c r="P836" t="s">
        <v>216</v>
      </c>
      <c r="Q836" t="s">
        <v>217</v>
      </c>
      <c r="R836" t="s">
        <v>218</v>
      </c>
      <c r="S836" t="s">
        <v>220</v>
      </c>
    </row>
    <row r="837" spans="1:19" x14ac:dyDescent="0.35">
      <c r="A837" t="s">
        <v>82</v>
      </c>
      <c r="B837" t="s">
        <v>29</v>
      </c>
      <c r="C837" t="s">
        <v>30</v>
      </c>
      <c r="D837" t="s">
        <v>14</v>
      </c>
      <c r="E837" t="s">
        <v>15</v>
      </c>
      <c r="F837" t="s">
        <v>31</v>
      </c>
      <c r="G837" t="s">
        <v>24</v>
      </c>
      <c r="H837" t="s">
        <v>252</v>
      </c>
      <c r="I837" t="s">
        <v>210</v>
      </c>
      <c r="J837" t="s">
        <v>43</v>
      </c>
      <c r="K837" t="s">
        <v>253</v>
      </c>
      <c r="L837" t="s">
        <v>289</v>
      </c>
      <c r="M837" t="s">
        <v>297</v>
      </c>
      <c r="N837" t="s">
        <v>231</v>
      </c>
      <c r="O837" t="s">
        <v>215</v>
      </c>
      <c r="P837" t="s">
        <v>216</v>
      </c>
      <c r="Q837" t="s">
        <v>217</v>
      </c>
      <c r="R837" t="s">
        <v>218</v>
      </c>
      <c r="S837" t="s">
        <v>238</v>
      </c>
    </row>
    <row r="838" spans="1:19" x14ac:dyDescent="0.35">
      <c r="A838" t="s">
        <v>67</v>
      </c>
      <c r="B838" t="s">
        <v>29</v>
      </c>
      <c r="C838" t="s">
        <v>21</v>
      </c>
      <c r="D838" t="s">
        <v>14</v>
      </c>
      <c r="E838" t="s">
        <v>22</v>
      </c>
      <c r="F838" t="s">
        <v>39</v>
      </c>
      <c r="G838" t="s">
        <v>24</v>
      </c>
      <c r="H838" t="s">
        <v>209</v>
      </c>
      <c r="I838" t="s">
        <v>210</v>
      </c>
      <c r="J838" t="s">
        <v>32</v>
      </c>
      <c r="K838" t="s">
        <v>211</v>
      </c>
      <c r="L838" t="s">
        <v>212</v>
      </c>
      <c r="M838" t="s">
        <v>213</v>
      </c>
      <c r="N838" t="s">
        <v>214</v>
      </c>
      <c r="O838" t="s">
        <v>215</v>
      </c>
      <c r="P838" t="s">
        <v>216</v>
      </c>
      <c r="Q838" t="s">
        <v>217</v>
      </c>
      <c r="R838" t="s">
        <v>218</v>
      </c>
      <c r="S838" t="s">
        <v>244</v>
      </c>
    </row>
    <row r="839" spans="1:19" x14ac:dyDescent="0.35">
      <c r="A839" t="s">
        <v>106</v>
      </c>
      <c r="B839" t="s">
        <v>20</v>
      </c>
      <c r="C839" t="s">
        <v>13</v>
      </c>
      <c r="D839" t="s">
        <v>26</v>
      </c>
      <c r="E839" t="s">
        <v>22</v>
      </c>
      <c r="F839" t="s">
        <v>58</v>
      </c>
      <c r="G839" t="s">
        <v>24</v>
      </c>
      <c r="H839" t="s">
        <v>255</v>
      </c>
      <c r="I839" t="s">
        <v>220</v>
      </c>
      <c r="J839" t="s">
        <v>27</v>
      </c>
      <c r="K839" t="s">
        <v>256</v>
      </c>
      <c r="L839" t="s">
        <v>303</v>
      </c>
      <c r="M839" t="s">
        <v>304</v>
      </c>
      <c r="N839" t="s">
        <v>256</v>
      </c>
      <c r="O839" t="s">
        <v>215</v>
      </c>
      <c r="P839" t="s">
        <v>216</v>
      </c>
      <c r="Q839" t="s">
        <v>217</v>
      </c>
      <c r="R839" t="s">
        <v>218</v>
      </c>
      <c r="S839" t="s">
        <v>220</v>
      </c>
    </row>
    <row r="840" spans="1:19" x14ac:dyDescent="0.35">
      <c r="A840" t="s">
        <v>72</v>
      </c>
      <c r="B840" t="s">
        <v>29</v>
      </c>
      <c r="C840" t="s">
        <v>38</v>
      </c>
      <c r="D840" t="s">
        <v>26</v>
      </c>
      <c r="E840" t="s">
        <v>22</v>
      </c>
      <c r="F840" t="s">
        <v>56</v>
      </c>
      <c r="G840" t="s">
        <v>36</v>
      </c>
      <c r="H840" t="s">
        <v>260</v>
      </c>
      <c r="I840" t="s">
        <v>220</v>
      </c>
      <c r="J840" t="s">
        <v>43</v>
      </c>
      <c r="K840" t="s">
        <v>261</v>
      </c>
      <c r="L840" t="s">
        <v>335</v>
      </c>
      <c r="M840" t="s">
        <v>336</v>
      </c>
      <c r="N840" t="s">
        <v>261</v>
      </c>
      <c r="O840" t="s">
        <v>215</v>
      </c>
      <c r="P840" t="s">
        <v>216</v>
      </c>
      <c r="Q840" t="s">
        <v>217</v>
      </c>
      <c r="R840" t="s">
        <v>218</v>
      </c>
      <c r="S840" t="s">
        <v>244</v>
      </c>
    </row>
    <row r="841" spans="1:19" x14ac:dyDescent="0.35">
      <c r="A841" t="s">
        <v>90</v>
      </c>
      <c r="B841" t="s">
        <v>29</v>
      </c>
      <c r="C841" t="s">
        <v>21</v>
      </c>
      <c r="D841" t="s">
        <v>26</v>
      </c>
      <c r="E841" t="s">
        <v>22</v>
      </c>
      <c r="F841" t="s">
        <v>23</v>
      </c>
      <c r="G841" t="s">
        <v>24</v>
      </c>
      <c r="H841" t="s">
        <v>239</v>
      </c>
      <c r="I841" t="s">
        <v>265</v>
      </c>
      <c r="J841" t="s">
        <v>54</v>
      </c>
      <c r="K841" t="s">
        <v>245</v>
      </c>
      <c r="L841" t="s">
        <v>252</v>
      </c>
      <c r="M841" t="s">
        <v>253</v>
      </c>
      <c r="N841" t="s">
        <v>313</v>
      </c>
      <c r="O841" t="s">
        <v>215</v>
      </c>
      <c r="P841" t="s">
        <v>216</v>
      </c>
      <c r="Q841" t="s">
        <v>217</v>
      </c>
      <c r="R841" t="s">
        <v>218</v>
      </c>
      <c r="S841" t="s">
        <v>244</v>
      </c>
    </row>
    <row r="842" spans="1:19" x14ac:dyDescent="0.35">
      <c r="A842" t="s">
        <v>33</v>
      </c>
      <c r="B842" t="s">
        <v>12</v>
      </c>
      <c r="C842" t="s">
        <v>30</v>
      </c>
      <c r="D842" t="s">
        <v>14</v>
      </c>
      <c r="E842" t="s">
        <v>22</v>
      </c>
      <c r="F842" t="s">
        <v>39</v>
      </c>
      <c r="G842" t="s">
        <v>24</v>
      </c>
      <c r="H842" t="s">
        <v>209</v>
      </c>
      <c r="I842" t="s">
        <v>240</v>
      </c>
      <c r="J842" t="s">
        <v>32</v>
      </c>
      <c r="K842" t="s">
        <v>211</v>
      </c>
      <c r="L842" t="s">
        <v>266</v>
      </c>
      <c r="M842" t="s">
        <v>267</v>
      </c>
      <c r="N842" t="s">
        <v>268</v>
      </c>
      <c r="O842" t="s">
        <v>215</v>
      </c>
      <c r="P842" t="s">
        <v>216</v>
      </c>
      <c r="Q842" t="s">
        <v>217</v>
      </c>
      <c r="R842" t="s">
        <v>218</v>
      </c>
      <c r="S842" t="s">
        <v>220</v>
      </c>
    </row>
    <row r="843" spans="1:19" x14ac:dyDescent="0.35">
      <c r="A843" t="s">
        <v>131</v>
      </c>
      <c r="B843" t="s">
        <v>29</v>
      </c>
      <c r="C843" t="s">
        <v>38</v>
      </c>
      <c r="D843" t="s">
        <v>26</v>
      </c>
      <c r="E843" t="s">
        <v>22</v>
      </c>
      <c r="F843" t="s">
        <v>39</v>
      </c>
      <c r="G843" t="s">
        <v>24</v>
      </c>
      <c r="H843" t="s">
        <v>209</v>
      </c>
      <c r="I843" t="s">
        <v>249</v>
      </c>
      <c r="J843" t="s">
        <v>54</v>
      </c>
      <c r="K843" t="s">
        <v>211</v>
      </c>
      <c r="L843" t="s">
        <v>213</v>
      </c>
      <c r="M843" t="s">
        <v>250</v>
      </c>
      <c r="N843" t="s">
        <v>251</v>
      </c>
      <c r="O843" t="s">
        <v>215</v>
      </c>
      <c r="P843" t="s">
        <v>216</v>
      </c>
      <c r="Q843" t="s">
        <v>217</v>
      </c>
      <c r="R843" t="s">
        <v>218</v>
      </c>
      <c r="S843" t="s">
        <v>238</v>
      </c>
    </row>
    <row r="844" spans="1:19" x14ac:dyDescent="0.35">
      <c r="A844" t="s">
        <v>67</v>
      </c>
      <c r="B844" t="s">
        <v>12</v>
      </c>
      <c r="C844" t="s">
        <v>21</v>
      </c>
      <c r="D844" t="s">
        <v>26</v>
      </c>
      <c r="E844" t="s">
        <v>22</v>
      </c>
      <c r="F844" t="s">
        <v>52</v>
      </c>
      <c r="G844" t="s">
        <v>36</v>
      </c>
      <c r="H844" t="s">
        <v>291</v>
      </c>
      <c r="I844" t="s">
        <v>244</v>
      </c>
      <c r="J844" t="s">
        <v>18</v>
      </c>
      <c r="K844" t="s">
        <v>292</v>
      </c>
      <c r="L844" t="s">
        <v>317</v>
      </c>
      <c r="M844" t="s">
        <v>318</v>
      </c>
      <c r="N844" t="s">
        <v>319</v>
      </c>
      <c r="O844" t="s">
        <v>215</v>
      </c>
      <c r="P844" t="s">
        <v>216</v>
      </c>
      <c r="Q844" t="s">
        <v>217</v>
      </c>
      <c r="R844" t="s">
        <v>218</v>
      </c>
      <c r="S844" t="s">
        <v>244</v>
      </c>
    </row>
    <row r="845" spans="1:19" x14ac:dyDescent="0.35">
      <c r="A845" t="s">
        <v>93</v>
      </c>
      <c r="B845" t="s">
        <v>34</v>
      </c>
      <c r="C845" t="s">
        <v>30</v>
      </c>
      <c r="D845" t="s">
        <v>26</v>
      </c>
      <c r="E845" t="s">
        <v>15</v>
      </c>
      <c r="F845" t="s">
        <v>23</v>
      </c>
      <c r="G845" t="s">
        <v>24</v>
      </c>
      <c r="H845" t="s">
        <v>239</v>
      </c>
      <c r="I845" t="s">
        <v>210</v>
      </c>
      <c r="J845" t="s">
        <v>32</v>
      </c>
      <c r="K845" t="s">
        <v>245</v>
      </c>
      <c r="L845" t="s">
        <v>224</v>
      </c>
      <c r="M845" t="s">
        <v>226</v>
      </c>
      <c r="N845" t="s">
        <v>252</v>
      </c>
      <c r="O845" t="s">
        <v>215</v>
      </c>
      <c r="P845" t="s">
        <v>216</v>
      </c>
      <c r="Q845" t="s">
        <v>217</v>
      </c>
      <c r="R845" t="s">
        <v>218</v>
      </c>
      <c r="S845" t="s">
        <v>220</v>
      </c>
    </row>
    <row r="846" spans="1:19" x14ac:dyDescent="0.35">
      <c r="A846" t="s">
        <v>144</v>
      </c>
      <c r="B846" t="s">
        <v>20</v>
      </c>
      <c r="C846" t="s">
        <v>30</v>
      </c>
      <c r="D846" t="s">
        <v>26</v>
      </c>
      <c r="E846" t="s">
        <v>15</v>
      </c>
      <c r="F846" t="s">
        <v>16</v>
      </c>
      <c r="G846" t="s">
        <v>17</v>
      </c>
      <c r="H846" t="s">
        <v>275</v>
      </c>
      <c r="I846" t="s">
        <v>230</v>
      </c>
      <c r="J846" t="s">
        <v>54</v>
      </c>
      <c r="K846" t="s">
        <v>276</v>
      </c>
      <c r="L846" t="s">
        <v>374</v>
      </c>
      <c r="M846" t="s">
        <v>375</v>
      </c>
      <c r="N846" t="s">
        <v>376</v>
      </c>
      <c r="O846" t="s">
        <v>215</v>
      </c>
      <c r="P846" t="s">
        <v>216</v>
      </c>
      <c r="Q846" t="s">
        <v>217</v>
      </c>
      <c r="R846" t="s">
        <v>218</v>
      </c>
      <c r="S846" t="s">
        <v>265</v>
      </c>
    </row>
    <row r="847" spans="1:19" x14ac:dyDescent="0.35">
      <c r="A847" t="s">
        <v>125</v>
      </c>
      <c r="B847" t="s">
        <v>12</v>
      </c>
      <c r="C847" t="s">
        <v>13</v>
      </c>
      <c r="D847" t="s">
        <v>14</v>
      </c>
      <c r="E847" t="s">
        <v>22</v>
      </c>
      <c r="F847" t="s">
        <v>23</v>
      </c>
      <c r="G847" t="s">
        <v>24</v>
      </c>
      <c r="H847" t="s">
        <v>239</v>
      </c>
      <c r="I847" t="s">
        <v>225</v>
      </c>
      <c r="J847" t="s">
        <v>18</v>
      </c>
      <c r="K847" t="s">
        <v>245</v>
      </c>
      <c r="L847" t="s">
        <v>229</v>
      </c>
      <c r="M847" t="s">
        <v>231</v>
      </c>
      <c r="N847" t="s">
        <v>239</v>
      </c>
      <c r="O847" t="s">
        <v>215</v>
      </c>
      <c r="P847" t="s">
        <v>216</v>
      </c>
      <c r="Q847" t="s">
        <v>217</v>
      </c>
      <c r="R847" t="s">
        <v>218</v>
      </c>
      <c r="S847" t="s">
        <v>220</v>
      </c>
    </row>
    <row r="848" spans="1:19" x14ac:dyDescent="0.35">
      <c r="A848" t="s">
        <v>67</v>
      </c>
      <c r="B848" t="s">
        <v>34</v>
      </c>
      <c r="C848" t="s">
        <v>13</v>
      </c>
      <c r="D848" t="s">
        <v>14</v>
      </c>
      <c r="E848" t="s">
        <v>22</v>
      </c>
      <c r="F848" t="s">
        <v>35</v>
      </c>
      <c r="G848" t="s">
        <v>36</v>
      </c>
      <c r="H848" t="s">
        <v>224</v>
      </c>
      <c r="I848" t="s">
        <v>225</v>
      </c>
      <c r="J848" t="s">
        <v>54</v>
      </c>
      <c r="K848" t="s">
        <v>226</v>
      </c>
      <c r="L848" t="s">
        <v>227</v>
      </c>
      <c r="M848" t="s">
        <v>228</v>
      </c>
      <c r="N848" t="s">
        <v>224</v>
      </c>
      <c r="O848" t="s">
        <v>215</v>
      </c>
      <c r="P848" t="s">
        <v>216</v>
      </c>
      <c r="Q848" t="s">
        <v>217</v>
      </c>
      <c r="R848" t="s">
        <v>218</v>
      </c>
      <c r="S848" t="s">
        <v>244</v>
      </c>
    </row>
    <row r="849" spans="1:19" x14ac:dyDescent="0.35">
      <c r="A849" t="s">
        <v>124</v>
      </c>
      <c r="B849" t="s">
        <v>12</v>
      </c>
      <c r="C849" t="s">
        <v>30</v>
      </c>
      <c r="D849" t="s">
        <v>26</v>
      </c>
      <c r="E849" t="s">
        <v>22</v>
      </c>
      <c r="F849" t="s">
        <v>16</v>
      </c>
      <c r="G849" t="s">
        <v>17</v>
      </c>
      <c r="H849" t="s">
        <v>275</v>
      </c>
      <c r="I849" t="s">
        <v>249</v>
      </c>
      <c r="J849" t="s">
        <v>32</v>
      </c>
      <c r="K849" t="s">
        <v>276</v>
      </c>
      <c r="L849" t="s">
        <v>315</v>
      </c>
      <c r="M849" t="s">
        <v>322</v>
      </c>
      <c r="N849" t="s">
        <v>323</v>
      </c>
      <c r="O849" t="s">
        <v>215</v>
      </c>
      <c r="P849" t="s">
        <v>216</v>
      </c>
      <c r="Q849" t="s">
        <v>217</v>
      </c>
      <c r="R849" t="s">
        <v>218</v>
      </c>
      <c r="S849" t="s">
        <v>238</v>
      </c>
    </row>
    <row r="850" spans="1:19" x14ac:dyDescent="0.35">
      <c r="A850" t="s">
        <v>55</v>
      </c>
      <c r="B850" t="s">
        <v>29</v>
      </c>
      <c r="C850" t="s">
        <v>38</v>
      </c>
      <c r="D850" t="s">
        <v>26</v>
      </c>
      <c r="E850" t="s">
        <v>22</v>
      </c>
      <c r="F850" t="s">
        <v>58</v>
      </c>
      <c r="G850" t="s">
        <v>24</v>
      </c>
      <c r="H850" t="s">
        <v>255</v>
      </c>
      <c r="I850" t="s">
        <v>230</v>
      </c>
      <c r="J850" t="s">
        <v>27</v>
      </c>
      <c r="K850" t="s">
        <v>256</v>
      </c>
      <c r="L850" t="s">
        <v>354</v>
      </c>
      <c r="M850" t="s">
        <v>355</v>
      </c>
      <c r="N850" t="s">
        <v>356</v>
      </c>
      <c r="O850" t="s">
        <v>215</v>
      </c>
      <c r="P850" t="s">
        <v>216</v>
      </c>
      <c r="Q850" t="s">
        <v>217</v>
      </c>
      <c r="R850" t="s">
        <v>218</v>
      </c>
      <c r="S850" t="s">
        <v>220</v>
      </c>
    </row>
    <row r="851" spans="1:19" x14ac:dyDescent="0.35">
      <c r="A851" t="s">
        <v>80</v>
      </c>
      <c r="B851" t="s">
        <v>34</v>
      </c>
      <c r="C851" t="s">
        <v>21</v>
      </c>
      <c r="D851" t="s">
        <v>14</v>
      </c>
      <c r="E851" t="s">
        <v>15</v>
      </c>
      <c r="F851" t="s">
        <v>16</v>
      </c>
      <c r="G851" t="s">
        <v>17</v>
      </c>
      <c r="H851" t="s">
        <v>275</v>
      </c>
      <c r="I851" t="s">
        <v>249</v>
      </c>
      <c r="J851" t="s">
        <v>27</v>
      </c>
      <c r="K851" t="s">
        <v>276</v>
      </c>
      <c r="L851" t="s">
        <v>315</v>
      </c>
      <c r="M851" t="s">
        <v>322</v>
      </c>
      <c r="N851" t="s">
        <v>323</v>
      </c>
      <c r="O851" t="s">
        <v>215</v>
      </c>
      <c r="P851" t="s">
        <v>216</v>
      </c>
      <c r="Q851" t="s">
        <v>217</v>
      </c>
      <c r="R851" t="s">
        <v>218</v>
      </c>
      <c r="S851" t="s">
        <v>265</v>
      </c>
    </row>
    <row r="852" spans="1:19" x14ac:dyDescent="0.35">
      <c r="A852" t="s">
        <v>154</v>
      </c>
      <c r="B852" t="s">
        <v>20</v>
      </c>
      <c r="C852" t="s">
        <v>38</v>
      </c>
      <c r="D852" t="s">
        <v>26</v>
      </c>
      <c r="E852" t="s">
        <v>15</v>
      </c>
      <c r="F852" t="s">
        <v>47</v>
      </c>
      <c r="G852" t="s">
        <v>36</v>
      </c>
      <c r="H852" t="s">
        <v>229</v>
      </c>
      <c r="I852" t="s">
        <v>225</v>
      </c>
      <c r="J852" t="s">
        <v>43</v>
      </c>
      <c r="K852" t="s">
        <v>231</v>
      </c>
      <c r="L852" t="s">
        <v>288</v>
      </c>
      <c r="M852" t="s">
        <v>289</v>
      </c>
      <c r="N852" t="s">
        <v>229</v>
      </c>
      <c r="O852" t="s">
        <v>215</v>
      </c>
      <c r="P852" t="s">
        <v>216</v>
      </c>
      <c r="Q852" t="s">
        <v>217</v>
      </c>
      <c r="R852" t="s">
        <v>218</v>
      </c>
      <c r="S852" t="s">
        <v>265</v>
      </c>
    </row>
    <row r="853" spans="1:19" x14ac:dyDescent="0.35">
      <c r="A853" t="s">
        <v>91</v>
      </c>
      <c r="B853" t="s">
        <v>20</v>
      </c>
      <c r="C853" t="s">
        <v>13</v>
      </c>
      <c r="D853" t="s">
        <v>14</v>
      </c>
      <c r="E853" t="s">
        <v>22</v>
      </c>
      <c r="F853" t="s">
        <v>31</v>
      </c>
      <c r="G853" t="s">
        <v>24</v>
      </c>
      <c r="H853" t="s">
        <v>252</v>
      </c>
      <c r="I853" t="s">
        <v>210</v>
      </c>
      <c r="J853" t="s">
        <v>27</v>
      </c>
      <c r="K853" t="s">
        <v>253</v>
      </c>
      <c r="L853" t="s">
        <v>289</v>
      </c>
      <c r="M853" t="s">
        <v>297</v>
      </c>
      <c r="N853" t="s">
        <v>231</v>
      </c>
      <c r="O853" t="s">
        <v>215</v>
      </c>
      <c r="P853" t="s">
        <v>216</v>
      </c>
      <c r="Q853" t="s">
        <v>217</v>
      </c>
      <c r="R853" t="s">
        <v>218</v>
      </c>
      <c r="S853" t="s">
        <v>220</v>
      </c>
    </row>
    <row r="854" spans="1:19" x14ac:dyDescent="0.35">
      <c r="A854" t="s">
        <v>152</v>
      </c>
      <c r="B854" t="s">
        <v>12</v>
      </c>
      <c r="C854" t="s">
        <v>30</v>
      </c>
      <c r="D854" t="s">
        <v>26</v>
      </c>
      <c r="E854" t="s">
        <v>15</v>
      </c>
      <c r="F854" t="s">
        <v>58</v>
      </c>
      <c r="G854" t="s">
        <v>24</v>
      </c>
      <c r="H854" t="s">
        <v>255</v>
      </c>
      <c r="I854" t="s">
        <v>238</v>
      </c>
      <c r="J854" t="s">
        <v>18</v>
      </c>
      <c r="K854" t="s">
        <v>256</v>
      </c>
      <c r="L854" t="s">
        <v>255</v>
      </c>
      <c r="M854" t="s">
        <v>256</v>
      </c>
      <c r="N854" t="s">
        <v>334</v>
      </c>
      <c r="O854" t="s">
        <v>215</v>
      </c>
      <c r="P854" t="s">
        <v>216</v>
      </c>
      <c r="Q854" t="s">
        <v>217</v>
      </c>
      <c r="R854" t="s">
        <v>218</v>
      </c>
      <c r="S854" t="s">
        <v>220</v>
      </c>
    </row>
    <row r="855" spans="1:19" x14ac:dyDescent="0.35">
      <c r="A855" t="s">
        <v>80</v>
      </c>
      <c r="B855" t="s">
        <v>34</v>
      </c>
      <c r="C855" t="s">
        <v>21</v>
      </c>
      <c r="D855" t="s">
        <v>26</v>
      </c>
      <c r="E855" t="s">
        <v>15</v>
      </c>
      <c r="F855" t="s">
        <v>23</v>
      </c>
      <c r="G855" t="s">
        <v>24</v>
      </c>
      <c r="H855" t="s">
        <v>239</v>
      </c>
      <c r="I855" t="s">
        <v>244</v>
      </c>
      <c r="J855" t="s">
        <v>32</v>
      </c>
      <c r="K855" t="s">
        <v>245</v>
      </c>
      <c r="L855" t="s">
        <v>246</v>
      </c>
      <c r="M855" t="s">
        <v>247</v>
      </c>
      <c r="N855" t="s">
        <v>248</v>
      </c>
      <c r="O855" t="s">
        <v>215</v>
      </c>
      <c r="P855" t="s">
        <v>216</v>
      </c>
      <c r="Q855" t="s">
        <v>217</v>
      </c>
      <c r="R855" t="s">
        <v>218</v>
      </c>
      <c r="S855" t="s">
        <v>265</v>
      </c>
    </row>
    <row r="856" spans="1:19" x14ac:dyDescent="0.35">
      <c r="A856" t="s">
        <v>53</v>
      </c>
      <c r="B856" t="s">
        <v>29</v>
      </c>
      <c r="C856" t="s">
        <v>21</v>
      </c>
      <c r="D856" t="s">
        <v>26</v>
      </c>
      <c r="E856" t="s">
        <v>15</v>
      </c>
      <c r="F856" t="s">
        <v>52</v>
      </c>
      <c r="G856" t="s">
        <v>36</v>
      </c>
      <c r="H856" t="s">
        <v>291</v>
      </c>
      <c r="I856" t="s">
        <v>238</v>
      </c>
      <c r="J856" t="s">
        <v>43</v>
      </c>
      <c r="K856" t="s">
        <v>292</v>
      </c>
      <c r="L856" t="s">
        <v>291</v>
      </c>
      <c r="M856" t="s">
        <v>292</v>
      </c>
      <c r="N856" t="s">
        <v>343</v>
      </c>
      <c r="O856" t="s">
        <v>215</v>
      </c>
      <c r="P856" t="s">
        <v>216</v>
      </c>
      <c r="Q856" t="s">
        <v>217</v>
      </c>
      <c r="R856" t="s">
        <v>218</v>
      </c>
      <c r="S856" t="s">
        <v>244</v>
      </c>
    </row>
    <row r="857" spans="1:19" x14ac:dyDescent="0.35">
      <c r="A857" t="s">
        <v>90</v>
      </c>
      <c r="B857" t="s">
        <v>20</v>
      </c>
      <c r="C857" t="s">
        <v>13</v>
      </c>
      <c r="D857" t="s">
        <v>14</v>
      </c>
      <c r="E857" t="s">
        <v>22</v>
      </c>
      <c r="F857" t="s">
        <v>23</v>
      </c>
      <c r="G857" t="s">
        <v>24</v>
      </c>
      <c r="H857" t="s">
        <v>239</v>
      </c>
      <c r="I857" t="s">
        <v>225</v>
      </c>
      <c r="J857" t="s">
        <v>54</v>
      </c>
      <c r="K857" t="s">
        <v>245</v>
      </c>
      <c r="L857" t="s">
        <v>229</v>
      </c>
      <c r="M857" t="s">
        <v>231</v>
      </c>
      <c r="N857" t="s">
        <v>239</v>
      </c>
      <c r="O857" t="s">
        <v>215</v>
      </c>
      <c r="P857" t="s">
        <v>216</v>
      </c>
      <c r="Q857" t="s">
        <v>217</v>
      </c>
      <c r="R857" t="s">
        <v>218</v>
      </c>
      <c r="S857" t="s">
        <v>244</v>
      </c>
    </row>
    <row r="858" spans="1:19" x14ac:dyDescent="0.35">
      <c r="A858" t="s">
        <v>89</v>
      </c>
      <c r="B858" t="s">
        <v>20</v>
      </c>
      <c r="C858" t="s">
        <v>38</v>
      </c>
      <c r="D858" t="s">
        <v>26</v>
      </c>
      <c r="E858" t="s">
        <v>15</v>
      </c>
      <c r="F858" t="s">
        <v>52</v>
      </c>
      <c r="G858" t="s">
        <v>36</v>
      </c>
      <c r="H858" t="s">
        <v>291</v>
      </c>
      <c r="I858" t="s">
        <v>230</v>
      </c>
      <c r="J858" t="s">
        <v>18</v>
      </c>
      <c r="K858" t="s">
        <v>292</v>
      </c>
      <c r="L858" t="s">
        <v>357</v>
      </c>
      <c r="M858" t="s">
        <v>358</v>
      </c>
      <c r="N858" t="s">
        <v>359</v>
      </c>
      <c r="O858" t="s">
        <v>215</v>
      </c>
      <c r="P858" t="s">
        <v>216</v>
      </c>
      <c r="Q858" t="s">
        <v>217</v>
      </c>
      <c r="R858" t="s">
        <v>218</v>
      </c>
      <c r="S858" t="s">
        <v>244</v>
      </c>
    </row>
    <row r="859" spans="1:19" x14ac:dyDescent="0.35">
      <c r="A859" t="s">
        <v>87</v>
      </c>
      <c r="B859" t="s">
        <v>29</v>
      </c>
      <c r="C859" t="s">
        <v>21</v>
      </c>
      <c r="D859" t="s">
        <v>14</v>
      </c>
      <c r="E859" t="s">
        <v>22</v>
      </c>
      <c r="F859" t="s">
        <v>39</v>
      </c>
      <c r="G859" t="s">
        <v>24</v>
      </c>
      <c r="H859" t="s">
        <v>209</v>
      </c>
      <c r="I859" t="s">
        <v>249</v>
      </c>
      <c r="J859" t="s">
        <v>50</v>
      </c>
      <c r="K859" t="s">
        <v>211</v>
      </c>
      <c r="L859" t="s">
        <v>213</v>
      </c>
      <c r="M859" t="s">
        <v>250</v>
      </c>
      <c r="N859" t="s">
        <v>251</v>
      </c>
      <c r="O859" t="s">
        <v>215</v>
      </c>
      <c r="P859" t="s">
        <v>216</v>
      </c>
      <c r="Q859" t="s">
        <v>217</v>
      </c>
      <c r="R859" t="s">
        <v>218</v>
      </c>
      <c r="S859" t="s">
        <v>244</v>
      </c>
    </row>
    <row r="860" spans="1:19" x14ac:dyDescent="0.35">
      <c r="A860" t="s">
        <v>123</v>
      </c>
      <c r="B860" t="s">
        <v>12</v>
      </c>
      <c r="C860" t="s">
        <v>38</v>
      </c>
      <c r="D860" t="s">
        <v>26</v>
      </c>
      <c r="E860" t="s">
        <v>22</v>
      </c>
      <c r="F860" t="s">
        <v>58</v>
      </c>
      <c r="G860" t="s">
        <v>24</v>
      </c>
      <c r="H860" t="s">
        <v>255</v>
      </c>
      <c r="I860" t="s">
        <v>244</v>
      </c>
      <c r="J860" t="s">
        <v>32</v>
      </c>
      <c r="K860" t="s">
        <v>256</v>
      </c>
      <c r="L860" t="s">
        <v>257</v>
      </c>
      <c r="M860" t="s">
        <v>258</v>
      </c>
      <c r="N860" t="s">
        <v>259</v>
      </c>
      <c r="O860" t="s">
        <v>215</v>
      </c>
      <c r="P860" t="s">
        <v>216</v>
      </c>
      <c r="Q860" t="s">
        <v>217</v>
      </c>
      <c r="R860" t="s">
        <v>218</v>
      </c>
      <c r="S860" t="s">
        <v>220</v>
      </c>
    </row>
    <row r="861" spans="1:19" x14ac:dyDescent="0.35">
      <c r="A861" t="s">
        <v>69</v>
      </c>
      <c r="B861" t="s">
        <v>20</v>
      </c>
      <c r="C861" t="s">
        <v>38</v>
      </c>
      <c r="D861" t="s">
        <v>14</v>
      </c>
      <c r="E861" t="s">
        <v>15</v>
      </c>
      <c r="F861" t="s">
        <v>52</v>
      </c>
      <c r="G861" t="s">
        <v>36</v>
      </c>
      <c r="H861" t="s">
        <v>291</v>
      </c>
      <c r="I861" t="s">
        <v>244</v>
      </c>
      <c r="J861" t="s">
        <v>18</v>
      </c>
      <c r="K861" t="s">
        <v>292</v>
      </c>
      <c r="L861" t="s">
        <v>317</v>
      </c>
      <c r="M861" t="s">
        <v>318</v>
      </c>
      <c r="N861" t="s">
        <v>319</v>
      </c>
      <c r="O861" t="s">
        <v>215</v>
      </c>
      <c r="P861" t="s">
        <v>216</v>
      </c>
      <c r="Q861" t="s">
        <v>217</v>
      </c>
      <c r="R861" t="s">
        <v>218</v>
      </c>
      <c r="S861" t="s">
        <v>238</v>
      </c>
    </row>
    <row r="862" spans="1:19" x14ac:dyDescent="0.35">
      <c r="A862" t="s">
        <v>130</v>
      </c>
      <c r="B862" t="s">
        <v>20</v>
      </c>
      <c r="C862" t="s">
        <v>30</v>
      </c>
      <c r="D862" t="s">
        <v>14</v>
      </c>
      <c r="E862" t="s">
        <v>15</v>
      </c>
      <c r="F862" t="s">
        <v>39</v>
      </c>
      <c r="G862" t="s">
        <v>24</v>
      </c>
      <c r="H862" t="s">
        <v>209</v>
      </c>
      <c r="I862" t="s">
        <v>225</v>
      </c>
      <c r="J862" t="s">
        <v>54</v>
      </c>
      <c r="K862" t="s">
        <v>211</v>
      </c>
      <c r="L862" t="s">
        <v>301</v>
      </c>
      <c r="M862" t="s">
        <v>302</v>
      </c>
      <c r="N862" t="s">
        <v>209</v>
      </c>
      <c r="O862" t="s">
        <v>215</v>
      </c>
      <c r="P862" t="s">
        <v>216</v>
      </c>
      <c r="Q862" t="s">
        <v>217</v>
      </c>
      <c r="R862" t="s">
        <v>218</v>
      </c>
      <c r="S862" t="s">
        <v>238</v>
      </c>
    </row>
    <row r="863" spans="1:19" x14ac:dyDescent="0.35">
      <c r="A863" t="s">
        <v>137</v>
      </c>
      <c r="B863" t="s">
        <v>12</v>
      </c>
      <c r="C863" t="s">
        <v>30</v>
      </c>
      <c r="D863" t="s">
        <v>26</v>
      </c>
      <c r="E863" t="s">
        <v>15</v>
      </c>
      <c r="F863" t="s">
        <v>58</v>
      </c>
      <c r="G863" t="s">
        <v>24</v>
      </c>
      <c r="H863" t="s">
        <v>255</v>
      </c>
      <c r="I863" t="s">
        <v>225</v>
      </c>
      <c r="J863" t="s">
        <v>32</v>
      </c>
      <c r="K863" t="s">
        <v>256</v>
      </c>
      <c r="L863" t="s">
        <v>324</v>
      </c>
      <c r="M863" t="s">
        <v>303</v>
      </c>
      <c r="N863" t="s">
        <v>255</v>
      </c>
      <c r="O863" t="s">
        <v>215</v>
      </c>
      <c r="P863" t="s">
        <v>216</v>
      </c>
      <c r="Q863" t="s">
        <v>217</v>
      </c>
      <c r="R863" t="s">
        <v>218</v>
      </c>
      <c r="S863" t="s">
        <v>238</v>
      </c>
    </row>
    <row r="864" spans="1:19" x14ac:dyDescent="0.35">
      <c r="A864" t="s">
        <v>73</v>
      </c>
      <c r="B864" t="s">
        <v>34</v>
      </c>
      <c r="C864" t="s">
        <v>38</v>
      </c>
      <c r="D864" t="s">
        <v>26</v>
      </c>
      <c r="E864" t="s">
        <v>15</v>
      </c>
      <c r="F864" t="s">
        <v>56</v>
      </c>
      <c r="G864" t="s">
        <v>36</v>
      </c>
      <c r="H864" t="s">
        <v>260</v>
      </c>
      <c r="I864" t="s">
        <v>265</v>
      </c>
      <c r="J864" t="s">
        <v>43</v>
      </c>
      <c r="K864" t="s">
        <v>261</v>
      </c>
      <c r="L864" t="s">
        <v>360</v>
      </c>
      <c r="M864" t="s">
        <v>264</v>
      </c>
      <c r="N864" t="s">
        <v>361</v>
      </c>
      <c r="O864" t="s">
        <v>215</v>
      </c>
      <c r="P864" t="s">
        <v>216</v>
      </c>
      <c r="Q864" t="s">
        <v>217</v>
      </c>
      <c r="R864" t="s">
        <v>218</v>
      </c>
      <c r="S864" t="s">
        <v>265</v>
      </c>
    </row>
    <row r="865" spans="1:19" x14ac:dyDescent="0.35">
      <c r="A865" t="s">
        <v>128</v>
      </c>
      <c r="B865" t="s">
        <v>20</v>
      </c>
      <c r="C865" t="s">
        <v>30</v>
      </c>
      <c r="D865" t="s">
        <v>26</v>
      </c>
      <c r="E865" t="s">
        <v>15</v>
      </c>
      <c r="F865" t="s">
        <v>52</v>
      </c>
      <c r="G865" t="s">
        <v>36</v>
      </c>
      <c r="H865" t="s">
        <v>291</v>
      </c>
      <c r="I865" t="s">
        <v>244</v>
      </c>
      <c r="J865" t="s">
        <v>43</v>
      </c>
      <c r="K865" t="s">
        <v>292</v>
      </c>
      <c r="L865" t="s">
        <v>317</v>
      </c>
      <c r="M865" t="s">
        <v>318</v>
      </c>
      <c r="N865" t="s">
        <v>319</v>
      </c>
      <c r="O865" t="s">
        <v>215</v>
      </c>
      <c r="P865" t="s">
        <v>216</v>
      </c>
      <c r="Q865" t="s">
        <v>217</v>
      </c>
      <c r="R865" t="s">
        <v>218</v>
      </c>
      <c r="S865" t="s">
        <v>220</v>
      </c>
    </row>
    <row r="866" spans="1:19" x14ac:dyDescent="0.35">
      <c r="A866" t="s">
        <v>131</v>
      </c>
      <c r="B866" t="s">
        <v>20</v>
      </c>
      <c r="C866" t="s">
        <v>21</v>
      </c>
      <c r="D866" t="s">
        <v>26</v>
      </c>
      <c r="E866" t="s">
        <v>15</v>
      </c>
      <c r="F866" t="s">
        <v>52</v>
      </c>
      <c r="G866" t="s">
        <v>36</v>
      </c>
      <c r="H866" t="s">
        <v>291</v>
      </c>
      <c r="I866" t="s">
        <v>249</v>
      </c>
      <c r="J866" t="s">
        <v>32</v>
      </c>
      <c r="K866" t="s">
        <v>292</v>
      </c>
      <c r="L866" t="s">
        <v>299</v>
      </c>
      <c r="M866" t="s">
        <v>300</v>
      </c>
      <c r="N866" t="s">
        <v>293</v>
      </c>
      <c r="O866" t="s">
        <v>215</v>
      </c>
      <c r="P866" t="s">
        <v>216</v>
      </c>
      <c r="Q866" t="s">
        <v>217</v>
      </c>
      <c r="R866" t="s">
        <v>218</v>
      </c>
      <c r="S866" t="s">
        <v>238</v>
      </c>
    </row>
    <row r="867" spans="1:19" x14ac:dyDescent="0.35">
      <c r="A867" t="s">
        <v>91</v>
      </c>
      <c r="B867" t="s">
        <v>20</v>
      </c>
      <c r="C867" t="s">
        <v>13</v>
      </c>
      <c r="D867" t="s">
        <v>26</v>
      </c>
      <c r="E867" t="s">
        <v>15</v>
      </c>
      <c r="F867" t="s">
        <v>52</v>
      </c>
      <c r="G867" t="s">
        <v>36</v>
      </c>
      <c r="H867" t="s">
        <v>291</v>
      </c>
      <c r="I867" t="s">
        <v>230</v>
      </c>
      <c r="J867" t="s">
        <v>18</v>
      </c>
      <c r="K867" t="s">
        <v>292</v>
      </c>
      <c r="L867" t="s">
        <v>357</v>
      </c>
      <c r="M867" t="s">
        <v>358</v>
      </c>
      <c r="N867" t="s">
        <v>359</v>
      </c>
      <c r="O867" t="s">
        <v>215</v>
      </c>
      <c r="P867" t="s">
        <v>216</v>
      </c>
      <c r="Q867" t="s">
        <v>217</v>
      </c>
      <c r="R867" t="s">
        <v>218</v>
      </c>
      <c r="S867" t="s">
        <v>220</v>
      </c>
    </row>
    <row r="868" spans="1:19" x14ac:dyDescent="0.35">
      <c r="A868" t="s">
        <v>28</v>
      </c>
      <c r="B868" t="s">
        <v>12</v>
      </c>
      <c r="C868" t="s">
        <v>30</v>
      </c>
      <c r="D868" t="s">
        <v>26</v>
      </c>
      <c r="E868" t="s">
        <v>15</v>
      </c>
      <c r="F868" t="s">
        <v>41</v>
      </c>
      <c r="G868" t="s">
        <v>17</v>
      </c>
      <c r="H868" t="s">
        <v>219</v>
      </c>
      <c r="I868" t="s">
        <v>240</v>
      </c>
      <c r="J868" t="s">
        <v>32</v>
      </c>
      <c r="K868" t="s">
        <v>221</v>
      </c>
      <c r="L868" t="s">
        <v>241</v>
      </c>
      <c r="M868" t="s">
        <v>242</v>
      </c>
      <c r="N868" t="s">
        <v>243</v>
      </c>
      <c r="O868" t="s">
        <v>215</v>
      </c>
      <c r="P868" t="s">
        <v>216</v>
      </c>
      <c r="Q868" t="s">
        <v>217</v>
      </c>
      <c r="R868" t="s">
        <v>218</v>
      </c>
      <c r="S868" t="s">
        <v>220</v>
      </c>
    </row>
    <row r="869" spans="1:19" x14ac:dyDescent="0.35">
      <c r="A869" t="s">
        <v>64</v>
      </c>
      <c r="B869" t="s">
        <v>34</v>
      </c>
      <c r="C869" t="s">
        <v>30</v>
      </c>
      <c r="D869" t="s">
        <v>26</v>
      </c>
      <c r="E869" t="s">
        <v>15</v>
      </c>
      <c r="F869" t="s">
        <v>31</v>
      </c>
      <c r="G869" t="s">
        <v>24</v>
      </c>
      <c r="H869" t="s">
        <v>252</v>
      </c>
      <c r="I869" t="s">
        <v>244</v>
      </c>
      <c r="J869" t="s">
        <v>32</v>
      </c>
      <c r="K869" t="s">
        <v>253</v>
      </c>
      <c r="L869" t="s">
        <v>209</v>
      </c>
      <c r="M869" t="s">
        <v>211</v>
      </c>
      <c r="N869" t="s">
        <v>254</v>
      </c>
      <c r="O869" t="s">
        <v>215</v>
      </c>
      <c r="P869" t="s">
        <v>216</v>
      </c>
      <c r="Q869" t="s">
        <v>217</v>
      </c>
      <c r="R869" t="s">
        <v>218</v>
      </c>
      <c r="S869" t="s">
        <v>265</v>
      </c>
    </row>
    <row r="870" spans="1:19" x14ac:dyDescent="0.35">
      <c r="A870" t="s">
        <v>121</v>
      </c>
      <c r="B870" t="s">
        <v>12</v>
      </c>
      <c r="C870" t="s">
        <v>13</v>
      </c>
      <c r="D870" t="s">
        <v>26</v>
      </c>
      <c r="E870" t="s">
        <v>22</v>
      </c>
      <c r="F870" t="s">
        <v>16</v>
      </c>
      <c r="G870" t="s">
        <v>17</v>
      </c>
      <c r="H870" t="s">
        <v>275</v>
      </c>
      <c r="I870" t="s">
        <v>249</v>
      </c>
      <c r="J870" t="s">
        <v>18</v>
      </c>
      <c r="K870" t="s">
        <v>276</v>
      </c>
      <c r="L870" t="s">
        <v>315</v>
      </c>
      <c r="M870" t="s">
        <v>322</v>
      </c>
      <c r="N870" t="s">
        <v>323</v>
      </c>
      <c r="O870" t="s">
        <v>215</v>
      </c>
      <c r="P870" t="s">
        <v>216</v>
      </c>
      <c r="Q870" t="s">
        <v>217</v>
      </c>
      <c r="R870" t="s">
        <v>218</v>
      </c>
      <c r="S870" t="s">
        <v>265</v>
      </c>
    </row>
    <row r="871" spans="1:19" x14ac:dyDescent="0.35">
      <c r="A871" t="s">
        <v>48</v>
      </c>
      <c r="B871" t="s">
        <v>12</v>
      </c>
      <c r="C871" t="s">
        <v>13</v>
      </c>
      <c r="D871" t="s">
        <v>26</v>
      </c>
      <c r="E871" t="s">
        <v>22</v>
      </c>
      <c r="F871" t="s">
        <v>39</v>
      </c>
      <c r="G871" t="s">
        <v>24</v>
      </c>
      <c r="H871" t="s">
        <v>209</v>
      </c>
      <c r="I871" t="s">
        <v>269</v>
      </c>
      <c r="J871" t="s">
        <v>43</v>
      </c>
      <c r="K871" t="s">
        <v>211</v>
      </c>
      <c r="L871" t="s">
        <v>371</v>
      </c>
      <c r="M871" t="s">
        <v>372</v>
      </c>
      <c r="N871" t="s">
        <v>373</v>
      </c>
      <c r="O871" t="s">
        <v>215</v>
      </c>
      <c r="P871" t="s">
        <v>216</v>
      </c>
      <c r="Q871" t="s">
        <v>217</v>
      </c>
      <c r="R871" t="s">
        <v>218</v>
      </c>
      <c r="S871" t="s">
        <v>238</v>
      </c>
    </row>
    <row r="872" spans="1:19" x14ac:dyDescent="0.35">
      <c r="A872" t="s">
        <v>109</v>
      </c>
      <c r="B872" t="s">
        <v>12</v>
      </c>
      <c r="C872" t="s">
        <v>30</v>
      </c>
      <c r="D872" t="s">
        <v>26</v>
      </c>
      <c r="E872" t="s">
        <v>22</v>
      </c>
      <c r="F872" t="s">
        <v>58</v>
      </c>
      <c r="G872" t="s">
        <v>24</v>
      </c>
      <c r="H872" t="s">
        <v>255</v>
      </c>
      <c r="I872" t="s">
        <v>225</v>
      </c>
      <c r="J872" t="s">
        <v>43</v>
      </c>
      <c r="K872" t="s">
        <v>256</v>
      </c>
      <c r="L872" t="s">
        <v>324</v>
      </c>
      <c r="M872" t="s">
        <v>303</v>
      </c>
      <c r="N872" t="s">
        <v>255</v>
      </c>
      <c r="O872" t="s">
        <v>215</v>
      </c>
      <c r="P872" t="s">
        <v>216</v>
      </c>
      <c r="Q872" t="s">
        <v>217</v>
      </c>
      <c r="R872" t="s">
        <v>218</v>
      </c>
      <c r="S872" t="s">
        <v>265</v>
      </c>
    </row>
    <row r="873" spans="1:19" x14ac:dyDescent="0.35">
      <c r="A873" t="s">
        <v>130</v>
      </c>
      <c r="B873" t="s">
        <v>29</v>
      </c>
      <c r="C873" t="s">
        <v>30</v>
      </c>
      <c r="D873" t="s">
        <v>26</v>
      </c>
      <c r="E873" t="s">
        <v>22</v>
      </c>
      <c r="F873" t="s">
        <v>39</v>
      </c>
      <c r="G873" t="s">
        <v>24</v>
      </c>
      <c r="H873" t="s">
        <v>209</v>
      </c>
      <c r="I873" t="s">
        <v>225</v>
      </c>
      <c r="J873" t="s">
        <v>43</v>
      </c>
      <c r="K873" t="s">
        <v>211</v>
      </c>
      <c r="L873" t="s">
        <v>301</v>
      </c>
      <c r="M873" t="s">
        <v>302</v>
      </c>
      <c r="N873" t="s">
        <v>209</v>
      </c>
      <c r="O873" t="s">
        <v>215</v>
      </c>
      <c r="P873" t="s">
        <v>216</v>
      </c>
      <c r="Q873" t="s">
        <v>217</v>
      </c>
      <c r="R873" t="s">
        <v>218</v>
      </c>
      <c r="S873" t="s">
        <v>238</v>
      </c>
    </row>
    <row r="874" spans="1:19" x14ac:dyDescent="0.35">
      <c r="A874" t="s">
        <v>103</v>
      </c>
      <c r="B874" t="s">
        <v>12</v>
      </c>
      <c r="C874" t="s">
        <v>21</v>
      </c>
      <c r="D874" t="s">
        <v>26</v>
      </c>
      <c r="E874" t="s">
        <v>15</v>
      </c>
      <c r="F874" t="s">
        <v>31</v>
      </c>
      <c r="G874" t="s">
        <v>24</v>
      </c>
      <c r="H874" t="s">
        <v>252</v>
      </c>
      <c r="I874" t="s">
        <v>230</v>
      </c>
      <c r="J874" t="s">
        <v>18</v>
      </c>
      <c r="K874" t="s">
        <v>253</v>
      </c>
      <c r="L874" t="s">
        <v>291</v>
      </c>
      <c r="M874" t="s">
        <v>292</v>
      </c>
      <c r="N874" t="s">
        <v>343</v>
      </c>
      <c r="O874" t="s">
        <v>215</v>
      </c>
      <c r="P874" t="s">
        <v>216</v>
      </c>
      <c r="Q874" t="s">
        <v>217</v>
      </c>
      <c r="R874" t="s">
        <v>218</v>
      </c>
      <c r="S874" t="s">
        <v>244</v>
      </c>
    </row>
    <row r="875" spans="1:19" x14ac:dyDescent="0.35">
      <c r="A875" t="s">
        <v>91</v>
      </c>
      <c r="B875" t="s">
        <v>29</v>
      </c>
      <c r="C875" t="s">
        <v>30</v>
      </c>
      <c r="D875" t="s">
        <v>26</v>
      </c>
      <c r="E875" t="s">
        <v>22</v>
      </c>
      <c r="F875" t="s">
        <v>47</v>
      </c>
      <c r="G875" t="s">
        <v>36</v>
      </c>
      <c r="H875" t="s">
        <v>229</v>
      </c>
      <c r="I875" t="s">
        <v>230</v>
      </c>
      <c r="J875" t="s">
        <v>43</v>
      </c>
      <c r="K875" t="s">
        <v>231</v>
      </c>
      <c r="L875" t="s">
        <v>232</v>
      </c>
      <c r="M875" t="s">
        <v>233</v>
      </c>
      <c r="N875" t="s">
        <v>234</v>
      </c>
      <c r="O875" t="s">
        <v>215</v>
      </c>
      <c r="P875" t="s">
        <v>216</v>
      </c>
      <c r="Q875" t="s">
        <v>217</v>
      </c>
      <c r="R875" t="s">
        <v>218</v>
      </c>
      <c r="S875" t="s">
        <v>220</v>
      </c>
    </row>
    <row r="876" spans="1:19" x14ac:dyDescent="0.35">
      <c r="A876" t="s">
        <v>99</v>
      </c>
      <c r="B876" t="s">
        <v>20</v>
      </c>
      <c r="C876" t="s">
        <v>13</v>
      </c>
      <c r="D876" t="s">
        <v>26</v>
      </c>
      <c r="E876" t="s">
        <v>22</v>
      </c>
      <c r="F876" t="s">
        <v>23</v>
      </c>
      <c r="G876" t="s">
        <v>24</v>
      </c>
      <c r="H876" t="s">
        <v>239</v>
      </c>
      <c r="I876" t="s">
        <v>220</v>
      </c>
      <c r="J876" t="s">
        <v>50</v>
      </c>
      <c r="K876" t="s">
        <v>245</v>
      </c>
      <c r="L876" t="s">
        <v>231</v>
      </c>
      <c r="M876" t="s">
        <v>311</v>
      </c>
      <c r="N876" t="s">
        <v>245</v>
      </c>
      <c r="O876" t="s">
        <v>215</v>
      </c>
      <c r="P876" t="s">
        <v>216</v>
      </c>
      <c r="Q876" t="s">
        <v>217</v>
      </c>
      <c r="R876" t="s">
        <v>218</v>
      </c>
      <c r="S876" t="s">
        <v>220</v>
      </c>
    </row>
    <row r="877" spans="1:19" x14ac:dyDescent="0.35">
      <c r="A877" t="s">
        <v>143</v>
      </c>
      <c r="B877" t="s">
        <v>12</v>
      </c>
      <c r="C877" t="s">
        <v>38</v>
      </c>
      <c r="D877" t="s">
        <v>26</v>
      </c>
      <c r="E877" t="s">
        <v>22</v>
      </c>
      <c r="F877" t="s">
        <v>52</v>
      </c>
      <c r="G877" t="s">
        <v>36</v>
      </c>
      <c r="H877" t="s">
        <v>291</v>
      </c>
      <c r="I877" t="s">
        <v>238</v>
      </c>
      <c r="J877" t="s">
        <v>50</v>
      </c>
      <c r="K877" t="s">
        <v>292</v>
      </c>
      <c r="L877" t="s">
        <v>291</v>
      </c>
      <c r="M877" t="s">
        <v>292</v>
      </c>
      <c r="N877" t="s">
        <v>343</v>
      </c>
      <c r="O877" t="s">
        <v>215</v>
      </c>
      <c r="P877" t="s">
        <v>216</v>
      </c>
      <c r="Q877" t="s">
        <v>217</v>
      </c>
      <c r="R877" t="s">
        <v>218</v>
      </c>
      <c r="S877" t="s">
        <v>238</v>
      </c>
    </row>
    <row r="878" spans="1:19" x14ac:dyDescent="0.35">
      <c r="A878" t="s">
        <v>110</v>
      </c>
      <c r="B878" t="s">
        <v>12</v>
      </c>
      <c r="C878" t="s">
        <v>30</v>
      </c>
      <c r="D878" t="s">
        <v>26</v>
      </c>
      <c r="E878" t="s">
        <v>22</v>
      </c>
      <c r="F878" t="s">
        <v>52</v>
      </c>
      <c r="G878" t="s">
        <v>36</v>
      </c>
      <c r="H878" t="s">
        <v>291</v>
      </c>
      <c r="I878" t="s">
        <v>220</v>
      </c>
      <c r="J878" t="s">
        <v>43</v>
      </c>
      <c r="K878" t="s">
        <v>292</v>
      </c>
      <c r="L878" t="s">
        <v>333</v>
      </c>
      <c r="M878" t="s">
        <v>345</v>
      </c>
      <c r="N878" t="s">
        <v>292</v>
      </c>
      <c r="O878" t="s">
        <v>215</v>
      </c>
      <c r="P878" t="s">
        <v>216</v>
      </c>
      <c r="Q878" t="s">
        <v>217</v>
      </c>
      <c r="R878" t="s">
        <v>218</v>
      </c>
      <c r="S878" t="s">
        <v>265</v>
      </c>
    </row>
    <row r="879" spans="1:19" x14ac:dyDescent="0.35">
      <c r="A879" t="s">
        <v>121</v>
      </c>
      <c r="B879" t="s">
        <v>34</v>
      </c>
      <c r="C879" t="s">
        <v>30</v>
      </c>
      <c r="D879" t="s">
        <v>26</v>
      </c>
      <c r="E879" t="s">
        <v>15</v>
      </c>
      <c r="F879" t="s">
        <v>16</v>
      </c>
      <c r="G879" t="s">
        <v>17</v>
      </c>
      <c r="H879" t="s">
        <v>275</v>
      </c>
      <c r="I879" t="s">
        <v>220</v>
      </c>
      <c r="J879" t="s">
        <v>43</v>
      </c>
      <c r="K879" t="s">
        <v>276</v>
      </c>
      <c r="L879" t="s">
        <v>337</v>
      </c>
      <c r="M879" t="s">
        <v>338</v>
      </c>
      <c r="N879" t="s">
        <v>276</v>
      </c>
      <c r="O879" t="s">
        <v>215</v>
      </c>
      <c r="P879" t="s">
        <v>216</v>
      </c>
      <c r="Q879" t="s">
        <v>217</v>
      </c>
      <c r="R879" t="s">
        <v>218</v>
      </c>
      <c r="S879" t="s">
        <v>265</v>
      </c>
    </row>
    <row r="880" spans="1:19" x14ac:dyDescent="0.35">
      <c r="A880" t="s">
        <v>148</v>
      </c>
      <c r="B880" t="s">
        <v>12</v>
      </c>
      <c r="C880" t="s">
        <v>21</v>
      </c>
      <c r="D880" t="s">
        <v>26</v>
      </c>
      <c r="E880" t="s">
        <v>22</v>
      </c>
      <c r="F880" t="s">
        <v>41</v>
      </c>
      <c r="G880" t="s">
        <v>17</v>
      </c>
      <c r="H880" t="s">
        <v>219</v>
      </c>
      <c r="I880" t="s">
        <v>225</v>
      </c>
      <c r="J880" t="s">
        <v>32</v>
      </c>
      <c r="K880" t="s">
        <v>221</v>
      </c>
      <c r="L880" t="s">
        <v>263</v>
      </c>
      <c r="M880" t="s">
        <v>222</v>
      </c>
      <c r="N880" t="s">
        <v>219</v>
      </c>
      <c r="O880" t="s">
        <v>215</v>
      </c>
      <c r="P880" t="s">
        <v>216</v>
      </c>
      <c r="Q880" t="s">
        <v>217</v>
      </c>
      <c r="R880" t="s">
        <v>218</v>
      </c>
      <c r="S880" t="s">
        <v>220</v>
      </c>
    </row>
    <row r="881" spans="1:19" x14ac:dyDescent="0.35">
      <c r="A881" t="s">
        <v>70</v>
      </c>
      <c r="B881" t="s">
        <v>20</v>
      </c>
      <c r="C881" t="s">
        <v>13</v>
      </c>
      <c r="D881" t="s">
        <v>26</v>
      </c>
      <c r="E881" t="s">
        <v>22</v>
      </c>
      <c r="F881" t="s">
        <v>16</v>
      </c>
      <c r="G881" t="s">
        <v>17</v>
      </c>
      <c r="H881" t="s">
        <v>275</v>
      </c>
      <c r="I881" t="s">
        <v>220</v>
      </c>
      <c r="J881" t="s">
        <v>32</v>
      </c>
      <c r="K881" t="s">
        <v>276</v>
      </c>
      <c r="L881" t="s">
        <v>337</v>
      </c>
      <c r="M881" t="s">
        <v>338</v>
      </c>
      <c r="N881" t="s">
        <v>276</v>
      </c>
      <c r="O881" t="s">
        <v>215</v>
      </c>
      <c r="P881" t="s">
        <v>216</v>
      </c>
      <c r="Q881" t="s">
        <v>217</v>
      </c>
      <c r="R881" t="s">
        <v>218</v>
      </c>
      <c r="S881" t="s">
        <v>265</v>
      </c>
    </row>
    <row r="882" spans="1:19" x14ac:dyDescent="0.35">
      <c r="A882" t="s">
        <v>159</v>
      </c>
      <c r="B882" t="s">
        <v>12</v>
      </c>
      <c r="C882" t="s">
        <v>13</v>
      </c>
      <c r="D882" t="s">
        <v>26</v>
      </c>
      <c r="E882" t="s">
        <v>22</v>
      </c>
      <c r="F882" t="s">
        <v>52</v>
      </c>
      <c r="G882" t="s">
        <v>36</v>
      </c>
      <c r="H882" t="s">
        <v>291</v>
      </c>
      <c r="I882" t="s">
        <v>230</v>
      </c>
      <c r="J882" t="s">
        <v>54</v>
      </c>
      <c r="K882" t="s">
        <v>292</v>
      </c>
      <c r="L882" t="s">
        <v>357</v>
      </c>
      <c r="M882" t="s">
        <v>358</v>
      </c>
      <c r="N882" t="s">
        <v>359</v>
      </c>
      <c r="O882" t="s">
        <v>215</v>
      </c>
      <c r="P882" t="s">
        <v>216</v>
      </c>
      <c r="Q882" t="s">
        <v>217</v>
      </c>
      <c r="R882" t="s">
        <v>218</v>
      </c>
      <c r="S882" t="s">
        <v>265</v>
      </c>
    </row>
    <row r="883" spans="1:19" x14ac:dyDescent="0.35">
      <c r="A883" t="s">
        <v>115</v>
      </c>
      <c r="B883" t="s">
        <v>12</v>
      </c>
      <c r="C883" t="s">
        <v>30</v>
      </c>
      <c r="D883" t="s">
        <v>26</v>
      </c>
      <c r="E883" t="s">
        <v>15</v>
      </c>
      <c r="F883" t="s">
        <v>23</v>
      </c>
      <c r="G883" t="s">
        <v>24</v>
      </c>
      <c r="H883" t="s">
        <v>239</v>
      </c>
      <c r="I883" t="s">
        <v>210</v>
      </c>
      <c r="J883" t="s">
        <v>32</v>
      </c>
      <c r="K883" t="s">
        <v>245</v>
      </c>
      <c r="L883" t="s">
        <v>224</v>
      </c>
      <c r="M883" t="s">
        <v>226</v>
      </c>
      <c r="N883" t="s">
        <v>252</v>
      </c>
      <c r="O883" t="s">
        <v>215</v>
      </c>
      <c r="P883" t="s">
        <v>216</v>
      </c>
      <c r="Q883" t="s">
        <v>217</v>
      </c>
      <c r="R883" t="s">
        <v>218</v>
      </c>
      <c r="S883" t="s">
        <v>238</v>
      </c>
    </row>
    <row r="884" spans="1:19" x14ac:dyDescent="0.35">
      <c r="A884" t="s">
        <v>44</v>
      </c>
      <c r="B884" t="s">
        <v>12</v>
      </c>
      <c r="C884" t="s">
        <v>30</v>
      </c>
      <c r="D884" t="s">
        <v>26</v>
      </c>
      <c r="E884" t="s">
        <v>15</v>
      </c>
      <c r="F884" t="s">
        <v>47</v>
      </c>
      <c r="G884" t="s">
        <v>36</v>
      </c>
      <c r="H884" t="s">
        <v>229</v>
      </c>
      <c r="I884" t="s">
        <v>210</v>
      </c>
      <c r="J884" t="s">
        <v>32</v>
      </c>
      <c r="K884" t="s">
        <v>231</v>
      </c>
      <c r="L884" t="s">
        <v>227</v>
      </c>
      <c r="M884" t="s">
        <v>228</v>
      </c>
      <c r="N884" t="s">
        <v>224</v>
      </c>
      <c r="O884" t="s">
        <v>215</v>
      </c>
      <c r="P884" t="s">
        <v>216</v>
      </c>
      <c r="Q884" t="s">
        <v>217</v>
      </c>
      <c r="R884" t="s">
        <v>218</v>
      </c>
      <c r="S884" t="s">
        <v>244</v>
      </c>
    </row>
    <row r="885" spans="1:19" x14ac:dyDescent="0.35">
      <c r="A885" t="s">
        <v>137</v>
      </c>
      <c r="B885" t="s">
        <v>29</v>
      </c>
      <c r="C885" t="s">
        <v>13</v>
      </c>
      <c r="D885" t="s">
        <v>26</v>
      </c>
      <c r="E885" t="s">
        <v>22</v>
      </c>
      <c r="F885" t="s">
        <v>56</v>
      </c>
      <c r="G885" t="s">
        <v>36</v>
      </c>
      <c r="H885" t="s">
        <v>260</v>
      </c>
      <c r="I885" t="s">
        <v>220</v>
      </c>
      <c r="J885" t="s">
        <v>50</v>
      </c>
      <c r="K885" t="s">
        <v>261</v>
      </c>
      <c r="L885" t="s">
        <v>335</v>
      </c>
      <c r="M885" t="s">
        <v>336</v>
      </c>
      <c r="N885" t="s">
        <v>261</v>
      </c>
      <c r="O885" t="s">
        <v>215</v>
      </c>
      <c r="P885" t="s">
        <v>216</v>
      </c>
      <c r="Q885" t="s">
        <v>217</v>
      </c>
      <c r="R885" t="s">
        <v>218</v>
      </c>
      <c r="S885" t="s">
        <v>238</v>
      </c>
    </row>
    <row r="886" spans="1:19" x14ac:dyDescent="0.35">
      <c r="A886" t="s">
        <v>117</v>
      </c>
      <c r="B886" t="s">
        <v>20</v>
      </c>
      <c r="C886" t="s">
        <v>38</v>
      </c>
      <c r="D886" t="s">
        <v>14</v>
      </c>
      <c r="E886" t="s">
        <v>15</v>
      </c>
      <c r="F886" t="s">
        <v>58</v>
      </c>
      <c r="G886" t="s">
        <v>24</v>
      </c>
      <c r="H886" t="s">
        <v>255</v>
      </c>
      <c r="I886" t="s">
        <v>240</v>
      </c>
      <c r="J886" t="s">
        <v>50</v>
      </c>
      <c r="K886" t="s">
        <v>256</v>
      </c>
      <c r="L886" t="s">
        <v>305</v>
      </c>
      <c r="M886" t="s">
        <v>306</v>
      </c>
      <c r="N886" t="s">
        <v>307</v>
      </c>
      <c r="O886" t="s">
        <v>215</v>
      </c>
      <c r="P886" t="s">
        <v>216</v>
      </c>
      <c r="Q886" t="s">
        <v>217</v>
      </c>
      <c r="R886" t="s">
        <v>218</v>
      </c>
      <c r="S886" t="s">
        <v>220</v>
      </c>
    </row>
    <row r="887" spans="1:19" x14ac:dyDescent="0.35">
      <c r="A887" t="s">
        <v>111</v>
      </c>
      <c r="B887" t="s">
        <v>34</v>
      </c>
      <c r="C887" t="s">
        <v>13</v>
      </c>
      <c r="D887" t="s">
        <v>14</v>
      </c>
      <c r="E887" t="s">
        <v>22</v>
      </c>
      <c r="F887" t="s">
        <v>47</v>
      </c>
      <c r="G887" t="s">
        <v>36</v>
      </c>
      <c r="H887" t="s">
        <v>229</v>
      </c>
      <c r="I887" t="s">
        <v>210</v>
      </c>
      <c r="J887" t="s">
        <v>27</v>
      </c>
      <c r="K887" t="s">
        <v>231</v>
      </c>
      <c r="L887" t="s">
        <v>227</v>
      </c>
      <c r="M887" t="s">
        <v>228</v>
      </c>
      <c r="N887" t="s">
        <v>224</v>
      </c>
      <c r="O887" t="s">
        <v>215</v>
      </c>
      <c r="P887" t="s">
        <v>216</v>
      </c>
      <c r="Q887" t="s">
        <v>217</v>
      </c>
      <c r="R887" t="s">
        <v>218</v>
      </c>
      <c r="S887" t="s">
        <v>238</v>
      </c>
    </row>
    <row r="888" spans="1:19" x14ac:dyDescent="0.35">
      <c r="A888" t="s">
        <v>57</v>
      </c>
      <c r="B888" t="s">
        <v>20</v>
      </c>
      <c r="C888" t="s">
        <v>30</v>
      </c>
      <c r="D888" t="s">
        <v>14</v>
      </c>
      <c r="E888" t="s">
        <v>15</v>
      </c>
      <c r="F888" t="s">
        <v>47</v>
      </c>
      <c r="G888" t="s">
        <v>36</v>
      </c>
      <c r="H888" t="s">
        <v>229</v>
      </c>
      <c r="I888" t="s">
        <v>265</v>
      </c>
      <c r="J888" t="s">
        <v>32</v>
      </c>
      <c r="K888" t="s">
        <v>231</v>
      </c>
      <c r="L888" t="s">
        <v>224</v>
      </c>
      <c r="M888" t="s">
        <v>226</v>
      </c>
      <c r="N888" t="s">
        <v>252</v>
      </c>
      <c r="O888" t="s">
        <v>215</v>
      </c>
      <c r="P888" t="s">
        <v>216</v>
      </c>
      <c r="Q888" t="s">
        <v>217</v>
      </c>
      <c r="R888" t="s">
        <v>218</v>
      </c>
      <c r="S888" t="s">
        <v>265</v>
      </c>
    </row>
    <row r="889" spans="1:19" x14ac:dyDescent="0.35">
      <c r="A889" t="s">
        <v>79</v>
      </c>
      <c r="B889" t="s">
        <v>12</v>
      </c>
      <c r="C889" t="s">
        <v>13</v>
      </c>
      <c r="D889" t="s">
        <v>14</v>
      </c>
      <c r="E889" t="s">
        <v>15</v>
      </c>
      <c r="F889" t="s">
        <v>56</v>
      </c>
      <c r="G889" t="s">
        <v>36</v>
      </c>
      <c r="H889" t="s">
        <v>260</v>
      </c>
      <c r="I889" t="s">
        <v>220</v>
      </c>
      <c r="J889" t="s">
        <v>43</v>
      </c>
      <c r="K889" t="s">
        <v>261</v>
      </c>
      <c r="L889" t="s">
        <v>335</v>
      </c>
      <c r="M889" t="s">
        <v>336</v>
      </c>
      <c r="N889" t="s">
        <v>261</v>
      </c>
      <c r="O889" t="s">
        <v>215</v>
      </c>
      <c r="P889" t="s">
        <v>216</v>
      </c>
      <c r="Q889" t="s">
        <v>217</v>
      </c>
      <c r="R889" t="s">
        <v>218</v>
      </c>
      <c r="S889" t="s">
        <v>238</v>
      </c>
    </row>
    <row r="890" spans="1:19" x14ac:dyDescent="0.35">
      <c r="A890" t="s">
        <v>62</v>
      </c>
      <c r="B890" t="s">
        <v>20</v>
      </c>
      <c r="C890" t="s">
        <v>13</v>
      </c>
      <c r="D890" t="s">
        <v>14</v>
      </c>
      <c r="E890" t="s">
        <v>22</v>
      </c>
      <c r="F890" t="s">
        <v>47</v>
      </c>
      <c r="G890" t="s">
        <v>36</v>
      </c>
      <c r="H890" t="s">
        <v>229</v>
      </c>
      <c r="I890" t="s">
        <v>269</v>
      </c>
      <c r="J890" t="s">
        <v>27</v>
      </c>
      <c r="K890" t="s">
        <v>231</v>
      </c>
      <c r="L890" t="s">
        <v>367</v>
      </c>
      <c r="M890" t="s">
        <v>266</v>
      </c>
      <c r="N890" t="s">
        <v>309</v>
      </c>
      <c r="O890" t="s">
        <v>215</v>
      </c>
      <c r="P890" t="s">
        <v>216</v>
      </c>
      <c r="Q890" t="s">
        <v>217</v>
      </c>
      <c r="R890" t="s">
        <v>218</v>
      </c>
      <c r="S890" t="s">
        <v>220</v>
      </c>
    </row>
    <row r="891" spans="1:19" x14ac:dyDescent="0.35">
      <c r="A891" t="s">
        <v>150</v>
      </c>
      <c r="B891" t="s">
        <v>34</v>
      </c>
      <c r="C891" t="s">
        <v>30</v>
      </c>
      <c r="D891" t="s">
        <v>14</v>
      </c>
      <c r="E891" t="s">
        <v>22</v>
      </c>
      <c r="F891" t="s">
        <v>52</v>
      </c>
      <c r="G891" t="s">
        <v>36</v>
      </c>
      <c r="H891" t="s">
        <v>291</v>
      </c>
      <c r="I891" t="s">
        <v>230</v>
      </c>
      <c r="J891" t="s">
        <v>43</v>
      </c>
      <c r="K891" t="s">
        <v>292</v>
      </c>
      <c r="L891" t="s">
        <v>357</v>
      </c>
      <c r="M891" t="s">
        <v>358</v>
      </c>
      <c r="N891" t="s">
        <v>359</v>
      </c>
      <c r="O891" t="s">
        <v>215</v>
      </c>
      <c r="P891" t="s">
        <v>216</v>
      </c>
      <c r="Q891" t="s">
        <v>217</v>
      </c>
      <c r="R891" t="s">
        <v>218</v>
      </c>
      <c r="S891" t="s">
        <v>220</v>
      </c>
    </row>
    <row r="892" spans="1:19" x14ac:dyDescent="0.35">
      <c r="A892" t="s">
        <v>148</v>
      </c>
      <c r="B892" t="s">
        <v>20</v>
      </c>
      <c r="C892" t="s">
        <v>21</v>
      </c>
      <c r="D892" t="s">
        <v>14</v>
      </c>
      <c r="E892" t="s">
        <v>15</v>
      </c>
      <c r="F892" t="s">
        <v>16</v>
      </c>
      <c r="G892" t="s">
        <v>17</v>
      </c>
      <c r="H892" t="s">
        <v>275</v>
      </c>
      <c r="I892" t="s">
        <v>265</v>
      </c>
      <c r="J892" t="s">
        <v>18</v>
      </c>
      <c r="K892" t="s">
        <v>276</v>
      </c>
      <c r="L892" t="s">
        <v>316</v>
      </c>
      <c r="M892" t="s">
        <v>323</v>
      </c>
      <c r="N892" t="s">
        <v>344</v>
      </c>
      <c r="O892" t="s">
        <v>215</v>
      </c>
      <c r="P892" t="s">
        <v>216</v>
      </c>
      <c r="Q892" t="s">
        <v>217</v>
      </c>
      <c r="R892" t="s">
        <v>218</v>
      </c>
      <c r="S892" t="s">
        <v>220</v>
      </c>
    </row>
    <row r="893" spans="1:19" x14ac:dyDescent="0.35">
      <c r="A893" t="s">
        <v>157</v>
      </c>
      <c r="B893" t="s">
        <v>29</v>
      </c>
      <c r="C893" t="s">
        <v>21</v>
      </c>
      <c r="D893" t="s">
        <v>26</v>
      </c>
      <c r="E893" t="s">
        <v>22</v>
      </c>
      <c r="F893" t="s">
        <v>16</v>
      </c>
      <c r="G893" t="s">
        <v>17</v>
      </c>
      <c r="H893" t="s">
        <v>275</v>
      </c>
      <c r="I893" t="s">
        <v>238</v>
      </c>
      <c r="J893" t="s">
        <v>43</v>
      </c>
      <c r="K893" t="s">
        <v>276</v>
      </c>
      <c r="L893" t="s">
        <v>275</v>
      </c>
      <c r="M893" t="s">
        <v>276</v>
      </c>
      <c r="N893" t="s">
        <v>277</v>
      </c>
      <c r="O893" t="s">
        <v>215</v>
      </c>
      <c r="P893" t="s">
        <v>216</v>
      </c>
      <c r="Q893" t="s">
        <v>217</v>
      </c>
      <c r="R893" t="s">
        <v>218</v>
      </c>
      <c r="S893" t="s">
        <v>244</v>
      </c>
    </row>
    <row r="894" spans="1:19" x14ac:dyDescent="0.35">
      <c r="A894" t="s">
        <v>136</v>
      </c>
      <c r="B894" t="s">
        <v>29</v>
      </c>
      <c r="C894" t="s">
        <v>30</v>
      </c>
      <c r="D894" t="s">
        <v>14</v>
      </c>
      <c r="E894" t="s">
        <v>22</v>
      </c>
      <c r="F894" t="s">
        <v>52</v>
      </c>
      <c r="G894" t="s">
        <v>36</v>
      </c>
      <c r="H894" t="s">
        <v>291</v>
      </c>
      <c r="I894" t="s">
        <v>269</v>
      </c>
      <c r="J894" t="s">
        <v>18</v>
      </c>
      <c r="K894" t="s">
        <v>292</v>
      </c>
      <c r="L894" t="s">
        <v>328</v>
      </c>
      <c r="M894" t="s">
        <v>329</v>
      </c>
      <c r="N894" t="s">
        <v>330</v>
      </c>
      <c r="O894" t="s">
        <v>215</v>
      </c>
      <c r="P894" t="s">
        <v>216</v>
      </c>
      <c r="Q894" t="s">
        <v>217</v>
      </c>
      <c r="R894" t="s">
        <v>218</v>
      </c>
      <c r="S894" t="s">
        <v>265</v>
      </c>
    </row>
    <row r="895" spans="1:19" x14ac:dyDescent="0.35">
      <c r="A895" t="s">
        <v>113</v>
      </c>
      <c r="B895" t="s">
        <v>34</v>
      </c>
      <c r="C895" t="s">
        <v>21</v>
      </c>
      <c r="D895" t="s">
        <v>14</v>
      </c>
      <c r="E895" t="s">
        <v>22</v>
      </c>
      <c r="F895" t="s">
        <v>58</v>
      </c>
      <c r="G895" t="s">
        <v>24</v>
      </c>
      <c r="H895" t="s">
        <v>255</v>
      </c>
      <c r="I895" t="s">
        <v>265</v>
      </c>
      <c r="J895" t="s">
        <v>54</v>
      </c>
      <c r="K895" t="s">
        <v>256</v>
      </c>
      <c r="L895" t="s">
        <v>287</v>
      </c>
      <c r="M895" t="s">
        <v>296</v>
      </c>
      <c r="N895" t="s">
        <v>341</v>
      </c>
      <c r="O895" t="s">
        <v>215</v>
      </c>
      <c r="P895" t="s">
        <v>216</v>
      </c>
      <c r="Q895" t="s">
        <v>217</v>
      </c>
      <c r="R895" t="s">
        <v>218</v>
      </c>
      <c r="S895" t="s">
        <v>244</v>
      </c>
    </row>
    <row r="896" spans="1:19" x14ac:dyDescent="0.35">
      <c r="A896" t="s">
        <v>156</v>
      </c>
      <c r="B896" t="s">
        <v>12</v>
      </c>
      <c r="C896" t="s">
        <v>30</v>
      </c>
      <c r="D896" t="s">
        <v>26</v>
      </c>
      <c r="E896" t="s">
        <v>22</v>
      </c>
      <c r="F896" t="s">
        <v>58</v>
      </c>
      <c r="G896" t="s">
        <v>24</v>
      </c>
      <c r="H896" t="s">
        <v>255</v>
      </c>
      <c r="I896" t="s">
        <v>249</v>
      </c>
      <c r="J896" t="s">
        <v>50</v>
      </c>
      <c r="K896" t="s">
        <v>256</v>
      </c>
      <c r="L896" t="s">
        <v>286</v>
      </c>
      <c r="M896" t="s">
        <v>295</v>
      </c>
      <c r="N896" t="s">
        <v>296</v>
      </c>
      <c r="O896" t="s">
        <v>215</v>
      </c>
      <c r="P896" t="s">
        <v>216</v>
      </c>
      <c r="Q896" t="s">
        <v>217</v>
      </c>
      <c r="R896" t="s">
        <v>218</v>
      </c>
      <c r="S896" t="s">
        <v>244</v>
      </c>
    </row>
    <row r="897" spans="1:19" x14ac:dyDescent="0.35">
      <c r="A897" t="s">
        <v>73</v>
      </c>
      <c r="B897" t="s">
        <v>34</v>
      </c>
      <c r="C897" t="s">
        <v>13</v>
      </c>
      <c r="D897" t="s">
        <v>26</v>
      </c>
      <c r="E897" t="s">
        <v>15</v>
      </c>
      <c r="F897" t="s">
        <v>23</v>
      </c>
      <c r="G897" t="s">
        <v>24</v>
      </c>
      <c r="H897" t="s">
        <v>239</v>
      </c>
      <c r="I897" t="s">
        <v>269</v>
      </c>
      <c r="J897" t="s">
        <v>18</v>
      </c>
      <c r="K897" t="s">
        <v>245</v>
      </c>
      <c r="L897" t="s">
        <v>309</v>
      </c>
      <c r="M897" t="s">
        <v>268</v>
      </c>
      <c r="N897" t="s">
        <v>310</v>
      </c>
      <c r="O897" t="s">
        <v>215</v>
      </c>
      <c r="P897" t="s">
        <v>216</v>
      </c>
      <c r="Q897" t="s">
        <v>217</v>
      </c>
      <c r="R897" t="s">
        <v>218</v>
      </c>
      <c r="S897" t="s">
        <v>265</v>
      </c>
    </row>
    <row r="898" spans="1:19" x14ac:dyDescent="0.35">
      <c r="A898" t="s">
        <v>75</v>
      </c>
      <c r="B898" t="s">
        <v>34</v>
      </c>
      <c r="C898" t="s">
        <v>38</v>
      </c>
      <c r="D898" t="s">
        <v>26</v>
      </c>
      <c r="E898" t="s">
        <v>15</v>
      </c>
      <c r="F898" t="s">
        <v>41</v>
      </c>
      <c r="G898" t="s">
        <v>17</v>
      </c>
      <c r="H898" t="s">
        <v>219</v>
      </c>
      <c r="I898" t="s">
        <v>244</v>
      </c>
      <c r="J898" t="s">
        <v>50</v>
      </c>
      <c r="K898" t="s">
        <v>221</v>
      </c>
      <c r="L898" t="s">
        <v>290</v>
      </c>
      <c r="M898" t="s">
        <v>298</v>
      </c>
      <c r="N898" t="s">
        <v>284</v>
      </c>
      <c r="O898" t="s">
        <v>215</v>
      </c>
      <c r="P898" t="s">
        <v>216</v>
      </c>
      <c r="Q898" t="s">
        <v>217</v>
      </c>
      <c r="R898" t="s">
        <v>218</v>
      </c>
      <c r="S898" t="s">
        <v>265</v>
      </c>
    </row>
    <row r="899" spans="1:19" x14ac:dyDescent="0.35">
      <c r="A899" t="s">
        <v>83</v>
      </c>
      <c r="B899" t="s">
        <v>34</v>
      </c>
      <c r="C899" t="s">
        <v>13</v>
      </c>
      <c r="D899" t="s">
        <v>14</v>
      </c>
      <c r="E899" t="s">
        <v>15</v>
      </c>
      <c r="F899" t="s">
        <v>23</v>
      </c>
      <c r="G899" t="s">
        <v>24</v>
      </c>
      <c r="H899" t="s">
        <v>239</v>
      </c>
      <c r="I899" t="s">
        <v>240</v>
      </c>
      <c r="J899" t="s">
        <v>43</v>
      </c>
      <c r="K899" t="s">
        <v>245</v>
      </c>
      <c r="L899" t="s">
        <v>209</v>
      </c>
      <c r="M899" t="s">
        <v>211</v>
      </c>
      <c r="N899" t="s">
        <v>254</v>
      </c>
      <c r="O899" t="s">
        <v>215</v>
      </c>
      <c r="P899" t="s">
        <v>216</v>
      </c>
      <c r="Q899" t="s">
        <v>217</v>
      </c>
      <c r="R899" t="s">
        <v>218</v>
      </c>
      <c r="S899" t="s">
        <v>238</v>
      </c>
    </row>
    <row r="900" spans="1:19" x14ac:dyDescent="0.35">
      <c r="A900" t="s">
        <v>57</v>
      </c>
      <c r="B900" t="s">
        <v>34</v>
      </c>
      <c r="C900" t="s">
        <v>30</v>
      </c>
      <c r="D900" t="s">
        <v>26</v>
      </c>
      <c r="E900" t="s">
        <v>15</v>
      </c>
      <c r="F900" t="s">
        <v>31</v>
      </c>
      <c r="G900" t="s">
        <v>24</v>
      </c>
      <c r="H900" t="s">
        <v>252</v>
      </c>
      <c r="I900" t="s">
        <v>230</v>
      </c>
      <c r="J900" t="s">
        <v>32</v>
      </c>
      <c r="K900" t="s">
        <v>253</v>
      </c>
      <c r="L900" t="s">
        <v>291</v>
      </c>
      <c r="M900" t="s">
        <v>292</v>
      </c>
      <c r="N900" t="s">
        <v>343</v>
      </c>
      <c r="O900" t="s">
        <v>215</v>
      </c>
      <c r="P900" t="s">
        <v>216</v>
      </c>
      <c r="Q900" t="s">
        <v>217</v>
      </c>
      <c r="R900" t="s">
        <v>218</v>
      </c>
      <c r="S900" t="s">
        <v>265</v>
      </c>
    </row>
    <row r="901" spans="1:19" x14ac:dyDescent="0.35">
      <c r="A901" t="s">
        <v>82</v>
      </c>
      <c r="B901" t="s">
        <v>29</v>
      </c>
      <c r="C901" t="s">
        <v>30</v>
      </c>
      <c r="D901" t="s">
        <v>14</v>
      </c>
      <c r="E901" t="s">
        <v>15</v>
      </c>
      <c r="F901" t="s">
        <v>39</v>
      </c>
      <c r="G901" t="s">
        <v>24</v>
      </c>
      <c r="H901" t="s">
        <v>209</v>
      </c>
      <c r="I901" t="s">
        <v>265</v>
      </c>
      <c r="J901" t="s">
        <v>43</v>
      </c>
      <c r="K901" t="s">
        <v>211</v>
      </c>
      <c r="L901" t="s">
        <v>214</v>
      </c>
      <c r="M901" t="s">
        <v>251</v>
      </c>
      <c r="N901" t="s">
        <v>247</v>
      </c>
      <c r="O901" t="s">
        <v>215</v>
      </c>
      <c r="P901" t="s">
        <v>216</v>
      </c>
      <c r="Q901" t="s">
        <v>217</v>
      </c>
      <c r="R901" t="s">
        <v>218</v>
      </c>
      <c r="S901" t="s">
        <v>238</v>
      </c>
    </row>
    <row r="902" spans="1:19" x14ac:dyDescent="0.35">
      <c r="A902" t="s">
        <v>37</v>
      </c>
      <c r="B902" t="s">
        <v>20</v>
      </c>
      <c r="C902" t="s">
        <v>38</v>
      </c>
      <c r="D902" t="s">
        <v>26</v>
      </c>
      <c r="E902" t="s">
        <v>22</v>
      </c>
      <c r="F902" t="s">
        <v>23</v>
      </c>
      <c r="G902" t="s">
        <v>24</v>
      </c>
      <c r="H902" t="s">
        <v>239</v>
      </c>
      <c r="I902" t="s">
        <v>225</v>
      </c>
      <c r="J902" t="s">
        <v>18</v>
      </c>
      <c r="K902" t="s">
        <v>245</v>
      </c>
      <c r="L902" t="s">
        <v>229</v>
      </c>
      <c r="M902" t="s">
        <v>231</v>
      </c>
      <c r="N902" t="s">
        <v>239</v>
      </c>
      <c r="O902" t="s">
        <v>215</v>
      </c>
      <c r="P902" t="s">
        <v>216</v>
      </c>
      <c r="Q902" t="s">
        <v>217</v>
      </c>
      <c r="R902" t="s">
        <v>218</v>
      </c>
      <c r="S902" t="s">
        <v>244</v>
      </c>
    </row>
    <row r="903" spans="1:19" x14ac:dyDescent="0.35">
      <c r="A903" t="s">
        <v>160</v>
      </c>
      <c r="B903" t="s">
        <v>12</v>
      </c>
      <c r="C903" t="s">
        <v>21</v>
      </c>
      <c r="D903" t="s">
        <v>26</v>
      </c>
      <c r="E903" t="s">
        <v>22</v>
      </c>
      <c r="F903" t="s">
        <v>47</v>
      </c>
      <c r="G903" t="s">
        <v>36</v>
      </c>
      <c r="H903" t="s">
        <v>229</v>
      </c>
      <c r="I903" t="s">
        <v>265</v>
      </c>
      <c r="J903" t="s">
        <v>50</v>
      </c>
      <c r="K903" t="s">
        <v>231</v>
      </c>
      <c r="L903" t="s">
        <v>224</v>
      </c>
      <c r="M903" t="s">
        <v>226</v>
      </c>
      <c r="N903" t="s">
        <v>252</v>
      </c>
      <c r="O903" t="s">
        <v>215</v>
      </c>
      <c r="P903" t="s">
        <v>216</v>
      </c>
      <c r="Q903" t="s">
        <v>217</v>
      </c>
      <c r="R903" t="s">
        <v>218</v>
      </c>
      <c r="S903" t="s">
        <v>238</v>
      </c>
    </row>
    <row r="904" spans="1:19" x14ac:dyDescent="0.35">
      <c r="A904" t="s">
        <v>108</v>
      </c>
      <c r="B904" t="s">
        <v>29</v>
      </c>
      <c r="C904" t="s">
        <v>13</v>
      </c>
      <c r="D904" t="s">
        <v>14</v>
      </c>
      <c r="E904" t="s">
        <v>15</v>
      </c>
      <c r="F904" t="s">
        <v>23</v>
      </c>
      <c r="G904" t="s">
        <v>24</v>
      </c>
      <c r="H904" t="s">
        <v>239</v>
      </c>
      <c r="I904" t="s">
        <v>269</v>
      </c>
      <c r="J904" t="s">
        <v>54</v>
      </c>
      <c r="K904" t="s">
        <v>245</v>
      </c>
      <c r="L904" t="s">
        <v>309</v>
      </c>
      <c r="M904" t="s">
        <v>268</v>
      </c>
      <c r="N904" t="s">
        <v>310</v>
      </c>
      <c r="O904" t="s">
        <v>215</v>
      </c>
      <c r="P904" t="s">
        <v>216</v>
      </c>
      <c r="Q904" t="s">
        <v>217</v>
      </c>
      <c r="R904" t="s">
        <v>218</v>
      </c>
      <c r="S904" t="s">
        <v>220</v>
      </c>
    </row>
    <row r="905" spans="1:19" x14ac:dyDescent="0.35">
      <c r="A905" t="s">
        <v>71</v>
      </c>
      <c r="B905" t="s">
        <v>29</v>
      </c>
      <c r="C905" t="s">
        <v>30</v>
      </c>
      <c r="D905" t="s">
        <v>26</v>
      </c>
      <c r="E905" t="s">
        <v>15</v>
      </c>
      <c r="F905" t="s">
        <v>47</v>
      </c>
      <c r="G905" t="s">
        <v>36</v>
      </c>
      <c r="H905" t="s">
        <v>229</v>
      </c>
      <c r="I905" t="s">
        <v>225</v>
      </c>
      <c r="J905" t="s">
        <v>43</v>
      </c>
      <c r="K905" t="s">
        <v>231</v>
      </c>
      <c r="L905" t="s">
        <v>288</v>
      </c>
      <c r="M905" t="s">
        <v>289</v>
      </c>
      <c r="N905" t="s">
        <v>229</v>
      </c>
      <c r="O905" t="s">
        <v>215</v>
      </c>
      <c r="P905" t="s">
        <v>216</v>
      </c>
      <c r="Q905" t="s">
        <v>217</v>
      </c>
      <c r="R905" t="s">
        <v>218</v>
      </c>
      <c r="S905" t="s">
        <v>265</v>
      </c>
    </row>
    <row r="906" spans="1:19" x14ac:dyDescent="0.35">
      <c r="A906" t="s">
        <v>161</v>
      </c>
      <c r="B906" t="s">
        <v>29</v>
      </c>
      <c r="C906" t="s">
        <v>30</v>
      </c>
      <c r="D906" t="s">
        <v>14</v>
      </c>
      <c r="E906" t="s">
        <v>22</v>
      </c>
      <c r="F906" t="s">
        <v>31</v>
      </c>
      <c r="G906" t="s">
        <v>24</v>
      </c>
      <c r="H906" t="s">
        <v>252</v>
      </c>
      <c r="I906" t="s">
        <v>249</v>
      </c>
      <c r="J906" t="s">
        <v>54</v>
      </c>
      <c r="K906" t="s">
        <v>253</v>
      </c>
      <c r="L906" t="s">
        <v>297</v>
      </c>
      <c r="M906" t="s">
        <v>243</v>
      </c>
      <c r="N906" t="s">
        <v>311</v>
      </c>
      <c r="O906" t="s">
        <v>215</v>
      </c>
      <c r="P906" t="s">
        <v>216</v>
      </c>
      <c r="Q906" t="s">
        <v>217</v>
      </c>
      <c r="R906" t="s">
        <v>218</v>
      </c>
      <c r="S906" t="s">
        <v>238</v>
      </c>
    </row>
    <row r="907" spans="1:19" x14ac:dyDescent="0.35">
      <c r="A907" t="s">
        <v>99</v>
      </c>
      <c r="B907" t="s">
        <v>20</v>
      </c>
      <c r="C907" t="s">
        <v>21</v>
      </c>
      <c r="D907" t="s">
        <v>14</v>
      </c>
      <c r="E907" t="s">
        <v>15</v>
      </c>
      <c r="F907" t="s">
        <v>47</v>
      </c>
      <c r="G907" t="s">
        <v>36</v>
      </c>
      <c r="H907" t="s">
        <v>229</v>
      </c>
      <c r="I907" t="s">
        <v>249</v>
      </c>
      <c r="J907" t="s">
        <v>50</v>
      </c>
      <c r="K907" t="s">
        <v>231</v>
      </c>
      <c r="L907" t="s">
        <v>228</v>
      </c>
      <c r="M907" t="s">
        <v>290</v>
      </c>
      <c r="N907" t="s">
        <v>226</v>
      </c>
      <c r="O907" t="s">
        <v>215</v>
      </c>
      <c r="P907" t="s">
        <v>216</v>
      </c>
      <c r="Q907" t="s">
        <v>217</v>
      </c>
      <c r="R907" t="s">
        <v>218</v>
      </c>
      <c r="S907" t="s">
        <v>220</v>
      </c>
    </row>
    <row r="908" spans="1:19" x14ac:dyDescent="0.35">
      <c r="A908" t="s">
        <v>72</v>
      </c>
      <c r="B908" t="s">
        <v>20</v>
      </c>
      <c r="C908" t="s">
        <v>30</v>
      </c>
      <c r="D908" t="s">
        <v>14</v>
      </c>
      <c r="E908" t="s">
        <v>22</v>
      </c>
      <c r="F908" t="s">
        <v>16</v>
      </c>
      <c r="G908" t="s">
        <v>17</v>
      </c>
      <c r="H908" t="s">
        <v>275</v>
      </c>
      <c r="I908" t="s">
        <v>244</v>
      </c>
      <c r="J908" t="s">
        <v>54</v>
      </c>
      <c r="K908" t="s">
        <v>276</v>
      </c>
      <c r="L908" t="s">
        <v>325</v>
      </c>
      <c r="M908" t="s">
        <v>326</v>
      </c>
      <c r="N908" t="s">
        <v>327</v>
      </c>
      <c r="O908" t="s">
        <v>215</v>
      </c>
      <c r="P908" t="s">
        <v>216</v>
      </c>
      <c r="Q908" t="s">
        <v>217</v>
      </c>
      <c r="R908" t="s">
        <v>218</v>
      </c>
      <c r="S908" t="s">
        <v>244</v>
      </c>
    </row>
    <row r="909" spans="1:19" x14ac:dyDescent="0.35">
      <c r="A909" t="s">
        <v>114</v>
      </c>
      <c r="B909" t="s">
        <v>29</v>
      </c>
      <c r="C909" t="s">
        <v>13</v>
      </c>
      <c r="D909" t="s">
        <v>26</v>
      </c>
      <c r="E909" t="s">
        <v>15</v>
      </c>
      <c r="F909" t="s">
        <v>39</v>
      </c>
      <c r="G909" t="s">
        <v>24</v>
      </c>
      <c r="H909" t="s">
        <v>209</v>
      </c>
      <c r="I909" t="s">
        <v>220</v>
      </c>
      <c r="J909" t="s">
        <v>50</v>
      </c>
      <c r="K909" t="s">
        <v>211</v>
      </c>
      <c r="L909" t="s">
        <v>302</v>
      </c>
      <c r="M909" t="s">
        <v>342</v>
      </c>
      <c r="N909" t="s">
        <v>211</v>
      </c>
      <c r="O909" t="s">
        <v>215</v>
      </c>
      <c r="P909" t="s">
        <v>216</v>
      </c>
      <c r="Q909" t="s">
        <v>217</v>
      </c>
      <c r="R909" t="s">
        <v>218</v>
      </c>
      <c r="S909" t="s">
        <v>244</v>
      </c>
    </row>
    <row r="910" spans="1:19" x14ac:dyDescent="0.35">
      <c r="A910" t="s">
        <v>151</v>
      </c>
      <c r="B910" t="s">
        <v>34</v>
      </c>
      <c r="C910" t="s">
        <v>13</v>
      </c>
      <c r="D910" t="s">
        <v>14</v>
      </c>
      <c r="E910" t="s">
        <v>15</v>
      </c>
      <c r="F910" t="s">
        <v>52</v>
      </c>
      <c r="G910" t="s">
        <v>36</v>
      </c>
      <c r="H910" t="s">
        <v>291</v>
      </c>
      <c r="I910" t="s">
        <v>230</v>
      </c>
      <c r="J910" t="s">
        <v>27</v>
      </c>
      <c r="K910" t="s">
        <v>292</v>
      </c>
      <c r="L910" t="s">
        <v>357</v>
      </c>
      <c r="M910" t="s">
        <v>358</v>
      </c>
      <c r="N910" t="s">
        <v>359</v>
      </c>
      <c r="O910" t="s">
        <v>215</v>
      </c>
      <c r="P910" t="s">
        <v>216</v>
      </c>
      <c r="Q910" t="s">
        <v>217</v>
      </c>
      <c r="R910" t="s">
        <v>218</v>
      </c>
      <c r="S910" t="s">
        <v>238</v>
      </c>
    </row>
    <row r="911" spans="1:19" x14ac:dyDescent="0.35">
      <c r="A911" t="s">
        <v>131</v>
      </c>
      <c r="B911" t="s">
        <v>20</v>
      </c>
      <c r="C911" t="s">
        <v>21</v>
      </c>
      <c r="D911" t="s">
        <v>14</v>
      </c>
      <c r="E911" t="s">
        <v>22</v>
      </c>
      <c r="F911" t="s">
        <v>31</v>
      </c>
      <c r="G911" t="s">
        <v>24</v>
      </c>
      <c r="H911" t="s">
        <v>252</v>
      </c>
      <c r="I911" t="s">
        <v>249</v>
      </c>
      <c r="J911" t="s">
        <v>27</v>
      </c>
      <c r="K911" t="s">
        <v>253</v>
      </c>
      <c r="L911" t="s">
        <v>297</v>
      </c>
      <c r="M911" t="s">
        <v>243</v>
      </c>
      <c r="N911" t="s">
        <v>311</v>
      </c>
      <c r="O911" t="s">
        <v>215</v>
      </c>
      <c r="P911" t="s">
        <v>216</v>
      </c>
      <c r="Q911" t="s">
        <v>217</v>
      </c>
      <c r="R911" t="s">
        <v>218</v>
      </c>
      <c r="S911" t="s">
        <v>238</v>
      </c>
    </row>
    <row r="912" spans="1:19" x14ac:dyDescent="0.35">
      <c r="A912" t="s">
        <v>90</v>
      </c>
      <c r="B912" t="s">
        <v>29</v>
      </c>
      <c r="C912" t="s">
        <v>30</v>
      </c>
      <c r="D912" t="s">
        <v>14</v>
      </c>
      <c r="E912" t="s">
        <v>22</v>
      </c>
      <c r="F912" t="s">
        <v>35</v>
      </c>
      <c r="G912" t="s">
        <v>36</v>
      </c>
      <c r="H912" t="s">
        <v>224</v>
      </c>
      <c r="I912" t="s">
        <v>238</v>
      </c>
      <c r="J912" t="s">
        <v>43</v>
      </c>
      <c r="K912" t="s">
        <v>226</v>
      </c>
      <c r="L912" t="s">
        <v>224</v>
      </c>
      <c r="M912" t="s">
        <v>226</v>
      </c>
      <c r="N912" t="s">
        <v>252</v>
      </c>
      <c r="O912" t="s">
        <v>215</v>
      </c>
      <c r="P912" t="s">
        <v>216</v>
      </c>
      <c r="Q912" t="s">
        <v>217</v>
      </c>
      <c r="R912" t="s">
        <v>218</v>
      </c>
      <c r="S912" t="s">
        <v>244</v>
      </c>
    </row>
    <row r="913" spans="1:19" x14ac:dyDescent="0.35">
      <c r="A913" t="s">
        <v>134</v>
      </c>
      <c r="B913" t="s">
        <v>20</v>
      </c>
      <c r="C913" t="s">
        <v>30</v>
      </c>
      <c r="D913" t="s">
        <v>14</v>
      </c>
      <c r="E913" t="s">
        <v>15</v>
      </c>
      <c r="F913" t="s">
        <v>23</v>
      </c>
      <c r="G913" t="s">
        <v>24</v>
      </c>
      <c r="H913" t="s">
        <v>239</v>
      </c>
      <c r="I913" t="s">
        <v>240</v>
      </c>
      <c r="J913" t="s">
        <v>43</v>
      </c>
      <c r="K913" t="s">
        <v>245</v>
      </c>
      <c r="L913" t="s">
        <v>209</v>
      </c>
      <c r="M913" t="s">
        <v>211</v>
      </c>
      <c r="N913" t="s">
        <v>254</v>
      </c>
      <c r="O913" t="s">
        <v>215</v>
      </c>
      <c r="P913" t="s">
        <v>216</v>
      </c>
      <c r="Q913" t="s">
        <v>217</v>
      </c>
      <c r="R913" t="s">
        <v>218</v>
      </c>
      <c r="S913" t="s">
        <v>220</v>
      </c>
    </row>
    <row r="914" spans="1:19" x14ac:dyDescent="0.35">
      <c r="A914" t="s">
        <v>135</v>
      </c>
      <c r="B914" t="s">
        <v>34</v>
      </c>
      <c r="C914" t="s">
        <v>21</v>
      </c>
      <c r="D914" t="s">
        <v>26</v>
      </c>
      <c r="E914" t="s">
        <v>22</v>
      </c>
      <c r="F914" t="s">
        <v>56</v>
      </c>
      <c r="G914" t="s">
        <v>36</v>
      </c>
      <c r="H914" t="s">
        <v>260</v>
      </c>
      <c r="I914" t="s">
        <v>269</v>
      </c>
      <c r="J914" t="s">
        <v>50</v>
      </c>
      <c r="K914" t="s">
        <v>261</v>
      </c>
      <c r="L914" t="s">
        <v>377</v>
      </c>
      <c r="M914" t="s">
        <v>212</v>
      </c>
      <c r="N914" t="s">
        <v>312</v>
      </c>
      <c r="O914" t="s">
        <v>215</v>
      </c>
      <c r="P914" t="s">
        <v>216</v>
      </c>
      <c r="Q914" t="s">
        <v>217</v>
      </c>
      <c r="R914" t="s">
        <v>218</v>
      </c>
      <c r="S914" t="s">
        <v>238</v>
      </c>
    </row>
    <row r="915" spans="1:19" x14ac:dyDescent="0.35">
      <c r="A915" t="s">
        <v>42</v>
      </c>
      <c r="B915" t="s">
        <v>20</v>
      </c>
      <c r="C915" t="s">
        <v>30</v>
      </c>
      <c r="D915" t="s">
        <v>26</v>
      </c>
      <c r="E915" t="s">
        <v>22</v>
      </c>
      <c r="F915" t="s">
        <v>52</v>
      </c>
      <c r="G915" t="s">
        <v>36</v>
      </c>
      <c r="H915" t="s">
        <v>291</v>
      </c>
      <c r="I915" t="s">
        <v>269</v>
      </c>
      <c r="J915" t="s">
        <v>43</v>
      </c>
      <c r="K915" t="s">
        <v>292</v>
      </c>
      <c r="L915" t="s">
        <v>328</v>
      </c>
      <c r="M915" t="s">
        <v>329</v>
      </c>
      <c r="N915" t="s">
        <v>330</v>
      </c>
      <c r="O915" t="s">
        <v>215</v>
      </c>
      <c r="P915" t="s">
        <v>216</v>
      </c>
      <c r="Q915" t="s">
        <v>217</v>
      </c>
      <c r="R915" t="s">
        <v>218</v>
      </c>
      <c r="S915" t="s">
        <v>265</v>
      </c>
    </row>
    <row r="916" spans="1:19" x14ac:dyDescent="0.35">
      <c r="A916" t="s">
        <v>120</v>
      </c>
      <c r="B916" t="s">
        <v>20</v>
      </c>
      <c r="C916" t="s">
        <v>30</v>
      </c>
      <c r="D916" t="s">
        <v>26</v>
      </c>
      <c r="E916" t="s">
        <v>22</v>
      </c>
      <c r="F916" t="s">
        <v>47</v>
      </c>
      <c r="G916" t="s">
        <v>36</v>
      </c>
      <c r="H916" t="s">
        <v>229</v>
      </c>
      <c r="I916" t="s">
        <v>269</v>
      </c>
      <c r="J916" t="s">
        <v>43</v>
      </c>
      <c r="K916" t="s">
        <v>231</v>
      </c>
      <c r="L916" t="s">
        <v>367</v>
      </c>
      <c r="M916" t="s">
        <v>266</v>
      </c>
      <c r="N916" t="s">
        <v>309</v>
      </c>
      <c r="O916" t="s">
        <v>215</v>
      </c>
      <c r="P916" t="s">
        <v>216</v>
      </c>
      <c r="Q916" t="s">
        <v>217</v>
      </c>
      <c r="R916" t="s">
        <v>218</v>
      </c>
      <c r="S916" t="s">
        <v>244</v>
      </c>
    </row>
    <row r="917" spans="1:19" x14ac:dyDescent="0.35">
      <c r="A917" t="s">
        <v>139</v>
      </c>
      <c r="B917" t="s">
        <v>20</v>
      </c>
      <c r="C917" t="s">
        <v>21</v>
      </c>
      <c r="D917" t="s">
        <v>26</v>
      </c>
      <c r="E917" t="s">
        <v>15</v>
      </c>
      <c r="F917" t="s">
        <v>35</v>
      </c>
      <c r="G917" t="s">
        <v>36</v>
      </c>
      <c r="H917" t="s">
        <v>224</v>
      </c>
      <c r="I917" t="s">
        <v>225</v>
      </c>
      <c r="J917" t="s">
        <v>54</v>
      </c>
      <c r="K917" t="s">
        <v>226</v>
      </c>
      <c r="L917" t="s">
        <v>227</v>
      </c>
      <c r="M917" t="s">
        <v>228</v>
      </c>
      <c r="N917" t="s">
        <v>224</v>
      </c>
      <c r="O917" t="s">
        <v>215</v>
      </c>
      <c r="P917" t="s">
        <v>216</v>
      </c>
      <c r="Q917" t="s">
        <v>217</v>
      </c>
      <c r="R917" t="s">
        <v>218</v>
      </c>
      <c r="S917" t="s">
        <v>265</v>
      </c>
    </row>
    <row r="918" spans="1:19" x14ac:dyDescent="0.35">
      <c r="A918" t="s">
        <v>45</v>
      </c>
      <c r="B918" t="s">
        <v>34</v>
      </c>
      <c r="C918" t="s">
        <v>38</v>
      </c>
      <c r="D918" t="s">
        <v>14</v>
      </c>
      <c r="E918" t="s">
        <v>15</v>
      </c>
      <c r="F918" t="s">
        <v>23</v>
      </c>
      <c r="G918" t="s">
        <v>24</v>
      </c>
      <c r="H918" t="s">
        <v>239</v>
      </c>
      <c r="I918" t="s">
        <v>220</v>
      </c>
      <c r="J918" t="s">
        <v>43</v>
      </c>
      <c r="K918" t="s">
        <v>245</v>
      </c>
      <c r="L918" t="s">
        <v>231</v>
      </c>
      <c r="M918" t="s">
        <v>311</v>
      </c>
      <c r="N918" t="s">
        <v>245</v>
      </c>
      <c r="O918" t="s">
        <v>215</v>
      </c>
      <c r="P918" t="s">
        <v>216</v>
      </c>
      <c r="Q918" t="s">
        <v>217</v>
      </c>
      <c r="R918" t="s">
        <v>218</v>
      </c>
      <c r="S918" t="s">
        <v>244</v>
      </c>
    </row>
    <row r="919" spans="1:19" x14ac:dyDescent="0.35">
      <c r="A919" t="s">
        <v>40</v>
      </c>
      <c r="B919" t="s">
        <v>12</v>
      </c>
      <c r="C919" t="s">
        <v>38</v>
      </c>
      <c r="D919" t="s">
        <v>14</v>
      </c>
      <c r="E919" t="s">
        <v>22</v>
      </c>
      <c r="F919" t="s">
        <v>52</v>
      </c>
      <c r="G919" t="s">
        <v>36</v>
      </c>
      <c r="H919" t="s">
        <v>291</v>
      </c>
      <c r="I919" t="s">
        <v>230</v>
      </c>
      <c r="J919" t="s">
        <v>54</v>
      </c>
      <c r="K919" t="s">
        <v>292</v>
      </c>
      <c r="L919" t="s">
        <v>357</v>
      </c>
      <c r="M919" t="s">
        <v>358</v>
      </c>
      <c r="N919" t="s">
        <v>359</v>
      </c>
      <c r="O919" t="s">
        <v>215</v>
      </c>
      <c r="P919" t="s">
        <v>216</v>
      </c>
      <c r="Q919" t="s">
        <v>217</v>
      </c>
      <c r="R919" t="s">
        <v>218</v>
      </c>
      <c r="S919" t="s">
        <v>244</v>
      </c>
    </row>
    <row r="920" spans="1:19" x14ac:dyDescent="0.35">
      <c r="A920" t="s">
        <v>139</v>
      </c>
      <c r="B920" t="s">
        <v>20</v>
      </c>
      <c r="C920" t="s">
        <v>21</v>
      </c>
      <c r="D920" t="s">
        <v>26</v>
      </c>
      <c r="E920" t="s">
        <v>22</v>
      </c>
      <c r="F920" t="s">
        <v>41</v>
      </c>
      <c r="G920" t="s">
        <v>17</v>
      </c>
      <c r="H920" t="s">
        <v>219</v>
      </c>
      <c r="I920" t="s">
        <v>240</v>
      </c>
      <c r="J920" t="s">
        <v>43</v>
      </c>
      <c r="K920" t="s">
        <v>221</v>
      </c>
      <c r="L920" t="s">
        <v>241</v>
      </c>
      <c r="M920" t="s">
        <v>242</v>
      </c>
      <c r="N920" t="s">
        <v>243</v>
      </c>
      <c r="O920" t="s">
        <v>215</v>
      </c>
      <c r="P920" t="s">
        <v>216</v>
      </c>
      <c r="Q920" t="s">
        <v>217</v>
      </c>
      <c r="R920" t="s">
        <v>218</v>
      </c>
      <c r="S920" t="s">
        <v>265</v>
      </c>
    </row>
    <row r="921" spans="1:19" x14ac:dyDescent="0.35">
      <c r="A921" t="s">
        <v>93</v>
      </c>
      <c r="B921" t="s">
        <v>29</v>
      </c>
      <c r="C921" t="s">
        <v>38</v>
      </c>
      <c r="D921" t="s">
        <v>14</v>
      </c>
      <c r="E921" t="s">
        <v>15</v>
      </c>
      <c r="F921" t="s">
        <v>16</v>
      </c>
      <c r="G921" t="s">
        <v>17</v>
      </c>
      <c r="H921" t="s">
        <v>275</v>
      </c>
      <c r="I921" t="s">
        <v>265</v>
      </c>
      <c r="J921" t="s">
        <v>54</v>
      </c>
      <c r="K921" t="s">
        <v>276</v>
      </c>
      <c r="L921" t="s">
        <v>316</v>
      </c>
      <c r="M921" t="s">
        <v>323</v>
      </c>
      <c r="N921" t="s">
        <v>344</v>
      </c>
      <c r="O921" t="s">
        <v>215</v>
      </c>
      <c r="P921" t="s">
        <v>216</v>
      </c>
      <c r="Q921" t="s">
        <v>217</v>
      </c>
      <c r="R921" t="s">
        <v>218</v>
      </c>
      <c r="S921" t="s">
        <v>220</v>
      </c>
    </row>
    <row r="922" spans="1:19" x14ac:dyDescent="0.35">
      <c r="A922" t="s">
        <v>85</v>
      </c>
      <c r="B922" t="s">
        <v>12</v>
      </c>
      <c r="C922" t="s">
        <v>21</v>
      </c>
      <c r="D922" t="s">
        <v>14</v>
      </c>
      <c r="E922" t="s">
        <v>15</v>
      </c>
      <c r="F922" t="s">
        <v>47</v>
      </c>
      <c r="G922" t="s">
        <v>36</v>
      </c>
      <c r="H922" t="s">
        <v>229</v>
      </c>
      <c r="I922" t="s">
        <v>238</v>
      </c>
      <c r="J922" t="s">
        <v>54</v>
      </c>
      <c r="K922" t="s">
        <v>231</v>
      </c>
      <c r="L922" t="s">
        <v>229</v>
      </c>
      <c r="M922" t="s">
        <v>231</v>
      </c>
      <c r="N922" t="s">
        <v>239</v>
      </c>
      <c r="O922" t="s">
        <v>215</v>
      </c>
      <c r="P922" t="s">
        <v>216</v>
      </c>
      <c r="Q922" t="s">
        <v>217</v>
      </c>
      <c r="R922" t="s">
        <v>218</v>
      </c>
      <c r="S922" t="s">
        <v>238</v>
      </c>
    </row>
    <row r="923" spans="1:19" x14ac:dyDescent="0.35">
      <c r="A923" t="s">
        <v>110</v>
      </c>
      <c r="B923" t="s">
        <v>12</v>
      </c>
      <c r="C923" t="s">
        <v>13</v>
      </c>
      <c r="D923" t="s">
        <v>26</v>
      </c>
      <c r="E923" t="s">
        <v>22</v>
      </c>
      <c r="F923" t="s">
        <v>16</v>
      </c>
      <c r="G923" t="s">
        <v>17</v>
      </c>
      <c r="H923" t="s">
        <v>275</v>
      </c>
      <c r="I923" t="s">
        <v>265</v>
      </c>
      <c r="J923" t="s">
        <v>50</v>
      </c>
      <c r="K923" t="s">
        <v>276</v>
      </c>
      <c r="L923" t="s">
        <v>316</v>
      </c>
      <c r="M923" t="s">
        <v>323</v>
      </c>
      <c r="N923" t="s">
        <v>344</v>
      </c>
      <c r="O923" t="s">
        <v>215</v>
      </c>
      <c r="P923" t="s">
        <v>216</v>
      </c>
      <c r="Q923" t="s">
        <v>217</v>
      </c>
      <c r="R923" t="s">
        <v>218</v>
      </c>
      <c r="S923" t="s">
        <v>265</v>
      </c>
    </row>
    <row r="924" spans="1:19" x14ac:dyDescent="0.35">
      <c r="A924" t="s">
        <v>28</v>
      </c>
      <c r="B924" t="s">
        <v>12</v>
      </c>
      <c r="C924" t="s">
        <v>38</v>
      </c>
      <c r="D924" t="s">
        <v>26</v>
      </c>
      <c r="E924" t="s">
        <v>15</v>
      </c>
      <c r="F924" t="s">
        <v>16</v>
      </c>
      <c r="G924" t="s">
        <v>17</v>
      </c>
      <c r="H924" t="s">
        <v>275</v>
      </c>
      <c r="I924" t="s">
        <v>238</v>
      </c>
      <c r="J924" t="s">
        <v>32</v>
      </c>
      <c r="K924" t="s">
        <v>276</v>
      </c>
      <c r="L924" t="s">
        <v>275</v>
      </c>
      <c r="M924" t="s">
        <v>276</v>
      </c>
      <c r="N924" t="s">
        <v>277</v>
      </c>
      <c r="O924" t="s">
        <v>215</v>
      </c>
      <c r="P924" t="s">
        <v>216</v>
      </c>
      <c r="Q924" t="s">
        <v>217</v>
      </c>
      <c r="R924" t="s">
        <v>218</v>
      </c>
      <c r="S924" t="s">
        <v>220</v>
      </c>
    </row>
    <row r="925" spans="1:19" x14ac:dyDescent="0.35">
      <c r="A925" t="s">
        <v>83</v>
      </c>
      <c r="B925" t="s">
        <v>34</v>
      </c>
      <c r="C925" t="s">
        <v>30</v>
      </c>
      <c r="D925" t="s">
        <v>14</v>
      </c>
      <c r="E925" t="s">
        <v>15</v>
      </c>
      <c r="F925" t="s">
        <v>39</v>
      </c>
      <c r="G925" t="s">
        <v>24</v>
      </c>
      <c r="H925" t="s">
        <v>209</v>
      </c>
      <c r="I925" t="s">
        <v>220</v>
      </c>
      <c r="J925" t="s">
        <v>54</v>
      </c>
      <c r="K925" t="s">
        <v>211</v>
      </c>
      <c r="L925" t="s">
        <v>302</v>
      </c>
      <c r="M925" t="s">
        <v>342</v>
      </c>
      <c r="N925" t="s">
        <v>211</v>
      </c>
      <c r="O925" t="s">
        <v>215</v>
      </c>
      <c r="P925" t="s">
        <v>216</v>
      </c>
      <c r="Q925" t="s">
        <v>217</v>
      </c>
      <c r="R925" t="s">
        <v>218</v>
      </c>
      <c r="S925" t="s">
        <v>238</v>
      </c>
    </row>
    <row r="926" spans="1:19" x14ac:dyDescent="0.35">
      <c r="A926" t="s">
        <v>63</v>
      </c>
      <c r="B926" t="s">
        <v>20</v>
      </c>
      <c r="C926" t="s">
        <v>13</v>
      </c>
      <c r="D926" t="s">
        <v>26</v>
      </c>
      <c r="E926" t="s">
        <v>15</v>
      </c>
      <c r="F926" t="s">
        <v>52</v>
      </c>
      <c r="G926" t="s">
        <v>36</v>
      </c>
      <c r="H926" t="s">
        <v>291</v>
      </c>
      <c r="I926" t="s">
        <v>249</v>
      </c>
      <c r="J926" t="s">
        <v>27</v>
      </c>
      <c r="K926" t="s">
        <v>292</v>
      </c>
      <c r="L926" t="s">
        <v>299</v>
      </c>
      <c r="M926" t="s">
        <v>300</v>
      </c>
      <c r="N926" t="s">
        <v>293</v>
      </c>
      <c r="O926" t="s">
        <v>215</v>
      </c>
      <c r="P926" t="s">
        <v>216</v>
      </c>
      <c r="Q926" t="s">
        <v>217</v>
      </c>
      <c r="R926" t="s">
        <v>218</v>
      </c>
      <c r="S926" t="s">
        <v>220</v>
      </c>
    </row>
    <row r="927" spans="1:19" x14ac:dyDescent="0.35">
      <c r="A927" t="s">
        <v>105</v>
      </c>
      <c r="B927" t="s">
        <v>12</v>
      </c>
      <c r="C927" t="s">
        <v>30</v>
      </c>
      <c r="D927" t="s">
        <v>26</v>
      </c>
      <c r="E927" t="s">
        <v>22</v>
      </c>
      <c r="F927" t="s">
        <v>39</v>
      </c>
      <c r="G927" t="s">
        <v>24</v>
      </c>
      <c r="H927" t="s">
        <v>209</v>
      </c>
      <c r="I927" t="s">
        <v>269</v>
      </c>
      <c r="J927" t="s">
        <v>27</v>
      </c>
      <c r="K927" t="s">
        <v>211</v>
      </c>
      <c r="L927" t="s">
        <v>371</v>
      </c>
      <c r="M927" t="s">
        <v>372</v>
      </c>
      <c r="N927" t="s">
        <v>373</v>
      </c>
      <c r="O927" t="s">
        <v>215</v>
      </c>
      <c r="P927" t="s">
        <v>216</v>
      </c>
      <c r="Q927" t="s">
        <v>217</v>
      </c>
      <c r="R927" t="s">
        <v>218</v>
      </c>
      <c r="S927" t="s">
        <v>244</v>
      </c>
    </row>
    <row r="928" spans="1:19" x14ac:dyDescent="0.35">
      <c r="A928" t="s">
        <v>143</v>
      </c>
      <c r="B928" t="s">
        <v>34</v>
      </c>
      <c r="C928" t="s">
        <v>21</v>
      </c>
      <c r="D928" t="s">
        <v>26</v>
      </c>
      <c r="E928" t="s">
        <v>22</v>
      </c>
      <c r="F928" t="s">
        <v>35</v>
      </c>
      <c r="G928" t="s">
        <v>36</v>
      </c>
      <c r="H928" t="s">
        <v>224</v>
      </c>
      <c r="I928" t="s">
        <v>225</v>
      </c>
      <c r="J928" t="s">
        <v>54</v>
      </c>
      <c r="K928" t="s">
        <v>226</v>
      </c>
      <c r="L928" t="s">
        <v>227</v>
      </c>
      <c r="M928" t="s">
        <v>228</v>
      </c>
      <c r="N928" t="s">
        <v>224</v>
      </c>
      <c r="O928" t="s">
        <v>215</v>
      </c>
      <c r="P928" t="s">
        <v>216</v>
      </c>
      <c r="Q928" t="s">
        <v>217</v>
      </c>
      <c r="R928" t="s">
        <v>218</v>
      </c>
      <c r="S928" t="s">
        <v>238</v>
      </c>
    </row>
    <row r="929" spans="1:19" x14ac:dyDescent="0.35">
      <c r="A929" t="s">
        <v>155</v>
      </c>
      <c r="B929" t="s">
        <v>12</v>
      </c>
      <c r="C929" t="s">
        <v>30</v>
      </c>
      <c r="D929" t="s">
        <v>26</v>
      </c>
      <c r="E929" t="s">
        <v>22</v>
      </c>
      <c r="F929" t="s">
        <v>31</v>
      </c>
      <c r="G929" t="s">
        <v>24</v>
      </c>
      <c r="H929" t="s">
        <v>252</v>
      </c>
      <c r="I929" t="s">
        <v>220</v>
      </c>
      <c r="J929" t="s">
        <v>50</v>
      </c>
      <c r="K929" t="s">
        <v>253</v>
      </c>
      <c r="L929" t="s">
        <v>226</v>
      </c>
      <c r="M929" t="s">
        <v>284</v>
      </c>
      <c r="N929" t="s">
        <v>253</v>
      </c>
      <c r="O929" t="s">
        <v>215</v>
      </c>
      <c r="P929" t="s">
        <v>216</v>
      </c>
      <c r="Q929" t="s">
        <v>217</v>
      </c>
      <c r="R929" t="s">
        <v>218</v>
      </c>
      <c r="S929" t="s">
        <v>238</v>
      </c>
    </row>
    <row r="930" spans="1:19" x14ac:dyDescent="0.35">
      <c r="A930" t="s">
        <v>130</v>
      </c>
      <c r="B930" t="s">
        <v>20</v>
      </c>
      <c r="C930" t="s">
        <v>21</v>
      </c>
      <c r="D930" t="s">
        <v>26</v>
      </c>
      <c r="E930" t="s">
        <v>15</v>
      </c>
      <c r="F930" t="s">
        <v>56</v>
      </c>
      <c r="G930" t="s">
        <v>36</v>
      </c>
      <c r="H930" t="s">
        <v>260</v>
      </c>
      <c r="I930" t="s">
        <v>220</v>
      </c>
      <c r="J930" t="s">
        <v>50</v>
      </c>
      <c r="K930" t="s">
        <v>261</v>
      </c>
      <c r="L930" t="s">
        <v>335</v>
      </c>
      <c r="M930" t="s">
        <v>336</v>
      </c>
      <c r="N930" t="s">
        <v>261</v>
      </c>
      <c r="O930" t="s">
        <v>215</v>
      </c>
      <c r="P930" t="s">
        <v>216</v>
      </c>
      <c r="Q930" t="s">
        <v>217</v>
      </c>
      <c r="R930" t="s">
        <v>218</v>
      </c>
      <c r="S930" t="s">
        <v>238</v>
      </c>
    </row>
    <row r="931" spans="1:19" x14ac:dyDescent="0.35">
      <c r="A931" t="s">
        <v>113</v>
      </c>
      <c r="B931" t="s">
        <v>34</v>
      </c>
      <c r="C931" t="s">
        <v>13</v>
      </c>
      <c r="D931" t="s">
        <v>14</v>
      </c>
      <c r="E931" t="s">
        <v>22</v>
      </c>
      <c r="F931" t="s">
        <v>58</v>
      </c>
      <c r="G931" t="s">
        <v>24</v>
      </c>
      <c r="H931" t="s">
        <v>255</v>
      </c>
      <c r="I931" t="s">
        <v>240</v>
      </c>
      <c r="J931" t="s">
        <v>54</v>
      </c>
      <c r="K931" t="s">
        <v>256</v>
      </c>
      <c r="L931" t="s">
        <v>305</v>
      </c>
      <c r="M931" t="s">
        <v>306</v>
      </c>
      <c r="N931" t="s">
        <v>307</v>
      </c>
      <c r="O931" t="s">
        <v>215</v>
      </c>
      <c r="P931" t="s">
        <v>216</v>
      </c>
      <c r="Q931" t="s">
        <v>217</v>
      </c>
      <c r="R931" t="s">
        <v>218</v>
      </c>
      <c r="S931" t="s">
        <v>244</v>
      </c>
    </row>
    <row r="932" spans="1:19" x14ac:dyDescent="0.35">
      <c r="A932" t="s">
        <v>63</v>
      </c>
      <c r="B932" t="s">
        <v>20</v>
      </c>
      <c r="C932" t="s">
        <v>21</v>
      </c>
      <c r="D932" t="s">
        <v>26</v>
      </c>
      <c r="E932" t="s">
        <v>15</v>
      </c>
      <c r="F932" t="s">
        <v>35</v>
      </c>
      <c r="G932" t="s">
        <v>36</v>
      </c>
      <c r="H932" t="s">
        <v>224</v>
      </c>
      <c r="I932" t="s">
        <v>230</v>
      </c>
      <c r="J932" t="s">
        <v>32</v>
      </c>
      <c r="K932" t="s">
        <v>226</v>
      </c>
      <c r="L932" t="s">
        <v>332</v>
      </c>
      <c r="M932" t="s">
        <v>333</v>
      </c>
      <c r="N932" t="s">
        <v>291</v>
      </c>
      <c r="O932" t="s">
        <v>215</v>
      </c>
      <c r="P932" t="s">
        <v>216</v>
      </c>
      <c r="Q932" t="s">
        <v>217</v>
      </c>
      <c r="R932" t="s">
        <v>218</v>
      </c>
      <c r="S932" t="s">
        <v>220</v>
      </c>
    </row>
    <row r="933" spans="1:19" x14ac:dyDescent="0.35">
      <c r="A933" t="s">
        <v>66</v>
      </c>
      <c r="B933" t="s">
        <v>29</v>
      </c>
      <c r="C933" t="s">
        <v>21</v>
      </c>
      <c r="D933" t="s">
        <v>14</v>
      </c>
      <c r="E933" t="s">
        <v>15</v>
      </c>
      <c r="F933" t="s">
        <v>52</v>
      </c>
      <c r="G933" t="s">
        <v>36</v>
      </c>
      <c r="H933" t="s">
        <v>291</v>
      </c>
      <c r="I933" t="s">
        <v>210</v>
      </c>
      <c r="J933" t="s">
        <v>32</v>
      </c>
      <c r="K933" t="s">
        <v>292</v>
      </c>
      <c r="L933" t="s">
        <v>339</v>
      </c>
      <c r="M933" t="s">
        <v>299</v>
      </c>
      <c r="N933" t="s">
        <v>233</v>
      </c>
      <c r="O933" t="s">
        <v>215</v>
      </c>
      <c r="P933" t="s">
        <v>216</v>
      </c>
      <c r="Q933" t="s">
        <v>217</v>
      </c>
      <c r="R933" t="s">
        <v>218</v>
      </c>
      <c r="S933" t="s">
        <v>244</v>
      </c>
    </row>
    <row r="934" spans="1:19" x14ac:dyDescent="0.35">
      <c r="A934" t="s">
        <v>76</v>
      </c>
      <c r="B934" t="s">
        <v>12</v>
      </c>
      <c r="C934" t="s">
        <v>21</v>
      </c>
      <c r="D934" t="s">
        <v>26</v>
      </c>
      <c r="E934" t="s">
        <v>22</v>
      </c>
      <c r="F934" t="s">
        <v>23</v>
      </c>
      <c r="G934" t="s">
        <v>24</v>
      </c>
      <c r="H934" t="s">
        <v>239</v>
      </c>
      <c r="I934" t="s">
        <v>230</v>
      </c>
      <c r="J934" t="s">
        <v>32</v>
      </c>
      <c r="K934" t="s">
        <v>245</v>
      </c>
      <c r="L934" t="s">
        <v>234</v>
      </c>
      <c r="M934" t="s">
        <v>294</v>
      </c>
      <c r="N934" t="s">
        <v>331</v>
      </c>
      <c r="O934" t="s">
        <v>215</v>
      </c>
      <c r="P934" t="s">
        <v>216</v>
      </c>
      <c r="Q934" t="s">
        <v>217</v>
      </c>
      <c r="R934" t="s">
        <v>218</v>
      </c>
      <c r="S934" t="s">
        <v>265</v>
      </c>
    </row>
    <row r="935" spans="1:19" x14ac:dyDescent="0.35">
      <c r="A935" t="s">
        <v>55</v>
      </c>
      <c r="B935" t="s">
        <v>34</v>
      </c>
      <c r="C935" t="s">
        <v>21</v>
      </c>
      <c r="D935" t="s">
        <v>26</v>
      </c>
      <c r="E935" t="s">
        <v>15</v>
      </c>
      <c r="F935" t="s">
        <v>58</v>
      </c>
      <c r="G935" t="s">
        <v>24</v>
      </c>
      <c r="H935" t="s">
        <v>255</v>
      </c>
      <c r="I935" t="s">
        <v>249</v>
      </c>
      <c r="J935" t="s">
        <v>50</v>
      </c>
      <c r="K935" t="s">
        <v>256</v>
      </c>
      <c r="L935" t="s">
        <v>286</v>
      </c>
      <c r="M935" t="s">
        <v>295</v>
      </c>
      <c r="N935" t="s">
        <v>296</v>
      </c>
      <c r="O935" t="s">
        <v>215</v>
      </c>
      <c r="P935" t="s">
        <v>216</v>
      </c>
      <c r="Q935" t="s">
        <v>217</v>
      </c>
      <c r="R935" t="s">
        <v>218</v>
      </c>
      <c r="S935" t="s">
        <v>220</v>
      </c>
    </row>
    <row r="936" spans="1:19" x14ac:dyDescent="0.35">
      <c r="A936" t="s">
        <v>48</v>
      </c>
      <c r="B936" t="s">
        <v>29</v>
      </c>
      <c r="C936" t="s">
        <v>38</v>
      </c>
      <c r="D936" t="s">
        <v>14</v>
      </c>
      <c r="E936" t="s">
        <v>22</v>
      </c>
      <c r="F936" t="s">
        <v>41</v>
      </c>
      <c r="G936" t="s">
        <v>17</v>
      </c>
      <c r="H936" t="s">
        <v>219</v>
      </c>
      <c r="I936" t="s">
        <v>269</v>
      </c>
      <c r="J936" t="s">
        <v>27</v>
      </c>
      <c r="K936" t="s">
        <v>221</v>
      </c>
      <c r="L936" t="s">
        <v>362</v>
      </c>
      <c r="M936" t="s">
        <v>363</v>
      </c>
      <c r="N936" t="s">
        <v>342</v>
      </c>
      <c r="O936" t="s">
        <v>215</v>
      </c>
      <c r="P936" t="s">
        <v>216</v>
      </c>
      <c r="Q936" t="s">
        <v>217</v>
      </c>
      <c r="R936" t="s">
        <v>218</v>
      </c>
      <c r="S936" t="s">
        <v>238</v>
      </c>
    </row>
    <row r="937" spans="1:19" x14ac:dyDescent="0.35">
      <c r="A937" t="s">
        <v>119</v>
      </c>
      <c r="B937" t="s">
        <v>20</v>
      </c>
      <c r="C937" t="s">
        <v>30</v>
      </c>
      <c r="D937" t="s">
        <v>26</v>
      </c>
      <c r="E937" t="s">
        <v>22</v>
      </c>
      <c r="F937" t="s">
        <v>39</v>
      </c>
      <c r="G937" t="s">
        <v>24</v>
      </c>
      <c r="H937" t="s">
        <v>209</v>
      </c>
      <c r="I937" t="s">
        <v>249</v>
      </c>
      <c r="J937" t="s">
        <v>32</v>
      </c>
      <c r="K937" t="s">
        <v>211</v>
      </c>
      <c r="L937" t="s">
        <v>213</v>
      </c>
      <c r="M937" t="s">
        <v>250</v>
      </c>
      <c r="N937" t="s">
        <v>251</v>
      </c>
      <c r="O937" t="s">
        <v>215</v>
      </c>
      <c r="P937" t="s">
        <v>216</v>
      </c>
      <c r="Q937" t="s">
        <v>217</v>
      </c>
      <c r="R937" t="s">
        <v>218</v>
      </c>
      <c r="S937" t="s">
        <v>238</v>
      </c>
    </row>
    <row r="938" spans="1:19" x14ac:dyDescent="0.35">
      <c r="A938" t="s">
        <v>49</v>
      </c>
      <c r="B938" t="s">
        <v>34</v>
      </c>
      <c r="C938" t="s">
        <v>13</v>
      </c>
      <c r="D938" t="s">
        <v>14</v>
      </c>
      <c r="E938" t="s">
        <v>15</v>
      </c>
      <c r="F938" t="s">
        <v>23</v>
      </c>
      <c r="G938" t="s">
        <v>24</v>
      </c>
      <c r="H938" t="s">
        <v>239</v>
      </c>
      <c r="I938" t="s">
        <v>225</v>
      </c>
      <c r="J938" t="s">
        <v>43</v>
      </c>
      <c r="K938" t="s">
        <v>245</v>
      </c>
      <c r="L938" t="s">
        <v>229</v>
      </c>
      <c r="M938" t="s">
        <v>231</v>
      </c>
      <c r="N938" t="s">
        <v>239</v>
      </c>
      <c r="O938" t="s">
        <v>215</v>
      </c>
      <c r="P938" t="s">
        <v>216</v>
      </c>
      <c r="Q938" t="s">
        <v>217</v>
      </c>
      <c r="R938" t="s">
        <v>218</v>
      </c>
      <c r="S938" t="s">
        <v>220</v>
      </c>
    </row>
    <row r="939" spans="1:19" x14ac:dyDescent="0.35">
      <c r="A939" t="s">
        <v>70</v>
      </c>
      <c r="B939" t="s">
        <v>29</v>
      </c>
      <c r="C939" t="s">
        <v>30</v>
      </c>
      <c r="D939" t="s">
        <v>14</v>
      </c>
      <c r="E939" t="s">
        <v>22</v>
      </c>
      <c r="F939" t="s">
        <v>41</v>
      </c>
      <c r="G939" t="s">
        <v>17</v>
      </c>
      <c r="H939" t="s">
        <v>219</v>
      </c>
      <c r="I939" t="s">
        <v>249</v>
      </c>
      <c r="J939" t="s">
        <v>32</v>
      </c>
      <c r="K939" t="s">
        <v>221</v>
      </c>
      <c r="L939" t="s">
        <v>279</v>
      </c>
      <c r="M939" t="s">
        <v>320</v>
      </c>
      <c r="N939" t="s">
        <v>321</v>
      </c>
      <c r="O939" t="s">
        <v>215</v>
      </c>
      <c r="P939" t="s">
        <v>216</v>
      </c>
      <c r="Q939" t="s">
        <v>217</v>
      </c>
      <c r="R939" t="s">
        <v>218</v>
      </c>
      <c r="S939" t="s">
        <v>265</v>
      </c>
    </row>
    <row r="940" spans="1:19" x14ac:dyDescent="0.35">
      <c r="A940" t="s">
        <v>94</v>
      </c>
      <c r="B940" t="s">
        <v>34</v>
      </c>
      <c r="C940" t="s">
        <v>21</v>
      </c>
      <c r="D940" t="s">
        <v>14</v>
      </c>
      <c r="E940" t="s">
        <v>22</v>
      </c>
      <c r="F940" t="s">
        <v>41</v>
      </c>
      <c r="G940" t="s">
        <v>17</v>
      </c>
      <c r="H940" t="s">
        <v>219</v>
      </c>
      <c r="I940" t="s">
        <v>249</v>
      </c>
      <c r="J940" t="s">
        <v>27</v>
      </c>
      <c r="K940" t="s">
        <v>221</v>
      </c>
      <c r="L940" t="s">
        <v>279</v>
      </c>
      <c r="M940" t="s">
        <v>320</v>
      </c>
      <c r="N940" t="s">
        <v>321</v>
      </c>
      <c r="O940" t="s">
        <v>215</v>
      </c>
      <c r="P940" t="s">
        <v>216</v>
      </c>
      <c r="Q940" t="s">
        <v>217</v>
      </c>
      <c r="R940" t="s">
        <v>218</v>
      </c>
      <c r="S940" t="s">
        <v>244</v>
      </c>
    </row>
    <row r="941" spans="1:19" x14ac:dyDescent="0.35">
      <c r="A941" t="s">
        <v>102</v>
      </c>
      <c r="B941" t="s">
        <v>20</v>
      </c>
      <c r="C941" t="s">
        <v>30</v>
      </c>
      <c r="D941" t="s">
        <v>26</v>
      </c>
      <c r="E941" t="s">
        <v>22</v>
      </c>
      <c r="F941" t="s">
        <v>23</v>
      </c>
      <c r="G941" t="s">
        <v>24</v>
      </c>
      <c r="H941" t="s">
        <v>239</v>
      </c>
      <c r="I941" t="s">
        <v>220</v>
      </c>
      <c r="J941" t="s">
        <v>32</v>
      </c>
      <c r="K941" t="s">
        <v>245</v>
      </c>
      <c r="L941" t="s">
        <v>231</v>
      </c>
      <c r="M941" t="s">
        <v>311</v>
      </c>
      <c r="N941" t="s">
        <v>245</v>
      </c>
      <c r="O941" t="s">
        <v>215</v>
      </c>
      <c r="P941" t="s">
        <v>216</v>
      </c>
      <c r="Q941" t="s">
        <v>217</v>
      </c>
      <c r="R941" t="s">
        <v>218</v>
      </c>
      <c r="S941" t="s">
        <v>238</v>
      </c>
    </row>
    <row r="942" spans="1:19" x14ac:dyDescent="0.35">
      <c r="A942" t="s">
        <v>19</v>
      </c>
      <c r="B942" t="s">
        <v>12</v>
      </c>
      <c r="C942" t="s">
        <v>38</v>
      </c>
      <c r="D942" t="s">
        <v>14</v>
      </c>
      <c r="E942" t="s">
        <v>22</v>
      </c>
      <c r="F942" t="s">
        <v>39</v>
      </c>
      <c r="G942" t="s">
        <v>24</v>
      </c>
      <c r="H942" t="s">
        <v>209</v>
      </c>
      <c r="I942" t="s">
        <v>244</v>
      </c>
      <c r="J942" t="s">
        <v>43</v>
      </c>
      <c r="K942" t="s">
        <v>211</v>
      </c>
      <c r="L942" t="s">
        <v>272</v>
      </c>
      <c r="M942" t="s">
        <v>273</v>
      </c>
      <c r="N942" t="s">
        <v>274</v>
      </c>
      <c r="O942" t="s">
        <v>215</v>
      </c>
      <c r="P942" t="s">
        <v>216</v>
      </c>
      <c r="Q942" t="s">
        <v>217</v>
      </c>
      <c r="R942" t="s">
        <v>218</v>
      </c>
      <c r="S942" t="s">
        <v>220</v>
      </c>
    </row>
    <row r="943" spans="1:19" x14ac:dyDescent="0.35">
      <c r="A943" t="s">
        <v>61</v>
      </c>
      <c r="B943" t="s">
        <v>34</v>
      </c>
      <c r="C943" t="s">
        <v>30</v>
      </c>
      <c r="D943" t="s">
        <v>14</v>
      </c>
      <c r="E943" t="s">
        <v>15</v>
      </c>
      <c r="F943" t="s">
        <v>39</v>
      </c>
      <c r="G943" t="s">
        <v>24</v>
      </c>
      <c r="H943" t="s">
        <v>209</v>
      </c>
      <c r="I943" t="s">
        <v>269</v>
      </c>
      <c r="J943" t="s">
        <v>43</v>
      </c>
      <c r="K943" t="s">
        <v>211</v>
      </c>
      <c r="L943" t="s">
        <v>371</v>
      </c>
      <c r="M943" t="s">
        <v>372</v>
      </c>
      <c r="N943" t="s">
        <v>373</v>
      </c>
      <c r="O943" t="s">
        <v>215</v>
      </c>
      <c r="P943" t="s">
        <v>216</v>
      </c>
      <c r="Q943" t="s">
        <v>217</v>
      </c>
      <c r="R943" t="s">
        <v>218</v>
      </c>
      <c r="S943" t="s">
        <v>225</v>
      </c>
    </row>
    <row r="944" spans="1:19" x14ac:dyDescent="0.35">
      <c r="A944" t="s">
        <v>139</v>
      </c>
      <c r="B944" t="s">
        <v>34</v>
      </c>
      <c r="C944" t="s">
        <v>21</v>
      </c>
      <c r="D944" t="s">
        <v>26</v>
      </c>
      <c r="E944" t="s">
        <v>22</v>
      </c>
      <c r="F944" t="s">
        <v>39</v>
      </c>
      <c r="G944" t="s">
        <v>24</v>
      </c>
      <c r="H944" t="s">
        <v>209</v>
      </c>
      <c r="I944" t="s">
        <v>238</v>
      </c>
      <c r="J944" t="s">
        <v>32</v>
      </c>
      <c r="K944" t="s">
        <v>211</v>
      </c>
      <c r="L944" t="s">
        <v>209</v>
      </c>
      <c r="M944" t="s">
        <v>211</v>
      </c>
      <c r="N944" t="s">
        <v>254</v>
      </c>
      <c r="O944" t="s">
        <v>215</v>
      </c>
      <c r="P944" t="s">
        <v>216</v>
      </c>
      <c r="Q944" t="s">
        <v>217</v>
      </c>
      <c r="R944" t="s">
        <v>218</v>
      </c>
      <c r="S944" t="s">
        <v>265</v>
      </c>
    </row>
    <row r="945" spans="1:19" x14ac:dyDescent="0.35">
      <c r="A945" t="s">
        <v>104</v>
      </c>
      <c r="B945" t="s">
        <v>12</v>
      </c>
      <c r="C945" t="s">
        <v>38</v>
      </c>
      <c r="D945" t="s">
        <v>26</v>
      </c>
      <c r="E945" t="s">
        <v>15</v>
      </c>
      <c r="F945" t="s">
        <v>58</v>
      </c>
      <c r="G945" t="s">
        <v>24</v>
      </c>
      <c r="H945" t="s">
        <v>255</v>
      </c>
      <c r="I945" t="s">
        <v>240</v>
      </c>
      <c r="J945" t="s">
        <v>27</v>
      </c>
      <c r="K945" t="s">
        <v>256</v>
      </c>
      <c r="L945" t="s">
        <v>305</v>
      </c>
      <c r="M945" t="s">
        <v>306</v>
      </c>
      <c r="N945" t="s">
        <v>307</v>
      </c>
      <c r="O945" t="s">
        <v>215</v>
      </c>
      <c r="P945" t="s">
        <v>216</v>
      </c>
      <c r="Q945" t="s">
        <v>217</v>
      </c>
      <c r="R945" t="s">
        <v>218</v>
      </c>
      <c r="S945" t="s">
        <v>265</v>
      </c>
    </row>
    <row r="946" spans="1:19" x14ac:dyDescent="0.35">
      <c r="A946" t="s">
        <v>122</v>
      </c>
      <c r="B946" t="s">
        <v>20</v>
      </c>
      <c r="C946" t="s">
        <v>21</v>
      </c>
      <c r="D946" t="s">
        <v>14</v>
      </c>
      <c r="E946" t="s">
        <v>15</v>
      </c>
      <c r="F946" t="s">
        <v>35</v>
      </c>
      <c r="G946" t="s">
        <v>36</v>
      </c>
      <c r="H946" t="s">
        <v>224</v>
      </c>
      <c r="I946" t="s">
        <v>244</v>
      </c>
      <c r="J946" t="s">
        <v>27</v>
      </c>
      <c r="K946" t="s">
        <v>226</v>
      </c>
      <c r="L946" t="s">
        <v>301</v>
      </c>
      <c r="M946" t="s">
        <v>302</v>
      </c>
      <c r="N946" t="s">
        <v>209</v>
      </c>
      <c r="O946" t="s">
        <v>215</v>
      </c>
      <c r="P946" t="s">
        <v>216</v>
      </c>
      <c r="Q946" t="s">
        <v>217</v>
      </c>
      <c r="R946" t="s">
        <v>218</v>
      </c>
      <c r="S946" t="s">
        <v>220</v>
      </c>
    </row>
    <row r="947" spans="1:19" x14ac:dyDescent="0.35">
      <c r="A947" t="s">
        <v>97</v>
      </c>
      <c r="B947" t="s">
        <v>29</v>
      </c>
      <c r="C947" t="s">
        <v>21</v>
      </c>
      <c r="D947" t="s">
        <v>26</v>
      </c>
      <c r="E947" t="s">
        <v>22</v>
      </c>
      <c r="F947" t="s">
        <v>41</v>
      </c>
      <c r="G947" t="s">
        <v>17</v>
      </c>
      <c r="H947" t="s">
        <v>219</v>
      </c>
      <c r="I947" t="s">
        <v>238</v>
      </c>
      <c r="J947" t="s">
        <v>43</v>
      </c>
      <c r="K947" t="s">
        <v>221</v>
      </c>
      <c r="L947" t="s">
        <v>219</v>
      </c>
      <c r="M947" t="s">
        <v>221</v>
      </c>
      <c r="N947" t="s">
        <v>308</v>
      </c>
      <c r="O947" t="s">
        <v>215</v>
      </c>
      <c r="P947" t="s">
        <v>216</v>
      </c>
      <c r="Q947" t="s">
        <v>217</v>
      </c>
      <c r="R947" t="s">
        <v>218</v>
      </c>
      <c r="S947" t="s">
        <v>265</v>
      </c>
    </row>
    <row r="948" spans="1:19" x14ac:dyDescent="0.35">
      <c r="A948" t="s">
        <v>116</v>
      </c>
      <c r="B948" t="s">
        <v>29</v>
      </c>
      <c r="C948" t="s">
        <v>13</v>
      </c>
      <c r="D948" t="s">
        <v>26</v>
      </c>
      <c r="E948" t="s">
        <v>22</v>
      </c>
      <c r="F948" t="s">
        <v>47</v>
      </c>
      <c r="G948" t="s">
        <v>36</v>
      </c>
      <c r="H948" t="s">
        <v>229</v>
      </c>
      <c r="I948" t="s">
        <v>240</v>
      </c>
      <c r="J948" t="s">
        <v>43</v>
      </c>
      <c r="K948" t="s">
        <v>231</v>
      </c>
      <c r="L948" t="s">
        <v>301</v>
      </c>
      <c r="M948" t="s">
        <v>302</v>
      </c>
      <c r="N948" t="s">
        <v>209</v>
      </c>
      <c r="O948" t="s">
        <v>215</v>
      </c>
      <c r="P948" t="s">
        <v>216</v>
      </c>
      <c r="Q948" t="s">
        <v>217</v>
      </c>
      <c r="R948" t="s">
        <v>218</v>
      </c>
      <c r="S948" t="s">
        <v>244</v>
      </c>
    </row>
    <row r="949" spans="1:19" x14ac:dyDescent="0.35">
      <c r="A949" t="s">
        <v>80</v>
      </c>
      <c r="B949" t="s">
        <v>20</v>
      </c>
      <c r="C949" t="s">
        <v>21</v>
      </c>
      <c r="D949" t="s">
        <v>26</v>
      </c>
      <c r="E949" t="s">
        <v>22</v>
      </c>
      <c r="F949" t="s">
        <v>58</v>
      </c>
      <c r="G949" t="s">
        <v>24</v>
      </c>
      <c r="H949" t="s">
        <v>255</v>
      </c>
      <c r="I949" t="s">
        <v>230</v>
      </c>
      <c r="J949" t="s">
        <v>27</v>
      </c>
      <c r="K949" t="s">
        <v>256</v>
      </c>
      <c r="L949" t="s">
        <v>354</v>
      </c>
      <c r="M949" t="s">
        <v>355</v>
      </c>
      <c r="N949" t="s">
        <v>356</v>
      </c>
      <c r="O949" t="s">
        <v>215</v>
      </c>
      <c r="P949" t="s">
        <v>216</v>
      </c>
      <c r="Q949" t="s">
        <v>217</v>
      </c>
      <c r="R949" t="s">
        <v>218</v>
      </c>
      <c r="S949" t="s">
        <v>265</v>
      </c>
    </row>
    <row r="950" spans="1:19" x14ac:dyDescent="0.35">
      <c r="A950" t="s">
        <v>74</v>
      </c>
      <c r="B950" t="s">
        <v>12</v>
      </c>
      <c r="C950" t="s">
        <v>21</v>
      </c>
      <c r="D950" t="s">
        <v>14</v>
      </c>
      <c r="E950" t="s">
        <v>15</v>
      </c>
      <c r="F950" t="s">
        <v>58</v>
      </c>
      <c r="G950" t="s">
        <v>24</v>
      </c>
      <c r="H950" t="s">
        <v>255</v>
      </c>
      <c r="I950" t="s">
        <v>238</v>
      </c>
      <c r="J950" t="s">
        <v>32</v>
      </c>
      <c r="K950" t="s">
        <v>256</v>
      </c>
      <c r="L950" t="s">
        <v>255</v>
      </c>
      <c r="M950" t="s">
        <v>256</v>
      </c>
      <c r="N950" t="s">
        <v>334</v>
      </c>
      <c r="O950" t="s">
        <v>215</v>
      </c>
      <c r="P950" t="s">
        <v>216</v>
      </c>
      <c r="Q950" t="s">
        <v>217</v>
      </c>
      <c r="R950" t="s">
        <v>218</v>
      </c>
      <c r="S950" t="s">
        <v>265</v>
      </c>
    </row>
    <row r="951" spans="1:19" x14ac:dyDescent="0.35">
      <c r="A951" t="s">
        <v>92</v>
      </c>
      <c r="B951" t="s">
        <v>20</v>
      </c>
      <c r="C951" t="s">
        <v>13</v>
      </c>
      <c r="D951" t="s">
        <v>14</v>
      </c>
      <c r="E951" t="s">
        <v>15</v>
      </c>
      <c r="F951" t="s">
        <v>16</v>
      </c>
      <c r="G951" t="s">
        <v>17</v>
      </c>
      <c r="H951" t="s">
        <v>275</v>
      </c>
      <c r="I951" t="s">
        <v>220</v>
      </c>
      <c r="J951" t="s">
        <v>43</v>
      </c>
      <c r="K951" t="s">
        <v>276</v>
      </c>
      <c r="L951" t="s">
        <v>337</v>
      </c>
      <c r="M951" t="s">
        <v>338</v>
      </c>
      <c r="N951" t="s">
        <v>276</v>
      </c>
      <c r="O951" t="s">
        <v>215</v>
      </c>
      <c r="P951" t="s">
        <v>216</v>
      </c>
      <c r="Q951" t="s">
        <v>217</v>
      </c>
      <c r="R951" t="s">
        <v>218</v>
      </c>
      <c r="S951" t="s">
        <v>265</v>
      </c>
    </row>
    <row r="952" spans="1:19" x14ac:dyDescent="0.35">
      <c r="A952" t="s">
        <v>37</v>
      </c>
      <c r="B952" t="s">
        <v>12</v>
      </c>
      <c r="C952" t="s">
        <v>38</v>
      </c>
      <c r="D952" t="s">
        <v>26</v>
      </c>
      <c r="E952" t="s">
        <v>15</v>
      </c>
      <c r="F952" t="s">
        <v>56</v>
      </c>
      <c r="G952" t="s">
        <v>36</v>
      </c>
      <c r="H952" t="s">
        <v>260</v>
      </c>
      <c r="I952" t="s">
        <v>210</v>
      </c>
      <c r="J952" t="s">
        <v>43</v>
      </c>
      <c r="K952" t="s">
        <v>261</v>
      </c>
      <c r="L952" t="s">
        <v>364</v>
      </c>
      <c r="M952" t="s">
        <v>262</v>
      </c>
      <c r="N952" t="s">
        <v>360</v>
      </c>
      <c r="O952" t="s">
        <v>215</v>
      </c>
      <c r="P952" t="s">
        <v>216</v>
      </c>
      <c r="Q952" t="s">
        <v>217</v>
      </c>
      <c r="R952" t="s">
        <v>218</v>
      </c>
      <c r="S952" t="s">
        <v>244</v>
      </c>
    </row>
    <row r="953" spans="1:19" x14ac:dyDescent="0.35">
      <c r="A953" t="s">
        <v>136</v>
      </c>
      <c r="B953" t="s">
        <v>34</v>
      </c>
      <c r="C953" t="s">
        <v>38</v>
      </c>
      <c r="D953" t="s">
        <v>14</v>
      </c>
      <c r="E953" t="s">
        <v>22</v>
      </c>
      <c r="F953" t="s">
        <v>41</v>
      </c>
      <c r="G953" t="s">
        <v>17</v>
      </c>
      <c r="H953" t="s">
        <v>219</v>
      </c>
      <c r="I953" t="s">
        <v>238</v>
      </c>
      <c r="J953" t="s">
        <v>50</v>
      </c>
      <c r="K953" t="s">
        <v>221</v>
      </c>
      <c r="L953" t="s">
        <v>219</v>
      </c>
      <c r="M953" t="s">
        <v>221</v>
      </c>
      <c r="N953" t="s">
        <v>308</v>
      </c>
      <c r="O953" t="s">
        <v>215</v>
      </c>
      <c r="P953" t="s">
        <v>216</v>
      </c>
      <c r="Q953" t="s">
        <v>217</v>
      </c>
      <c r="R953" t="s">
        <v>218</v>
      </c>
      <c r="S953" t="s">
        <v>265</v>
      </c>
    </row>
    <row r="954" spans="1:19" x14ac:dyDescent="0.35">
      <c r="A954" t="s">
        <v>110</v>
      </c>
      <c r="B954" t="s">
        <v>12</v>
      </c>
      <c r="C954" t="s">
        <v>13</v>
      </c>
      <c r="D954" t="s">
        <v>26</v>
      </c>
      <c r="E954" t="s">
        <v>22</v>
      </c>
      <c r="F954" t="s">
        <v>31</v>
      </c>
      <c r="G954" t="s">
        <v>24</v>
      </c>
      <c r="H954" t="s">
        <v>252</v>
      </c>
      <c r="I954" t="s">
        <v>249</v>
      </c>
      <c r="J954" t="s">
        <v>27</v>
      </c>
      <c r="K954" t="s">
        <v>253</v>
      </c>
      <c r="L954" t="s">
        <v>297</v>
      </c>
      <c r="M954" t="s">
        <v>243</v>
      </c>
      <c r="N954" t="s">
        <v>311</v>
      </c>
      <c r="O954" t="s">
        <v>215</v>
      </c>
      <c r="P954" t="s">
        <v>216</v>
      </c>
      <c r="Q954" t="s">
        <v>217</v>
      </c>
      <c r="R954" t="s">
        <v>218</v>
      </c>
      <c r="S954" t="s">
        <v>265</v>
      </c>
    </row>
    <row r="955" spans="1:19" x14ac:dyDescent="0.35">
      <c r="A955" t="s">
        <v>127</v>
      </c>
      <c r="B955" t="s">
        <v>34</v>
      </c>
      <c r="C955" t="s">
        <v>38</v>
      </c>
      <c r="D955" t="s">
        <v>14</v>
      </c>
      <c r="E955" t="s">
        <v>22</v>
      </c>
      <c r="F955" t="s">
        <v>52</v>
      </c>
      <c r="G955" t="s">
        <v>36</v>
      </c>
      <c r="H955" t="s">
        <v>291</v>
      </c>
      <c r="I955" t="s">
        <v>265</v>
      </c>
      <c r="J955" t="s">
        <v>50</v>
      </c>
      <c r="K955" t="s">
        <v>292</v>
      </c>
      <c r="L955" t="s">
        <v>233</v>
      </c>
      <c r="M955" t="s">
        <v>293</v>
      </c>
      <c r="N955" t="s">
        <v>294</v>
      </c>
      <c r="O955" t="s">
        <v>215</v>
      </c>
      <c r="P955" t="s">
        <v>216</v>
      </c>
      <c r="Q955" t="s">
        <v>217</v>
      </c>
      <c r="R955" t="s">
        <v>218</v>
      </c>
      <c r="S955" t="s">
        <v>220</v>
      </c>
    </row>
    <row r="956" spans="1:19" x14ac:dyDescent="0.35">
      <c r="A956" t="s">
        <v>146</v>
      </c>
      <c r="B956" t="s">
        <v>34</v>
      </c>
      <c r="C956" t="s">
        <v>30</v>
      </c>
      <c r="D956" t="s">
        <v>26</v>
      </c>
      <c r="E956" t="s">
        <v>15</v>
      </c>
      <c r="F956" t="s">
        <v>56</v>
      </c>
      <c r="G956" t="s">
        <v>36</v>
      </c>
      <c r="H956" t="s">
        <v>260</v>
      </c>
      <c r="I956" t="s">
        <v>265</v>
      </c>
      <c r="J956" t="s">
        <v>18</v>
      </c>
      <c r="K956" t="s">
        <v>261</v>
      </c>
      <c r="L956" t="s">
        <v>360</v>
      </c>
      <c r="M956" t="s">
        <v>264</v>
      </c>
      <c r="N956" t="s">
        <v>361</v>
      </c>
      <c r="O956" t="s">
        <v>215</v>
      </c>
      <c r="P956" t="s">
        <v>216</v>
      </c>
      <c r="Q956" t="s">
        <v>217</v>
      </c>
      <c r="R956" t="s">
        <v>218</v>
      </c>
      <c r="S956" t="s">
        <v>244</v>
      </c>
    </row>
    <row r="957" spans="1:19" x14ac:dyDescent="0.35">
      <c r="A957" t="s">
        <v>66</v>
      </c>
      <c r="B957" t="s">
        <v>12</v>
      </c>
      <c r="C957" t="s">
        <v>21</v>
      </c>
      <c r="D957" t="s">
        <v>14</v>
      </c>
      <c r="E957" t="s">
        <v>22</v>
      </c>
      <c r="F957" t="s">
        <v>58</v>
      </c>
      <c r="G957" t="s">
        <v>24</v>
      </c>
      <c r="H957" t="s">
        <v>255</v>
      </c>
      <c r="I957" t="s">
        <v>240</v>
      </c>
      <c r="J957" t="s">
        <v>54</v>
      </c>
      <c r="K957" t="s">
        <v>256</v>
      </c>
      <c r="L957" t="s">
        <v>305</v>
      </c>
      <c r="M957" t="s">
        <v>306</v>
      </c>
      <c r="N957" t="s">
        <v>307</v>
      </c>
      <c r="O957" t="s">
        <v>215</v>
      </c>
      <c r="P957" t="s">
        <v>216</v>
      </c>
      <c r="Q957" t="s">
        <v>217</v>
      </c>
      <c r="R957" t="s">
        <v>218</v>
      </c>
      <c r="S957" t="s">
        <v>244</v>
      </c>
    </row>
    <row r="958" spans="1:19" x14ac:dyDescent="0.35">
      <c r="A958" t="s">
        <v>19</v>
      </c>
      <c r="B958" t="s">
        <v>34</v>
      </c>
      <c r="C958" t="s">
        <v>21</v>
      </c>
      <c r="D958" t="s">
        <v>26</v>
      </c>
      <c r="E958" t="s">
        <v>22</v>
      </c>
      <c r="F958" t="s">
        <v>31</v>
      </c>
      <c r="G958" t="s">
        <v>24</v>
      </c>
      <c r="H958" t="s">
        <v>252</v>
      </c>
      <c r="I958" t="s">
        <v>238</v>
      </c>
      <c r="J958" t="s">
        <v>43</v>
      </c>
      <c r="K958" t="s">
        <v>253</v>
      </c>
      <c r="L958" t="s">
        <v>252</v>
      </c>
      <c r="M958" t="s">
        <v>253</v>
      </c>
      <c r="N958" t="s">
        <v>313</v>
      </c>
      <c r="O958" t="s">
        <v>215</v>
      </c>
      <c r="P958" t="s">
        <v>216</v>
      </c>
      <c r="Q958" t="s">
        <v>217</v>
      </c>
      <c r="R958" t="s">
        <v>218</v>
      </c>
      <c r="S958" t="s">
        <v>220</v>
      </c>
    </row>
    <row r="959" spans="1:19" x14ac:dyDescent="0.35">
      <c r="A959" t="s">
        <v>121</v>
      </c>
      <c r="B959" t="s">
        <v>12</v>
      </c>
      <c r="C959" t="s">
        <v>13</v>
      </c>
      <c r="D959" t="s">
        <v>14</v>
      </c>
      <c r="E959" t="s">
        <v>22</v>
      </c>
      <c r="F959" t="s">
        <v>16</v>
      </c>
      <c r="G959" t="s">
        <v>17</v>
      </c>
      <c r="H959" t="s">
        <v>275</v>
      </c>
      <c r="I959" t="s">
        <v>269</v>
      </c>
      <c r="J959" t="s">
        <v>54</v>
      </c>
      <c r="K959" t="s">
        <v>276</v>
      </c>
      <c r="L959" t="s">
        <v>380</v>
      </c>
      <c r="M959" t="s">
        <v>381</v>
      </c>
      <c r="N959" t="s">
        <v>382</v>
      </c>
      <c r="O959" t="s">
        <v>215</v>
      </c>
      <c r="P959" t="s">
        <v>216</v>
      </c>
      <c r="Q959" t="s">
        <v>217</v>
      </c>
      <c r="R959" t="s">
        <v>218</v>
      </c>
      <c r="S959" t="s">
        <v>265</v>
      </c>
    </row>
    <row r="960" spans="1:19" x14ac:dyDescent="0.35">
      <c r="A960" t="s">
        <v>161</v>
      </c>
      <c r="B960" t="s">
        <v>29</v>
      </c>
      <c r="C960" t="s">
        <v>21</v>
      </c>
      <c r="D960" t="s">
        <v>14</v>
      </c>
      <c r="E960" t="s">
        <v>22</v>
      </c>
      <c r="F960" t="s">
        <v>31</v>
      </c>
      <c r="G960" t="s">
        <v>24</v>
      </c>
      <c r="H960" t="s">
        <v>252</v>
      </c>
      <c r="I960" t="s">
        <v>269</v>
      </c>
      <c r="J960" t="s">
        <v>50</v>
      </c>
      <c r="K960" t="s">
        <v>253</v>
      </c>
      <c r="L960" t="s">
        <v>272</v>
      </c>
      <c r="M960" t="s">
        <v>273</v>
      </c>
      <c r="N960" t="s">
        <v>274</v>
      </c>
      <c r="O960" t="s">
        <v>215</v>
      </c>
      <c r="P960" t="s">
        <v>216</v>
      </c>
      <c r="Q960" t="s">
        <v>217</v>
      </c>
      <c r="R960" t="s">
        <v>218</v>
      </c>
      <c r="S960" t="s">
        <v>238</v>
      </c>
    </row>
    <row r="961" spans="1:19" x14ac:dyDescent="0.35">
      <c r="A961" t="s">
        <v>99</v>
      </c>
      <c r="B961" t="s">
        <v>20</v>
      </c>
      <c r="C961" t="s">
        <v>30</v>
      </c>
      <c r="D961" t="s">
        <v>26</v>
      </c>
      <c r="E961" t="s">
        <v>22</v>
      </c>
      <c r="F961" t="s">
        <v>16</v>
      </c>
      <c r="G961" t="s">
        <v>17</v>
      </c>
      <c r="H961" t="s">
        <v>275</v>
      </c>
      <c r="I961" t="s">
        <v>230</v>
      </c>
      <c r="J961" t="s">
        <v>27</v>
      </c>
      <c r="K961" t="s">
        <v>276</v>
      </c>
      <c r="L961" t="s">
        <v>374</v>
      </c>
      <c r="M961" t="s">
        <v>375</v>
      </c>
      <c r="N961" t="s">
        <v>376</v>
      </c>
      <c r="O961" t="s">
        <v>215</v>
      </c>
      <c r="P961" t="s">
        <v>216</v>
      </c>
      <c r="Q961" t="s">
        <v>217</v>
      </c>
      <c r="R961" t="s">
        <v>218</v>
      </c>
      <c r="S961" t="s">
        <v>220</v>
      </c>
    </row>
    <row r="962" spans="1:19" x14ac:dyDescent="0.35">
      <c r="A962" t="s">
        <v>80</v>
      </c>
      <c r="B962" t="s">
        <v>29</v>
      </c>
      <c r="C962" t="s">
        <v>38</v>
      </c>
      <c r="D962" t="s">
        <v>14</v>
      </c>
      <c r="E962" t="s">
        <v>15</v>
      </c>
      <c r="F962" t="s">
        <v>41</v>
      </c>
      <c r="G962" t="s">
        <v>17</v>
      </c>
      <c r="H962" t="s">
        <v>219</v>
      </c>
      <c r="I962" t="s">
        <v>220</v>
      </c>
      <c r="J962" t="s">
        <v>32</v>
      </c>
      <c r="K962" t="s">
        <v>221</v>
      </c>
      <c r="L962" t="s">
        <v>222</v>
      </c>
      <c r="M962" t="s">
        <v>223</v>
      </c>
      <c r="N962" t="s">
        <v>221</v>
      </c>
      <c r="O962" t="s">
        <v>215</v>
      </c>
      <c r="P962" t="s">
        <v>216</v>
      </c>
      <c r="Q962" t="s">
        <v>217</v>
      </c>
      <c r="R962" t="s">
        <v>218</v>
      </c>
      <c r="S962" t="s">
        <v>265</v>
      </c>
    </row>
    <row r="963" spans="1:19" x14ac:dyDescent="0.35">
      <c r="A963" t="s">
        <v>63</v>
      </c>
      <c r="B963" t="s">
        <v>29</v>
      </c>
      <c r="C963" t="s">
        <v>38</v>
      </c>
      <c r="D963" t="s">
        <v>26</v>
      </c>
      <c r="E963" t="s">
        <v>15</v>
      </c>
      <c r="F963" t="s">
        <v>56</v>
      </c>
      <c r="G963" t="s">
        <v>36</v>
      </c>
      <c r="H963" t="s">
        <v>260</v>
      </c>
      <c r="I963" t="s">
        <v>220</v>
      </c>
      <c r="J963" t="s">
        <v>43</v>
      </c>
      <c r="K963" t="s">
        <v>261</v>
      </c>
      <c r="L963" t="s">
        <v>335</v>
      </c>
      <c r="M963" t="s">
        <v>336</v>
      </c>
      <c r="N963" t="s">
        <v>261</v>
      </c>
      <c r="O963" t="s">
        <v>215</v>
      </c>
      <c r="P963" t="s">
        <v>216</v>
      </c>
      <c r="Q963" t="s">
        <v>217</v>
      </c>
      <c r="R963" t="s">
        <v>218</v>
      </c>
      <c r="S963" t="s">
        <v>220</v>
      </c>
    </row>
    <row r="964" spans="1:19" x14ac:dyDescent="0.35">
      <c r="A964" t="s">
        <v>156</v>
      </c>
      <c r="B964" t="s">
        <v>20</v>
      </c>
      <c r="C964" t="s">
        <v>30</v>
      </c>
      <c r="D964" t="s">
        <v>26</v>
      </c>
      <c r="E964" t="s">
        <v>15</v>
      </c>
      <c r="F964" t="s">
        <v>31</v>
      </c>
      <c r="G964" t="s">
        <v>24</v>
      </c>
      <c r="H964" t="s">
        <v>252</v>
      </c>
      <c r="I964" t="s">
        <v>249</v>
      </c>
      <c r="J964" t="s">
        <v>27</v>
      </c>
      <c r="K964" t="s">
        <v>253</v>
      </c>
      <c r="L964" t="s">
        <v>297</v>
      </c>
      <c r="M964" t="s">
        <v>243</v>
      </c>
      <c r="N964" t="s">
        <v>311</v>
      </c>
      <c r="O964" t="s">
        <v>215</v>
      </c>
      <c r="P964" t="s">
        <v>216</v>
      </c>
      <c r="Q964" t="s">
        <v>217</v>
      </c>
      <c r="R964" t="s">
        <v>218</v>
      </c>
      <c r="S964" t="s">
        <v>244</v>
      </c>
    </row>
    <row r="965" spans="1:19" x14ac:dyDescent="0.35">
      <c r="A965" t="s">
        <v>106</v>
      </c>
      <c r="B965" t="s">
        <v>12</v>
      </c>
      <c r="C965" t="s">
        <v>30</v>
      </c>
      <c r="D965" t="s">
        <v>26</v>
      </c>
      <c r="E965" t="s">
        <v>15</v>
      </c>
      <c r="F965" t="s">
        <v>52</v>
      </c>
      <c r="G965" t="s">
        <v>36</v>
      </c>
      <c r="H965" t="s">
        <v>291</v>
      </c>
      <c r="I965" t="s">
        <v>265</v>
      </c>
      <c r="J965" t="s">
        <v>54</v>
      </c>
      <c r="K965" t="s">
        <v>292</v>
      </c>
      <c r="L965" t="s">
        <v>233</v>
      </c>
      <c r="M965" t="s">
        <v>293</v>
      </c>
      <c r="N965" t="s">
        <v>294</v>
      </c>
      <c r="O965" t="s">
        <v>215</v>
      </c>
      <c r="P965" t="s">
        <v>216</v>
      </c>
      <c r="Q965" t="s">
        <v>217</v>
      </c>
      <c r="R965" t="s">
        <v>218</v>
      </c>
      <c r="S965" t="s">
        <v>220</v>
      </c>
    </row>
    <row r="966" spans="1:19" x14ac:dyDescent="0.35">
      <c r="A966" t="s">
        <v>145</v>
      </c>
      <c r="B966" t="s">
        <v>20</v>
      </c>
      <c r="C966" t="s">
        <v>38</v>
      </c>
      <c r="D966" t="s">
        <v>26</v>
      </c>
      <c r="E966" t="s">
        <v>22</v>
      </c>
      <c r="F966" t="s">
        <v>47</v>
      </c>
      <c r="G966" t="s">
        <v>36</v>
      </c>
      <c r="H966" t="s">
        <v>229</v>
      </c>
      <c r="I966" t="s">
        <v>238</v>
      </c>
      <c r="J966" t="s">
        <v>43</v>
      </c>
      <c r="K966" t="s">
        <v>231</v>
      </c>
      <c r="L966" t="s">
        <v>229</v>
      </c>
      <c r="M966" t="s">
        <v>231</v>
      </c>
      <c r="N966" t="s">
        <v>239</v>
      </c>
      <c r="O966" t="s">
        <v>215</v>
      </c>
      <c r="P966" t="s">
        <v>216</v>
      </c>
      <c r="Q966" t="s">
        <v>217</v>
      </c>
      <c r="R966" t="s">
        <v>218</v>
      </c>
      <c r="S966" t="s">
        <v>238</v>
      </c>
    </row>
    <row r="967" spans="1:19" x14ac:dyDescent="0.35">
      <c r="A967" t="s">
        <v>33</v>
      </c>
      <c r="B967" t="s">
        <v>29</v>
      </c>
      <c r="C967" t="s">
        <v>21</v>
      </c>
      <c r="D967" t="s">
        <v>14</v>
      </c>
      <c r="E967" t="s">
        <v>15</v>
      </c>
      <c r="F967" t="s">
        <v>56</v>
      </c>
      <c r="G967" t="s">
        <v>36</v>
      </c>
      <c r="H967" t="s">
        <v>260</v>
      </c>
      <c r="I967" t="s">
        <v>249</v>
      </c>
      <c r="J967" t="s">
        <v>50</v>
      </c>
      <c r="K967" t="s">
        <v>261</v>
      </c>
      <c r="L967" t="s">
        <v>262</v>
      </c>
      <c r="M967" t="s">
        <v>263</v>
      </c>
      <c r="N967" t="s">
        <v>264</v>
      </c>
      <c r="O967" t="s">
        <v>215</v>
      </c>
      <c r="P967" t="s">
        <v>216</v>
      </c>
      <c r="Q967" t="s">
        <v>217</v>
      </c>
      <c r="R967" t="s">
        <v>218</v>
      </c>
      <c r="S967" t="s">
        <v>220</v>
      </c>
    </row>
    <row r="968" spans="1:19" x14ac:dyDescent="0.35">
      <c r="A968" t="s">
        <v>140</v>
      </c>
      <c r="B968" t="s">
        <v>12</v>
      </c>
      <c r="C968" t="s">
        <v>38</v>
      </c>
      <c r="D968" t="s">
        <v>14</v>
      </c>
      <c r="E968" t="s">
        <v>15</v>
      </c>
      <c r="F968" t="s">
        <v>35</v>
      </c>
      <c r="G968" t="s">
        <v>36</v>
      </c>
      <c r="H968" t="s">
        <v>224</v>
      </c>
      <c r="I968" t="s">
        <v>210</v>
      </c>
      <c r="J968" t="s">
        <v>54</v>
      </c>
      <c r="K968" t="s">
        <v>226</v>
      </c>
      <c r="L968" t="s">
        <v>365</v>
      </c>
      <c r="M968" t="s">
        <v>366</v>
      </c>
      <c r="N968" t="s">
        <v>289</v>
      </c>
      <c r="O968" t="s">
        <v>215</v>
      </c>
      <c r="P968" t="s">
        <v>216</v>
      </c>
      <c r="Q968" t="s">
        <v>217</v>
      </c>
      <c r="R968" t="s">
        <v>218</v>
      </c>
      <c r="S968" t="s">
        <v>220</v>
      </c>
    </row>
    <row r="969" spans="1:19" x14ac:dyDescent="0.35">
      <c r="A969" t="s">
        <v>138</v>
      </c>
      <c r="B969" t="s">
        <v>20</v>
      </c>
      <c r="C969" t="s">
        <v>21</v>
      </c>
      <c r="D969" t="s">
        <v>26</v>
      </c>
      <c r="E969" t="s">
        <v>22</v>
      </c>
      <c r="F969" t="s">
        <v>31</v>
      </c>
      <c r="G969" t="s">
        <v>24</v>
      </c>
      <c r="H969" t="s">
        <v>252</v>
      </c>
      <c r="I969" t="s">
        <v>244</v>
      </c>
      <c r="J969" t="s">
        <v>27</v>
      </c>
      <c r="K969" t="s">
        <v>253</v>
      </c>
      <c r="L969" t="s">
        <v>209</v>
      </c>
      <c r="M969" t="s">
        <v>211</v>
      </c>
      <c r="N969" t="s">
        <v>254</v>
      </c>
      <c r="O969" t="s">
        <v>215</v>
      </c>
      <c r="P969" t="s">
        <v>216</v>
      </c>
      <c r="Q969" t="s">
        <v>217</v>
      </c>
      <c r="R969" t="s">
        <v>218</v>
      </c>
      <c r="S969" t="s">
        <v>244</v>
      </c>
    </row>
    <row r="970" spans="1:19" x14ac:dyDescent="0.35">
      <c r="A970" t="s">
        <v>137</v>
      </c>
      <c r="B970" t="s">
        <v>12</v>
      </c>
      <c r="C970" t="s">
        <v>38</v>
      </c>
      <c r="D970" t="s">
        <v>26</v>
      </c>
      <c r="E970" t="s">
        <v>15</v>
      </c>
      <c r="F970" t="s">
        <v>16</v>
      </c>
      <c r="G970" t="s">
        <v>17</v>
      </c>
      <c r="H970" t="s">
        <v>275</v>
      </c>
      <c r="I970" t="s">
        <v>238</v>
      </c>
      <c r="J970" t="s">
        <v>27</v>
      </c>
      <c r="K970" t="s">
        <v>276</v>
      </c>
      <c r="L970" t="s">
        <v>275</v>
      </c>
      <c r="M970" t="s">
        <v>276</v>
      </c>
      <c r="N970" t="s">
        <v>277</v>
      </c>
      <c r="O970" t="s">
        <v>215</v>
      </c>
      <c r="P970" t="s">
        <v>216</v>
      </c>
      <c r="Q970" t="s">
        <v>217</v>
      </c>
      <c r="R970" t="s">
        <v>218</v>
      </c>
      <c r="S970" t="s">
        <v>238</v>
      </c>
    </row>
    <row r="971" spans="1:19" x14ac:dyDescent="0.35">
      <c r="A971" t="s">
        <v>104</v>
      </c>
      <c r="B971" t="s">
        <v>20</v>
      </c>
      <c r="C971" t="s">
        <v>21</v>
      </c>
      <c r="D971" t="s">
        <v>26</v>
      </c>
      <c r="E971" t="s">
        <v>15</v>
      </c>
      <c r="F971" t="s">
        <v>39</v>
      </c>
      <c r="G971" t="s">
        <v>24</v>
      </c>
      <c r="H971" t="s">
        <v>209</v>
      </c>
      <c r="I971" t="s">
        <v>230</v>
      </c>
      <c r="J971" t="s">
        <v>18</v>
      </c>
      <c r="K971" t="s">
        <v>211</v>
      </c>
      <c r="L971" t="s">
        <v>317</v>
      </c>
      <c r="M971" t="s">
        <v>318</v>
      </c>
      <c r="N971" t="s">
        <v>319</v>
      </c>
      <c r="O971" t="s">
        <v>215</v>
      </c>
      <c r="P971" t="s">
        <v>216</v>
      </c>
      <c r="Q971" t="s">
        <v>217</v>
      </c>
      <c r="R971" t="s">
        <v>218</v>
      </c>
      <c r="S971" t="s">
        <v>265</v>
      </c>
    </row>
    <row r="972" spans="1:19" x14ac:dyDescent="0.35">
      <c r="A972" t="s">
        <v>156</v>
      </c>
      <c r="B972" t="s">
        <v>20</v>
      </c>
      <c r="C972" t="s">
        <v>30</v>
      </c>
      <c r="D972" t="s">
        <v>26</v>
      </c>
      <c r="E972" t="s">
        <v>15</v>
      </c>
      <c r="F972" t="s">
        <v>56</v>
      </c>
      <c r="G972" t="s">
        <v>36</v>
      </c>
      <c r="H972" t="s">
        <v>260</v>
      </c>
      <c r="I972" t="s">
        <v>240</v>
      </c>
      <c r="J972" t="s">
        <v>32</v>
      </c>
      <c r="K972" t="s">
        <v>261</v>
      </c>
      <c r="L972" t="s">
        <v>227</v>
      </c>
      <c r="M972" t="s">
        <v>228</v>
      </c>
      <c r="N972" t="s">
        <v>224</v>
      </c>
      <c r="O972" t="s">
        <v>215</v>
      </c>
      <c r="P972" t="s">
        <v>216</v>
      </c>
      <c r="Q972" t="s">
        <v>217</v>
      </c>
      <c r="R972" t="s">
        <v>218</v>
      </c>
      <c r="S972" t="s">
        <v>244</v>
      </c>
    </row>
    <row r="973" spans="1:19" x14ac:dyDescent="0.35">
      <c r="A973" t="s">
        <v>85</v>
      </c>
      <c r="B973" t="s">
        <v>12</v>
      </c>
      <c r="C973" t="s">
        <v>13</v>
      </c>
      <c r="D973" t="s">
        <v>26</v>
      </c>
      <c r="E973" t="s">
        <v>15</v>
      </c>
      <c r="F973" t="s">
        <v>52</v>
      </c>
      <c r="G973" t="s">
        <v>36</v>
      </c>
      <c r="H973" t="s">
        <v>291</v>
      </c>
      <c r="I973" t="s">
        <v>244</v>
      </c>
      <c r="J973" t="s">
        <v>18</v>
      </c>
      <c r="K973" t="s">
        <v>292</v>
      </c>
      <c r="L973" t="s">
        <v>317</v>
      </c>
      <c r="M973" t="s">
        <v>318</v>
      </c>
      <c r="N973" t="s">
        <v>319</v>
      </c>
      <c r="O973" t="s">
        <v>215</v>
      </c>
      <c r="P973" t="s">
        <v>216</v>
      </c>
      <c r="Q973" t="s">
        <v>217</v>
      </c>
      <c r="R973" t="s">
        <v>218</v>
      </c>
      <c r="S973" t="s">
        <v>238</v>
      </c>
    </row>
    <row r="974" spans="1:19" x14ac:dyDescent="0.35">
      <c r="A974" t="s">
        <v>142</v>
      </c>
      <c r="B974" t="s">
        <v>12</v>
      </c>
      <c r="C974" t="s">
        <v>13</v>
      </c>
      <c r="D974" t="s">
        <v>14</v>
      </c>
      <c r="E974" t="s">
        <v>15</v>
      </c>
      <c r="F974" t="s">
        <v>23</v>
      </c>
      <c r="G974" t="s">
        <v>24</v>
      </c>
      <c r="H974" t="s">
        <v>239</v>
      </c>
      <c r="I974" t="s">
        <v>238</v>
      </c>
      <c r="J974" t="s">
        <v>32</v>
      </c>
      <c r="K974" t="s">
        <v>245</v>
      </c>
      <c r="L974" t="s">
        <v>239</v>
      </c>
      <c r="M974" t="s">
        <v>245</v>
      </c>
      <c r="N974" t="s">
        <v>353</v>
      </c>
      <c r="O974" t="s">
        <v>215</v>
      </c>
      <c r="P974" t="s">
        <v>216</v>
      </c>
      <c r="Q974" t="s">
        <v>217</v>
      </c>
      <c r="R974" t="s">
        <v>218</v>
      </c>
      <c r="S974" t="s">
        <v>220</v>
      </c>
    </row>
    <row r="975" spans="1:19" x14ac:dyDescent="0.35">
      <c r="A975" t="s">
        <v>131</v>
      </c>
      <c r="B975" t="s">
        <v>34</v>
      </c>
      <c r="C975" t="s">
        <v>13</v>
      </c>
      <c r="D975" t="s">
        <v>26</v>
      </c>
      <c r="E975" t="s">
        <v>22</v>
      </c>
      <c r="F975" t="s">
        <v>56</v>
      </c>
      <c r="G975" t="s">
        <v>36</v>
      </c>
      <c r="H975" t="s">
        <v>260</v>
      </c>
      <c r="I975" t="s">
        <v>244</v>
      </c>
      <c r="J975" t="s">
        <v>18</v>
      </c>
      <c r="K975" t="s">
        <v>261</v>
      </c>
      <c r="L975" t="s">
        <v>288</v>
      </c>
      <c r="M975" t="s">
        <v>289</v>
      </c>
      <c r="N975" t="s">
        <v>229</v>
      </c>
      <c r="O975" t="s">
        <v>215</v>
      </c>
      <c r="P975" t="s">
        <v>216</v>
      </c>
      <c r="Q975" t="s">
        <v>217</v>
      </c>
      <c r="R975" t="s">
        <v>218</v>
      </c>
      <c r="S975" t="s">
        <v>238</v>
      </c>
    </row>
    <row r="976" spans="1:19" x14ac:dyDescent="0.35">
      <c r="A976" t="s">
        <v>45</v>
      </c>
      <c r="B976" t="s">
        <v>20</v>
      </c>
      <c r="C976" t="s">
        <v>30</v>
      </c>
      <c r="D976" t="s">
        <v>14</v>
      </c>
      <c r="E976" t="s">
        <v>15</v>
      </c>
      <c r="F976" t="s">
        <v>41</v>
      </c>
      <c r="G976" t="s">
        <v>17</v>
      </c>
      <c r="H976" t="s">
        <v>219</v>
      </c>
      <c r="I976" t="s">
        <v>210</v>
      </c>
      <c r="J976" t="s">
        <v>18</v>
      </c>
      <c r="K976" t="s">
        <v>221</v>
      </c>
      <c r="L976" t="s">
        <v>278</v>
      </c>
      <c r="M976" t="s">
        <v>279</v>
      </c>
      <c r="N976" t="s">
        <v>280</v>
      </c>
      <c r="O976" t="s">
        <v>215</v>
      </c>
      <c r="P976" t="s">
        <v>216</v>
      </c>
      <c r="Q976" t="s">
        <v>217</v>
      </c>
      <c r="R976" t="s">
        <v>218</v>
      </c>
      <c r="S976" t="s">
        <v>244</v>
      </c>
    </row>
    <row r="977" spans="1:19" x14ac:dyDescent="0.35">
      <c r="A977" t="s">
        <v>127</v>
      </c>
      <c r="B977" t="s">
        <v>12</v>
      </c>
      <c r="C977" t="s">
        <v>13</v>
      </c>
      <c r="D977" t="s">
        <v>14</v>
      </c>
      <c r="E977" t="s">
        <v>22</v>
      </c>
      <c r="F977" t="s">
        <v>56</v>
      </c>
      <c r="G977" t="s">
        <v>36</v>
      </c>
      <c r="H977" t="s">
        <v>260</v>
      </c>
      <c r="I977" t="s">
        <v>230</v>
      </c>
      <c r="J977" t="s">
        <v>27</v>
      </c>
      <c r="K977" t="s">
        <v>261</v>
      </c>
      <c r="L977" t="s">
        <v>368</v>
      </c>
      <c r="M977" t="s">
        <v>369</v>
      </c>
      <c r="N977" t="s">
        <v>370</v>
      </c>
      <c r="O977" t="s">
        <v>215</v>
      </c>
      <c r="P977" t="s">
        <v>216</v>
      </c>
      <c r="Q977" t="s">
        <v>217</v>
      </c>
      <c r="R977" t="s">
        <v>218</v>
      </c>
      <c r="S977" t="s">
        <v>220</v>
      </c>
    </row>
    <row r="978" spans="1:19" x14ac:dyDescent="0.35">
      <c r="A978" t="s">
        <v>75</v>
      </c>
      <c r="B978" t="s">
        <v>34</v>
      </c>
      <c r="C978" t="s">
        <v>21</v>
      </c>
      <c r="D978" t="s">
        <v>26</v>
      </c>
      <c r="E978" t="s">
        <v>15</v>
      </c>
      <c r="F978" t="s">
        <v>41</v>
      </c>
      <c r="G978" t="s">
        <v>17</v>
      </c>
      <c r="H978" t="s">
        <v>219</v>
      </c>
      <c r="I978" t="s">
        <v>265</v>
      </c>
      <c r="J978" t="s">
        <v>32</v>
      </c>
      <c r="K978" t="s">
        <v>221</v>
      </c>
      <c r="L978" t="s">
        <v>280</v>
      </c>
      <c r="M978" t="s">
        <v>321</v>
      </c>
      <c r="N978" t="s">
        <v>340</v>
      </c>
      <c r="O978" t="s">
        <v>215</v>
      </c>
      <c r="P978" t="s">
        <v>216</v>
      </c>
      <c r="Q978" t="s">
        <v>217</v>
      </c>
      <c r="R978" t="s">
        <v>218</v>
      </c>
      <c r="S978" t="s">
        <v>265</v>
      </c>
    </row>
    <row r="979" spans="1:19" x14ac:dyDescent="0.35">
      <c r="A979" t="s">
        <v>106</v>
      </c>
      <c r="B979" t="s">
        <v>34</v>
      </c>
      <c r="C979" t="s">
        <v>13</v>
      </c>
      <c r="D979" t="s">
        <v>26</v>
      </c>
      <c r="E979" t="s">
        <v>22</v>
      </c>
      <c r="F979" t="s">
        <v>58</v>
      </c>
      <c r="G979" t="s">
        <v>24</v>
      </c>
      <c r="H979" t="s">
        <v>255</v>
      </c>
      <c r="I979" t="s">
        <v>225</v>
      </c>
      <c r="J979" t="s">
        <v>43</v>
      </c>
      <c r="K979" t="s">
        <v>256</v>
      </c>
      <c r="L979" t="s">
        <v>324</v>
      </c>
      <c r="M979" t="s">
        <v>303</v>
      </c>
      <c r="N979" t="s">
        <v>255</v>
      </c>
      <c r="O979" t="s">
        <v>215</v>
      </c>
      <c r="P979" t="s">
        <v>216</v>
      </c>
      <c r="Q979" t="s">
        <v>217</v>
      </c>
      <c r="R979" t="s">
        <v>218</v>
      </c>
      <c r="S979" t="s">
        <v>220</v>
      </c>
    </row>
    <row r="980" spans="1:19" x14ac:dyDescent="0.35">
      <c r="A980" t="s">
        <v>133</v>
      </c>
      <c r="B980" t="s">
        <v>34</v>
      </c>
      <c r="C980" t="s">
        <v>38</v>
      </c>
      <c r="D980" t="s">
        <v>26</v>
      </c>
      <c r="E980" t="s">
        <v>22</v>
      </c>
      <c r="F980" t="s">
        <v>52</v>
      </c>
      <c r="G980" t="s">
        <v>36</v>
      </c>
      <c r="H980" t="s">
        <v>291</v>
      </c>
      <c r="I980" t="s">
        <v>244</v>
      </c>
      <c r="J980" t="s">
        <v>43</v>
      </c>
      <c r="K980" t="s">
        <v>292</v>
      </c>
      <c r="L980" t="s">
        <v>317</v>
      </c>
      <c r="M980" t="s">
        <v>318</v>
      </c>
      <c r="N980" t="s">
        <v>319</v>
      </c>
      <c r="O980" t="s">
        <v>215</v>
      </c>
      <c r="P980" t="s">
        <v>216</v>
      </c>
      <c r="Q980" t="s">
        <v>217</v>
      </c>
      <c r="R980" t="s">
        <v>218</v>
      </c>
      <c r="S980" t="s">
        <v>265</v>
      </c>
    </row>
    <row r="981" spans="1:19" x14ac:dyDescent="0.35">
      <c r="A981" t="s">
        <v>65</v>
      </c>
      <c r="B981" t="s">
        <v>34</v>
      </c>
      <c r="C981" t="s">
        <v>21</v>
      </c>
      <c r="D981" t="s">
        <v>26</v>
      </c>
      <c r="E981" t="s">
        <v>15</v>
      </c>
      <c r="F981" t="s">
        <v>58</v>
      </c>
      <c r="G981" t="s">
        <v>24</v>
      </c>
      <c r="H981" t="s">
        <v>255</v>
      </c>
      <c r="I981" t="s">
        <v>244</v>
      </c>
      <c r="J981" t="s">
        <v>32</v>
      </c>
      <c r="K981" t="s">
        <v>256</v>
      </c>
      <c r="L981" t="s">
        <v>257</v>
      </c>
      <c r="M981" t="s">
        <v>258</v>
      </c>
      <c r="N981" t="s">
        <v>259</v>
      </c>
      <c r="O981" t="s">
        <v>215</v>
      </c>
      <c r="P981" t="s">
        <v>216</v>
      </c>
      <c r="Q981" t="s">
        <v>217</v>
      </c>
      <c r="R981" t="s">
        <v>218</v>
      </c>
      <c r="S981" t="s">
        <v>265</v>
      </c>
    </row>
    <row r="982" spans="1:19" x14ac:dyDescent="0.35">
      <c r="A982" t="s">
        <v>99</v>
      </c>
      <c r="B982" t="s">
        <v>29</v>
      </c>
      <c r="C982" t="s">
        <v>13</v>
      </c>
      <c r="D982" t="s">
        <v>26</v>
      </c>
      <c r="E982" t="s">
        <v>15</v>
      </c>
      <c r="F982" t="s">
        <v>41</v>
      </c>
      <c r="G982" t="s">
        <v>17</v>
      </c>
      <c r="H982" t="s">
        <v>219</v>
      </c>
      <c r="I982" t="s">
        <v>225</v>
      </c>
      <c r="J982" t="s">
        <v>27</v>
      </c>
      <c r="K982" t="s">
        <v>221</v>
      </c>
      <c r="L982" t="s">
        <v>263</v>
      </c>
      <c r="M982" t="s">
        <v>222</v>
      </c>
      <c r="N982" t="s">
        <v>219</v>
      </c>
      <c r="O982" t="s">
        <v>215</v>
      </c>
      <c r="P982" t="s">
        <v>216</v>
      </c>
      <c r="Q982" t="s">
        <v>217</v>
      </c>
      <c r="R982" t="s">
        <v>218</v>
      </c>
      <c r="S982" t="s">
        <v>220</v>
      </c>
    </row>
    <row r="983" spans="1:19" x14ac:dyDescent="0.35">
      <c r="A983" t="s">
        <v>71</v>
      </c>
      <c r="B983" t="s">
        <v>20</v>
      </c>
      <c r="C983" t="s">
        <v>30</v>
      </c>
      <c r="D983" t="s">
        <v>14</v>
      </c>
      <c r="E983" t="s">
        <v>22</v>
      </c>
      <c r="F983" t="s">
        <v>16</v>
      </c>
      <c r="G983" t="s">
        <v>17</v>
      </c>
      <c r="H983" t="s">
        <v>275</v>
      </c>
      <c r="I983" t="s">
        <v>249</v>
      </c>
      <c r="J983" t="s">
        <v>18</v>
      </c>
      <c r="K983" t="s">
        <v>276</v>
      </c>
      <c r="L983" t="s">
        <v>315</v>
      </c>
      <c r="M983" t="s">
        <v>322</v>
      </c>
      <c r="N983" t="s">
        <v>323</v>
      </c>
      <c r="O983" t="s">
        <v>215</v>
      </c>
      <c r="P983" t="s">
        <v>216</v>
      </c>
      <c r="Q983" t="s">
        <v>217</v>
      </c>
      <c r="R983" t="s">
        <v>218</v>
      </c>
      <c r="S983" t="s">
        <v>265</v>
      </c>
    </row>
    <row r="984" spans="1:19" x14ac:dyDescent="0.35">
      <c r="A984" t="s">
        <v>71</v>
      </c>
      <c r="B984" t="s">
        <v>20</v>
      </c>
      <c r="C984" t="s">
        <v>38</v>
      </c>
      <c r="D984" t="s">
        <v>26</v>
      </c>
      <c r="E984" t="s">
        <v>22</v>
      </c>
      <c r="F984" t="s">
        <v>47</v>
      </c>
      <c r="G984" t="s">
        <v>36</v>
      </c>
      <c r="H984" t="s">
        <v>229</v>
      </c>
      <c r="I984" t="s">
        <v>269</v>
      </c>
      <c r="J984" t="s">
        <v>54</v>
      </c>
      <c r="K984" t="s">
        <v>231</v>
      </c>
      <c r="L984" t="s">
        <v>367</v>
      </c>
      <c r="M984" t="s">
        <v>266</v>
      </c>
      <c r="N984" t="s">
        <v>309</v>
      </c>
      <c r="O984" t="s">
        <v>215</v>
      </c>
      <c r="P984" t="s">
        <v>216</v>
      </c>
      <c r="Q984" t="s">
        <v>217</v>
      </c>
      <c r="R984" t="s">
        <v>218</v>
      </c>
      <c r="S984" t="s">
        <v>265</v>
      </c>
    </row>
    <row r="985" spans="1:19" x14ac:dyDescent="0.35">
      <c r="A985" t="s">
        <v>57</v>
      </c>
      <c r="B985" t="s">
        <v>12</v>
      </c>
      <c r="C985" t="s">
        <v>13</v>
      </c>
      <c r="D985" t="s">
        <v>26</v>
      </c>
      <c r="E985" t="s">
        <v>15</v>
      </c>
      <c r="F985" t="s">
        <v>56</v>
      </c>
      <c r="G985" t="s">
        <v>36</v>
      </c>
      <c r="H985" t="s">
        <v>260</v>
      </c>
      <c r="I985" t="s">
        <v>220</v>
      </c>
      <c r="J985" t="s">
        <v>43</v>
      </c>
      <c r="K985" t="s">
        <v>261</v>
      </c>
      <c r="L985" t="s">
        <v>335</v>
      </c>
      <c r="M985" t="s">
        <v>336</v>
      </c>
      <c r="N985" t="s">
        <v>261</v>
      </c>
      <c r="O985" t="s">
        <v>215</v>
      </c>
      <c r="P985" t="s">
        <v>216</v>
      </c>
      <c r="Q985" t="s">
        <v>217</v>
      </c>
      <c r="R985" t="s">
        <v>218</v>
      </c>
      <c r="S985" t="s">
        <v>265</v>
      </c>
    </row>
    <row r="986" spans="1:19" x14ac:dyDescent="0.35">
      <c r="A986" t="s">
        <v>80</v>
      </c>
      <c r="B986" t="s">
        <v>34</v>
      </c>
      <c r="C986" t="s">
        <v>21</v>
      </c>
      <c r="D986" t="s">
        <v>14</v>
      </c>
      <c r="E986" t="s">
        <v>22</v>
      </c>
      <c r="F986" t="s">
        <v>58</v>
      </c>
      <c r="G986" t="s">
        <v>24</v>
      </c>
      <c r="H986" t="s">
        <v>255</v>
      </c>
      <c r="I986" t="s">
        <v>220</v>
      </c>
      <c r="J986" t="s">
        <v>43</v>
      </c>
      <c r="K986" t="s">
        <v>256</v>
      </c>
      <c r="L986" t="s">
        <v>303</v>
      </c>
      <c r="M986" t="s">
        <v>304</v>
      </c>
      <c r="N986" t="s">
        <v>256</v>
      </c>
      <c r="O986" t="s">
        <v>215</v>
      </c>
      <c r="P986" t="s">
        <v>216</v>
      </c>
      <c r="Q986" t="s">
        <v>217</v>
      </c>
      <c r="R986" t="s">
        <v>218</v>
      </c>
      <c r="S986" t="s">
        <v>265</v>
      </c>
    </row>
    <row r="987" spans="1:19" x14ac:dyDescent="0.35">
      <c r="A987" t="s">
        <v>122</v>
      </c>
      <c r="B987" t="s">
        <v>34</v>
      </c>
      <c r="C987" t="s">
        <v>13</v>
      </c>
      <c r="D987" t="s">
        <v>26</v>
      </c>
      <c r="E987" t="s">
        <v>22</v>
      </c>
      <c r="F987" t="s">
        <v>16</v>
      </c>
      <c r="G987" t="s">
        <v>17</v>
      </c>
      <c r="H987" t="s">
        <v>275</v>
      </c>
      <c r="I987" t="s">
        <v>265</v>
      </c>
      <c r="J987" t="s">
        <v>18</v>
      </c>
      <c r="K987" t="s">
        <v>276</v>
      </c>
      <c r="L987" t="s">
        <v>316</v>
      </c>
      <c r="M987" t="s">
        <v>323</v>
      </c>
      <c r="N987" t="s">
        <v>344</v>
      </c>
      <c r="O987" t="s">
        <v>215</v>
      </c>
      <c r="P987" t="s">
        <v>216</v>
      </c>
      <c r="Q987" t="s">
        <v>217</v>
      </c>
      <c r="R987" t="s">
        <v>218</v>
      </c>
      <c r="S987" t="s">
        <v>220</v>
      </c>
    </row>
    <row r="988" spans="1:19" x14ac:dyDescent="0.35">
      <c r="A988" t="s">
        <v>144</v>
      </c>
      <c r="B988" t="s">
        <v>20</v>
      </c>
      <c r="C988" t="s">
        <v>13</v>
      </c>
      <c r="D988" t="s">
        <v>14</v>
      </c>
      <c r="E988" t="s">
        <v>15</v>
      </c>
      <c r="F988" t="s">
        <v>56</v>
      </c>
      <c r="G988" t="s">
        <v>36</v>
      </c>
      <c r="H988" t="s">
        <v>260</v>
      </c>
      <c r="I988" t="s">
        <v>244</v>
      </c>
      <c r="J988" t="s">
        <v>43</v>
      </c>
      <c r="K988" t="s">
        <v>261</v>
      </c>
      <c r="L988" t="s">
        <v>288</v>
      </c>
      <c r="M988" t="s">
        <v>289</v>
      </c>
      <c r="N988" t="s">
        <v>229</v>
      </c>
      <c r="O988" t="s">
        <v>215</v>
      </c>
      <c r="P988" t="s">
        <v>216</v>
      </c>
      <c r="Q988" t="s">
        <v>217</v>
      </c>
      <c r="R988" t="s">
        <v>218</v>
      </c>
      <c r="S988" t="s">
        <v>265</v>
      </c>
    </row>
    <row r="989" spans="1:19" x14ac:dyDescent="0.35">
      <c r="A989" t="s">
        <v>135</v>
      </c>
      <c r="B989" t="s">
        <v>34</v>
      </c>
      <c r="C989" t="s">
        <v>30</v>
      </c>
      <c r="D989" t="s">
        <v>26</v>
      </c>
      <c r="E989" t="s">
        <v>15</v>
      </c>
      <c r="F989" t="s">
        <v>47</v>
      </c>
      <c r="G989" t="s">
        <v>36</v>
      </c>
      <c r="H989" t="s">
        <v>229</v>
      </c>
      <c r="I989" t="s">
        <v>220</v>
      </c>
      <c r="J989" t="s">
        <v>43</v>
      </c>
      <c r="K989" t="s">
        <v>231</v>
      </c>
      <c r="L989" t="s">
        <v>289</v>
      </c>
      <c r="M989" t="s">
        <v>297</v>
      </c>
      <c r="N989" t="s">
        <v>231</v>
      </c>
      <c r="O989" t="s">
        <v>215</v>
      </c>
      <c r="P989" t="s">
        <v>216</v>
      </c>
      <c r="Q989" t="s">
        <v>217</v>
      </c>
      <c r="R989" t="s">
        <v>218</v>
      </c>
      <c r="S989" t="s">
        <v>238</v>
      </c>
    </row>
    <row r="990" spans="1:19" x14ac:dyDescent="0.35">
      <c r="A990" t="s">
        <v>139</v>
      </c>
      <c r="B990" t="s">
        <v>34</v>
      </c>
      <c r="C990" t="s">
        <v>13</v>
      </c>
      <c r="D990" t="s">
        <v>14</v>
      </c>
      <c r="E990" t="s">
        <v>15</v>
      </c>
      <c r="F990" t="s">
        <v>16</v>
      </c>
      <c r="G990" t="s">
        <v>17</v>
      </c>
      <c r="H990" t="s">
        <v>275</v>
      </c>
      <c r="I990" t="s">
        <v>265</v>
      </c>
      <c r="J990" t="s">
        <v>18</v>
      </c>
      <c r="K990" t="s">
        <v>276</v>
      </c>
      <c r="L990" t="s">
        <v>316</v>
      </c>
      <c r="M990" t="s">
        <v>323</v>
      </c>
      <c r="N990" t="s">
        <v>344</v>
      </c>
      <c r="O990" t="s">
        <v>215</v>
      </c>
      <c r="P990" t="s">
        <v>216</v>
      </c>
      <c r="Q990" t="s">
        <v>217</v>
      </c>
      <c r="R990" t="s">
        <v>218</v>
      </c>
      <c r="S990" t="s">
        <v>265</v>
      </c>
    </row>
    <row r="991" spans="1:19" x14ac:dyDescent="0.35">
      <c r="A991" t="s">
        <v>83</v>
      </c>
      <c r="B991" t="s">
        <v>12</v>
      </c>
      <c r="C991" t="s">
        <v>30</v>
      </c>
      <c r="D991" t="s">
        <v>26</v>
      </c>
      <c r="E991" t="s">
        <v>22</v>
      </c>
      <c r="F991" t="s">
        <v>47</v>
      </c>
      <c r="G991" t="s">
        <v>36</v>
      </c>
      <c r="H991" t="s">
        <v>229</v>
      </c>
      <c r="I991" t="s">
        <v>220</v>
      </c>
      <c r="J991" t="s">
        <v>32</v>
      </c>
      <c r="K991" t="s">
        <v>231</v>
      </c>
      <c r="L991" t="s">
        <v>289</v>
      </c>
      <c r="M991" t="s">
        <v>297</v>
      </c>
      <c r="N991" t="s">
        <v>231</v>
      </c>
      <c r="O991" t="s">
        <v>215</v>
      </c>
      <c r="P991" t="s">
        <v>216</v>
      </c>
      <c r="Q991" t="s">
        <v>217</v>
      </c>
      <c r="R991" t="s">
        <v>218</v>
      </c>
      <c r="S991" t="s">
        <v>238</v>
      </c>
    </row>
    <row r="992" spans="1:19" x14ac:dyDescent="0.35">
      <c r="A992" t="s">
        <v>71</v>
      </c>
      <c r="B992" t="s">
        <v>34</v>
      </c>
      <c r="C992" t="s">
        <v>13</v>
      </c>
      <c r="D992" t="s">
        <v>14</v>
      </c>
      <c r="E992" t="s">
        <v>15</v>
      </c>
      <c r="F992" t="s">
        <v>47</v>
      </c>
      <c r="G992" t="s">
        <v>36</v>
      </c>
      <c r="H992" t="s">
        <v>229</v>
      </c>
      <c r="I992" t="s">
        <v>244</v>
      </c>
      <c r="J992" t="s">
        <v>27</v>
      </c>
      <c r="K992" t="s">
        <v>231</v>
      </c>
      <c r="L992" t="s">
        <v>312</v>
      </c>
      <c r="M992" t="s">
        <v>214</v>
      </c>
      <c r="N992" t="s">
        <v>246</v>
      </c>
      <c r="O992" t="s">
        <v>215</v>
      </c>
      <c r="P992" t="s">
        <v>216</v>
      </c>
      <c r="Q992" t="s">
        <v>217</v>
      </c>
      <c r="R992" t="s">
        <v>218</v>
      </c>
      <c r="S992" t="s">
        <v>265</v>
      </c>
    </row>
    <row r="993" spans="1:19" x14ac:dyDescent="0.35">
      <c r="A993" t="s">
        <v>118</v>
      </c>
      <c r="B993" t="s">
        <v>34</v>
      </c>
      <c r="C993" t="s">
        <v>13</v>
      </c>
      <c r="D993" t="s">
        <v>26</v>
      </c>
      <c r="E993" t="s">
        <v>15</v>
      </c>
      <c r="F993" t="s">
        <v>23</v>
      </c>
      <c r="G993" t="s">
        <v>24</v>
      </c>
      <c r="H993" t="s">
        <v>239</v>
      </c>
      <c r="I993" t="s">
        <v>244</v>
      </c>
      <c r="J993" t="s">
        <v>27</v>
      </c>
      <c r="K993" t="s">
        <v>245</v>
      </c>
      <c r="L993" t="s">
        <v>246</v>
      </c>
      <c r="M993" t="s">
        <v>247</v>
      </c>
      <c r="N993" t="s">
        <v>248</v>
      </c>
      <c r="O993" t="s">
        <v>215</v>
      </c>
      <c r="P993" t="s">
        <v>216</v>
      </c>
      <c r="Q993" t="s">
        <v>217</v>
      </c>
      <c r="R993" t="s">
        <v>218</v>
      </c>
      <c r="S993" t="s">
        <v>238</v>
      </c>
    </row>
    <row r="994" spans="1:19" x14ac:dyDescent="0.35">
      <c r="A994" t="s">
        <v>28</v>
      </c>
      <c r="B994" t="s">
        <v>34</v>
      </c>
      <c r="C994" t="s">
        <v>21</v>
      </c>
      <c r="D994" t="s">
        <v>26</v>
      </c>
      <c r="E994" t="s">
        <v>22</v>
      </c>
      <c r="F994" t="s">
        <v>41</v>
      </c>
      <c r="G994" t="s">
        <v>17</v>
      </c>
      <c r="H994" t="s">
        <v>219</v>
      </c>
      <c r="I994" t="s">
        <v>225</v>
      </c>
      <c r="J994" t="s">
        <v>54</v>
      </c>
      <c r="K994" t="s">
        <v>221</v>
      </c>
      <c r="L994" t="s">
        <v>263</v>
      </c>
      <c r="M994" t="s">
        <v>222</v>
      </c>
      <c r="N994" t="s">
        <v>219</v>
      </c>
      <c r="O994" t="s">
        <v>215</v>
      </c>
      <c r="P994" t="s">
        <v>216</v>
      </c>
      <c r="Q994" t="s">
        <v>217</v>
      </c>
      <c r="R994" t="s">
        <v>218</v>
      </c>
      <c r="S994" t="s">
        <v>220</v>
      </c>
    </row>
    <row r="995" spans="1:19" x14ac:dyDescent="0.35">
      <c r="A995" t="s">
        <v>28</v>
      </c>
      <c r="B995" t="s">
        <v>20</v>
      </c>
      <c r="C995" t="s">
        <v>38</v>
      </c>
      <c r="D995" t="s">
        <v>26</v>
      </c>
      <c r="E995" t="s">
        <v>15</v>
      </c>
      <c r="F995" t="s">
        <v>56</v>
      </c>
      <c r="G995" t="s">
        <v>36</v>
      </c>
      <c r="H995" t="s">
        <v>260</v>
      </c>
      <c r="I995" t="s">
        <v>244</v>
      </c>
      <c r="J995" t="s">
        <v>18</v>
      </c>
      <c r="K995" t="s">
        <v>261</v>
      </c>
      <c r="L995" t="s">
        <v>288</v>
      </c>
      <c r="M995" t="s">
        <v>289</v>
      </c>
      <c r="N995" t="s">
        <v>229</v>
      </c>
      <c r="O995" t="s">
        <v>215</v>
      </c>
      <c r="P995" t="s">
        <v>216</v>
      </c>
      <c r="Q995" t="s">
        <v>217</v>
      </c>
      <c r="R995" t="s">
        <v>218</v>
      </c>
      <c r="S995" t="s">
        <v>220</v>
      </c>
    </row>
    <row r="996" spans="1:19" x14ac:dyDescent="0.35">
      <c r="A996" t="s">
        <v>64</v>
      </c>
      <c r="B996" t="s">
        <v>20</v>
      </c>
      <c r="C996" t="s">
        <v>30</v>
      </c>
      <c r="D996" t="s">
        <v>26</v>
      </c>
      <c r="E996" t="s">
        <v>22</v>
      </c>
      <c r="F996" t="s">
        <v>31</v>
      </c>
      <c r="G996" t="s">
        <v>24</v>
      </c>
      <c r="H996" t="s">
        <v>252</v>
      </c>
      <c r="I996" t="s">
        <v>210</v>
      </c>
      <c r="J996" t="s">
        <v>54</v>
      </c>
      <c r="K996" t="s">
        <v>253</v>
      </c>
      <c r="L996" t="s">
        <v>289</v>
      </c>
      <c r="M996" t="s">
        <v>297</v>
      </c>
      <c r="N996" t="s">
        <v>231</v>
      </c>
      <c r="O996" t="s">
        <v>215</v>
      </c>
      <c r="P996" t="s">
        <v>216</v>
      </c>
      <c r="Q996" t="s">
        <v>217</v>
      </c>
      <c r="R996" t="s">
        <v>218</v>
      </c>
      <c r="S996" t="s">
        <v>265</v>
      </c>
    </row>
    <row r="997" spans="1:19" x14ac:dyDescent="0.35">
      <c r="A997" t="s">
        <v>64</v>
      </c>
      <c r="B997" t="s">
        <v>34</v>
      </c>
      <c r="C997" t="s">
        <v>13</v>
      </c>
      <c r="D997" t="s">
        <v>14</v>
      </c>
      <c r="E997" t="s">
        <v>22</v>
      </c>
      <c r="F997" t="s">
        <v>31</v>
      </c>
      <c r="G997" t="s">
        <v>24</v>
      </c>
      <c r="H997" t="s">
        <v>252</v>
      </c>
      <c r="I997" t="s">
        <v>244</v>
      </c>
      <c r="J997" t="s">
        <v>50</v>
      </c>
      <c r="K997" t="s">
        <v>253</v>
      </c>
      <c r="L997" t="s">
        <v>209</v>
      </c>
      <c r="M997" t="s">
        <v>211</v>
      </c>
      <c r="N997" t="s">
        <v>254</v>
      </c>
      <c r="O997" t="s">
        <v>215</v>
      </c>
      <c r="P997" t="s">
        <v>216</v>
      </c>
      <c r="Q997" t="s">
        <v>217</v>
      </c>
      <c r="R997" t="s">
        <v>218</v>
      </c>
      <c r="S997" t="s">
        <v>265</v>
      </c>
    </row>
    <row r="998" spans="1:19" x14ac:dyDescent="0.35">
      <c r="A998" t="s">
        <v>70</v>
      </c>
      <c r="B998" t="s">
        <v>20</v>
      </c>
      <c r="C998" t="s">
        <v>21</v>
      </c>
      <c r="D998" t="s">
        <v>26</v>
      </c>
      <c r="E998" t="s">
        <v>22</v>
      </c>
      <c r="F998" t="s">
        <v>16</v>
      </c>
      <c r="G998" t="s">
        <v>17</v>
      </c>
      <c r="H998" t="s">
        <v>275</v>
      </c>
      <c r="I998" t="s">
        <v>269</v>
      </c>
      <c r="J998" t="s">
        <v>43</v>
      </c>
      <c r="K998" t="s">
        <v>276</v>
      </c>
      <c r="L998" t="s">
        <v>380</v>
      </c>
      <c r="M998" t="s">
        <v>381</v>
      </c>
      <c r="N998" t="s">
        <v>382</v>
      </c>
      <c r="O998" t="s">
        <v>215</v>
      </c>
      <c r="P998" t="s">
        <v>216</v>
      </c>
      <c r="Q998" t="s">
        <v>217</v>
      </c>
      <c r="R998" t="s">
        <v>218</v>
      </c>
      <c r="S998" t="s">
        <v>265</v>
      </c>
    </row>
    <row r="999" spans="1:19" x14ac:dyDescent="0.35">
      <c r="A999" t="s">
        <v>116</v>
      </c>
      <c r="B999" t="s">
        <v>20</v>
      </c>
      <c r="C999" t="s">
        <v>38</v>
      </c>
      <c r="D999" t="s">
        <v>26</v>
      </c>
      <c r="E999" t="s">
        <v>22</v>
      </c>
      <c r="F999" t="s">
        <v>52</v>
      </c>
      <c r="G999" t="s">
        <v>36</v>
      </c>
      <c r="H999" t="s">
        <v>291</v>
      </c>
      <c r="I999" t="s">
        <v>220</v>
      </c>
      <c r="J999" t="s">
        <v>43</v>
      </c>
      <c r="K999" t="s">
        <v>292</v>
      </c>
      <c r="L999" t="s">
        <v>333</v>
      </c>
      <c r="M999" t="s">
        <v>345</v>
      </c>
      <c r="N999" t="s">
        <v>292</v>
      </c>
      <c r="O999" t="s">
        <v>215</v>
      </c>
      <c r="P999" t="s">
        <v>216</v>
      </c>
      <c r="Q999" t="s">
        <v>217</v>
      </c>
      <c r="R999" t="s">
        <v>218</v>
      </c>
      <c r="S999" t="s">
        <v>244</v>
      </c>
    </row>
    <row r="1000" spans="1:19" x14ac:dyDescent="0.35">
      <c r="A1000" t="s">
        <v>69</v>
      </c>
      <c r="B1000" t="s">
        <v>34</v>
      </c>
      <c r="C1000" t="s">
        <v>30</v>
      </c>
      <c r="D1000" t="s">
        <v>26</v>
      </c>
      <c r="E1000" t="s">
        <v>15</v>
      </c>
      <c r="F1000" t="s">
        <v>47</v>
      </c>
      <c r="G1000" t="s">
        <v>36</v>
      </c>
      <c r="H1000" t="s">
        <v>229</v>
      </c>
      <c r="I1000" t="s">
        <v>240</v>
      </c>
      <c r="J1000" t="s">
        <v>50</v>
      </c>
      <c r="K1000" t="s">
        <v>231</v>
      </c>
      <c r="L1000" t="s">
        <v>301</v>
      </c>
      <c r="M1000" t="s">
        <v>302</v>
      </c>
      <c r="N1000" t="s">
        <v>209</v>
      </c>
      <c r="O1000" t="s">
        <v>215</v>
      </c>
      <c r="P1000" t="s">
        <v>216</v>
      </c>
      <c r="Q1000" t="s">
        <v>217</v>
      </c>
      <c r="R1000" t="s">
        <v>218</v>
      </c>
      <c r="S1000" t="s">
        <v>238</v>
      </c>
    </row>
    <row r="1001" spans="1:19" x14ac:dyDescent="0.35">
      <c r="A1001" t="s">
        <v>148</v>
      </c>
      <c r="B1001" t="s">
        <v>34</v>
      </c>
      <c r="C1001" t="s">
        <v>30</v>
      </c>
      <c r="D1001" t="s">
        <v>26</v>
      </c>
      <c r="E1001" t="s">
        <v>15</v>
      </c>
      <c r="F1001" t="s">
        <v>41</v>
      </c>
      <c r="G1001" t="s">
        <v>17</v>
      </c>
      <c r="H1001" t="s">
        <v>219</v>
      </c>
      <c r="I1001" t="s">
        <v>244</v>
      </c>
      <c r="J1001" t="s">
        <v>43</v>
      </c>
      <c r="K1001" t="s">
        <v>221</v>
      </c>
      <c r="L1001" t="s">
        <v>290</v>
      </c>
      <c r="M1001" t="s">
        <v>298</v>
      </c>
      <c r="N1001" t="s">
        <v>284</v>
      </c>
      <c r="O1001" t="s">
        <v>215</v>
      </c>
      <c r="P1001" t="s">
        <v>216</v>
      </c>
      <c r="Q1001" t="s">
        <v>217</v>
      </c>
      <c r="R1001" t="s">
        <v>218</v>
      </c>
      <c r="S1001" t="s">
        <v>220</v>
      </c>
    </row>
    <row r="1002" spans="1:19" x14ac:dyDescent="0.35">
      <c r="A1002" t="s">
        <v>94</v>
      </c>
      <c r="B1002" t="s">
        <v>29</v>
      </c>
      <c r="C1002" t="s">
        <v>38</v>
      </c>
      <c r="D1002" t="s">
        <v>14</v>
      </c>
      <c r="E1002" t="s">
        <v>22</v>
      </c>
      <c r="F1002" t="s">
        <v>35</v>
      </c>
      <c r="G1002" t="s">
        <v>36</v>
      </c>
      <c r="H1002" t="s">
        <v>224</v>
      </c>
      <c r="I1002" t="s">
        <v>265</v>
      </c>
      <c r="J1002" t="s">
        <v>18</v>
      </c>
      <c r="K1002" t="s">
        <v>226</v>
      </c>
      <c r="L1002" t="s">
        <v>289</v>
      </c>
      <c r="M1002" t="s">
        <v>297</v>
      </c>
      <c r="N1002" t="s">
        <v>231</v>
      </c>
      <c r="O1002" t="s">
        <v>215</v>
      </c>
      <c r="P1002" t="s">
        <v>216</v>
      </c>
      <c r="Q1002" t="s">
        <v>217</v>
      </c>
      <c r="R1002" t="s">
        <v>218</v>
      </c>
      <c r="S1002" t="s">
        <v>244</v>
      </c>
    </row>
    <row r="1003" spans="1:19" x14ac:dyDescent="0.35">
      <c r="A1003" t="s">
        <v>82</v>
      </c>
      <c r="B1003" t="s">
        <v>20</v>
      </c>
      <c r="C1003" t="s">
        <v>30</v>
      </c>
      <c r="D1003" t="s">
        <v>26</v>
      </c>
      <c r="E1003" t="s">
        <v>15</v>
      </c>
      <c r="F1003" t="s">
        <v>47</v>
      </c>
      <c r="G1003" t="s">
        <v>36</v>
      </c>
      <c r="H1003" t="s">
        <v>229</v>
      </c>
      <c r="I1003" t="s">
        <v>210</v>
      </c>
      <c r="J1003" t="s">
        <v>50</v>
      </c>
      <c r="K1003" t="s">
        <v>231</v>
      </c>
      <c r="L1003" t="s">
        <v>227</v>
      </c>
      <c r="M1003" t="s">
        <v>228</v>
      </c>
      <c r="N1003" t="s">
        <v>224</v>
      </c>
      <c r="O1003" t="s">
        <v>215</v>
      </c>
      <c r="P1003" t="s">
        <v>216</v>
      </c>
      <c r="Q1003" t="s">
        <v>217</v>
      </c>
      <c r="R1003" t="s">
        <v>218</v>
      </c>
      <c r="S1003" t="s">
        <v>238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3"/>
  <sheetViews>
    <sheetView topLeftCell="C5" workbookViewId="0">
      <selection activeCell="M26" sqref="M26:N26"/>
    </sheetView>
  </sheetViews>
  <sheetFormatPr defaultRowHeight="14.5" x14ac:dyDescent="0.35"/>
  <cols>
    <col min="1" max="1" width="16" customWidth="1"/>
    <col min="2" max="2" width="12.08984375" customWidth="1"/>
    <col min="3" max="3" width="18.08984375" customWidth="1"/>
    <col min="4" max="4" width="13.7265625" customWidth="1"/>
    <col min="5" max="5" width="12.36328125" customWidth="1"/>
    <col min="8" max="8" width="12.36328125" customWidth="1"/>
    <col min="9" max="9" width="20.36328125" customWidth="1"/>
    <col min="11" max="11" width="12.36328125" customWidth="1"/>
    <col min="12" max="12" width="18.08984375" customWidth="1"/>
  </cols>
  <sheetData>
    <row r="2" spans="1:12" ht="15.5" customHeight="1" x14ac:dyDescent="0.35">
      <c r="K2" s="12" t="s">
        <v>181</v>
      </c>
      <c r="L2" s="16" t="s">
        <v>189</v>
      </c>
    </row>
    <row r="3" spans="1:12" x14ac:dyDescent="0.35">
      <c r="A3" s="12" t="s">
        <v>181</v>
      </c>
      <c r="B3" s="16" t="s">
        <v>187</v>
      </c>
      <c r="K3" s="13" t="s">
        <v>38</v>
      </c>
      <c r="L3" s="16">
        <v>1810540512000</v>
      </c>
    </row>
    <row r="4" spans="1:12" x14ac:dyDescent="0.35">
      <c r="A4" s="13" t="s">
        <v>47</v>
      </c>
      <c r="B4" s="16">
        <v>113624456000</v>
      </c>
      <c r="K4" s="14" t="s">
        <v>30</v>
      </c>
      <c r="L4" s="17">
        <v>2071317952000</v>
      </c>
    </row>
    <row r="5" spans="1:12" x14ac:dyDescent="0.35">
      <c r="A5" s="14" t="s">
        <v>39</v>
      </c>
      <c r="B5" s="17">
        <v>106173672000</v>
      </c>
      <c r="H5" s="12" t="s">
        <v>181</v>
      </c>
      <c r="I5" s="16" t="s">
        <v>188</v>
      </c>
      <c r="K5" s="14" t="s">
        <v>21</v>
      </c>
      <c r="L5" s="17">
        <v>2026613248000</v>
      </c>
    </row>
    <row r="6" spans="1:12" x14ac:dyDescent="0.35">
      <c r="A6" s="14" t="s">
        <v>52</v>
      </c>
      <c r="B6" s="17">
        <v>101982606000</v>
      </c>
      <c r="H6" s="13" t="s">
        <v>43</v>
      </c>
      <c r="I6" s="16">
        <v>1769561200000</v>
      </c>
      <c r="K6" s="14" t="s">
        <v>13</v>
      </c>
      <c r="L6" s="17">
        <v>1907400704000</v>
      </c>
    </row>
    <row r="7" spans="1:12" x14ac:dyDescent="0.35">
      <c r="A7" s="14" t="s">
        <v>23</v>
      </c>
      <c r="B7" s="17">
        <v>99188562000</v>
      </c>
      <c r="H7" s="14" t="s">
        <v>27</v>
      </c>
      <c r="I7" s="17">
        <v>1676426400000</v>
      </c>
      <c r="K7" s="15" t="s">
        <v>182</v>
      </c>
      <c r="L7" s="18">
        <v>7815872416000</v>
      </c>
    </row>
    <row r="8" spans="1:12" x14ac:dyDescent="0.35">
      <c r="A8" s="14" t="s">
        <v>58</v>
      </c>
      <c r="B8" s="17">
        <v>94997496000</v>
      </c>
      <c r="H8" s="14" t="s">
        <v>32</v>
      </c>
      <c r="I8" s="17">
        <v>1671769660000</v>
      </c>
    </row>
    <row r="9" spans="1:12" x14ac:dyDescent="0.35">
      <c r="A9" s="14" t="s">
        <v>16</v>
      </c>
      <c r="B9" s="17">
        <v>94997496000</v>
      </c>
      <c r="H9" s="14" t="s">
        <v>50</v>
      </c>
      <c r="I9" s="17">
        <v>1643829220000</v>
      </c>
    </row>
    <row r="10" spans="1:12" x14ac:dyDescent="0.35">
      <c r="A10" s="14" t="s">
        <v>41</v>
      </c>
      <c r="B10" s="17">
        <v>93134800000</v>
      </c>
      <c r="H10" s="14" t="s">
        <v>54</v>
      </c>
      <c r="I10" s="17">
        <v>1518097240000</v>
      </c>
    </row>
    <row r="11" spans="1:12" x14ac:dyDescent="0.35">
      <c r="A11" s="14" t="s">
        <v>35</v>
      </c>
      <c r="B11" s="17">
        <v>93134800000</v>
      </c>
      <c r="H11" s="14" t="s">
        <v>18</v>
      </c>
      <c r="I11" s="17">
        <v>1490156800000</v>
      </c>
    </row>
    <row r="12" spans="1:12" x14ac:dyDescent="0.35">
      <c r="A12" s="14" t="s">
        <v>31</v>
      </c>
      <c r="B12" s="17">
        <v>92203452000</v>
      </c>
      <c r="H12" s="15" t="s">
        <v>182</v>
      </c>
      <c r="I12" s="18">
        <v>9769840520000</v>
      </c>
    </row>
    <row r="13" spans="1:12" x14ac:dyDescent="0.35">
      <c r="A13" s="14" t="s">
        <v>56</v>
      </c>
      <c r="B13" s="17">
        <v>87546712000</v>
      </c>
    </row>
    <row r="14" spans="1:12" x14ac:dyDescent="0.35">
      <c r="A14" s="15" t="s">
        <v>182</v>
      </c>
      <c r="B14" s="18">
        <v>976984052000</v>
      </c>
    </row>
    <row r="16" spans="1:12" x14ac:dyDescent="0.35">
      <c r="B16" s="12" t="s">
        <v>384</v>
      </c>
      <c r="C16" s="16" t="s">
        <v>189</v>
      </c>
      <c r="D16" s="21"/>
      <c r="E16" s="22"/>
      <c r="F16" s="23"/>
      <c r="H16" s="12" t="s">
        <v>181</v>
      </c>
      <c r="I16" s="16" t="s">
        <v>389</v>
      </c>
    </row>
    <row r="17" spans="2:9" x14ac:dyDescent="0.35">
      <c r="B17" s="13" t="s">
        <v>38</v>
      </c>
      <c r="C17" s="16">
        <v>1810540512000</v>
      </c>
      <c r="D17" s="24"/>
      <c r="E17" s="25"/>
      <c r="F17" s="26"/>
      <c r="H17" s="13">
        <v>5</v>
      </c>
      <c r="I17" s="16">
        <v>18</v>
      </c>
    </row>
    <row r="18" spans="2:9" x14ac:dyDescent="0.35">
      <c r="B18" s="14" t="s">
        <v>30</v>
      </c>
      <c r="C18" s="17">
        <v>2071317952000</v>
      </c>
      <c r="D18" s="24"/>
      <c r="E18" s="25"/>
      <c r="F18" s="26"/>
      <c r="H18" s="14">
        <v>2</v>
      </c>
      <c r="I18" s="17">
        <v>499</v>
      </c>
    </row>
    <row r="19" spans="2:9" x14ac:dyDescent="0.35">
      <c r="B19" s="14" t="s">
        <v>21</v>
      </c>
      <c r="C19" s="17">
        <v>2026613248000</v>
      </c>
      <c r="D19" s="24"/>
      <c r="E19" s="25"/>
      <c r="F19" s="26"/>
      <c r="H19" s="14">
        <v>1</v>
      </c>
      <c r="I19" s="17">
        <v>520</v>
      </c>
    </row>
    <row r="20" spans="2:9" x14ac:dyDescent="0.35">
      <c r="B20" s="14" t="s">
        <v>13</v>
      </c>
      <c r="C20" s="17">
        <v>1907400704000</v>
      </c>
      <c r="D20" s="24"/>
      <c r="E20" s="25"/>
      <c r="F20" s="26"/>
      <c r="H20" s="14">
        <v>3</v>
      </c>
      <c r="I20" s="17">
        <v>525</v>
      </c>
    </row>
    <row r="21" spans="2:9" x14ac:dyDescent="0.35">
      <c r="B21" s="15" t="s">
        <v>182</v>
      </c>
      <c r="C21" s="18">
        <v>7815872416000</v>
      </c>
      <c r="D21" s="24"/>
      <c r="E21" s="25"/>
      <c r="F21" s="26"/>
      <c r="H21" s="14">
        <v>4</v>
      </c>
      <c r="I21" s="17">
        <v>536</v>
      </c>
    </row>
    <row r="22" spans="2:9" x14ac:dyDescent="0.35">
      <c r="D22" s="24"/>
      <c r="E22" s="25"/>
      <c r="F22" s="26"/>
      <c r="H22" s="15" t="s">
        <v>182</v>
      </c>
      <c r="I22" s="18">
        <v>2098</v>
      </c>
    </row>
    <row r="23" spans="2:9" x14ac:dyDescent="0.35">
      <c r="D23" s="24"/>
      <c r="E23" s="25"/>
      <c r="F23" s="26"/>
    </row>
    <row r="24" spans="2:9" x14ac:dyDescent="0.35">
      <c r="D24" s="24"/>
      <c r="E24" s="25"/>
      <c r="F24" s="26"/>
    </row>
    <row r="25" spans="2:9" x14ac:dyDescent="0.35">
      <c r="D25" s="24"/>
      <c r="E25" s="25"/>
      <c r="F25" s="26"/>
    </row>
    <row r="26" spans="2:9" x14ac:dyDescent="0.35">
      <c r="D26" s="24"/>
      <c r="E26" s="25"/>
      <c r="F26" s="26"/>
    </row>
    <row r="27" spans="2:9" x14ac:dyDescent="0.35">
      <c r="D27" s="24"/>
      <c r="E27" s="25"/>
      <c r="F27" s="26"/>
    </row>
    <row r="28" spans="2:9" x14ac:dyDescent="0.35">
      <c r="D28" s="24"/>
      <c r="E28" s="25"/>
      <c r="F28" s="26"/>
    </row>
    <row r="29" spans="2:9" x14ac:dyDescent="0.35">
      <c r="D29" s="24"/>
      <c r="E29" s="25"/>
      <c r="F29" s="26"/>
    </row>
    <row r="30" spans="2:9" x14ac:dyDescent="0.35">
      <c r="D30" s="24"/>
      <c r="E30" s="25"/>
      <c r="F30" s="26"/>
    </row>
    <row r="31" spans="2:9" x14ac:dyDescent="0.35">
      <c r="D31" s="24"/>
      <c r="E31" s="25"/>
      <c r="F31" s="26"/>
    </row>
    <row r="32" spans="2:9" x14ac:dyDescent="0.35">
      <c r="D32" s="24"/>
      <c r="E32" s="25"/>
      <c r="F32" s="26"/>
    </row>
    <row r="33" spans="4:6" x14ac:dyDescent="0.35">
      <c r="D33" s="27"/>
      <c r="E33" s="28"/>
      <c r="F33" s="29"/>
    </row>
  </sheetData>
  <conditionalFormatting sqref="H17">
    <cfRule type="top10" dxfId="101" priority="1" bottom="1" rank="1"/>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00"/>
  <sheetViews>
    <sheetView topLeftCell="E2068" zoomScale="70" zoomScaleNormal="70" workbookViewId="0">
      <selection activeCell="M2100" sqref="M2100"/>
    </sheetView>
  </sheetViews>
  <sheetFormatPr defaultColWidth="14.453125" defaultRowHeight="15" customHeight="1" x14ac:dyDescent="0.35"/>
  <cols>
    <col min="1" max="1" width="11" customWidth="1"/>
    <col min="2" max="2" width="10.26953125" customWidth="1"/>
    <col min="3" max="3" width="12.26953125" customWidth="1"/>
    <col min="4" max="4" width="14.7265625" customWidth="1"/>
    <col min="5" max="5" width="13.26953125" customWidth="1"/>
    <col min="6" max="6" width="16.26953125" customWidth="1"/>
    <col min="7" max="7" width="15.81640625" customWidth="1"/>
    <col min="8" max="8" width="9.7265625" customWidth="1"/>
    <col min="9" max="9" width="13.26953125" customWidth="1"/>
    <col min="10" max="10" width="13.08984375" customWidth="1"/>
    <col min="11" max="11" width="9" customWidth="1"/>
    <col min="12" max="12" width="21.81640625" customWidth="1"/>
    <col min="13" max="13" width="20.26953125" customWidth="1"/>
    <col min="14" max="14" width="18.36328125" customWidth="1"/>
    <col min="15" max="15" width="19.36328125" customWidth="1"/>
    <col min="16" max="16" width="18.26953125" customWidth="1"/>
    <col min="17" max="17" width="15" customWidth="1"/>
    <col min="18" max="26" width="9" customWidth="1"/>
  </cols>
  <sheetData>
    <row r="1" spans="1:20" ht="14.25" customHeight="1" x14ac:dyDescent="0.35">
      <c r="A1" s="1" t="s">
        <v>0</v>
      </c>
      <c r="B1" s="1" t="s">
        <v>1</v>
      </c>
      <c r="C1" s="1" t="s">
        <v>2</v>
      </c>
      <c r="D1" s="1" t="s">
        <v>3</v>
      </c>
      <c r="E1" s="1" t="s">
        <v>4</v>
      </c>
      <c r="F1" s="1" t="s">
        <v>5</v>
      </c>
      <c r="G1" s="1" t="s">
        <v>6</v>
      </c>
      <c r="H1" s="1" t="s">
        <v>7</v>
      </c>
      <c r="I1" s="1" t="s">
        <v>8</v>
      </c>
      <c r="J1" s="1" t="s">
        <v>9</v>
      </c>
      <c r="K1" s="1" t="s">
        <v>10</v>
      </c>
      <c r="L1" s="5" t="s">
        <v>178</v>
      </c>
      <c r="M1" s="5" t="s">
        <v>179</v>
      </c>
      <c r="N1" s="6" t="s">
        <v>180</v>
      </c>
      <c r="O1" t="s">
        <v>183</v>
      </c>
      <c r="P1" t="s">
        <v>184</v>
      </c>
      <c r="Q1" t="s">
        <v>185</v>
      </c>
      <c r="R1" t="s">
        <v>186</v>
      </c>
      <c r="S1" t="s">
        <v>190</v>
      </c>
      <c r="T1" s="30" t="s">
        <v>388</v>
      </c>
    </row>
    <row r="2" spans="1:20" ht="14.25" customHeight="1" x14ac:dyDescent="0.35">
      <c r="A2" s="19">
        <v>45676</v>
      </c>
      <c r="B2" s="2" t="s">
        <v>12</v>
      </c>
      <c r="C2" s="2" t="s">
        <v>13</v>
      </c>
      <c r="D2" s="2" t="s">
        <v>14</v>
      </c>
      <c r="E2" s="2" t="s">
        <v>15</v>
      </c>
      <c r="F2" s="2" t="s">
        <v>16</v>
      </c>
      <c r="G2" s="2" t="s">
        <v>17</v>
      </c>
      <c r="H2" s="2">
        <v>85000</v>
      </c>
      <c r="I2" s="2">
        <v>1</v>
      </c>
      <c r="J2" s="2" t="s">
        <v>18</v>
      </c>
      <c r="K2" s="2">
        <f t="shared" ref="K2:K65" si="0">H2-H2*0.2</f>
        <v>68000</v>
      </c>
      <c r="L2" s="9">
        <f>Table_1[[#This Row],[Unit Price]]*Table_1[[#This Row],[Quantity]]</f>
        <v>85000</v>
      </c>
      <c r="M2" s="8">
        <f>Table_1[[#This Row],[Cost Price]]*Table_1[[#This Row],[Quantity]]</f>
        <v>68000</v>
      </c>
      <c r="N2">
        <f>Table_1[[#This Row],[Revenue]]-Table_1[[#This Row],[COGS]]</f>
        <v>17000</v>
      </c>
      <c r="O2" s="11">
        <f t="shared" ref="O2:O65" si="1">SUM(L$2:L$1048576)</f>
        <v>4656740000</v>
      </c>
      <c r="P2">
        <f t="shared" ref="P2:P65" si="2">SUM(M:M)</f>
        <v>3725392000</v>
      </c>
      <c r="Q2">
        <f t="shared" ref="Q2:Q65" si="3">SUM(N:N)</f>
        <v>931348000</v>
      </c>
      <c r="R2" s="7">
        <f t="shared" ref="R2:R65" si="4">COUNTA(A$2:A$1048576)</f>
        <v>2098</v>
      </c>
      <c r="S2" s="7">
        <f t="shared" ref="S2:S65" si="5">MONTH(A2:A1490)</f>
        <v>1</v>
      </c>
      <c r="T2" s="7">
        <f t="shared" ref="T2:T65" si="6">COUNTA(A:A)-1</f>
        <v>2098</v>
      </c>
    </row>
    <row r="3" spans="1:20" ht="14.25" customHeight="1" x14ac:dyDescent="0.35">
      <c r="A3" s="2" t="s">
        <v>19</v>
      </c>
      <c r="B3" s="2" t="s">
        <v>20</v>
      </c>
      <c r="C3" s="2" t="s">
        <v>21</v>
      </c>
      <c r="D3" s="2" t="s">
        <v>14</v>
      </c>
      <c r="E3" s="2" t="s">
        <v>22</v>
      </c>
      <c r="F3" s="2" t="s">
        <v>23</v>
      </c>
      <c r="G3" s="2" t="s">
        <v>24</v>
      </c>
      <c r="H3" s="2">
        <v>30000</v>
      </c>
      <c r="I3" s="2">
        <v>8</v>
      </c>
      <c r="J3" s="2" t="s">
        <v>18</v>
      </c>
      <c r="K3" s="2">
        <f t="shared" si="0"/>
        <v>24000</v>
      </c>
      <c r="L3" s="9">
        <f>Table_1[[#This Row],[Unit Price]]*Table_1[[#This Row],[Quantity]]</f>
        <v>240000</v>
      </c>
      <c r="M3" s="8">
        <f>Table_1[[#This Row],[Cost Price]]*Table_1[[#This Row],[Quantity]]</f>
        <v>192000</v>
      </c>
      <c r="N3">
        <f>Table_1[[#This Row],[Revenue]]-Table_1[[#This Row],[COGS]]</f>
        <v>48000</v>
      </c>
      <c r="O3" s="11">
        <f t="shared" si="1"/>
        <v>4656740000</v>
      </c>
      <c r="P3">
        <f t="shared" si="2"/>
        <v>3725392000</v>
      </c>
      <c r="Q3">
        <f t="shared" si="3"/>
        <v>931348000</v>
      </c>
      <c r="R3" s="7">
        <f t="shared" si="4"/>
        <v>2098</v>
      </c>
      <c r="S3" s="7">
        <f t="shared" si="5"/>
        <v>4</v>
      </c>
      <c r="T3" s="7">
        <f t="shared" si="6"/>
        <v>2098</v>
      </c>
    </row>
    <row r="4" spans="1:20" ht="14.25" customHeight="1" x14ac:dyDescent="0.35">
      <c r="A4" s="2" t="s">
        <v>25</v>
      </c>
      <c r="B4" s="2" t="s">
        <v>20</v>
      </c>
      <c r="C4" s="2" t="s">
        <v>13</v>
      </c>
      <c r="D4" s="2" t="s">
        <v>26</v>
      </c>
      <c r="E4" s="2" t="s">
        <v>15</v>
      </c>
      <c r="F4" s="2" t="s">
        <v>16</v>
      </c>
      <c r="G4" s="2" t="s">
        <v>17</v>
      </c>
      <c r="H4" s="2">
        <v>85000</v>
      </c>
      <c r="I4" s="2">
        <v>2</v>
      </c>
      <c r="J4" s="2" t="s">
        <v>27</v>
      </c>
      <c r="K4" s="2">
        <f t="shared" si="0"/>
        <v>68000</v>
      </c>
      <c r="L4" s="9">
        <f>Table_1[[#This Row],[Unit Price]]*Table_1[[#This Row],[Quantity]]</f>
        <v>170000</v>
      </c>
      <c r="M4" s="8">
        <f>Table_1[[#This Row],[Cost Price]]*Table_1[[#This Row],[Quantity]]</f>
        <v>136000</v>
      </c>
      <c r="N4">
        <f>Table_1[[#This Row],[Revenue]]-Table_1[[#This Row],[COGS]]</f>
        <v>34000</v>
      </c>
      <c r="O4" s="11">
        <f t="shared" si="1"/>
        <v>4656740000</v>
      </c>
      <c r="P4">
        <f t="shared" si="2"/>
        <v>3725392000</v>
      </c>
      <c r="Q4">
        <f t="shared" si="3"/>
        <v>931348000</v>
      </c>
      <c r="R4" s="7">
        <f t="shared" si="4"/>
        <v>2098</v>
      </c>
      <c r="S4" s="7">
        <f t="shared" si="5"/>
        <v>2</v>
      </c>
      <c r="T4" s="7">
        <f t="shared" si="6"/>
        <v>2098</v>
      </c>
    </row>
    <row r="5" spans="1:20" ht="14.25" customHeight="1" x14ac:dyDescent="0.35">
      <c r="A5" s="2" t="s">
        <v>28</v>
      </c>
      <c r="B5" s="2" t="s">
        <v>29</v>
      </c>
      <c r="C5" s="2" t="s">
        <v>30</v>
      </c>
      <c r="D5" s="2" t="s">
        <v>14</v>
      </c>
      <c r="E5" s="2" t="s">
        <v>15</v>
      </c>
      <c r="F5" s="2" t="s">
        <v>31</v>
      </c>
      <c r="G5" s="2" t="s">
        <v>24</v>
      </c>
      <c r="H5" s="2">
        <v>60000</v>
      </c>
      <c r="I5" s="2">
        <v>2</v>
      </c>
      <c r="J5" s="2" t="s">
        <v>32</v>
      </c>
      <c r="K5" s="2">
        <f t="shared" si="0"/>
        <v>48000</v>
      </c>
      <c r="L5" s="9">
        <f>Table_1[[#This Row],[Unit Price]]*Table_1[[#This Row],[Quantity]]</f>
        <v>120000</v>
      </c>
      <c r="M5" s="8">
        <f>Table_1[[#This Row],[Cost Price]]*Table_1[[#This Row],[Quantity]]</f>
        <v>96000</v>
      </c>
      <c r="N5">
        <f>Table_1[[#This Row],[Revenue]]-Table_1[[#This Row],[COGS]]</f>
        <v>24000</v>
      </c>
      <c r="O5" s="11">
        <f t="shared" si="1"/>
        <v>4656740000</v>
      </c>
      <c r="P5">
        <f t="shared" si="2"/>
        <v>3725392000</v>
      </c>
      <c r="Q5">
        <f t="shared" si="3"/>
        <v>931348000</v>
      </c>
      <c r="R5" s="7">
        <f t="shared" si="4"/>
        <v>2098</v>
      </c>
      <c r="S5" s="7">
        <f t="shared" si="5"/>
        <v>4</v>
      </c>
      <c r="T5" s="7">
        <f t="shared" si="6"/>
        <v>2098</v>
      </c>
    </row>
    <row r="6" spans="1:20" ht="14.25" customHeight="1" x14ac:dyDescent="0.35">
      <c r="A6" s="2" t="s">
        <v>33</v>
      </c>
      <c r="B6" s="2" t="s">
        <v>34</v>
      </c>
      <c r="C6" s="2" t="s">
        <v>30</v>
      </c>
      <c r="D6" s="2" t="s">
        <v>26</v>
      </c>
      <c r="E6" s="2" t="s">
        <v>15</v>
      </c>
      <c r="F6" s="2" t="s">
        <v>35</v>
      </c>
      <c r="G6" s="2" t="s">
        <v>36</v>
      </c>
      <c r="H6" s="2">
        <v>300000</v>
      </c>
      <c r="I6" s="2">
        <v>2</v>
      </c>
      <c r="J6" s="2" t="s">
        <v>18</v>
      </c>
      <c r="K6" s="2">
        <f t="shared" si="0"/>
        <v>240000</v>
      </c>
      <c r="L6" s="9">
        <f>Table_1[[#This Row],[Unit Price]]*Table_1[[#This Row],[Quantity]]</f>
        <v>600000</v>
      </c>
      <c r="M6" s="8">
        <f>Table_1[[#This Row],[Cost Price]]*Table_1[[#This Row],[Quantity]]</f>
        <v>480000</v>
      </c>
      <c r="N6">
        <f>Table_1[[#This Row],[Revenue]]-Table_1[[#This Row],[COGS]]</f>
        <v>120000</v>
      </c>
      <c r="O6" s="11">
        <f t="shared" si="1"/>
        <v>4656740000</v>
      </c>
      <c r="P6">
        <f t="shared" si="2"/>
        <v>3725392000</v>
      </c>
      <c r="Q6">
        <f t="shared" si="3"/>
        <v>931348000</v>
      </c>
      <c r="R6" s="7">
        <f t="shared" si="4"/>
        <v>2098</v>
      </c>
      <c r="S6" s="7">
        <f t="shared" si="5"/>
        <v>4</v>
      </c>
      <c r="T6" s="7">
        <f t="shared" si="6"/>
        <v>2098</v>
      </c>
    </row>
    <row r="7" spans="1:20" ht="14.25" customHeight="1" x14ac:dyDescent="0.35">
      <c r="A7" s="2" t="s">
        <v>37</v>
      </c>
      <c r="B7" s="2" t="s">
        <v>29</v>
      </c>
      <c r="C7" s="2" t="s">
        <v>38</v>
      </c>
      <c r="D7" s="2" t="s">
        <v>14</v>
      </c>
      <c r="E7" s="2" t="s">
        <v>15</v>
      </c>
      <c r="F7" s="2" t="s">
        <v>39</v>
      </c>
      <c r="G7" s="2" t="s">
        <v>24</v>
      </c>
      <c r="H7" s="2">
        <v>180000</v>
      </c>
      <c r="I7" s="2">
        <v>10</v>
      </c>
      <c r="J7" s="2" t="s">
        <v>18</v>
      </c>
      <c r="K7" s="2">
        <f t="shared" si="0"/>
        <v>144000</v>
      </c>
      <c r="L7" s="9">
        <f>Table_1[[#This Row],[Unit Price]]*Table_1[[#This Row],[Quantity]]</f>
        <v>1800000</v>
      </c>
      <c r="M7" s="8">
        <f>Table_1[[#This Row],[Cost Price]]*Table_1[[#This Row],[Quantity]]</f>
        <v>1440000</v>
      </c>
      <c r="N7">
        <f>Table_1[[#This Row],[Revenue]]-Table_1[[#This Row],[COGS]]</f>
        <v>360000</v>
      </c>
      <c r="O7" s="11">
        <f t="shared" si="1"/>
        <v>4656740000</v>
      </c>
      <c r="P7">
        <f t="shared" si="2"/>
        <v>3725392000</v>
      </c>
      <c r="Q7">
        <f t="shared" si="3"/>
        <v>931348000</v>
      </c>
      <c r="R7" s="7">
        <f t="shared" si="4"/>
        <v>2098</v>
      </c>
      <c r="S7" s="7">
        <f t="shared" si="5"/>
        <v>3</v>
      </c>
      <c r="T7" s="7">
        <f t="shared" si="6"/>
        <v>2098</v>
      </c>
    </row>
    <row r="8" spans="1:20" ht="14.25" customHeight="1" x14ac:dyDescent="0.35">
      <c r="A8" s="2" t="s">
        <v>40</v>
      </c>
      <c r="B8" s="2" t="s">
        <v>29</v>
      </c>
      <c r="C8" s="2" t="s">
        <v>38</v>
      </c>
      <c r="D8" s="2" t="s">
        <v>26</v>
      </c>
      <c r="E8" s="2" t="s">
        <v>15</v>
      </c>
      <c r="F8" s="2" t="s">
        <v>41</v>
      </c>
      <c r="G8" s="2" t="s">
        <v>17</v>
      </c>
      <c r="H8" s="2">
        <v>320000</v>
      </c>
      <c r="I8" s="2">
        <v>4</v>
      </c>
      <c r="J8" s="2" t="s">
        <v>32</v>
      </c>
      <c r="K8" s="2">
        <f t="shared" si="0"/>
        <v>256000</v>
      </c>
      <c r="L8" s="9">
        <f>Table_1[[#This Row],[Unit Price]]*Table_1[[#This Row],[Quantity]]</f>
        <v>1280000</v>
      </c>
      <c r="M8" s="8">
        <f>Table_1[[#This Row],[Cost Price]]*Table_1[[#This Row],[Quantity]]</f>
        <v>1024000</v>
      </c>
      <c r="N8">
        <f>Table_1[[#This Row],[Revenue]]-Table_1[[#This Row],[COGS]]</f>
        <v>256000</v>
      </c>
      <c r="O8" s="11">
        <f t="shared" si="1"/>
        <v>4656740000</v>
      </c>
      <c r="P8">
        <f t="shared" si="2"/>
        <v>3725392000</v>
      </c>
      <c r="Q8">
        <f t="shared" si="3"/>
        <v>931348000</v>
      </c>
      <c r="R8" s="7">
        <f t="shared" si="4"/>
        <v>2098</v>
      </c>
      <c r="S8" s="7">
        <f t="shared" si="5"/>
        <v>3</v>
      </c>
      <c r="T8" s="7">
        <f t="shared" si="6"/>
        <v>2098</v>
      </c>
    </row>
    <row r="9" spans="1:20" ht="14.25" customHeight="1" x14ac:dyDescent="0.35">
      <c r="A9" s="2" t="s">
        <v>42</v>
      </c>
      <c r="B9" s="2" t="s">
        <v>29</v>
      </c>
      <c r="C9" s="2" t="s">
        <v>30</v>
      </c>
      <c r="D9" s="2" t="s">
        <v>14</v>
      </c>
      <c r="E9" s="2" t="s">
        <v>15</v>
      </c>
      <c r="F9" s="2" t="s">
        <v>41</v>
      </c>
      <c r="G9" s="2" t="s">
        <v>17</v>
      </c>
      <c r="H9" s="2">
        <v>320000</v>
      </c>
      <c r="I9" s="2">
        <v>1</v>
      </c>
      <c r="J9" s="2" t="s">
        <v>43</v>
      </c>
      <c r="K9" s="2">
        <f t="shared" si="0"/>
        <v>256000</v>
      </c>
      <c r="L9" s="9">
        <f>Table_1[[#This Row],[Unit Price]]*Table_1[[#This Row],[Quantity]]</f>
        <v>320000</v>
      </c>
      <c r="M9" s="8">
        <f>Table_1[[#This Row],[Cost Price]]*Table_1[[#This Row],[Quantity]]</f>
        <v>256000</v>
      </c>
      <c r="N9">
        <f>Table_1[[#This Row],[Revenue]]-Table_1[[#This Row],[COGS]]</f>
        <v>64000</v>
      </c>
      <c r="O9" s="11">
        <f t="shared" si="1"/>
        <v>4656740000</v>
      </c>
      <c r="P9">
        <f t="shared" si="2"/>
        <v>3725392000</v>
      </c>
      <c r="Q9">
        <f t="shared" si="3"/>
        <v>931348000</v>
      </c>
      <c r="R9" s="7">
        <f t="shared" si="4"/>
        <v>2098</v>
      </c>
      <c r="S9" s="7">
        <f t="shared" si="5"/>
        <v>2</v>
      </c>
      <c r="T9" s="7">
        <f t="shared" si="6"/>
        <v>2098</v>
      </c>
    </row>
    <row r="10" spans="1:20" ht="14.25" customHeight="1" x14ac:dyDescent="0.35">
      <c r="A10" s="2" t="s">
        <v>44</v>
      </c>
      <c r="B10" s="2" t="s">
        <v>20</v>
      </c>
      <c r="C10" s="2" t="s">
        <v>21</v>
      </c>
      <c r="D10" s="2" t="s">
        <v>14</v>
      </c>
      <c r="E10" s="2" t="s">
        <v>22</v>
      </c>
      <c r="F10" s="2" t="s">
        <v>41</v>
      </c>
      <c r="G10" s="2" t="s">
        <v>17</v>
      </c>
      <c r="H10" s="2">
        <v>320000</v>
      </c>
      <c r="I10" s="2">
        <v>9</v>
      </c>
      <c r="J10" s="2" t="s">
        <v>32</v>
      </c>
      <c r="K10" s="2">
        <f t="shared" si="0"/>
        <v>256000</v>
      </c>
      <c r="L10" s="9">
        <f>Table_1[[#This Row],[Unit Price]]*Table_1[[#This Row],[Quantity]]</f>
        <v>2880000</v>
      </c>
      <c r="M10" s="8">
        <f>Table_1[[#This Row],[Cost Price]]*Table_1[[#This Row],[Quantity]]</f>
        <v>2304000</v>
      </c>
      <c r="N10">
        <f>Table_1[[#This Row],[Revenue]]-Table_1[[#This Row],[COGS]]</f>
        <v>576000</v>
      </c>
      <c r="O10" s="11">
        <f t="shared" si="1"/>
        <v>4656740000</v>
      </c>
      <c r="P10">
        <f t="shared" si="2"/>
        <v>3725392000</v>
      </c>
      <c r="Q10">
        <f t="shared" si="3"/>
        <v>931348000</v>
      </c>
      <c r="R10" s="7">
        <f t="shared" si="4"/>
        <v>2098</v>
      </c>
      <c r="S10" s="7">
        <f t="shared" si="5"/>
        <v>3</v>
      </c>
      <c r="T10" s="7">
        <f t="shared" si="6"/>
        <v>2098</v>
      </c>
    </row>
    <row r="11" spans="1:20" ht="14.25" customHeight="1" x14ac:dyDescent="0.35">
      <c r="A11" s="2" t="s">
        <v>45</v>
      </c>
      <c r="B11" s="2" t="s">
        <v>29</v>
      </c>
      <c r="C11" s="2" t="s">
        <v>21</v>
      </c>
      <c r="D11" s="2" t="s">
        <v>14</v>
      </c>
      <c r="E11" s="2" t="s">
        <v>15</v>
      </c>
      <c r="F11" s="2" t="s">
        <v>41</v>
      </c>
      <c r="G11" s="2" t="s">
        <v>17</v>
      </c>
      <c r="H11" s="2">
        <v>320000</v>
      </c>
      <c r="I11" s="2">
        <v>3</v>
      </c>
      <c r="J11" s="2" t="s">
        <v>32</v>
      </c>
      <c r="K11" s="2">
        <f t="shared" si="0"/>
        <v>256000</v>
      </c>
      <c r="L11" s="9">
        <f>Table_1[[#This Row],[Unit Price]]*Table_1[[#This Row],[Quantity]]</f>
        <v>960000</v>
      </c>
      <c r="M11" s="8">
        <f>Table_1[[#This Row],[Cost Price]]*Table_1[[#This Row],[Quantity]]</f>
        <v>768000</v>
      </c>
      <c r="N11">
        <f>Table_1[[#This Row],[Revenue]]-Table_1[[#This Row],[COGS]]</f>
        <v>192000</v>
      </c>
      <c r="O11" s="11">
        <f t="shared" si="1"/>
        <v>4656740000</v>
      </c>
      <c r="P11">
        <f t="shared" si="2"/>
        <v>3725392000</v>
      </c>
      <c r="Q11">
        <f t="shared" si="3"/>
        <v>931348000</v>
      </c>
      <c r="R11" s="7">
        <f t="shared" si="4"/>
        <v>2098</v>
      </c>
      <c r="S11" s="7">
        <f t="shared" si="5"/>
        <v>3</v>
      </c>
      <c r="T11" s="7">
        <f t="shared" si="6"/>
        <v>2098</v>
      </c>
    </row>
    <row r="12" spans="1:20" ht="14.25" customHeight="1" x14ac:dyDescent="0.35">
      <c r="A12" s="2" t="s">
        <v>46</v>
      </c>
      <c r="B12" s="2" t="s">
        <v>29</v>
      </c>
      <c r="C12" s="2" t="s">
        <v>13</v>
      </c>
      <c r="D12" s="2" t="s">
        <v>14</v>
      </c>
      <c r="E12" s="2" t="s">
        <v>15</v>
      </c>
      <c r="F12" s="2" t="s">
        <v>47</v>
      </c>
      <c r="G12" s="2" t="s">
        <v>36</v>
      </c>
      <c r="H12" s="2">
        <v>150000</v>
      </c>
      <c r="I12" s="2">
        <v>4</v>
      </c>
      <c r="J12" s="2" t="s">
        <v>43</v>
      </c>
      <c r="K12" s="2">
        <f t="shared" si="0"/>
        <v>120000</v>
      </c>
      <c r="L12" s="9">
        <f>Table_1[[#This Row],[Unit Price]]*Table_1[[#This Row],[Quantity]]</f>
        <v>600000</v>
      </c>
      <c r="M12" s="8">
        <f>Table_1[[#This Row],[Cost Price]]*Table_1[[#This Row],[Quantity]]</f>
        <v>480000</v>
      </c>
      <c r="N12">
        <f>Table_1[[#This Row],[Revenue]]-Table_1[[#This Row],[COGS]]</f>
        <v>120000</v>
      </c>
      <c r="O12" s="11">
        <f t="shared" si="1"/>
        <v>4656740000</v>
      </c>
      <c r="P12">
        <f t="shared" si="2"/>
        <v>3725392000</v>
      </c>
      <c r="Q12">
        <f t="shared" si="3"/>
        <v>931348000</v>
      </c>
      <c r="R12" s="7">
        <f t="shared" si="4"/>
        <v>2098</v>
      </c>
      <c r="S12" s="7">
        <f t="shared" si="5"/>
        <v>1</v>
      </c>
      <c r="T12" s="7">
        <f t="shared" si="6"/>
        <v>2098</v>
      </c>
    </row>
    <row r="13" spans="1:20" ht="14.25" customHeight="1" x14ac:dyDescent="0.35">
      <c r="A13" s="2" t="s">
        <v>48</v>
      </c>
      <c r="B13" s="2" t="s">
        <v>12</v>
      </c>
      <c r="C13" s="2" t="s">
        <v>30</v>
      </c>
      <c r="D13" s="2" t="s">
        <v>26</v>
      </c>
      <c r="E13" s="2" t="s">
        <v>15</v>
      </c>
      <c r="F13" s="2" t="s">
        <v>41</v>
      </c>
      <c r="G13" s="2" t="s">
        <v>17</v>
      </c>
      <c r="H13" s="2">
        <v>320000</v>
      </c>
      <c r="I13" s="2">
        <v>7</v>
      </c>
      <c r="J13" s="2" t="s">
        <v>43</v>
      </c>
      <c r="K13" s="2">
        <f t="shared" si="0"/>
        <v>256000</v>
      </c>
      <c r="L13" s="9">
        <f>Table_1[[#This Row],[Unit Price]]*Table_1[[#This Row],[Quantity]]</f>
        <v>2240000</v>
      </c>
      <c r="M13" s="8">
        <f>Table_1[[#This Row],[Cost Price]]*Table_1[[#This Row],[Quantity]]</f>
        <v>1792000</v>
      </c>
      <c r="N13">
        <f>Table_1[[#This Row],[Revenue]]-Table_1[[#This Row],[COGS]]</f>
        <v>448000</v>
      </c>
      <c r="O13" s="11">
        <f t="shared" si="1"/>
        <v>4656740000</v>
      </c>
      <c r="P13">
        <f t="shared" si="2"/>
        <v>3725392000</v>
      </c>
      <c r="Q13">
        <f t="shared" si="3"/>
        <v>931348000</v>
      </c>
      <c r="R13" s="7">
        <f t="shared" si="4"/>
        <v>2098</v>
      </c>
      <c r="S13" s="7">
        <f t="shared" si="5"/>
        <v>1</v>
      </c>
      <c r="T13" s="7">
        <f t="shared" si="6"/>
        <v>2098</v>
      </c>
    </row>
    <row r="14" spans="1:20" ht="14.25" customHeight="1" x14ac:dyDescent="0.35">
      <c r="A14" s="2" t="s">
        <v>49</v>
      </c>
      <c r="B14" s="2" t="s">
        <v>29</v>
      </c>
      <c r="C14" s="2" t="s">
        <v>13</v>
      </c>
      <c r="D14" s="2" t="s">
        <v>14</v>
      </c>
      <c r="E14" s="2" t="s">
        <v>22</v>
      </c>
      <c r="F14" s="2" t="s">
        <v>47</v>
      </c>
      <c r="G14" s="2" t="s">
        <v>36</v>
      </c>
      <c r="H14" s="2">
        <v>150000</v>
      </c>
      <c r="I14" s="2">
        <v>2</v>
      </c>
      <c r="J14" s="2" t="s">
        <v>50</v>
      </c>
      <c r="K14" s="2">
        <f t="shared" si="0"/>
        <v>120000</v>
      </c>
      <c r="L14" s="9">
        <f>Table_1[[#This Row],[Unit Price]]*Table_1[[#This Row],[Quantity]]</f>
        <v>300000</v>
      </c>
      <c r="M14" s="8">
        <f>Table_1[[#This Row],[Cost Price]]*Table_1[[#This Row],[Quantity]]</f>
        <v>240000</v>
      </c>
      <c r="N14">
        <f>Table_1[[#This Row],[Revenue]]-Table_1[[#This Row],[COGS]]</f>
        <v>60000</v>
      </c>
      <c r="O14" s="11">
        <f t="shared" si="1"/>
        <v>4656740000</v>
      </c>
      <c r="P14">
        <f t="shared" si="2"/>
        <v>3725392000</v>
      </c>
      <c r="Q14">
        <f t="shared" si="3"/>
        <v>931348000</v>
      </c>
      <c r="R14" s="7">
        <f t="shared" si="4"/>
        <v>2098</v>
      </c>
      <c r="S14" s="7">
        <f t="shared" si="5"/>
        <v>4</v>
      </c>
      <c r="T14" s="7">
        <f t="shared" si="6"/>
        <v>2098</v>
      </c>
    </row>
    <row r="15" spans="1:20" ht="14.25" customHeight="1" x14ac:dyDescent="0.35">
      <c r="A15" s="2" t="s">
        <v>51</v>
      </c>
      <c r="B15" s="2" t="s">
        <v>12</v>
      </c>
      <c r="C15" s="2" t="s">
        <v>21</v>
      </c>
      <c r="D15" s="2" t="s">
        <v>14</v>
      </c>
      <c r="E15" s="2" t="s">
        <v>15</v>
      </c>
      <c r="F15" s="2" t="s">
        <v>52</v>
      </c>
      <c r="G15" s="2" t="s">
        <v>36</v>
      </c>
      <c r="H15" s="2">
        <v>420000</v>
      </c>
      <c r="I15" s="2">
        <v>9</v>
      </c>
      <c r="J15" s="2" t="s">
        <v>32</v>
      </c>
      <c r="K15" s="2">
        <f t="shared" si="0"/>
        <v>336000</v>
      </c>
      <c r="L15" s="9">
        <f>Table_1[[#This Row],[Unit Price]]*Table_1[[#This Row],[Quantity]]</f>
        <v>3780000</v>
      </c>
      <c r="M15" s="8">
        <f>Table_1[[#This Row],[Cost Price]]*Table_1[[#This Row],[Quantity]]</f>
        <v>3024000</v>
      </c>
      <c r="N15">
        <f>Table_1[[#This Row],[Revenue]]-Table_1[[#This Row],[COGS]]</f>
        <v>756000</v>
      </c>
      <c r="O15" s="11">
        <f t="shared" si="1"/>
        <v>4656740000</v>
      </c>
      <c r="P15">
        <f t="shared" si="2"/>
        <v>3725392000</v>
      </c>
      <c r="Q15">
        <f t="shared" si="3"/>
        <v>931348000</v>
      </c>
      <c r="R15" s="7">
        <f t="shared" si="4"/>
        <v>2098</v>
      </c>
      <c r="S15" s="7">
        <f t="shared" si="5"/>
        <v>3</v>
      </c>
      <c r="T15" s="7">
        <f t="shared" si="6"/>
        <v>2098</v>
      </c>
    </row>
    <row r="16" spans="1:20" ht="14.25" customHeight="1" x14ac:dyDescent="0.35">
      <c r="A16" s="2" t="s">
        <v>53</v>
      </c>
      <c r="B16" s="2" t="s">
        <v>34</v>
      </c>
      <c r="C16" s="2" t="s">
        <v>21</v>
      </c>
      <c r="D16" s="2" t="s">
        <v>14</v>
      </c>
      <c r="E16" s="2" t="s">
        <v>15</v>
      </c>
      <c r="F16" s="2" t="s">
        <v>52</v>
      </c>
      <c r="G16" s="2" t="s">
        <v>36</v>
      </c>
      <c r="H16" s="2">
        <v>420000</v>
      </c>
      <c r="I16" s="2">
        <v>5</v>
      </c>
      <c r="J16" s="2" t="s">
        <v>54</v>
      </c>
      <c r="K16" s="2">
        <f t="shared" si="0"/>
        <v>336000</v>
      </c>
      <c r="L16" s="9">
        <f>Table_1[[#This Row],[Unit Price]]*Table_1[[#This Row],[Quantity]]</f>
        <v>2100000</v>
      </c>
      <c r="M16" s="8">
        <f>Table_1[[#This Row],[Cost Price]]*Table_1[[#This Row],[Quantity]]</f>
        <v>1680000</v>
      </c>
      <c r="N16">
        <f>Table_1[[#This Row],[Revenue]]-Table_1[[#This Row],[COGS]]</f>
        <v>420000</v>
      </c>
      <c r="O16" s="11">
        <f t="shared" si="1"/>
        <v>4656740000</v>
      </c>
      <c r="P16">
        <f t="shared" si="2"/>
        <v>3725392000</v>
      </c>
      <c r="Q16">
        <f t="shared" si="3"/>
        <v>931348000</v>
      </c>
      <c r="R16" s="7">
        <f t="shared" si="4"/>
        <v>2098</v>
      </c>
      <c r="S16" s="7">
        <f t="shared" si="5"/>
        <v>3</v>
      </c>
      <c r="T16" s="7">
        <f t="shared" si="6"/>
        <v>2098</v>
      </c>
    </row>
    <row r="17" spans="1:20" ht="14.25" customHeight="1" x14ac:dyDescent="0.35">
      <c r="A17" s="2" t="s">
        <v>55</v>
      </c>
      <c r="B17" s="2" t="s">
        <v>12</v>
      </c>
      <c r="C17" s="2" t="s">
        <v>30</v>
      </c>
      <c r="D17" s="2" t="s">
        <v>26</v>
      </c>
      <c r="E17" s="2" t="s">
        <v>22</v>
      </c>
      <c r="F17" s="2" t="s">
        <v>56</v>
      </c>
      <c r="G17" s="2" t="s">
        <v>36</v>
      </c>
      <c r="H17" s="2">
        <v>250000</v>
      </c>
      <c r="I17" s="2">
        <v>4</v>
      </c>
      <c r="J17" s="2" t="s">
        <v>43</v>
      </c>
      <c r="K17" s="2">
        <f t="shared" si="0"/>
        <v>200000</v>
      </c>
      <c r="L17" s="9">
        <f>Table_1[[#This Row],[Unit Price]]*Table_1[[#This Row],[Quantity]]</f>
        <v>1000000</v>
      </c>
      <c r="M17" s="8">
        <f>Table_1[[#This Row],[Cost Price]]*Table_1[[#This Row],[Quantity]]</f>
        <v>800000</v>
      </c>
      <c r="N17">
        <f>Table_1[[#This Row],[Revenue]]-Table_1[[#This Row],[COGS]]</f>
        <v>200000</v>
      </c>
      <c r="O17" s="11">
        <f t="shared" si="1"/>
        <v>4656740000</v>
      </c>
      <c r="P17">
        <f t="shared" si="2"/>
        <v>3725392000</v>
      </c>
      <c r="Q17">
        <f t="shared" si="3"/>
        <v>931348000</v>
      </c>
      <c r="R17" s="7">
        <f t="shared" si="4"/>
        <v>2098</v>
      </c>
      <c r="S17" s="7">
        <f t="shared" si="5"/>
        <v>4</v>
      </c>
      <c r="T17" s="7">
        <f t="shared" si="6"/>
        <v>2098</v>
      </c>
    </row>
    <row r="18" spans="1:20" ht="14.25" customHeight="1" x14ac:dyDescent="0.35">
      <c r="A18" s="2" t="s">
        <v>57</v>
      </c>
      <c r="B18" s="2" t="s">
        <v>12</v>
      </c>
      <c r="C18" s="2" t="s">
        <v>21</v>
      </c>
      <c r="D18" s="2" t="s">
        <v>14</v>
      </c>
      <c r="E18" s="2" t="s">
        <v>15</v>
      </c>
      <c r="F18" s="2" t="s">
        <v>58</v>
      </c>
      <c r="G18" s="2" t="s">
        <v>24</v>
      </c>
      <c r="H18" s="2">
        <v>220000</v>
      </c>
      <c r="I18" s="2">
        <v>2</v>
      </c>
      <c r="J18" s="2" t="s">
        <v>43</v>
      </c>
      <c r="K18" s="2">
        <f t="shared" si="0"/>
        <v>176000</v>
      </c>
      <c r="L18" s="9">
        <f>Table_1[[#This Row],[Unit Price]]*Table_1[[#This Row],[Quantity]]</f>
        <v>440000</v>
      </c>
      <c r="M18" s="8">
        <f>Table_1[[#This Row],[Cost Price]]*Table_1[[#This Row],[Quantity]]</f>
        <v>352000</v>
      </c>
      <c r="N18">
        <f>Table_1[[#This Row],[Revenue]]-Table_1[[#This Row],[COGS]]</f>
        <v>88000</v>
      </c>
      <c r="O18" s="11">
        <f t="shared" si="1"/>
        <v>4656740000</v>
      </c>
      <c r="P18">
        <f t="shared" si="2"/>
        <v>3725392000</v>
      </c>
      <c r="Q18">
        <f t="shared" si="3"/>
        <v>931348000</v>
      </c>
      <c r="R18" s="7">
        <f t="shared" si="4"/>
        <v>2098</v>
      </c>
      <c r="S18" s="7">
        <f t="shared" si="5"/>
        <v>2</v>
      </c>
      <c r="T18" s="7">
        <f t="shared" si="6"/>
        <v>2098</v>
      </c>
    </row>
    <row r="19" spans="1:20" ht="14.25" customHeight="1" x14ac:dyDescent="0.35">
      <c r="A19" s="2" t="s">
        <v>59</v>
      </c>
      <c r="B19" s="2" t="s">
        <v>20</v>
      </c>
      <c r="C19" s="2" t="s">
        <v>30</v>
      </c>
      <c r="D19" s="2" t="s">
        <v>14</v>
      </c>
      <c r="E19" s="2" t="s">
        <v>22</v>
      </c>
      <c r="F19" s="2" t="s">
        <v>47</v>
      </c>
      <c r="G19" s="2" t="s">
        <v>36</v>
      </c>
      <c r="H19" s="2">
        <v>150000</v>
      </c>
      <c r="I19" s="2">
        <v>7</v>
      </c>
      <c r="J19" s="2" t="s">
        <v>32</v>
      </c>
      <c r="K19" s="2">
        <f t="shared" si="0"/>
        <v>120000</v>
      </c>
      <c r="L19" s="9">
        <f>Table_1[[#This Row],[Unit Price]]*Table_1[[#This Row],[Quantity]]</f>
        <v>1050000</v>
      </c>
      <c r="M19" s="8">
        <f>Table_1[[#This Row],[Cost Price]]*Table_1[[#This Row],[Quantity]]</f>
        <v>840000</v>
      </c>
      <c r="N19">
        <f>Table_1[[#This Row],[Revenue]]-Table_1[[#This Row],[COGS]]</f>
        <v>210000</v>
      </c>
      <c r="O19" s="11">
        <f t="shared" si="1"/>
        <v>4656740000</v>
      </c>
      <c r="P19">
        <f t="shared" si="2"/>
        <v>3725392000</v>
      </c>
      <c r="Q19">
        <f t="shared" si="3"/>
        <v>931348000</v>
      </c>
      <c r="R19" s="7">
        <f t="shared" si="4"/>
        <v>2098</v>
      </c>
      <c r="S19" s="7">
        <f t="shared" si="5"/>
        <v>2</v>
      </c>
      <c r="T19" s="7">
        <f t="shared" si="6"/>
        <v>2098</v>
      </c>
    </row>
    <row r="20" spans="1:20" ht="14.25" customHeight="1" x14ac:dyDescent="0.35">
      <c r="A20" s="2" t="s">
        <v>60</v>
      </c>
      <c r="B20" s="2" t="s">
        <v>29</v>
      </c>
      <c r="C20" s="2" t="s">
        <v>38</v>
      </c>
      <c r="D20" s="2" t="s">
        <v>26</v>
      </c>
      <c r="E20" s="2" t="s">
        <v>22</v>
      </c>
      <c r="F20" s="2" t="s">
        <v>35</v>
      </c>
      <c r="G20" s="2" t="s">
        <v>36</v>
      </c>
      <c r="H20" s="2">
        <v>300000</v>
      </c>
      <c r="I20" s="2">
        <v>5</v>
      </c>
      <c r="J20" s="2" t="s">
        <v>43</v>
      </c>
      <c r="K20" s="2">
        <f t="shared" si="0"/>
        <v>240000</v>
      </c>
      <c r="L20" s="9">
        <f>Table_1[[#This Row],[Unit Price]]*Table_1[[#This Row],[Quantity]]</f>
        <v>1500000</v>
      </c>
      <c r="M20" s="8">
        <f>Table_1[[#This Row],[Cost Price]]*Table_1[[#This Row],[Quantity]]</f>
        <v>1200000</v>
      </c>
      <c r="N20">
        <f>Table_1[[#This Row],[Revenue]]-Table_1[[#This Row],[COGS]]</f>
        <v>300000</v>
      </c>
      <c r="O20" s="11">
        <f t="shared" si="1"/>
        <v>4656740000</v>
      </c>
      <c r="P20">
        <f t="shared" si="2"/>
        <v>3725392000</v>
      </c>
      <c r="Q20">
        <f t="shared" si="3"/>
        <v>931348000</v>
      </c>
      <c r="R20" s="7">
        <f t="shared" si="4"/>
        <v>2098</v>
      </c>
      <c r="S20" s="7">
        <f t="shared" si="5"/>
        <v>3</v>
      </c>
      <c r="T20" s="7">
        <f t="shared" si="6"/>
        <v>2098</v>
      </c>
    </row>
    <row r="21" spans="1:20" ht="14.25" customHeight="1" x14ac:dyDescent="0.35">
      <c r="A21" s="2" t="s">
        <v>59</v>
      </c>
      <c r="B21" s="2" t="s">
        <v>34</v>
      </c>
      <c r="C21" s="2" t="s">
        <v>30</v>
      </c>
      <c r="D21" s="2" t="s">
        <v>14</v>
      </c>
      <c r="E21" s="2" t="s">
        <v>15</v>
      </c>
      <c r="F21" s="2" t="s">
        <v>47</v>
      </c>
      <c r="G21" s="2" t="s">
        <v>36</v>
      </c>
      <c r="H21" s="2">
        <v>150000</v>
      </c>
      <c r="I21" s="2">
        <v>4</v>
      </c>
      <c r="J21" s="2" t="s">
        <v>43</v>
      </c>
      <c r="K21" s="2">
        <f t="shared" si="0"/>
        <v>120000</v>
      </c>
      <c r="L21" s="9">
        <f>Table_1[[#This Row],[Unit Price]]*Table_1[[#This Row],[Quantity]]</f>
        <v>600000</v>
      </c>
      <c r="M21" s="8">
        <f>Table_1[[#This Row],[Cost Price]]*Table_1[[#This Row],[Quantity]]</f>
        <v>480000</v>
      </c>
      <c r="N21">
        <f>Table_1[[#This Row],[Revenue]]-Table_1[[#This Row],[COGS]]</f>
        <v>120000</v>
      </c>
      <c r="O21" s="11">
        <f t="shared" si="1"/>
        <v>4656740000</v>
      </c>
      <c r="P21">
        <f t="shared" si="2"/>
        <v>3725392000</v>
      </c>
      <c r="Q21">
        <f t="shared" si="3"/>
        <v>931348000</v>
      </c>
      <c r="R21" s="7">
        <f t="shared" si="4"/>
        <v>2098</v>
      </c>
      <c r="S21" s="7">
        <f t="shared" si="5"/>
        <v>2</v>
      </c>
      <c r="T21" s="7">
        <f t="shared" si="6"/>
        <v>2098</v>
      </c>
    </row>
    <row r="22" spans="1:20" ht="14.25" customHeight="1" x14ac:dyDescent="0.35">
      <c r="A22" s="2" t="s">
        <v>61</v>
      </c>
      <c r="B22" s="2" t="s">
        <v>34</v>
      </c>
      <c r="C22" s="2" t="s">
        <v>30</v>
      </c>
      <c r="D22" s="2" t="s">
        <v>26</v>
      </c>
      <c r="E22" s="2" t="s">
        <v>22</v>
      </c>
      <c r="F22" s="2" t="s">
        <v>16</v>
      </c>
      <c r="G22" s="2" t="s">
        <v>17</v>
      </c>
      <c r="H22" s="2">
        <v>85000</v>
      </c>
      <c r="I22" s="2">
        <v>1</v>
      </c>
      <c r="J22" s="2" t="s">
        <v>54</v>
      </c>
      <c r="K22" s="2">
        <f t="shared" si="0"/>
        <v>68000</v>
      </c>
      <c r="L22" s="9">
        <f>Table_1[[#This Row],[Unit Price]]*Table_1[[#This Row],[Quantity]]</f>
        <v>85000</v>
      </c>
      <c r="M22" s="8">
        <f>Table_1[[#This Row],[Cost Price]]*Table_1[[#This Row],[Quantity]]</f>
        <v>68000</v>
      </c>
      <c r="N22">
        <f>Table_1[[#This Row],[Revenue]]-Table_1[[#This Row],[COGS]]</f>
        <v>17000</v>
      </c>
      <c r="O22" s="11">
        <f t="shared" si="1"/>
        <v>4656740000</v>
      </c>
      <c r="P22">
        <f t="shared" si="2"/>
        <v>3725392000</v>
      </c>
      <c r="Q22">
        <f t="shared" si="3"/>
        <v>931348000</v>
      </c>
      <c r="R22" s="7">
        <f t="shared" si="4"/>
        <v>2098</v>
      </c>
      <c r="S22" s="7">
        <f t="shared" si="5"/>
        <v>5</v>
      </c>
      <c r="T22" s="7">
        <f t="shared" si="6"/>
        <v>2098</v>
      </c>
    </row>
    <row r="23" spans="1:20" ht="14.25" customHeight="1" x14ac:dyDescent="0.35">
      <c r="A23" s="2" t="s">
        <v>51</v>
      </c>
      <c r="B23" s="2" t="s">
        <v>20</v>
      </c>
      <c r="C23" s="2" t="s">
        <v>13</v>
      </c>
      <c r="D23" s="2" t="s">
        <v>14</v>
      </c>
      <c r="E23" s="2" t="s">
        <v>22</v>
      </c>
      <c r="F23" s="2" t="s">
        <v>16</v>
      </c>
      <c r="G23" s="2" t="s">
        <v>17</v>
      </c>
      <c r="H23" s="2">
        <v>85000</v>
      </c>
      <c r="I23" s="2">
        <v>9</v>
      </c>
      <c r="J23" s="2" t="s">
        <v>27</v>
      </c>
      <c r="K23" s="2">
        <f t="shared" si="0"/>
        <v>68000</v>
      </c>
      <c r="L23" s="9">
        <f>Table_1[[#This Row],[Unit Price]]*Table_1[[#This Row],[Quantity]]</f>
        <v>765000</v>
      </c>
      <c r="M23" s="8">
        <f>Table_1[[#This Row],[Cost Price]]*Table_1[[#This Row],[Quantity]]</f>
        <v>612000</v>
      </c>
      <c r="N23">
        <f>Table_1[[#This Row],[Revenue]]-Table_1[[#This Row],[COGS]]</f>
        <v>153000</v>
      </c>
      <c r="O23" s="11">
        <f t="shared" si="1"/>
        <v>4656740000</v>
      </c>
      <c r="P23">
        <f t="shared" si="2"/>
        <v>3725392000</v>
      </c>
      <c r="Q23">
        <f t="shared" si="3"/>
        <v>931348000</v>
      </c>
      <c r="R23" s="7">
        <f t="shared" si="4"/>
        <v>2098</v>
      </c>
      <c r="S23" s="7">
        <f t="shared" si="5"/>
        <v>3</v>
      </c>
      <c r="T23" s="7">
        <f t="shared" si="6"/>
        <v>2098</v>
      </c>
    </row>
    <row r="24" spans="1:20" ht="14.25" customHeight="1" x14ac:dyDescent="0.35">
      <c r="A24" s="2" t="s">
        <v>62</v>
      </c>
      <c r="B24" s="2" t="s">
        <v>20</v>
      </c>
      <c r="C24" s="2" t="s">
        <v>21</v>
      </c>
      <c r="D24" s="2" t="s">
        <v>14</v>
      </c>
      <c r="E24" s="2" t="s">
        <v>22</v>
      </c>
      <c r="F24" s="2" t="s">
        <v>52</v>
      </c>
      <c r="G24" s="2" t="s">
        <v>36</v>
      </c>
      <c r="H24" s="2">
        <v>420000</v>
      </c>
      <c r="I24" s="2">
        <v>8</v>
      </c>
      <c r="J24" s="2" t="s">
        <v>54</v>
      </c>
      <c r="K24" s="2">
        <f t="shared" si="0"/>
        <v>336000</v>
      </c>
      <c r="L24" s="9">
        <f>Table_1[[#This Row],[Unit Price]]*Table_1[[#This Row],[Quantity]]</f>
        <v>3360000</v>
      </c>
      <c r="M24" s="8">
        <f>Table_1[[#This Row],[Cost Price]]*Table_1[[#This Row],[Quantity]]</f>
        <v>2688000</v>
      </c>
      <c r="N24">
        <f>Table_1[[#This Row],[Revenue]]-Table_1[[#This Row],[COGS]]</f>
        <v>672000</v>
      </c>
      <c r="O24" s="11">
        <f t="shared" si="1"/>
        <v>4656740000</v>
      </c>
      <c r="P24">
        <f t="shared" si="2"/>
        <v>3725392000</v>
      </c>
      <c r="Q24">
        <f t="shared" si="3"/>
        <v>931348000</v>
      </c>
      <c r="R24" s="7">
        <f t="shared" si="4"/>
        <v>2098</v>
      </c>
      <c r="S24" s="7">
        <f t="shared" si="5"/>
        <v>4</v>
      </c>
      <c r="T24" s="7">
        <f t="shared" si="6"/>
        <v>2098</v>
      </c>
    </row>
    <row r="25" spans="1:20" ht="14.25" customHeight="1" x14ac:dyDescent="0.35">
      <c r="A25" s="2" t="s">
        <v>63</v>
      </c>
      <c r="B25" s="2" t="s">
        <v>34</v>
      </c>
      <c r="C25" s="2" t="s">
        <v>21</v>
      </c>
      <c r="D25" s="2" t="s">
        <v>26</v>
      </c>
      <c r="E25" s="2" t="s">
        <v>15</v>
      </c>
      <c r="F25" s="2" t="s">
        <v>52</v>
      </c>
      <c r="G25" s="2" t="s">
        <v>36</v>
      </c>
      <c r="H25" s="2">
        <v>420000</v>
      </c>
      <c r="I25" s="2">
        <v>10</v>
      </c>
      <c r="J25" s="2" t="s">
        <v>54</v>
      </c>
      <c r="K25" s="2">
        <f t="shared" si="0"/>
        <v>336000</v>
      </c>
      <c r="L25" s="9">
        <f>Table_1[[#This Row],[Unit Price]]*Table_1[[#This Row],[Quantity]]</f>
        <v>4200000</v>
      </c>
      <c r="M25" s="8">
        <f>Table_1[[#This Row],[Cost Price]]*Table_1[[#This Row],[Quantity]]</f>
        <v>3360000</v>
      </c>
      <c r="N25">
        <f>Table_1[[#This Row],[Revenue]]-Table_1[[#This Row],[COGS]]</f>
        <v>840000</v>
      </c>
      <c r="O25" s="11">
        <f t="shared" si="1"/>
        <v>4656740000</v>
      </c>
      <c r="P25">
        <f t="shared" si="2"/>
        <v>3725392000</v>
      </c>
      <c r="Q25">
        <f t="shared" si="3"/>
        <v>931348000</v>
      </c>
      <c r="R25" s="7">
        <f t="shared" si="4"/>
        <v>2098</v>
      </c>
      <c r="S25" s="7">
        <f t="shared" si="5"/>
        <v>4</v>
      </c>
      <c r="T25" s="7">
        <f t="shared" si="6"/>
        <v>2098</v>
      </c>
    </row>
    <row r="26" spans="1:20" ht="14.25" customHeight="1" x14ac:dyDescent="0.35">
      <c r="A26" s="2" t="s">
        <v>64</v>
      </c>
      <c r="B26" s="2" t="s">
        <v>20</v>
      </c>
      <c r="C26" s="2" t="s">
        <v>13</v>
      </c>
      <c r="D26" s="2" t="s">
        <v>14</v>
      </c>
      <c r="E26" s="2" t="s">
        <v>22</v>
      </c>
      <c r="F26" s="2" t="s">
        <v>56</v>
      </c>
      <c r="G26" s="2" t="s">
        <v>36</v>
      </c>
      <c r="H26" s="2">
        <v>250000</v>
      </c>
      <c r="I26" s="2">
        <v>5</v>
      </c>
      <c r="J26" s="2" t="s">
        <v>50</v>
      </c>
      <c r="K26" s="2">
        <f t="shared" si="0"/>
        <v>200000</v>
      </c>
      <c r="L26" s="9">
        <f>Table_1[[#This Row],[Unit Price]]*Table_1[[#This Row],[Quantity]]</f>
        <v>1250000</v>
      </c>
      <c r="M26" s="8">
        <f>Table_1[[#This Row],[Cost Price]]*Table_1[[#This Row],[Quantity]]</f>
        <v>1000000</v>
      </c>
      <c r="N26">
        <f>Table_1[[#This Row],[Revenue]]-Table_1[[#This Row],[COGS]]</f>
        <v>250000</v>
      </c>
      <c r="O26" s="11">
        <f t="shared" si="1"/>
        <v>4656740000</v>
      </c>
      <c r="P26">
        <f t="shared" si="2"/>
        <v>3725392000</v>
      </c>
      <c r="Q26">
        <f t="shared" si="3"/>
        <v>931348000</v>
      </c>
      <c r="R26" s="7">
        <f t="shared" si="4"/>
        <v>2098</v>
      </c>
      <c r="S26" s="7">
        <f t="shared" si="5"/>
        <v>2</v>
      </c>
      <c r="T26" s="7">
        <f t="shared" si="6"/>
        <v>2098</v>
      </c>
    </row>
    <row r="27" spans="1:20" ht="14.25" customHeight="1" x14ac:dyDescent="0.35">
      <c r="A27" s="2" t="s">
        <v>65</v>
      </c>
      <c r="B27" s="2" t="s">
        <v>34</v>
      </c>
      <c r="C27" s="2" t="s">
        <v>21</v>
      </c>
      <c r="D27" s="2" t="s">
        <v>26</v>
      </c>
      <c r="E27" s="2" t="s">
        <v>22</v>
      </c>
      <c r="F27" s="2" t="s">
        <v>58</v>
      </c>
      <c r="G27" s="2" t="s">
        <v>24</v>
      </c>
      <c r="H27" s="2">
        <v>220000</v>
      </c>
      <c r="I27" s="2">
        <v>4</v>
      </c>
      <c r="J27" s="2" t="s">
        <v>54</v>
      </c>
      <c r="K27" s="2">
        <f t="shared" si="0"/>
        <v>176000</v>
      </c>
      <c r="L27" s="9">
        <f>Table_1[[#This Row],[Unit Price]]*Table_1[[#This Row],[Quantity]]</f>
        <v>880000</v>
      </c>
      <c r="M27" s="8">
        <f>Table_1[[#This Row],[Cost Price]]*Table_1[[#This Row],[Quantity]]</f>
        <v>704000</v>
      </c>
      <c r="N27">
        <f>Table_1[[#This Row],[Revenue]]-Table_1[[#This Row],[COGS]]</f>
        <v>176000</v>
      </c>
      <c r="O27" s="11">
        <f t="shared" si="1"/>
        <v>4656740000</v>
      </c>
      <c r="P27">
        <f t="shared" si="2"/>
        <v>3725392000</v>
      </c>
      <c r="Q27">
        <f t="shared" si="3"/>
        <v>931348000</v>
      </c>
      <c r="R27" s="7">
        <f t="shared" si="4"/>
        <v>2098</v>
      </c>
      <c r="S27" s="7">
        <f t="shared" si="5"/>
        <v>2</v>
      </c>
      <c r="T27" s="7">
        <f t="shared" si="6"/>
        <v>2098</v>
      </c>
    </row>
    <row r="28" spans="1:20" ht="14.25" customHeight="1" x14ac:dyDescent="0.35">
      <c r="A28" s="2" t="s">
        <v>66</v>
      </c>
      <c r="B28" s="2" t="s">
        <v>12</v>
      </c>
      <c r="C28" s="2" t="s">
        <v>38</v>
      </c>
      <c r="D28" s="2" t="s">
        <v>26</v>
      </c>
      <c r="E28" s="2" t="s">
        <v>15</v>
      </c>
      <c r="F28" s="2" t="s">
        <v>47</v>
      </c>
      <c r="G28" s="2" t="s">
        <v>36</v>
      </c>
      <c r="H28" s="2">
        <v>150000</v>
      </c>
      <c r="I28" s="2">
        <v>7</v>
      </c>
      <c r="J28" s="2" t="s">
        <v>32</v>
      </c>
      <c r="K28" s="2">
        <f t="shared" si="0"/>
        <v>120000</v>
      </c>
      <c r="L28" s="9">
        <f>Table_1[[#This Row],[Unit Price]]*Table_1[[#This Row],[Quantity]]</f>
        <v>1050000</v>
      </c>
      <c r="M28" s="8">
        <f>Table_1[[#This Row],[Cost Price]]*Table_1[[#This Row],[Quantity]]</f>
        <v>840000</v>
      </c>
      <c r="N28">
        <f>Table_1[[#This Row],[Revenue]]-Table_1[[#This Row],[COGS]]</f>
        <v>210000</v>
      </c>
      <c r="O28" s="11">
        <f t="shared" si="1"/>
        <v>4656740000</v>
      </c>
      <c r="P28">
        <f t="shared" si="2"/>
        <v>3725392000</v>
      </c>
      <c r="Q28">
        <f t="shared" si="3"/>
        <v>931348000</v>
      </c>
      <c r="R28" s="7">
        <f t="shared" si="4"/>
        <v>2098</v>
      </c>
      <c r="S28" s="7">
        <f t="shared" si="5"/>
        <v>3</v>
      </c>
      <c r="T28" s="7">
        <f t="shared" si="6"/>
        <v>2098</v>
      </c>
    </row>
    <row r="29" spans="1:20" ht="14.25" customHeight="1" x14ac:dyDescent="0.35">
      <c r="A29" s="2" t="s">
        <v>67</v>
      </c>
      <c r="B29" s="2" t="s">
        <v>29</v>
      </c>
      <c r="C29" s="2" t="s">
        <v>30</v>
      </c>
      <c r="D29" s="2" t="s">
        <v>14</v>
      </c>
      <c r="E29" s="2" t="s">
        <v>15</v>
      </c>
      <c r="F29" s="2" t="s">
        <v>16</v>
      </c>
      <c r="G29" s="2" t="s">
        <v>17</v>
      </c>
      <c r="H29" s="2">
        <v>85000</v>
      </c>
      <c r="I29" s="2">
        <v>3</v>
      </c>
      <c r="J29" s="2" t="s">
        <v>43</v>
      </c>
      <c r="K29" s="2">
        <f t="shared" si="0"/>
        <v>68000</v>
      </c>
      <c r="L29" s="9">
        <f>Table_1[[#This Row],[Unit Price]]*Table_1[[#This Row],[Quantity]]</f>
        <v>255000</v>
      </c>
      <c r="M29" s="8">
        <f>Table_1[[#This Row],[Cost Price]]*Table_1[[#This Row],[Quantity]]</f>
        <v>204000</v>
      </c>
      <c r="N29">
        <f>Table_1[[#This Row],[Revenue]]-Table_1[[#This Row],[COGS]]</f>
        <v>51000</v>
      </c>
      <c r="O29" s="11">
        <f t="shared" si="1"/>
        <v>4656740000</v>
      </c>
      <c r="P29">
        <f t="shared" si="2"/>
        <v>3725392000</v>
      </c>
      <c r="Q29">
        <f t="shared" si="3"/>
        <v>931348000</v>
      </c>
      <c r="R29" s="7">
        <f t="shared" si="4"/>
        <v>2098</v>
      </c>
      <c r="S29" s="7">
        <f t="shared" si="5"/>
        <v>3</v>
      </c>
      <c r="T29" s="7">
        <f t="shared" si="6"/>
        <v>2098</v>
      </c>
    </row>
    <row r="30" spans="1:20" ht="14.25" customHeight="1" x14ac:dyDescent="0.35">
      <c r="A30" s="2" t="s">
        <v>59</v>
      </c>
      <c r="B30" s="2" t="s">
        <v>20</v>
      </c>
      <c r="C30" s="2" t="s">
        <v>13</v>
      </c>
      <c r="D30" s="2" t="s">
        <v>14</v>
      </c>
      <c r="E30" s="2" t="s">
        <v>22</v>
      </c>
      <c r="F30" s="2" t="s">
        <v>35</v>
      </c>
      <c r="G30" s="2" t="s">
        <v>36</v>
      </c>
      <c r="H30" s="2">
        <v>300000</v>
      </c>
      <c r="I30" s="2">
        <v>8</v>
      </c>
      <c r="J30" s="2" t="s">
        <v>54</v>
      </c>
      <c r="K30" s="2">
        <f t="shared" si="0"/>
        <v>240000</v>
      </c>
      <c r="L30" s="9">
        <f>Table_1[[#This Row],[Unit Price]]*Table_1[[#This Row],[Quantity]]</f>
        <v>2400000</v>
      </c>
      <c r="M30" s="8">
        <f>Table_1[[#This Row],[Cost Price]]*Table_1[[#This Row],[Quantity]]</f>
        <v>1920000</v>
      </c>
      <c r="N30">
        <f>Table_1[[#This Row],[Revenue]]-Table_1[[#This Row],[COGS]]</f>
        <v>480000</v>
      </c>
      <c r="O30" s="11">
        <f t="shared" si="1"/>
        <v>4656740000</v>
      </c>
      <c r="P30">
        <f t="shared" si="2"/>
        <v>3725392000</v>
      </c>
      <c r="Q30">
        <f t="shared" si="3"/>
        <v>931348000</v>
      </c>
      <c r="R30" s="7">
        <f t="shared" si="4"/>
        <v>2098</v>
      </c>
      <c r="S30" s="7">
        <f t="shared" si="5"/>
        <v>2</v>
      </c>
      <c r="T30" s="7">
        <f t="shared" si="6"/>
        <v>2098</v>
      </c>
    </row>
    <row r="31" spans="1:20" ht="14.25" customHeight="1" x14ac:dyDescent="0.35">
      <c r="A31" s="2" t="s">
        <v>65</v>
      </c>
      <c r="B31" s="2" t="s">
        <v>12</v>
      </c>
      <c r="C31" s="2" t="s">
        <v>21</v>
      </c>
      <c r="D31" s="2" t="s">
        <v>26</v>
      </c>
      <c r="E31" s="2" t="s">
        <v>15</v>
      </c>
      <c r="F31" s="2" t="s">
        <v>58</v>
      </c>
      <c r="G31" s="2" t="s">
        <v>24</v>
      </c>
      <c r="H31" s="2">
        <v>220000</v>
      </c>
      <c r="I31" s="2">
        <v>1</v>
      </c>
      <c r="J31" s="2" t="s">
        <v>27</v>
      </c>
      <c r="K31" s="2">
        <f t="shared" si="0"/>
        <v>176000</v>
      </c>
      <c r="L31" s="9">
        <f>Table_1[[#This Row],[Unit Price]]*Table_1[[#This Row],[Quantity]]</f>
        <v>220000</v>
      </c>
      <c r="M31" s="8">
        <f>Table_1[[#This Row],[Cost Price]]*Table_1[[#This Row],[Quantity]]</f>
        <v>176000</v>
      </c>
      <c r="N31">
        <f>Table_1[[#This Row],[Revenue]]-Table_1[[#This Row],[COGS]]</f>
        <v>44000</v>
      </c>
      <c r="O31" s="11">
        <f t="shared" si="1"/>
        <v>4656740000</v>
      </c>
      <c r="P31">
        <f t="shared" si="2"/>
        <v>3725392000</v>
      </c>
      <c r="Q31">
        <f t="shared" si="3"/>
        <v>931348000</v>
      </c>
      <c r="R31" s="7">
        <f t="shared" si="4"/>
        <v>2098</v>
      </c>
      <c r="S31" s="7">
        <f t="shared" si="5"/>
        <v>2</v>
      </c>
      <c r="T31" s="7">
        <f t="shared" si="6"/>
        <v>2098</v>
      </c>
    </row>
    <row r="32" spans="1:20" ht="14.25" customHeight="1" x14ac:dyDescent="0.35">
      <c r="A32" s="2" t="s">
        <v>68</v>
      </c>
      <c r="B32" s="2" t="s">
        <v>29</v>
      </c>
      <c r="C32" s="2" t="s">
        <v>38</v>
      </c>
      <c r="D32" s="2" t="s">
        <v>26</v>
      </c>
      <c r="E32" s="2" t="s">
        <v>15</v>
      </c>
      <c r="F32" s="2" t="s">
        <v>41</v>
      </c>
      <c r="G32" s="2" t="s">
        <v>17</v>
      </c>
      <c r="H32" s="2">
        <v>320000</v>
      </c>
      <c r="I32" s="2">
        <v>7</v>
      </c>
      <c r="J32" s="2" t="s">
        <v>54</v>
      </c>
      <c r="K32" s="2">
        <f t="shared" si="0"/>
        <v>256000</v>
      </c>
      <c r="L32" s="9">
        <f>Table_1[[#This Row],[Unit Price]]*Table_1[[#This Row],[Quantity]]</f>
        <v>2240000</v>
      </c>
      <c r="M32" s="8">
        <f>Table_1[[#This Row],[Cost Price]]*Table_1[[#This Row],[Quantity]]</f>
        <v>1792000</v>
      </c>
      <c r="N32">
        <f>Table_1[[#This Row],[Revenue]]-Table_1[[#This Row],[COGS]]</f>
        <v>448000</v>
      </c>
      <c r="O32" s="11">
        <f t="shared" si="1"/>
        <v>4656740000</v>
      </c>
      <c r="P32">
        <f t="shared" si="2"/>
        <v>3725392000</v>
      </c>
      <c r="Q32">
        <f t="shared" si="3"/>
        <v>931348000</v>
      </c>
      <c r="R32" s="7">
        <f t="shared" si="4"/>
        <v>2098</v>
      </c>
      <c r="S32" s="7">
        <f t="shared" si="5"/>
        <v>1</v>
      </c>
      <c r="T32" s="7">
        <f t="shared" si="6"/>
        <v>2098</v>
      </c>
    </row>
    <row r="33" spans="1:20" ht="14.25" customHeight="1" x14ac:dyDescent="0.35">
      <c r="A33" s="2" t="s">
        <v>69</v>
      </c>
      <c r="B33" s="2" t="s">
        <v>12</v>
      </c>
      <c r="C33" s="2" t="s">
        <v>38</v>
      </c>
      <c r="D33" s="2" t="s">
        <v>14</v>
      </c>
      <c r="E33" s="2" t="s">
        <v>22</v>
      </c>
      <c r="F33" s="2" t="s">
        <v>47</v>
      </c>
      <c r="G33" s="2" t="s">
        <v>36</v>
      </c>
      <c r="H33" s="2">
        <v>150000</v>
      </c>
      <c r="I33" s="2">
        <v>1</v>
      </c>
      <c r="J33" s="2" t="s">
        <v>18</v>
      </c>
      <c r="K33" s="2">
        <f t="shared" si="0"/>
        <v>120000</v>
      </c>
      <c r="L33" s="9">
        <f>Table_1[[#This Row],[Unit Price]]*Table_1[[#This Row],[Quantity]]</f>
        <v>150000</v>
      </c>
      <c r="M33" s="8">
        <f>Table_1[[#This Row],[Cost Price]]*Table_1[[#This Row],[Quantity]]</f>
        <v>120000</v>
      </c>
      <c r="N33">
        <f>Table_1[[#This Row],[Revenue]]-Table_1[[#This Row],[COGS]]</f>
        <v>30000</v>
      </c>
      <c r="O33" s="11">
        <f t="shared" si="1"/>
        <v>4656740000</v>
      </c>
      <c r="P33">
        <f t="shared" si="2"/>
        <v>3725392000</v>
      </c>
      <c r="Q33">
        <f t="shared" si="3"/>
        <v>931348000</v>
      </c>
      <c r="R33" s="7">
        <f t="shared" si="4"/>
        <v>2098</v>
      </c>
      <c r="S33" s="7">
        <f t="shared" si="5"/>
        <v>1</v>
      </c>
      <c r="T33" s="7">
        <f t="shared" si="6"/>
        <v>2098</v>
      </c>
    </row>
    <row r="34" spans="1:20" ht="14.25" customHeight="1" x14ac:dyDescent="0.35">
      <c r="A34" s="2" t="s">
        <v>70</v>
      </c>
      <c r="B34" s="2" t="s">
        <v>20</v>
      </c>
      <c r="C34" s="2" t="s">
        <v>30</v>
      </c>
      <c r="D34" s="2" t="s">
        <v>14</v>
      </c>
      <c r="E34" s="2" t="s">
        <v>15</v>
      </c>
      <c r="F34" s="2" t="s">
        <v>39</v>
      </c>
      <c r="G34" s="2" t="s">
        <v>24</v>
      </c>
      <c r="H34" s="2">
        <v>180000</v>
      </c>
      <c r="I34" s="2">
        <v>9</v>
      </c>
      <c r="J34" s="2" t="s">
        <v>54</v>
      </c>
      <c r="K34" s="2">
        <f t="shared" si="0"/>
        <v>144000</v>
      </c>
      <c r="L34" s="9">
        <f>Table_1[[#This Row],[Unit Price]]*Table_1[[#This Row],[Quantity]]</f>
        <v>1620000</v>
      </c>
      <c r="M34" s="8">
        <f>Table_1[[#This Row],[Cost Price]]*Table_1[[#This Row],[Quantity]]</f>
        <v>1296000</v>
      </c>
      <c r="N34">
        <f>Table_1[[#This Row],[Revenue]]-Table_1[[#This Row],[COGS]]</f>
        <v>324000</v>
      </c>
      <c r="O34" s="11">
        <f t="shared" si="1"/>
        <v>4656740000</v>
      </c>
      <c r="P34">
        <f t="shared" si="2"/>
        <v>3725392000</v>
      </c>
      <c r="Q34">
        <f t="shared" si="3"/>
        <v>931348000</v>
      </c>
      <c r="R34" s="7">
        <f t="shared" si="4"/>
        <v>2098</v>
      </c>
      <c r="S34" s="7">
        <f t="shared" si="5"/>
        <v>2</v>
      </c>
      <c r="T34" s="7">
        <f t="shared" si="6"/>
        <v>2098</v>
      </c>
    </row>
    <row r="35" spans="1:20" ht="14.25" customHeight="1" x14ac:dyDescent="0.35">
      <c r="A35" s="2" t="s">
        <v>40</v>
      </c>
      <c r="B35" s="2" t="s">
        <v>29</v>
      </c>
      <c r="C35" s="2" t="s">
        <v>30</v>
      </c>
      <c r="D35" s="2" t="s">
        <v>14</v>
      </c>
      <c r="E35" s="2" t="s">
        <v>15</v>
      </c>
      <c r="F35" s="2" t="s">
        <v>41</v>
      </c>
      <c r="G35" s="2" t="s">
        <v>17</v>
      </c>
      <c r="H35" s="2">
        <v>320000</v>
      </c>
      <c r="I35" s="2">
        <v>5</v>
      </c>
      <c r="J35" s="2" t="s">
        <v>54</v>
      </c>
      <c r="K35" s="2">
        <f t="shared" si="0"/>
        <v>256000</v>
      </c>
      <c r="L35" s="9">
        <f>Table_1[[#This Row],[Unit Price]]*Table_1[[#This Row],[Quantity]]</f>
        <v>1600000</v>
      </c>
      <c r="M35" s="8">
        <f>Table_1[[#This Row],[Cost Price]]*Table_1[[#This Row],[Quantity]]</f>
        <v>1280000</v>
      </c>
      <c r="N35">
        <f>Table_1[[#This Row],[Revenue]]-Table_1[[#This Row],[COGS]]</f>
        <v>320000</v>
      </c>
      <c r="O35" s="11">
        <f t="shared" si="1"/>
        <v>4656740000</v>
      </c>
      <c r="P35">
        <f t="shared" si="2"/>
        <v>3725392000</v>
      </c>
      <c r="Q35">
        <f t="shared" si="3"/>
        <v>931348000</v>
      </c>
      <c r="R35" s="7">
        <f t="shared" si="4"/>
        <v>2098</v>
      </c>
      <c r="S35" s="7">
        <f t="shared" si="5"/>
        <v>3</v>
      </c>
      <c r="T35" s="7">
        <f t="shared" si="6"/>
        <v>2098</v>
      </c>
    </row>
    <row r="36" spans="1:20" ht="14.25" customHeight="1" x14ac:dyDescent="0.35">
      <c r="A36" s="2" t="s">
        <v>65</v>
      </c>
      <c r="B36" s="2" t="s">
        <v>29</v>
      </c>
      <c r="C36" s="2" t="s">
        <v>30</v>
      </c>
      <c r="D36" s="2" t="s">
        <v>26</v>
      </c>
      <c r="E36" s="2" t="s">
        <v>22</v>
      </c>
      <c r="F36" s="2" t="s">
        <v>47</v>
      </c>
      <c r="G36" s="2" t="s">
        <v>36</v>
      </c>
      <c r="H36" s="2">
        <v>150000</v>
      </c>
      <c r="I36" s="2">
        <v>8</v>
      </c>
      <c r="J36" s="2" t="s">
        <v>50</v>
      </c>
      <c r="K36" s="2">
        <f t="shared" si="0"/>
        <v>120000</v>
      </c>
      <c r="L36" s="9">
        <f>Table_1[[#This Row],[Unit Price]]*Table_1[[#This Row],[Quantity]]</f>
        <v>1200000</v>
      </c>
      <c r="M36" s="8">
        <f>Table_1[[#This Row],[Cost Price]]*Table_1[[#This Row],[Quantity]]</f>
        <v>960000</v>
      </c>
      <c r="N36">
        <f>Table_1[[#This Row],[Revenue]]-Table_1[[#This Row],[COGS]]</f>
        <v>240000</v>
      </c>
      <c r="O36" s="11">
        <f t="shared" si="1"/>
        <v>4656740000</v>
      </c>
      <c r="P36">
        <f t="shared" si="2"/>
        <v>3725392000</v>
      </c>
      <c r="Q36">
        <f t="shared" si="3"/>
        <v>931348000</v>
      </c>
      <c r="R36" s="7">
        <f t="shared" si="4"/>
        <v>2098</v>
      </c>
      <c r="S36" s="7">
        <f t="shared" si="5"/>
        <v>2</v>
      </c>
      <c r="T36" s="7">
        <f t="shared" si="6"/>
        <v>2098</v>
      </c>
    </row>
    <row r="37" spans="1:20" ht="14.25" customHeight="1" x14ac:dyDescent="0.35">
      <c r="A37" s="2" t="s">
        <v>71</v>
      </c>
      <c r="B37" s="2" t="s">
        <v>12</v>
      </c>
      <c r="C37" s="2" t="s">
        <v>13</v>
      </c>
      <c r="D37" s="2" t="s">
        <v>26</v>
      </c>
      <c r="E37" s="2" t="s">
        <v>22</v>
      </c>
      <c r="F37" s="2" t="s">
        <v>16</v>
      </c>
      <c r="G37" s="2" t="s">
        <v>17</v>
      </c>
      <c r="H37" s="2">
        <v>85000</v>
      </c>
      <c r="I37" s="2">
        <v>7</v>
      </c>
      <c r="J37" s="2" t="s">
        <v>27</v>
      </c>
      <c r="K37" s="2">
        <f t="shared" si="0"/>
        <v>68000</v>
      </c>
      <c r="L37" s="9">
        <f>Table_1[[#This Row],[Unit Price]]*Table_1[[#This Row],[Quantity]]</f>
        <v>595000</v>
      </c>
      <c r="M37" s="8">
        <f>Table_1[[#This Row],[Cost Price]]*Table_1[[#This Row],[Quantity]]</f>
        <v>476000</v>
      </c>
      <c r="N37">
        <f>Table_1[[#This Row],[Revenue]]-Table_1[[#This Row],[COGS]]</f>
        <v>119000</v>
      </c>
      <c r="O37" s="11">
        <f t="shared" si="1"/>
        <v>4656740000</v>
      </c>
      <c r="P37">
        <f t="shared" si="2"/>
        <v>3725392000</v>
      </c>
      <c r="Q37">
        <f t="shared" si="3"/>
        <v>931348000</v>
      </c>
      <c r="R37" s="7">
        <f t="shared" si="4"/>
        <v>2098</v>
      </c>
      <c r="S37" s="7">
        <f t="shared" si="5"/>
        <v>2</v>
      </c>
      <c r="T37" s="7">
        <f t="shared" si="6"/>
        <v>2098</v>
      </c>
    </row>
    <row r="38" spans="1:20" ht="14.25" customHeight="1" x14ac:dyDescent="0.35">
      <c r="A38" s="2" t="s">
        <v>72</v>
      </c>
      <c r="B38" s="2" t="s">
        <v>29</v>
      </c>
      <c r="C38" s="2" t="s">
        <v>38</v>
      </c>
      <c r="D38" s="2" t="s">
        <v>26</v>
      </c>
      <c r="E38" s="2" t="s">
        <v>15</v>
      </c>
      <c r="F38" s="2" t="s">
        <v>41</v>
      </c>
      <c r="G38" s="2" t="s">
        <v>17</v>
      </c>
      <c r="H38" s="2">
        <v>320000</v>
      </c>
      <c r="I38" s="2">
        <v>6</v>
      </c>
      <c r="J38" s="2" t="s">
        <v>27</v>
      </c>
      <c r="K38" s="2">
        <f t="shared" si="0"/>
        <v>256000</v>
      </c>
      <c r="L38" s="9">
        <f>Table_1[[#This Row],[Unit Price]]*Table_1[[#This Row],[Quantity]]</f>
        <v>1920000</v>
      </c>
      <c r="M38" s="8">
        <f>Table_1[[#This Row],[Cost Price]]*Table_1[[#This Row],[Quantity]]</f>
        <v>1536000</v>
      </c>
      <c r="N38">
        <f>Table_1[[#This Row],[Revenue]]-Table_1[[#This Row],[COGS]]</f>
        <v>384000</v>
      </c>
      <c r="O38" s="11">
        <f t="shared" si="1"/>
        <v>4656740000</v>
      </c>
      <c r="P38">
        <f t="shared" si="2"/>
        <v>3725392000</v>
      </c>
      <c r="Q38">
        <f t="shared" si="3"/>
        <v>931348000</v>
      </c>
      <c r="R38" s="7">
        <f t="shared" si="4"/>
        <v>2098</v>
      </c>
      <c r="S38" s="7">
        <f t="shared" si="5"/>
        <v>3</v>
      </c>
      <c r="T38" s="7">
        <f t="shared" si="6"/>
        <v>2098</v>
      </c>
    </row>
    <row r="39" spans="1:20" ht="14.25" customHeight="1" x14ac:dyDescent="0.35">
      <c r="A39" s="2" t="s">
        <v>73</v>
      </c>
      <c r="B39" s="2" t="s">
        <v>12</v>
      </c>
      <c r="C39" s="2" t="s">
        <v>30</v>
      </c>
      <c r="D39" s="2" t="s">
        <v>14</v>
      </c>
      <c r="E39" s="2" t="s">
        <v>22</v>
      </c>
      <c r="F39" s="2" t="s">
        <v>52</v>
      </c>
      <c r="G39" s="2" t="s">
        <v>36</v>
      </c>
      <c r="H39" s="2">
        <v>420000</v>
      </c>
      <c r="I39" s="2">
        <v>8</v>
      </c>
      <c r="J39" s="2" t="s">
        <v>50</v>
      </c>
      <c r="K39" s="2">
        <f t="shared" si="0"/>
        <v>336000</v>
      </c>
      <c r="L39" s="9">
        <f>Table_1[[#This Row],[Unit Price]]*Table_1[[#This Row],[Quantity]]</f>
        <v>3360000</v>
      </c>
      <c r="M39" s="8">
        <f>Table_1[[#This Row],[Cost Price]]*Table_1[[#This Row],[Quantity]]</f>
        <v>2688000</v>
      </c>
      <c r="N39">
        <f>Table_1[[#This Row],[Revenue]]-Table_1[[#This Row],[COGS]]</f>
        <v>672000</v>
      </c>
      <c r="O39" s="11">
        <f t="shared" si="1"/>
        <v>4656740000</v>
      </c>
      <c r="P39">
        <f t="shared" si="2"/>
        <v>3725392000</v>
      </c>
      <c r="Q39">
        <f t="shared" si="3"/>
        <v>931348000</v>
      </c>
      <c r="R39" s="7">
        <f t="shared" si="4"/>
        <v>2098</v>
      </c>
      <c r="S39" s="7">
        <f t="shared" si="5"/>
        <v>2</v>
      </c>
      <c r="T39" s="7">
        <f t="shared" si="6"/>
        <v>2098</v>
      </c>
    </row>
    <row r="40" spans="1:20" ht="14.25" customHeight="1" x14ac:dyDescent="0.35">
      <c r="A40" s="2" t="s">
        <v>74</v>
      </c>
      <c r="B40" s="2" t="s">
        <v>29</v>
      </c>
      <c r="C40" s="2" t="s">
        <v>13</v>
      </c>
      <c r="D40" s="2" t="s">
        <v>26</v>
      </c>
      <c r="E40" s="2" t="s">
        <v>15</v>
      </c>
      <c r="F40" s="2" t="s">
        <v>35</v>
      </c>
      <c r="G40" s="2" t="s">
        <v>36</v>
      </c>
      <c r="H40" s="2">
        <v>300000</v>
      </c>
      <c r="I40" s="2">
        <v>7</v>
      </c>
      <c r="J40" s="2" t="s">
        <v>43</v>
      </c>
      <c r="K40" s="2">
        <f t="shared" si="0"/>
        <v>240000</v>
      </c>
      <c r="L40" s="9">
        <f>Table_1[[#This Row],[Unit Price]]*Table_1[[#This Row],[Quantity]]</f>
        <v>2100000</v>
      </c>
      <c r="M40" s="8">
        <f>Table_1[[#This Row],[Cost Price]]*Table_1[[#This Row],[Quantity]]</f>
        <v>1680000</v>
      </c>
      <c r="N40">
        <f>Table_1[[#This Row],[Revenue]]-Table_1[[#This Row],[COGS]]</f>
        <v>420000</v>
      </c>
      <c r="O40" s="11">
        <f t="shared" si="1"/>
        <v>4656740000</v>
      </c>
      <c r="P40">
        <f t="shared" si="2"/>
        <v>3725392000</v>
      </c>
      <c r="Q40">
        <f t="shared" si="3"/>
        <v>931348000</v>
      </c>
      <c r="R40" s="7">
        <f t="shared" si="4"/>
        <v>2098</v>
      </c>
      <c r="S40" s="7">
        <f t="shared" si="5"/>
        <v>2</v>
      </c>
      <c r="T40" s="7">
        <f t="shared" si="6"/>
        <v>2098</v>
      </c>
    </row>
    <row r="41" spans="1:20" ht="14.25" customHeight="1" x14ac:dyDescent="0.35">
      <c r="A41" s="2" t="s">
        <v>75</v>
      </c>
      <c r="B41" s="2" t="s">
        <v>12</v>
      </c>
      <c r="C41" s="2" t="s">
        <v>13</v>
      </c>
      <c r="D41" s="2" t="s">
        <v>14</v>
      </c>
      <c r="E41" s="2" t="s">
        <v>15</v>
      </c>
      <c r="F41" s="2" t="s">
        <v>23</v>
      </c>
      <c r="G41" s="2" t="s">
        <v>24</v>
      </c>
      <c r="H41" s="2">
        <v>30000</v>
      </c>
      <c r="I41" s="2">
        <v>6</v>
      </c>
      <c r="J41" s="2" t="s">
        <v>27</v>
      </c>
      <c r="K41" s="2">
        <f t="shared" si="0"/>
        <v>24000</v>
      </c>
      <c r="L41" s="9">
        <f>Table_1[[#This Row],[Unit Price]]*Table_1[[#This Row],[Quantity]]</f>
        <v>180000</v>
      </c>
      <c r="M41" s="8">
        <f>Table_1[[#This Row],[Cost Price]]*Table_1[[#This Row],[Quantity]]</f>
        <v>144000</v>
      </c>
      <c r="N41">
        <f>Table_1[[#This Row],[Revenue]]-Table_1[[#This Row],[COGS]]</f>
        <v>36000</v>
      </c>
      <c r="O41" s="11">
        <f t="shared" si="1"/>
        <v>4656740000</v>
      </c>
      <c r="P41">
        <f t="shared" si="2"/>
        <v>3725392000</v>
      </c>
      <c r="Q41">
        <f t="shared" si="3"/>
        <v>931348000</v>
      </c>
      <c r="R41" s="7">
        <f t="shared" si="4"/>
        <v>2098</v>
      </c>
      <c r="S41" s="7">
        <f t="shared" si="5"/>
        <v>2</v>
      </c>
      <c r="T41" s="7">
        <f t="shared" si="6"/>
        <v>2098</v>
      </c>
    </row>
    <row r="42" spans="1:20" ht="14.25" customHeight="1" x14ac:dyDescent="0.35">
      <c r="A42" s="2" t="s">
        <v>76</v>
      </c>
      <c r="B42" s="2" t="s">
        <v>12</v>
      </c>
      <c r="C42" s="2" t="s">
        <v>13</v>
      </c>
      <c r="D42" s="2" t="s">
        <v>26</v>
      </c>
      <c r="E42" s="2" t="s">
        <v>22</v>
      </c>
      <c r="F42" s="2" t="s">
        <v>58</v>
      </c>
      <c r="G42" s="2" t="s">
        <v>24</v>
      </c>
      <c r="H42" s="2">
        <v>220000</v>
      </c>
      <c r="I42" s="2">
        <v>2</v>
      </c>
      <c r="J42" s="2" t="s">
        <v>43</v>
      </c>
      <c r="K42" s="2">
        <f t="shared" si="0"/>
        <v>176000</v>
      </c>
      <c r="L42" s="9">
        <f>Table_1[[#This Row],[Unit Price]]*Table_1[[#This Row],[Quantity]]</f>
        <v>440000</v>
      </c>
      <c r="M42" s="8">
        <f>Table_1[[#This Row],[Cost Price]]*Table_1[[#This Row],[Quantity]]</f>
        <v>352000</v>
      </c>
      <c r="N42">
        <f>Table_1[[#This Row],[Revenue]]-Table_1[[#This Row],[COGS]]</f>
        <v>88000</v>
      </c>
      <c r="O42" s="11">
        <f t="shared" si="1"/>
        <v>4656740000</v>
      </c>
      <c r="P42">
        <f t="shared" si="2"/>
        <v>3725392000</v>
      </c>
      <c r="Q42">
        <f t="shared" si="3"/>
        <v>931348000</v>
      </c>
      <c r="R42" s="7">
        <f t="shared" si="4"/>
        <v>2098</v>
      </c>
      <c r="S42" s="7">
        <f t="shared" si="5"/>
        <v>2</v>
      </c>
      <c r="T42" s="7">
        <f t="shared" si="6"/>
        <v>2098</v>
      </c>
    </row>
    <row r="43" spans="1:20" ht="14.25" customHeight="1" x14ac:dyDescent="0.35">
      <c r="A43" s="2" t="s">
        <v>46</v>
      </c>
      <c r="B43" s="2" t="s">
        <v>12</v>
      </c>
      <c r="C43" s="2" t="s">
        <v>38</v>
      </c>
      <c r="D43" s="2" t="s">
        <v>14</v>
      </c>
      <c r="E43" s="2" t="s">
        <v>15</v>
      </c>
      <c r="F43" s="2" t="s">
        <v>47</v>
      </c>
      <c r="G43" s="2" t="s">
        <v>36</v>
      </c>
      <c r="H43" s="2">
        <v>150000</v>
      </c>
      <c r="I43" s="2">
        <v>1</v>
      </c>
      <c r="J43" s="2" t="s">
        <v>27</v>
      </c>
      <c r="K43" s="2">
        <f t="shared" si="0"/>
        <v>120000</v>
      </c>
      <c r="L43" s="9">
        <f>Table_1[[#This Row],[Unit Price]]*Table_1[[#This Row],[Quantity]]</f>
        <v>150000</v>
      </c>
      <c r="M43" s="8">
        <f>Table_1[[#This Row],[Cost Price]]*Table_1[[#This Row],[Quantity]]</f>
        <v>120000</v>
      </c>
      <c r="N43">
        <f>Table_1[[#This Row],[Revenue]]-Table_1[[#This Row],[COGS]]</f>
        <v>30000</v>
      </c>
      <c r="O43" s="11">
        <f t="shared" si="1"/>
        <v>4656740000</v>
      </c>
      <c r="P43">
        <f t="shared" si="2"/>
        <v>3725392000</v>
      </c>
      <c r="Q43">
        <f t="shared" si="3"/>
        <v>931348000</v>
      </c>
      <c r="R43" s="7">
        <f t="shared" si="4"/>
        <v>2098</v>
      </c>
      <c r="S43" s="7">
        <f t="shared" si="5"/>
        <v>1</v>
      </c>
      <c r="T43" s="7">
        <f t="shared" si="6"/>
        <v>2098</v>
      </c>
    </row>
    <row r="44" spans="1:20" ht="14.25" customHeight="1" x14ac:dyDescent="0.35">
      <c r="A44" s="2" t="s">
        <v>77</v>
      </c>
      <c r="B44" s="2" t="s">
        <v>34</v>
      </c>
      <c r="C44" s="2" t="s">
        <v>21</v>
      </c>
      <c r="D44" s="2" t="s">
        <v>14</v>
      </c>
      <c r="E44" s="2" t="s">
        <v>22</v>
      </c>
      <c r="F44" s="2" t="s">
        <v>41</v>
      </c>
      <c r="G44" s="2" t="s">
        <v>17</v>
      </c>
      <c r="H44" s="2">
        <v>320000</v>
      </c>
      <c r="I44" s="2">
        <v>1</v>
      </c>
      <c r="J44" s="2" t="s">
        <v>54</v>
      </c>
      <c r="K44" s="2">
        <f t="shared" si="0"/>
        <v>256000</v>
      </c>
      <c r="L44" s="9">
        <f>Table_1[[#This Row],[Unit Price]]*Table_1[[#This Row],[Quantity]]</f>
        <v>320000</v>
      </c>
      <c r="M44" s="8">
        <f>Table_1[[#This Row],[Cost Price]]*Table_1[[#This Row],[Quantity]]</f>
        <v>256000</v>
      </c>
      <c r="N44">
        <f>Table_1[[#This Row],[Revenue]]-Table_1[[#This Row],[COGS]]</f>
        <v>64000</v>
      </c>
      <c r="O44" s="11">
        <f t="shared" si="1"/>
        <v>4656740000</v>
      </c>
      <c r="P44">
        <f t="shared" si="2"/>
        <v>3725392000</v>
      </c>
      <c r="Q44">
        <f t="shared" si="3"/>
        <v>931348000</v>
      </c>
      <c r="R44" s="7">
        <f t="shared" si="4"/>
        <v>2098</v>
      </c>
      <c r="S44" s="7">
        <f t="shared" si="5"/>
        <v>1</v>
      </c>
      <c r="T44" s="7">
        <f t="shared" si="6"/>
        <v>2098</v>
      </c>
    </row>
    <row r="45" spans="1:20" ht="14.25" customHeight="1" x14ac:dyDescent="0.35">
      <c r="A45" s="2" t="s">
        <v>78</v>
      </c>
      <c r="B45" s="2" t="s">
        <v>34</v>
      </c>
      <c r="C45" s="2" t="s">
        <v>38</v>
      </c>
      <c r="D45" s="2" t="s">
        <v>26</v>
      </c>
      <c r="E45" s="2" t="s">
        <v>22</v>
      </c>
      <c r="F45" s="2" t="s">
        <v>23</v>
      </c>
      <c r="G45" s="2" t="s">
        <v>24</v>
      </c>
      <c r="H45" s="2">
        <v>30000</v>
      </c>
      <c r="I45" s="2">
        <v>3</v>
      </c>
      <c r="J45" s="2" t="s">
        <v>27</v>
      </c>
      <c r="K45" s="2">
        <f t="shared" si="0"/>
        <v>24000</v>
      </c>
      <c r="L45" s="9">
        <f>Table_1[[#This Row],[Unit Price]]*Table_1[[#This Row],[Quantity]]</f>
        <v>90000</v>
      </c>
      <c r="M45" s="8">
        <f>Table_1[[#This Row],[Cost Price]]*Table_1[[#This Row],[Quantity]]</f>
        <v>72000</v>
      </c>
      <c r="N45">
        <f>Table_1[[#This Row],[Revenue]]-Table_1[[#This Row],[COGS]]</f>
        <v>18000</v>
      </c>
      <c r="O45" s="11">
        <f t="shared" si="1"/>
        <v>4656740000</v>
      </c>
      <c r="P45">
        <f t="shared" si="2"/>
        <v>3725392000</v>
      </c>
      <c r="Q45">
        <f t="shared" si="3"/>
        <v>931348000</v>
      </c>
      <c r="R45" s="7">
        <f t="shared" si="4"/>
        <v>2098</v>
      </c>
      <c r="S45" s="7">
        <f t="shared" si="5"/>
        <v>4</v>
      </c>
      <c r="T45" s="7">
        <f t="shared" si="6"/>
        <v>2098</v>
      </c>
    </row>
    <row r="46" spans="1:20" ht="14.25" customHeight="1" x14ac:dyDescent="0.35">
      <c r="A46" s="2" t="s">
        <v>79</v>
      </c>
      <c r="B46" s="2" t="s">
        <v>12</v>
      </c>
      <c r="C46" s="2" t="s">
        <v>13</v>
      </c>
      <c r="D46" s="2" t="s">
        <v>26</v>
      </c>
      <c r="E46" s="2" t="s">
        <v>15</v>
      </c>
      <c r="F46" s="2" t="s">
        <v>31</v>
      </c>
      <c r="G46" s="2" t="s">
        <v>24</v>
      </c>
      <c r="H46" s="2">
        <v>60000</v>
      </c>
      <c r="I46" s="2">
        <v>5</v>
      </c>
      <c r="J46" s="2" t="s">
        <v>32</v>
      </c>
      <c r="K46" s="2">
        <f t="shared" si="0"/>
        <v>48000</v>
      </c>
      <c r="L46" s="9">
        <f>Table_1[[#This Row],[Unit Price]]*Table_1[[#This Row],[Quantity]]</f>
        <v>300000</v>
      </c>
      <c r="M46" s="8">
        <f>Table_1[[#This Row],[Cost Price]]*Table_1[[#This Row],[Quantity]]</f>
        <v>240000</v>
      </c>
      <c r="N46">
        <f>Table_1[[#This Row],[Revenue]]-Table_1[[#This Row],[COGS]]</f>
        <v>60000</v>
      </c>
      <c r="O46" s="11">
        <f t="shared" si="1"/>
        <v>4656740000</v>
      </c>
      <c r="P46">
        <f t="shared" si="2"/>
        <v>3725392000</v>
      </c>
      <c r="Q46">
        <f t="shared" si="3"/>
        <v>931348000</v>
      </c>
      <c r="R46" s="7">
        <f t="shared" si="4"/>
        <v>2098</v>
      </c>
      <c r="S46" s="7">
        <f t="shared" si="5"/>
        <v>1</v>
      </c>
      <c r="T46" s="7">
        <f t="shared" si="6"/>
        <v>2098</v>
      </c>
    </row>
    <row r="47" spans="1:20" ht="14.25" customHeight="1" x14ac:dyDescent="0.35">
      <c r="A47" s="2" t="s">
        <v>66</v>
      </c>
      <c r="B47" s="2" t="s">
        <v>20</v>
      </c>
      <c r="C47" s="2" t="s">
        <v>30</v>
      </c>
      <c r="D47" s="2" t="s">
        <v>26</v>
      </c>
      <c r="E47" s="2" t="s">
        <v>15</v>
      </c>
      <c r="F47" s="2" t="s">
        <v>47</v>
      </c>
      <c r="G47" s="2" t="s">
        <v>36</v>
      </c>
      <c r="H47" s="2">
        <v>150000</v>
      </c>
      <c r="I47" s="2">
        <v>3</v>
      </c>
      <c r="J47" s="2" t="s">
        <v>32</v>
      </c>
      <c r="K47" s="2">
        <f t="shared" si="0"/>
        <v>120000</v>
      </c>
      <c r="L47" s="9">
        <f>Table_1[[#This Row],[Unit Price]]*Table_1[[#This Row],[Quantity]]</f>
        <v>450000</v>
      </c>
      <c r="M47" s="8">
        <f>Table_1[[#This Row],[Cost Price]]*Table_1[[#This Row],[Quantity]]</f>
        <v>360000</v>
      </c>
      <c r="N47">
        <f>Table_1[[#This Row],[Revenue]]-Table_1[[#This Row],[COGS]]</f>
        <v>90000</v>
      </c>
      <c r="O47" s="11">
        <f t="shared" si="1"/>
        <v>4656740000</v>
      </c>
      <c r="P47">
        <f t="shared" si="2"/>
        <v>3725392000</v>
      </c>
      <c r="Q47">
        <f t="shared" si="3"/>
        <v>931348000</v>
      </c>
      <c r="R47" s="7">
        <f t="shared" si="4"/>
        <v>2098</v>
      </c>
      <c r="S47" s="7">
        <f t="shared" si="5"/>
        <v>3</v>
      </c>
      <c r="T47" s="7">
        <f t="shared" si="6"/>
        <v>2098</v>
      </c>
    </row>
    <row r="48" spans="1:20" ht="14.25" customHeight="1" x14ac:dyDescent="0.35">
      <c r="A48" s="2" t="s">
        <v>62</v>
      </c>
      <c r="B48" s="2" t="s">
        <v>20</v>
      </c>
      <c r="C48" s="2" t="s">
        <v>21</v>
      </c>
      <c r="D48" s="2" t="s">
        <v>14</v>
      </c>
      <c r="E48" s="2" t="s">
        <v>15</v>
      </c>
      <c r="F48" s="2" t="s">
        <v>41</v>
      </c>
      <c r="G48" s="2" t="s">
        <v>17</v>
      </c>
      <c r="H48" s="2">
        <v>320000</v>
      </c>
      <c r="I48" s="2">
        <v>10</v>
      </c>
      <c r="J48" s="2" t="s">
        <v>32</v>
      </c>
      <c r="K48" s="2">
        <f t="shared" si="0"/>
        <v>256000</v>
      </c>
      <c r="L48" s="9">
        <f>Table_1[[#This Row],[Unit Price]]*Table_1[[#This Row],[Quantity]]</f>
        <v>3200000</v>
      </c>
      <c r="M48" s="8">
        <f>Table_1[[#This Row],[Cost Price]]*Table_1[[#This Row],[Quantity]]</f>
        <v>2560000</v>
      </c>
      <c r="N48">
        <f>Table_1[[#This Row],[Revenue]]-Table_1[[#This Row],[COGS]]</f>
        <v>640000</v>
      </c>
      <c r="O48" s="11">
        <f t="shared" si="1"/>
        <v>4656740000</v>
      </c>
      <c r="P48">
        <f t="shared" si="2"/>
        <v>3725392000</v>
      </c>
      <c r="Q48">
        <f t="shared" si="3"/>
        <v>931348000</v>
      </c>
      <c r="R48" s="7">
        <f t="shared" si="4"/>
        <v>2098</v>
      </c>
      <c r="S48" s="7">
        <f t="shared" si="5"/>
        <v>4</v>
      </c>
      <c r="T48" s="7">
        <f t="shared" si="6"/>
        <v>2098</v>
      </c>
    </row>
    <row r="49" spans="1:20" ht="14.25" customHeight="1" x14ac:dyDescent="0.35">
      <c r="A49" s="2" t="s">
        <v>80</v>
      </c>
      <c r="B49" s="2" t="s">
        <v>20</v>
      </c>
      <c r="C49" s="2" t="s">
        <v>13</v>
      </c>
      <c r="D49" s="2" t="s">
        <v>26</v>
      </c>
      <c r="E49" s="2" t="s">
        <v>15</v>
      </c>
      <c r="F49" s="2" t="s">
        <v>58</v>
      </c>
      <c r="G49" s="2" t="s">
        <v>24</v>
      </c>
      <c r="H49" s="2">
        <v>220000</v>
      </c>
      <c r="I49" s="2">
        <v>6</v>
      </c>
      <c r="J49" s="2" t="s">
        <v>18</v>
      </c>
      <c r="K49" s="2">
        <f t="shared" si="0"/>
        <v>176000</v>
      </c>
      <c r="L49" s="9">
        <f>Table_1[[#This Row],[Unit Price]]*Table_1[[#This Row],[Quantity]]</f>
        <v>1320000</v>
      </c>
      <c r="M49" s="8">
        <f>Table_1[[#This Row],[Cost Price]]*Table_1[[#This Row],[Quantity]]</f>
        <v>1056000</v>
      </c>
      <c r="N49">
        <f>Table_1[[#This Row],[Revenue]]-Table_1[[#This Row],[COGS]]</f>
        <v>264000</v>
      </c>
      <c r="O49" s="11">
        <f t="shared" si="1"/>
        <v>4656740000</v>
      </c>
      <c r="P49">
        <f t="shared" si="2"/>
        <v>3725392000</v>
      </c>
      <c r="Q49">
        <f t="shared" si="3"/>
        <v>931348000</v>
      </c>
      <c r="R49" s="7">
        <f t="shared" si="4"/>
        <v>2098</v>
      </c>
      <c r="S49" s="7">
        <f t="shared" si="5"/>
        <v>2</v>
      </c>
      <c r="T49" s="7">
        <f t="shared" si="6"/>
        <v>2098</v>
      </c>
    </row>
    <row r="50" spans="1:20" ht="14.25" customHeight="1" x14ac:dyDescent="0.35">
      <c r="A50" s="2" t="s">
        <v>81</v>
      </c>
      <c r="B50" s="2" t="s">
        <v>12</v>
      </c>
      <c r="C50" s="2" t="s">
        <v>38</v>
      </c>
      <c r="D50" s="2" t="s">
        <v>26</v>
      </c>
      <c r="E50" s="2" t="s">
        <v>15</v>
      </c>
      <c r="F50" s="2" t="s">
        <v>39</v>
      </c>
      <c r="G50" s="2" t="s">
        <v>24</v>
      </c>
      <c r="H50" s="2">
        <v>180000</v>
      </c>
      <c r="I50" s="2">
        <v>8</v>
      </c>
      <c r="J50" s="2" t="s">
        <v>32</v>
      </c>
      <c r="K50" s="2">
        <f t="shared" si="0"/>
        <v>144000</v>
      </c>
      <c r="L50" s="9">
        <f>Table_1[[#This Row],[Unit Price]]*Table_1[[#This Row],[Quantity]]</f>
        <v>1440000</v>
      </c>
      <c r="M50" s="8">
        <f>Table_1[[#This Row],[Cost Price]]*Table_1[[#This Row],[Quantity]]</f>
        <v>1152000</v>
      </c>
      <c r="N50">
        <f>Table_1[[#This Row],[Revenue]]-Table_1[[#This Row],[COGS]]</f>
        <v>288000</v>
      </c>
      <c r="O50" s="11">
        <f t="shared" si="1"/>
        <v>4656740000</v>
      </c>
      <c r="P50">
        <f t="shared" si="2"/>
        <v>3725392000</v>
      </c>
      <c r="Q50">
        <f t="shared" si="3"/>
        <v>931348000</v>
      </c>
      <c r="R50" s="7">
        <f t="shared" si="4"/>
        <v>2098</v>
      </c>
      <c r="S50" s="7">
        <f t="shared" si="5"/>
        <v>3</v>
      </c>
      <c r="T50" s="7">
        <f t="shared" si="6"/>
        <v>2098</v>
      </c>
    </row>
    <row r="51" spans="1:20" ht="14.25" customHeight="1" x14ac:dyDescent="0.35">
      <c r="A51" s="2" t="s">
        <v>82</v>
      </c>
      <c r="B51" s="2" t="s">
        <v>12</v>
      </c>
      <c r="C51" s="2" t="s">
        <v>30</v>
      </c>
      <c r="D51" s="2" t="s">
        <v>14</v>
      </c>
      <c r="E51" s="2" t="s">
        <v>22</v>
      </c>
      <c r="F51" s="2" t="s">
        <v>41</v>
      </c>
      <c r="G51" s="2" t="s">
        <v>17</v>
      </c>
      <c r="H51" s="2">
        <v>320000</v>
      </c>
      <c r="I51" s="2">
        <v>2</v>
      </c>
      <c r="J51" s="2" t="s">
        <v>27</v>
      </c>
      <c r="K51" s="2">
        <f t="shared" si="0"/>
        <v>256000</v>
      </c>
      <c r="L51" s="9">
        <f>Table_1[[#This Row],[Unit Price]]*Table_1[[#This Row],[Quantity]]</f>
        <v>640000</v>
      </c>
      <c r="M51" s="8">
        <f>Table_1[[#This Row],[Cost Price]]*Table_1[[#This Row],[Quantity]]</f>
        <v>512000</v>
      </c>
      <c r="N51">
        <f>Table_1[[#This Row],[Revenue]]-Table_1[[#This Row],[COGS]]</f>
        <v>128000</v>
      </c>
      <c r="O51" s="11">
        <f t="shared" si="1"/>
        <v>4656740000</v>
      </c>
      <c r="P51">
        <f t="shared" si="2"/>
        <v>3725392000</v>
      </c>
      <c r="Q51">
        <f t="shared" si="3"/>
        <v>931348000</v>
      </c>
      <c r="R51" s="7">
        <f t="shared" si="4"/>
        <v>2098</v>
      </c>
      <c r="S51" s="7">
        <f t="shared" si="5"/>
        <v>1</v>
      </c>
      <c r="T51" s="7">
        <f t="shared" si="6"/>
        <v>2098</v>
      </c>
    </row>
    <row r="52" spans="1:20" ht="14.25" customHeight="1" x14ac:dyDescent="0.35">
      <c r="A52" s="2" t="s">
        <v>42</v>
      </c>
      <c r="B52" s="2" t="s">
        <v>12</v>
      </c>
      <c r="C52" s="2" t="s">
        <v>21</v>
      </c>
      <c r="D52" s="2" t="s">
        <v>14</v>
      </c>
      <c r="E52" s="2" t="s">
        <v>22</v>
      </c>
      <c r="F52" s="2" t="s">
        <v>35</v>
      </c>
      <c r="G52" s="2" t="s">
        <v>36</v>
      </c>
      <c r="H52" s="2">
        <v>300000</v>
      </c>
      <c r="I52" s="2">
        <v>9</v>
      </c>
      <c r="J52" s="2" t="s">
        <v>43</v>
      </c>
      <c r="K52" s="2">
        <f t="shared" si="0"/>
        <v>240000</v>
      </c>
      <c r="L52" s="9">
        <f>Table_1[[#This Row],[Unit Price]]*Table_1[[#This Row],[Quantity]]</f>
        <v>2700000</v>
      </c>
      <c r="M52" s="8">
        <f>Table_1[[#This Row],[Cost Price]]*Table_1[[#This Row],[Quantity]]</f>
        <v>2160000</v>
      </c>
      <c r="N52">
        <f>Table_1[[#This Row],[Revenue]]-Table_1[[#This Row],[COGS]]</f>
        <v>540000</v>
      </c>
      <c r="O52" s="11">
        <f t="shared" si="1"/>
        <v>4656740000</v>
      </c>
      <c r="P52">
        <f t="shared" si="2"/>
        <v>3725392000</v>
      </c>
      <c r="Q52">
        <f t="shared" si="3"/>
        <v>931348000</v>
      </c>
      <c r="R52" s="7">
        <f t="shared" si="4"/>
        <v>2098</v>
      </c>
      <c r="S52" s="7">
        <f t="shared" si="5"/>
        <v>2</v>
      </c>
      <c r="T52" s="7">
        <f t="shared" si="6"/>
        <v>2098</v>
      </c>
    </row>
    <row r="53" spans="1:20" ht="14.25" customHeight="1" x14ac:dyDescent="0.35">
      <c r="A53" s="2" t="s">
        <v>83</v>
      </c>
      <c r="B53" s="2" t="s">
        <v>34</v>
      </c>
      <c r="C53" s="2" t="s">
        <v>30</v>
      </c>
      <c r="D53" s="2" t="s">
        <v>14</v>
      </c>
      <c r="E53" s="2" t="s">
        <v>22</v>
      </c>
      <c r="F53" s="2" t="s">
        <v>52</v>
      </c>
      <c r="G53" s="2" t="s">
        <v>36</v>
      </c>
      <c r="H53" s="2">
        <v>420000</v>
      </c>
      <c r="I53" s="2">
        <v>1</v>
      </c>
      <c r="J53" s="2" t="s">
        <v>43</v>
      </c>
      <c r="K53" s="2">
        <f t="shared" si="0"/>
        <v>336000</v>
      </c>
      <c r="L53" s="9">
        <f>Table_1[[#This Row],[Unit Price]]*Table_1[[#This Row],[Quantity]]</f>
        <v>420000</v>
      </c>
      <c r="M53" s="8">
        <f>Table_1[[#This Row],[Cost Price]]*Table_1[[#This Row],[Quantity]]</f>
        <v>336000</v>
      </c>
      <c r="N53">
        <f>Table_1[[#This Row],[Revenue]]-Table_1[[#This Row],[COGS]]</f>
        <v>84000</v>
      </c>
      <c r="O53" s="11">
        <f t="shared" si="1"/>
        <v>4656740000</v>
      </c>
      <c r="P53">
        <f t="shared" si="2"/>
        <v>3725392000</v>
      </c>
      <c r="Q53">
        <f t="shared" si="3"/>
        <v>931348000</v>
      </c>
      <c r="R53" s="7">
        <f t="shared" si="4"/>
        <v>2098</v>
      </c>
      <c r="S53" s="7">
        <f t="shared" si="5"/>
        <v>1</v>
      </c>
      <c r="T53" s="7">
        <f t="shared" si="6"/>
        <v>2098</v>
      </c>
    </row>
    <row r="54" spans="1:20" ht="14.25" customHeight="1" x14ac:dyDescent="0.35">
      <c r="A54" s="2" t="s">
        <v>84</v>
      </c>
      <c r="B54" s="2" t="s">
        <v>20</v>
      </c>
      <c r="C54" s="2" t="s">
        <v>30</v>
      </c>
      <c r="D54" s="2" t="s">
        <v>14</v>
      </c>
      <c r="E54" s="2" t="s">
        <v>15</v>
      </c>
      <c r="F54" s="2" t="s">
        <v>31</v>
      </c>
      <c r="G54" s="2" t="s">
        <v>24</v>
      </c>
      <c r="H54" s="2">
        <v>60000</v>
      </c>
      <c r="I54" s="2">
        <v>1</v>
      </c>
      <c r="J54" s="2" t="s">
        <v>32</v>
      </c>
      <c r="K54" s="2">
        <f t="shared" si="0"/>
        <v>48000</v>
      </c>
      <c r="L54" s="9">
        <f>Table_1[[#This Row],[Unit Price]]*Table_1[[#This Row],[Quantity]]</f>
        <v>60000</v>
      </c>
      <c r="M54" s="8">
        <f>Table_1[[#This Row],[Cost Price]]*Table_1[[#This Row],[Quantity]]</f>
        <v>48000</v>
      </c>
      <c r="N54">
        <f>Table_1[[#This Row],[Revenue]]-Table_1[[#This Row],[COGS]]</f>
        <v>12000</v>
      </c>
      <c r="O54" s="11">
        <f t="shared" si="1"/>
        <v>4656740000</v>
      </c>
      <c r="P54">
        <f t="shared" si="2"/>
        <v>3725392000</v>
      </c>
      <c r="Q54">
        <f t="shared" si="3"/>
        <v>931348000</v>
      </c>
      <c r="R54" s="7">
        <f t="shared" si="4"/>
        <v>2098</v>
      </c>
      <c r="S54" s="7">
        <f t="shared" si="5"/>
        <v>4</v>
      </c>
      <c r="T54" s="7">
        <f t="shared" si="6"/>
        <v>2098</v>
      </c>
    </row>
    <row r="55" spans="1:20" ht="14.25" customHeight="1" x14ac:dyDescent="0.35">
      <c r="A55" s="2" t="s">
        <v>40</v>
      </c>
      <c r="B55" s="2" t="s">
        <v>20</v>
      </c>
      <c r="C55" s="2" t="s">
        <v>21</v>
      </c>
      <c r="D55" s="2" t="s">
        <v>26</v>
      </c>
      <c r="E55" s="2" t="s">
        <v>22</v>
      </c>
      <c r="F55" s="2" t="s">
        <v>35</v>
      </c>
      <c r="G55" s="2" t="s">
        <v>36</v>
      </c>
      <c r="H55" s="2">
        <v>300000</v>
      </c>
      <c r="I55" s="2">
        <v>9</v>
      </c>
      <c r="J55" s="2" t="s">
        <v>43</v>
      </c>
      <c r="K55" s="2">
        <f t="shared" si="0"/>
        <v>240000</v>
      </c>
      <c r="L55" s="9">
        <f>Table_1[[#This Row],[Unit Price]]*Table_1[[#This Row],[Quantity]]</f>
        <v>2700000</v>
      </c>
      <c r="M55" s="8">
        <f>Table_1[[#This Row],[Cost Price]]*Table_1[[#This Row],[Quantity]]</f>
        <v>2160000</v>
      </c>
      <c r="N55">
        <f>Table_1[[#This Row],[Revenue]]-Table_1[[#This Row],[COGS]]</f>
        <v>540000</v>
      </c>
      <c r="O55" s="11">
        <f t="shared" si="1"/>
        <v>4656740000</v>
      </c>
      <c r="P55">
        <f t="shared" si="2"/>
        <v>3725392000</v>
      </c>
      <c r="Q55">
        <f t="shared" si="3"/>
        <v>931348000</v>
      </c>
      <c r="R55" s="7">
        <f t="shared" si="4"/>
        <v>2098</v>
      </c>
      <c r="S55" s="7">
        <f t="shared" si="5"/>
        <v>3</v>
      </c>
      <c r="T55" s="7">
        <f t="shared" si="6"/>
        <v>2098</v>
      </c>
    </row>
    <row r="56" spans="1:20" ht="14.25" customHeight="1" x14ac:dyDescent="0.35">
      <c r="A56" s="2" t="s">
        <v>85</v>
      </c>
      <c r="B56" s="2" t="s">
        <v>12</v>
      </c>
      <c r="C56" s="2" t="s">
        <v>30</v>
      </c>
      <c r="D56" s="2" t="s">
        <v>26</v>
      </c>
      <c r="E56" s="2" t="s">
        <v>15</v>
      </c>
      <c r="F56" s="2" t="s">
        <v>52</v>
      </c>
      <c r="G56" s="2" t="s">
        <v>36</v>
      </c>
      <c r="H56" s="2">
        <v>420000</v>
      </c>
      <c r="I56" s="2">
        <v>9</v>
      </c>
      <c r="J56" s="2" t="s">
        <v>27</v>
      </c>
      <c r="K56" s="2">
        <f t="shared" si="0"/>
        <v>336000</v>
      </c>
      <c r="L56" s="9">
        <f>Table_1[[#This Row],[Unit Price]]*Table_1[[#This Row],[Quantity]]</f>
        <v>3780000</v>
      </c>
      <c r="M56" s="8">
        <f>Table_1[[#This Row],[Cost Price]]*Table_1[[#This Row],[Quantity]]</f>
        <v>3024000</v>
      </c>
      <c r="N56">
        <f>Table_1[[#This Row],[Revenue]]-Table_1[[#This Row],[COGS]]</f>
        <v>756000</v>
      </c>
      <c r="O56" s="11">
        <f t="shared" si="1"/>
        <v>4656740000</v>
      </c>
      <c r="P56">
        <f t="shared" si="2"/>
        <v>3725392000</v>
      </c>
      <c r="Q56">
        <f t="shared" si="3"/>
        <v>931348000</v>
      </c>
      <c r="R56" s="7">
        <f t="shared" si="4"/>
        <v>2098</v>
      </c>
      <c r="S56" s="7">
        <f t="shared" si="5"/>
        <v>1</v>
      </c>
      <c r="T56" s="7">
        <f t="shared" si="6"/>
        <v>2098</v>
      </c>
    </row>
    <row r="57" spans="1:20" ht="14.25" customHeight="1" x14ac:dyDescent="0.35">
      <c r="A57" s="2" t="s">
        <v>70</v>
      </c>
      <c r="B57" s="2" t="s">
        <v>20</v>
      </c>
      <c r="C57" s="2" t="s">
        <v>21</v>
      </c>
      <c r="D57" s="2" t="s">
        <v>14</v>
      </c>
      <c r="E57" s="2" t="s">
        <v>15</v>
      </c>
      <c r="F57" s="2" t="s">
        <v>58</v>
      </c>
      <c r="G57" s="2" t="s">
        <v>24</v>
      </c>
      <c r="H57" s="2">
        <v>220000</v>
      </c>
      <c r="I57" s="2">
        <v>8</v>
      </c>
      <c r="J57" s="2" t="s">
        <v>50</v>
      </c>
      <c r="K57" s="2">
        <f t="shared" si="0"/>
        <v>176000</v>
      </c>
      <c r="L57" s="9">
        <f>Table_1[[#This Row],[Unit Price]]*Table_1[[#This Row],[Quantity]]</f>
        <v>1760000</v>
      </c>
      <c r="M57" s="8">
        <f>Table_1[[#This Row],[Cost Price]]*Table_1[[#This Row],[Quantity]]</f>
        <v>1408000</v>
      </c>
      <c r="N57">
        <f>Table_1[[#This Row],[Revenue]]-Table_1[[#This Row],[COGS]]</f>
        <v>352000</v>
      </c>
      <c r="O57" s="11">
        <f t="shared" si="1"/>
        <v>4656740000</v>
      </c>
      <c r="P57">
        <f t="shared" si="2"/>
        <v>3725392000</v>
      </c>
      <c r="Q57">
        <f t="shared" si="3"/>
        <v>931348000</v>
      </c>
      <c r="R57" s="7">
        <f t="shared" si="4"/>
        <v>2098</v>
      </c>
      <c r="S57" s="7">
        <f t="shared" si="5"/>
        <v>2</v>
      </c>
      <c r="T57" s="7">
        <f t="shared" si="6"/>
        <v>2098</v>
      </c>
    </row>
    <row r="58" spans="1:20" ht="14.25" customHeight="1" x14ac:dyDescent="0.35">
      <c r="A58" s="2" t="s">
        <v>86</v>
      </c>
      <c r="B58" s="2" t="s">
        <v>29</v>
      </c>
      <c r="C58" s="2" t="s">
        <v>13</v>
      </c>
      <c r="D58" s="2" t="s">
        <v>14</v>
      </c>
      <c r="E58" s="2" t="s">
        <v>15</v>
      </c>
      <c r="F58" s="2" t="s">
        <v>16</v>
      </c>
      <c r="G58" s="2" t="s">
        <v>17</v>
      </c>
      <c r="H58" s="2">
        <v>85000</v>
      </c>
      <c r="I58" s="2">
        <v>10</v>
      </c>
      <c r="J58" s="2" t="s">
        <v>43</v>
      </c>
      <c r="K58" s="2">
        <f t="shared" si="0"/>
        <v>68000</v>
      </c>
      <c r="L58" s="9">
        <f>Table_1[[#This Row],[Unit Price]]*Table_1[[#This Row],[Quantity]]</f>
        <v>850000</v>
      </c>
      <c r="M58" s="8">
        <f>Table_1[[#This Row],[Cost Price]]*Table_1[[#This Row],[Quantity]]</f>
        <v>680000</v>
      </c>
      <c r="N58">
        <f>Table_1[[#This Row],[Revenue]]-Table_1[[#This Row],[COGS]]</f>
        <v>170000</v>
      </c>
      <c r="O58" s="11">
        <f t="shared" si="1"/>
        <v>4656740000</v>
      </c>
      <c r="P58">
        <f t="shared" si="2"/>
        <v>3725392000</v>
      </c>
      <c r="Q58">
        <f t="shared" si="3"/>
        <v>931348000</v>
      </c>
      <c r="R58" s="7">
        <f t="shared" si="4"/>
        <v>2098</v>
      </c>
      <c r="S58" s="7">
        <f t="shared" si="5"/>
        <v>1</v>
      </c>
      <c r="T58" s="7">
        <f t="shared" si="6"/>
        <v>2098</v>
      </c>
    </row>
    <row r="59" spans="1:20" ht="14.25" customHeight="1" x14ac:dyDescent="0.35">
      <c r="A59" s="2" t="s">
        <v>71</v>
      </c>
      <c r="B59" s="2" t="s">
        <v>12</v>
      </c>
      <c r="C59" s="2" t="s">
        <v>30</v>
      </c>
      <c r="D59" s="2" t="s">
        <v>26</v>
      </c>
      <c r="E59" s="2" t="s">
        <v>15</v>
      </c>
      <c r="F59" s="2" t="s">
        <v>47</v>
      </c>
      <c r="G59" s="2" t="s">
        <v>36</v>
      </c>
      <c r="H59" s="2">
        <v>150000</v>
      </c>
      <c r="I59" s="2">
        <v>4</v>
      </c>
      <c r="J59" s="2" t="s">
        <v>18</v>
      </c>
      <c r="K59" s="2">
        <f t="shared" si="0"/>
        <v>120000</v>
      </c>
      <c r="L59" s="9">
        <f>Table_1[[#This Row],[Unit Price]]*Table_1[[#This Row],[Quantity]]</f>
        <v>600000</v>
      </c>
      <c r="M59" s="8">
        <f>Table_1[[#This Row],[Cost Price]]*Table_1[[#This Row],[Quantity]]</f>
        <v>480000</v>
      </c>
      <c r="N59">
        <f>Table_1[[#This Row],[Revenue]]-Table_1[[#This Row],[COGS]]</f>
        <v>120000</v>
      </c>
      <c r="O59" s="11">
        <f t="shared" si="1"/>
        <v>4656740000</v>
      </c>
      <c r="P59">
        <f t="shared" si="2"/>
        <v>3725392000</v>
      </c>
      <c r="Q59">
        <f t="shared" si="3"/>
        <v>931348000</v>
      </c>
      <c r="R59" s="7">
        <f t="shared" si="4"/>
        <v>2098</v>
      </c>
      <c r="S59" s="7">
        <f t="shared" si="5"/>
        <v>2</v>
      </c>
      <c r="T59" s="7">
        <f t="shared" si="6"/>
        <v>2098</v>
      </c>
    </row>
    <row r="60" spans="1:20" ht="14.25" customHeight="1" x14ac:dyDescent="0.35">
      <c r="A60" s="2" t="s">
        <v>48</v>
      </c>
      <c r="B60" s="2" t="s">
        <v>20</v>
      </c>
      <c r="C60" s="2" t="s">
        <v>21</v>
      </c>
      <c r="D60" s="2" t="s">
        <v>26</v>
      </c>
      <c r="E60" s="2" t="s">
        <v>22</v>
      </c>
      <c r="F60" s="2" t="s">
        <v>56</v>
      </c>
      <c r="G60" s="2" t="s">
        <v>36</v>
      </c>
      <c r="H60" s="2">
        <v>250000</v>
      </c>
      <c r="I60" s="2">
        <v>1</v>
      </c>
      <c r="J60" s="2" t="s">
        <v>32</v>
      </c>
      <c r="K60" s="2">
        <f t="shared" si="0"/>
        <v>200000</v>
      </c>
      <c r="L60" s="9">
        <f>Table_1[[#This Row],[Unit Price]]*Table_1[[#This Row],[Quantity]]</f>
        <v>250000</v>
      </c>
      <c r="M60" s="8">
        <f>Table_1[[#This Row],[Cost Price]]*Table_1[[#This Row],[Quantity]]</f>
        <v>200000</v>
      </c>
      <c r="N60">
        <f>Table_1[[#This Row],[Revenue]]-Table_1[[#This Row],[COGS]]</f>
        <v>50000</v>
      </c>
      <c r="O60" s="11">
        <f t="shared" si="1"/>
        <v>4656740000</v>
      </c>
      <c r="P60">
        <f t="shared" si="2"/>
        <v>3725392000</v>
      </c>
      <c r="Q60">
        <f t="shared" si="3"/>
        <v>931348000</v>
      </c>
      <c r="R60" s="7">
        <f t="shared" si="4"/>
        <v>2098</v>
      </c>
      <c r="S60" s="7">
        <f t="shared" si="5"/>
        <v>1</v>
      </c>
      <c r="T60" s="7">
        <f t="shared" si="6"/>
        <v>2098</v>
      </c>
    </row>
    <row r="61" spans="1:20" ht="14.25" customHeight="1" x14ac:dyDescent="0.35">
      <c r="A61" s="2" t="s">
        <v>87</v>
      </c>
      <c r="B61" s="2" t="s">
        <v>29</v>
      </c>
      <c r="C61" s="2" t="s">
        <v>21</v>
      </c>
      <c r="D61" s="2" t="s">
        <v>14</v>
      </c>
      <c r="E61" s="2" t="s">
        <v>15</v>
      </c>
      <c r="F61" s="2" t="s">
        <v>23</v>
      </c>
      <c r="G61" s="2" t="s">
        <v>24</v>
      </c>
      <c r="H61" s="2">
        <v>30000</v>
      </c>
      <c r="I61" s="2">
        <v>10</v>
      </c>
      <c r="J61" s="2" t="s">
        <v>32</v>
      </c>
      <c r="K61" s="2">
        <f t="shared" si="0"/>
        <v>24000</v>
      </c>
      <c r="L61" s="9">
        <f>Table_1[[#This Row],[Unit Price]]*Table_1[[#This Row],[Quantity]]</f>
        <v>300000</v>
      </c>
      <c r="M61" s="8">
        <f>Table_1[[#This Row],[Cost Price]]*Table_1[[#This Row],[Quantity]]</f>
        <v>240000</v>
      </c>
      <c r="N61">
        <f>Table_1[[#This Row],[Revenue]]-Table_1[[#This Row],[COGS]]</f>
        <v>60000</v>
      </c>
      <c r="O61" s="11">
        <f t="shared" si="1"/>
        <v>4656740000</v>
      </c>
      <c r="P61">
        <f t="shared" si="2"/>
        <v>3725392000</v>
      </c>
      <c r="Q61">
        <f t="shared" si="3"/>
        <v>931348000</v>
      </c>
      <c r="R61" s="7">
        <f t="shared" si="4"/>
        <v>2098</v>
      </c>
      <c r="S61" s="7">
        <f t="shared" si="5"/>
        <v>3</v>
      </c>
      <c r="T61" s="7">
        <f t="shared" si="6"/>
        <v>2098</v>
      </c>
    </row>
    <row r="62" spans="1:20" ht="14.25" customHeight="1" x14ac:dyDescent="0.35">
      <c r="A62" s="2" t="s">
        <v>88</v>
      </c>
      <c r="B62" s="2" t="s">
        <v>29</v>
      </c>
      <c r="C62" s="2" t="s">
        <v>21</v>
      </c>
      <c r="D62" s="2" t="s">
        <v>26</v>
      </c>
      <c r="E62" s="2" t="s">
        <v>15</v>
      </c>
      <c r="F62" s="2" t="s">
        <v>52</v>
      </c>
      <c r="G62" s="2" t="s">
        <v>36</v>
      </c>
      <c r="H62" s="2">
        <v>420000</v>
      </c>
      <c r="I62" s="2">
        <v>4</v>
      </c>
      <c r="J62" s="2" t="s">
        <v>27</v>
      </c>
      <c r="K62" s="2">
        <f t="shared" si="0"/>
        <v>336000</v>
      </c>
      <c r="L62" s="9">
        <f>Table_1[[#This Row],[Unit Price]]*Table_1[[#This Row],[Quantity]]</f>
        <v>1680000</v>
      </c>
      <c r="M62" s="8">
        <f>Table_1[[#This Row],[Cost Price]]*Table_1[[#This Row],[Quantity]]</f>
        <v>1344000</v>
      </c>
      <c r="N62">
        <f>Table_1[[#This Row],[Revenue]]-Table_1[[#This Row],[COGS]]</f>
        <v>336000</v>
      </c>
      <c r="O62" s="11">
        <f t="shared" si="1"/>
        <v>4656740000</v>
      </c>
      <c r="P62">
        <f t="shared" si="2"/>
        <v>3725392000</v>
      </c>
      <c r="Q62">
        <f t="shared" si="3"/>
        <v>931348000</v>
      </c>
      <c r="R62" s="7">
        <f t="shared" si="4"/>
        <v>2098</v>
      </c>
      <c r="S62" s="7">
        <f t="shared" si="5"/>
        <v>3</v>
      </c>
      <c r="T62" s="7">
        <f t="shared" si="6"/>
        <v>2098</v>
      </c>
    </row>
    <row r="63" spans="1:20" ht="14.25" customHeight="1" x14ac:dyDescent="0.35">
      <c r="A63" s="2" t="s">
        <v>89</v>
      </c>
      <c r="B63" s="2" t="s">
        <v>20</v>
      </c>
      <c r="C63" s="2" t="s">
        <v>21</v>
      </c>
      <c r="D63" s="2" t="s">
        <v>14</v>
      </c>
      <c r="E63" s="2" t="s">
        <v>22</v>
      </c>
      <c r="F63" s="2" t="s">
        <v>16</v>
      </c>
      <c r="G63" s="2" t="s">
        <v>17</v>
      </c>
      <c r="H63" s="2">
        <v>85000</v>
      </c>
      <c r="I63" s="2">
        <v>2</v>
      </c>
      <c r="J63" s="2" t="s">
        <v>43</v>
      </c>
      <c r="K63" s="2">
        <f t="shared" si="0"/>
        <v>68000</v>
      </c>
      <c r="L63" s="9">
        <f>Table_1[[#This Row],[Unit Price]]*Table_1[[#This Row],[Quantity]]</f>
        <v>170000</v>
      </c>
      <c r="M63" s="8">
        <f>Table_1[[#This Row],[Cost Price]]*Table_1[[#This Row],[Quantity]]</f>
        <v>136000</v>
      </c>
      <c r="N63">
        <f>Table_1[[#This Row],[Revenue]]-Table_1[[#This Row],[COGS]]</f>
        <v>34000</v>
      </c>
      <c r="O63" s="11">
        <f t="shared" si="1"/>
        <v>4656740000</v>
      </c>
      <c r="P63">
        <f t="shared" si="2"/>
        <v>3725392000</v>
      </c>
      <c r="Q63">
        <f t="shared" si="3"/>
        <v>931348000</v>
      </c>
      <c r="R63" s="7">
        <f t="shared" si="4"/>
        <v>2098</v>
      </c>
      <c r="S63" s="7">
        <f t="shared" si="5"/>
        <v>3</v>
      </c>
      <c r="T63" s="7">
        <f t="shared" si="6"/>
        <v>2098</v>
      </c>
    </row>
    <row r="64" spans="1:20" ht="14.25" customHeight="1" x14ac:dyDescent="0.35">
      <c r="A64" s="2" t="s">
        <v>90</v>
      </c>
      <c r="B64" s="2" t="s">
        <v>20</v>
      </c>
      <c r="C64" s="2" t="s">
        <v>21</v>
      </c>
      <c r="D64" s="2" t="s">
        <v>14</v>
      </c>
      <c r="E64" s="2" t="s">
        <v>15</v>
      </c>
      <c r="F64" s="2" t="s">
        <v>58</v>
      </c>
      <c r="G64" s="2" t="s">
        <v>24</v>
      </c>
      <c r="H64" s="2">
        <v>220000</v>
      </c>
      <c r="I64" s="2">
        <v>1</v>
      </c>
      <c r="J64" s="2" t="s">
        <v>32</v>
      </c>
      <c r="K64" s="2">
        <f t="shared" si="0"/>
        <v>176000</v>
      </c>
      <c r="L64" s="9">
        <f>Table_1[[#This Row],[Unit Price]]*Table_1[[#This Row],[Quantity]]</f>
        <v>220000</v>
      </c>
      <c r="M64" s="8">
        <f>Table_1[[#This Row],[Cost Price]]*Table_1[[#This Row],[Quantity]]</f>
        <v>176000</v>
      </c>
      <c r="N64">
        <f>Table_1[[#This Row],[Revenue]]-Table_1[[#This Row],[COGS]]</f>
        <v>44000</v>
      </c>
      <c r="O64" s="11">
        <f t="shared" si="1"/>
        <v>4656740000</v>
      </c>
      <c r="P64">
        <f t="shared" si="2"/>
        <v>3725392000</v>
      </c>
      <c r="Q64">
        <f t="shared" si="3"/>
        <v>931348000</v>
      </c>
      <c r="R64" s="7">
        <f t="shared" si="4"/>
        <v>2098</v>
      </c>
      <c r="S64" s="7">
        <f t="shared" si="5"/>
        <v>3</v>
      </c>
      <c r="T64" s="7">
        <f t="shared" si="6"/>
        <v>2098</v>
      </c>
    </row>
    <row r="65" spans="1:20" ht="14.25" customHeight="1" x14ac:dyDescent="0.35">
      <c r="A65" s="2" t="s">
        <v>68</v>
      </c>
      <c r="B65" s="2" t="s">
        <v>12</v>
      </c>
      <c r="C65" s="2" t="s">
        <v>13</v>
      </c>
      <c r="D65" s="2" t="s">
        <v>14</v>
      </c>
      <c r="E65" s="2" t="s">
        <v>22</v>
      </c>
      <c r="F65" s="2" t="s">
        <v>39</v>
      </c>
      <c r="G65" s="2" t="s">
        <v>24</v>
      </c>
      <c r="H65" s="2">
        <v>180000</v>
      </c>
      <c r="I65" s="2">
        <v>9</v>
      </c>
      <c r="J65" s="2" t="s">
        <v>54</v>
      </c>
      <c r="K65" s="2">
        <f t="shared" si="0"/>
        <v>144000</v>
      </c>
      <c r="L65" s="9">
        <f>Table_1[[#This Row],[Unit Price]]*Table_1[[#This Row],[Quantity]]</f>
        <v>1620000</v>
      </c>
      <c r="M65" s="8">
        <f>Table_1[[#This Row],[Cost Price]]*Table_1[[#This Row],[Quantity]]</f>
        <v>1296000</v>
      </c>
      <c r="N65">
        <f>Table_1[[#This Row],[Revenue]]-Table_1[[#This Row],[COGS]]</f>
        <v>324000</v>
      </c>
      <c r="O65" s="11">
        <f t="shared" si="1"/>
        <v>4656740000</v>
      </c>
      <c r="P65">
        <f t="shared" si="2"/>
        <v>3725392000</v>
      </c>
      <c r="Q65">
        <f t="shared" si="3"/>
        <v>931348000</v>
      </c>
      <c r="R65" s="7">
        <f t="shared" si="4"/>
        <v>2098</v>
      </c>
      <c r="S65" s="7">
        <f t="shared" si="5"/>
        <v>1</v>
      </c>
      <c r="T65" s="7">
        <f t="shared" si="6"/>
        <v>2098</v>
      </c>
    </row>
    <row r="66" spans="1:20" ht="14.25" customHeight="1" x14ac:dyDescent="0.35">
      <c r="A66" s="2" t="s">
        <v>63</v>
      </c>
      <c r="B66" s="2" t="s">
        <v>12</v>
      </c>
      <c r="C66" s="2" t="s">
        <v>30</v>
      </c>
      <c r="D66" s="2" t="s">
        <v>14</v>
      </c>
      <c r="E66" s="2" t="s">
        <v>22</v>
      </c>
      <c r="F66" s="2" t="s">
        <v>56</v>
      </c>
      <c r="G66" s="2" t="s">
        <v>36</v>
      </c>
      <c r="H66" s="2">
        <v>250000</v>
      </c>
      <c r="I66" s="2">
        <v>6</v>
      </c>
      <c r="J66" s="2" t="s">
        <v>18</v>
      </c>
      <c r="K66" s="2">
        <f t="shared" ref="K66:K129" si="7">H66-H66*0.2</f>
        <v>200000</v>
      </c>
      <c r="L66" s="9">
        <f>Table_1[[#This Row],[Unit Price]]*Table_1[[#This Row],[Quantity]]</f>
        <v>1500000</v>
      </c>
      <c r="M66" s="8">
        <f>Table_1[[#This Row],[Cost Price]]*Table_1[[#This Row],[Quantity]]</f>
        <v>1200000</v>
      </c>
      <c r="N66">
        <f>Table_1[[#This Row],[Revenue]]-Table_1[[#This Row],[COGS]]</f>
        <v>300000</v>
      </c>
      <c r="O66" s="11">
        <f t="shared" ref="O66:O129" si="8">SUM(L$2:L$1048576)</f>
        <v>4656740000</v>
      </c>
      <c r="P66">
        <f t="shared" ref="P66:P129" si="9">SUM(M:M)</f>
        <v>3725392000</v>
      </c>
      <c r="Q66">
        <f t="shared" ref="Q66:Q129" si="10">SUM(N:N)</f>
        <v>931348000</v>
      </c>
      <c r="R66" s="7">
        <f t="shared" ref="R66:R129" si="11">COUNTA(A$2:A$1048576)</f>
        <v>2098</v>
      </c>
      <c r="S66" s="7">
        <f t="shared" ref="S66:S129" si="12">MONTH(A66:A1554)</f>
        <v>4</v>
      </c>
      <c r="T66" s="7">
        <f t="shared" ref="T66:T129" si="13">COUNTA(A:A)-1</f>
        <v>2098</v>
      </c>
    </row>
    <row r="67" spans="1:20" ht="14.25" customHeight="1" x14ac:dyDescent="0.35">
      <c r="A67" s="2" t="s">
        <v>91</v>
      </c>
      <c r="B67" s="2" t="s">
        <v>12</v>
      </c>
      <c r="C67" s="2" t="s">
        <v>13</v>
      </c>
      <c r="D67" s="2" t="s">
        <v>14</v>
      </c>
      <c r="E67" s="2" t="s">
        <v>22</v>
      </c>
      <c r="F67" s="2" t="s">
        <v>39</v>
      </c>
      <c r="G67" s="2" t="s">
        <v>24</v>
      </c>
      <c r="H67" s="2">
        <v>180000</v>
      </c>
      <c r="I67" s="2">
        <v>3</v>
      </c>
      <c r="J67" s="2" t="s">
        <v>54</v>
      </c>
      <c r="K67" s="2">
        <f t="shared" si="7"/>
        <v>144000</v>
      </c>
      <c r="L67" s="9">
        <f>Table_1[[#This Row],[Unit Price]]*Table_1[[#This Row],[Quantity]]</f>
        <v>540000</v>
      </c>
      <c r="M67" s="8">
        <f>Table_1[[#This Row],[Cost Price]]*Table_1[[#This Row],[Quantity]]</f>
        <v>432000</v>
      </c>
      <c r="N67">
        <f>Table_1[[#This Row],[Revenue]]-Table_1[[#This Row],[COGS]]</f>
        <v>108000</v>
      </c>
      <c r="O67" s="11">
        <f t="shared" si="8"/>
        <v>4656740000</v>
      </c>
      <c r="P67">
        <f t="shared" si="9"/>
        <v>3725392000</v>
      </c>
      <c r="Q67">
        <f t="shared" si="10"/>
        <v>931348000</v>
      </c>
      <c r="R67" s="7">
        <f t="shared" si="11"/>
        <v>2098</v>
      </c>
      <c r="S67" s="7">
        <f t="shared" si="12"/>
        <v>4</v>
      </c>
      <c r="T67" s="7">
        <f t="shared" si="13"/>
        <v>2098</v>
      </c>
    </row>
    <row r="68" spans="1:20" ht="14.25" customHeight="1" x14ac:dyDescent="0.35">
      <c r="A68" s="2" t="s">
        <v>92</v>
      </c>
      <c r="B68" s="2" t="s">
        <v>29</v>
      </c>
      <c r="C68" s="2" t="s">
        <v>13</v>
      </c>
      <c r="D68" s="2" t="s">
        <v>26</v>
      </c>
      <c r="E68" s="2" t="s">
        <v>15</v>
      </c>
      <c r="F68" s="2" t="s">
        <v>31</v>
      </c>
      <c r="G68" s="2" t="s">
        <v>24</v>
      </c>
      <c r="H68" s="2">
        <v>60000</v>
      </c>
      <c r="I68" s="2">
        <v>8</v>
      </c>
      <c r="J68" s="2" t="s">
        <v>43</v>
      </c>
      <c r="K68" s="2">
        <f t="shared" si="7"/>
        <v>48000</v>
      </c>
      <c r="L68" s="9">
        <f>Table_1[[#This Row],[Unit Price]]*Table_1[[#This Row],[Quantity]]</f>
        <v>480000</v>
      </c>
      <c r="M68" s="8">
        <f>Table_1[[#This Row],[Cost Price]]*Table_1[[#This Row],[Quantity]]</f>
        <v>384000</v>
      </c>
      <c r="N68">
        <f>Table_1[[#This Row],[Revenue]]-Table_1[[#This Row],[COGS]]</f>
        <v>96000</v>
      </c>
      <c r="O68" s="11">
        <f t="shared" si="8"/>
        <v>4656740000</v>
      </c>
      <c r="P68">
        <f t="shared" si="9"/>
        <v>3725392000</v>
      </c>
      <c r="Q68">
        <f t="shared" si="10"/>
        <v>931348000</v>
      </c>
      <c r="R68" s="7">
        <f t="shared" si="11"/>
        <v>2098</v>
      </c>
      <c r="S68" s="7">
        <f t="shared" si="12"/>
        <v>2</v>
      </c>
      <c r="T68" s="7">
        <f t="shared" si="13"/>
        <v>2098</v>
      </c>
    </row>
    <row r="69" spans="1:20" ht="14.25" customHeight="1" x14ac:dyDescent="0.35">
      <c r="A69" s="2" t="s">
        <v>93</v>
      </c>
      <c r="B69" s="2" t="s">
        <v>34</v>
      </c>
      <c r="C69" s="2" t="s">
        <v>13</v>
      </c>
      <c r="D69" s="2" t="s">
        <v>14</v>
      </c>
      <c r="E69" s="2" t="s">
        <v>15</v>
      </c>
      <c r="F69" s="2" t="s">
        <v>31</v>
      </c>
      <c r="G69" s="2" t="s">
        <v>24</v>
      </c>
      <c r="H69" s="2">
        <v>60000</v>
      </c>
      <c r="I69" s="2">
        <v>3</v>
      </c>
      <c r="J69" s="2" t="s">
        <v>18</v>
      </c>
      <c r="K69" s="2">
        <f t="shared" si="7"/>
        <v>48000</v>
      </c>
      <c r="L69" s="9">
        <f>Table_1[[#This Row],[Unit Price]]*Table_1[[#This Row],[Quantity]]</f>
        <v>180000</v>
      </c>
      <c r="M69" s="8">
        <f>Table_1[[#This Row],[Cost Price]]*Table_1[[#This Row],[Quantity]]</f>
        <v>144000</v>
      </c>
      <c r="N69">
        <f>Table_1[[#This Row],[Revenue]]-Table_1[[#This Row],[COGS]]</f>
        <v>36000</v>
      </c>
      <c r="O69" s="11">
        <f t="shared" si="8"/>
        <v>4656740000</v>
      </c>
      <c r="P69">
        <f t="shared" si="9"/>
        <v>3725392000</v>
      </c>
      <c r="Q69">
        <f t="shared" si="10"/>
        <v>931348000</v>
      </c>
      <c r="R69" s="7">
        <f t="shared" si="11"/>
        <v>2098</v>
      </c>
      <c r="S69" s="7">
        <f t="shared" si="12"/>
        <v>4</v>
      </c>
      <c r="T69" s="7">
        <f t="shared" si="13"/>
        <v>2098</v>
      </c>
    </row>
    <row r="70" spans="1:20" ht="14.25" customHeight="1" x14ac:dyDescent="0.35">
      <c r="A70" s="2" t="s">
        <v>94</v>
      </c>
      <c r="B70" s="2" t="s">
        <v>12</v>
      </c>
      <c r="C70" s="2" t="s">
        <v>30</v>
      </c>
      <c r="D70" s="2" t="s">
        <v>26</v>
      </c>
      <c r="E70" s="2" t="s">
        <v>15</v>
      </c>
      <c r="F70" s="2" t="s">
        <v>23</v>
      </c>
      <c r="G70" s="2" t="s">
        <v>24</v>
      </c>
      <c r="H70" s="2">
        <v>30000</v>
      </c>
      <c r="I70" s="2">
        <v>8</v>
      </c>
      <c r="J70" s="2" t="s">
        <v>32</v>
      </c>
      <c r="K70" s="2">
        <f t="shared" si="7"/>
        <v>24000</v>
      </c>
      <c r="L70" s="9">
        <f>Table_1[[#This Row],[Unit Price]]*Table_1[[#This Row],[Quantity]]</f>
        <v>240000</v>
      </c>
      <c r="M70" s="8">
        <f>Table_1[[#This Row],[Cost Price]]*Table_1[[#This Row],[Quantity]]</f>
        <v>192000</v>
      </c>
      <c r="N70">
        <f>Table_1[[#This Row],[Revenue]]-Table_1[[#This Row],[COGS]]</f>
        <v>48000</v>
      </c>
      <c r="O70" s="11">
        <f t="shared" si="8"/>
        <v>4656740000</v>
      </c>
      <c r="P70">
        <f t="shared" si="9"/>
        <v>3725392000</v>
      </c>
      <c r="Q70">
        <f t="shared" si="10"/>
        <v>931348000</v>
      </c>
      <c r="R70" s="7">
        <f t="shared" si="11"/>
        <v>2098</v>
      </c>
      <c r="S70" s="7">
        <f t="shared" si="12"/>
        <v>3</v>
      </c>
      <c r="T70" s="7">
        <f t="shared" si="13"/>
        <v>2098</v>
      </c>
    </row>
    <row r="71" spans="1:20" ht="14.25" customHeight="1" x14ac:dyDescent="0.35">
      <c r="A71" s="2" t="s">
        <v>95</v>
      </c>
      <c r="B71" s="2" t="s">
        <v>29</v>
      </c>
      <c r="C71" s="2" t="s">
        <v>21</v>
      </c>
      <c r="D71" s="2" t="s">
        <v>14</v>
      </c>
      <c r="E71" s="2" t="s">
        <v>22</v>
      </c>
      <c r="F71" s="2" t="s">
        <v>31</v>
      </c>
      <c r="G71" s="2" t="s">
        <v>24</v>
      </c>
      <c r="H71" s="2">
        <v>60000</v>
      </c>
      <c r="I71" s="2">
        <v>4</v>
      </c>
      <c r="J71" s="2" t="s">
        <v>54</v>
      </c>
      <c r="K71" s="2">
        <f t="shared" si="7"/>
        <v>48000</v>
      </c>
      <c r="L71" s="9">
        <f>Table_1[[#This Row],[Unit Price]]*Table_1[[#This Row],[Quantity]]</f>
        <v>240000</v>
      </c>
      <c r="M71" s="8">
        <f>Table_1[[#This Row],[Cost Price]]*Table_1[[#This Row],[Quantity]]</f>
        <v>192000</v>
      </c>
      <c r="N71">
        <f>Table_1[[#This Row],[Revenue]]-Table_1[[#This Row],[COGS]]</f>
        <v>48000</v>
      </c>
      <c r="O71" s="11">
        <f t="shared" si="8"/>
        <v>4656740000</v>
      </c>
      <c r="P71">
        <f t="shared" si="9"/>
        <v>3725392000</v>
      </c>
      <c r="Q71">
        <f t="shared" si="10"/>
        <v>931348000</v>
      </c>
      <c r="R71" s="7">
        <f t="shared" si="11"/>
        <v>2098</v>
      </c>
      <c r="S71" s="7">
        <f t="shared" si="12"/>
        <v>1</v>
      </c>
      <c r="T71" s="7">
        <f t="shared" si="13"/>
        <v>2098</v>
      </c>
    </row>
    <row r="72" spans="1:20" ht="14.25" customHeight="1" x14ac:dyDescent="0.35">
      <c r="A72" s="2" t="s">
        <v>96</v>
      </c>
      <c r="B72" s="2" t="s">
        <v>29</v>
      </c>
      <c r="C72" s="2" t="s">
        <v>13</v>
      </c>
      <c r="D72" s="2" t="s">
        <v>26</v>
      </c>
      <c r="E72" s="2" t="s">
        <v>22</v>
      </c>
      <c r="F72" s="2" t="s">
        <v>23</v>
      </c>
      <c r="G72" s="2" t="s">
        <v>24</v>
      </c>
      <c r="H72" s="2">
        <v>30000</v>
      </c>
      <c r="I72" s="2">
        <v>3</v>
      </c>
      <c r="J72" s="2" t="s">
        <v>27</v>
      </c>
      <c r="K72" s="2">
        <f t="shared" si="7"/>
        <v>24000</v>
      </c>
      <c r="L72" s="9">
        <f>Table_1[[#This Row],[Unit Price]]*Table_1[[#This Row],[Quantity]]</f>
        <v>90000</v>
      </c>
      <c r="M72" s="8">
        <f>Table_1[[#This Row],[Cost Price]]*Table_1[[#This Row],[Quantity]]</f>
        <v>72000</v>
      </c>
      <c r="N72">
        <f>Table_1[[#This Row],[Revenue]]-Table_1[[#This Row],[COGS]]</f>
        <v>18000</v>
      </c>
      <c r="O72" s="11">
        <f t="shared" si="8"/>
        <v>4656740000</v>
      </c>
      <c r="P72">
        <f t="shared" si="9"/>
        <v>3725392000</v>
      </c>
      <c r="Q72">
        <f t="shared" si="10"/>
        <v>931348000</v>
      </c>
      <c r="R72" s="7">
        <f t="shared" si="11"/>
        <v>2098</v>
      </c>
      <c r="S72" s="7">
        <f t="shared" si="12"/>
        <v>2</v>
      </c>
      <c r="T72" s="7">
        <f t="shared" si="13"/>
        <v>2098</v>
      </c>
    </row>
    <row r="73" spans="1:20" ht="14.25" customHeight="1" x14ac:dyDescent="0.35">
      <c r="A73" s="2" t="s">
        <v>97</v>
      </c>
      <c r="B73" s="2" t="s">
        <v>20</v>
      </c>
      <c r="C73" s="2" t="s">
        <v>30</v>
      </c>
      <c r="D73" s="2" t="s">
        <v>14</v>
      </c>
      <c r="E73" s="2" t="s">
        <v>15</v>
      </c>
      <c r="F73" s="2" t="s">
        <v>39</v>
      </c>
      <c r="G73" s="2" t="s">
        <v>24</v>
      </c>
      <c r="H73" s="2">
        <v>180000</v>
      </c>
      <c r="I73" s="2">
        <v>5</v>
      </c>
      <c r="J73" s="2" t="s">
        <v>32</v>
      </c>
      <c r="K73" s="2">
        <f t="shared" si="7"/>
        <v>144000</v>
      </c>
      <c r="L73" s="9">
        <f>Table_1[[#This Row],[Unit Price]]*Table_1[[#This Row],[Quantity]]</f>
        <v>900000</v>
      </c>
      <c r="M73" s="8">
        <f>Table_1[[#This Row],[Cost Price]]*Table_1[[#This Row],[Quantity]]</f>
        <v>720000</v>
      </c>
      <c r="N73">
        <f>Table_1[[#This Row],[Revenue]]-Table_1[[#This Row],[COGS]]</f>
        <v>180000</v>
      </c>
      <c r="O73" s="11">
        <f t="shared" si="8"/>
        <v>4656740000</v>
      </c>
      <c r="P73">
        <f t="shared" si="9"/>
        <v>3725392000</v>
      </c>
      <c r="Q73">
        <f t="shared" si="10"/>
        <v>931348000</v>
      </c>
      <c r="R73" s="7">
        <f t="shared" si="11"/>
        <v>2098</v>
      </c>
      <c r="S73" s="7">
        <f t="shared" si="12"/>
        <v>2</v>
      </c>
      <c r="T73" s="7">
        <f t="shared" si="13"/>
        <v>2098</v>
      </c>
    </row>
    <row r="74" spans="1:20" ht="14.25" customHeight="1" x14ac:dyDescent="0.35">
      <c r="A74" s="2" t="s">
        <v>98</v>
      </c>
      <c r="B74" s="2" t="s">
        <v>34</v>
      </c>
      <c r="C74" s="2" t="s">
        <v>13</v>
      </c>
      <c r="D74" s="2" t="s">
        <v>14</v>
      </c>
      <c r="E74" s="2" t="s">
        <v>22</v>
      </c>
      <c r="F74" s="2" t="s">
        <v>58</v>
      </c>
      <c r="G74" s="2" t="s">
        <v>24</v>
      </c>
      <c r="H74" s="2">
        <v>220000</v>
      </c>
      <c r="I74" s="2">
        <v>3</v>
      </c>
      <c r="J74" s="2" t="s">
        <v>54</v>
      </c>
      <c r="K74" s="2">
        <f t="shared" si="7"/>
        <v>176000</v>
      </c>
      <c r="L74" s="9">
        <f>Table_1[[#This Row],[Unit Price]]*Table_1[[#This Row],[Quantity]]</f>
        <v>660000</v>
      </c>
      <c r="M74" s="8">
        <f>Table_1[[#This Row],[Cost Price]]*Table_1[[#This Row],[Quantity]]</f>
        <v>528000</v>
      </c>
      <c r="N74">
        <f>Table_1[[#This Row],[Revenue]]-Table_1[[#This Row],[COGS]]</f>
        <v>132000</v>
      </c>
      <c r="O74" s="11">
        <f t="shared" si="8"/>
        <v>4656740000</v>
      </c>
      <c r="P74">
        <f t="shared" si="9"/>
        <v>3725392000</v>
      </c>
      <c r="Q74">
        <f t="shared" si="10"/>
        <v>931348000</v>
      </c>
      <c r="R74" s="7">
        <f t="shared" si="11"/>
        <v>2098</v>
      </c>
      <c r="S74" s="7">
        <f t="shared" si="12"/>
        <v>4</v>
      </c>
      <c r="T74" s="7">
        <f t="shared" si="13"/>
        <v>2098</v>
      </c>
    </row>
    <row r="75" spans="1:20" ht="14.25" customHeight="1" x14ac:dyDescent="0.35">
      <c r="A75" s="2" t="s">
        <v>98</v>
      </c>
      <c r="B75" s="2" t="s">
        <v>12</v>
      </c>
      <c r="C75" s="2" t="s">
        <v>21</v>
      </c>
      <c r="D75" s="2" t="s">
        <v>14</v>
      </c>
      <c r="E75" s="2" t="s">
        <v>15</v>
      </c>
      <c r="F75" s="2" t="s">
        <v>31</v>
      </c>
      <c r="G75" s="2" t="s">
        <v>24</v>
      </c>
      <c r="H75" s="2">
        <v>60000</v>
      </c>
      <c r="I75" s="2">
        <v>4</v>
      </c>
      <c r="J75" s="2" t="s">
        <v>50</v>
      </c>
      <c r="K75" s="2">
        <f t="shared" si="7"/>
        <v>48000</v>
      </c>
      <c r="L75" s="9">
        <f>Table_1[[#This Row],[Unit Price]]*Table_1[[#This Row],[Quantity]]</f>
        <v>240000</v>
      </c>
      <c r="M75" s="8">
        <f>Table_1[[#This Row],[Cost Price]]*Table_1[[#This Row],[Quantity]]</f>
        <v>192000</v>
      </c>
      <c r="N75">
        <f>Table_1[[#This Row],[Revenue]]-Table_1[[#This Row],[COGS]]</f>
        <v>48000</v>
      </c>
      <c r="O75" s="11">
        <f t="shared" si="8"/>
        <v>4656740000</v>
      </c>
      <c r="P75">
        <f t="shared" si="9"/>
        <v>3725392000</v>
      </c>
      <c r="Q75">
        <f t="shared" si="10"/>
        <v>931348000</v>
      </c>
      <c r="R75" s="7">
        <f t="shared" si="11"/>
        <v>2098</v>
      </c>
      <c r="S75" s="7">
        <f t="shared" si="12"/>
        <v>4</v>
      </c>
      <c r="T75" s="7">
        <f t="shared" si="13"/>
        <v>2098</v>
      </c>
    </row>
    <row r="76" spans="1:20" ht="14.25" customHeight="1" x14ac:dyDescent="0.35">
      <c r="A76" s="2" t="s">
        <v>99</v>
      </c>
      <c r="B76" s="2" t="s">
        <v>34</v>
      </c>
      <c r="C76" s="2" t="s">
        <v>13</v>
      </c>
      <c r="D76" s="2" t="s">
        <v>26</v>
      </c>
      <c r="E76" s="2" t="s">
        <v>15</v>
      </c>
      <c r="F76" s="2" t="s">
        <v>16</v>
      </c>
      <c r="G76" s="2" t="s">
        <v>17</v>
      </c>
      <c r="H76" s="2">
        <v>85000</v>
      </c>
      <c r="I76" s="2">
        <v>1</v>
      </c>
      <c r="J76" s="2" t="s">
        <v>50</v>
      </c>
      <c r="K76" s="2">
        <f t="shared" si="7"/>
        <v>68000</v>
      </c>
      <c r="L76" s="9">
        <f>Table_1[[#This Row],[Unit Price]]*Table_1[[#This Row],[Quantity]]</f>
        <v>85000</v>
      </c>
      <c r="M76" s="8">
        <f>Table_1[[#This Row],[Cost Price]]*Table_1[[#This Row],[Quantity]]</f>
        <v>68000</v>
      </c>
      <c r="N76">
        <f>Table_1[[#This Row],[Revenue]]-Table_1[[#This Row],[COGS]]</f>
        <v>17000</v>
      </c>
      <c r="O76" s="11">
        <f t="shared" si="8"/>
        <v>4656740000</v>
      </c>
      <c r="P76">
        <f t="shared" si="9"/>
        <v>3725392000</v>
      </c>
      <c r="Q76">
        <f t="shared" si="10"/>
        <v>931348000</v>
      </c>
      <c r="R76" s="7">
        <f t="shared" si="11"/>
        <v>2098</v>
      </c>
      <c r="S76" s="7">
        <f t="shared" si="12"/>
        <v>4</v>
      </c>
      <c r="T76" s="7">
        <f t="shared" si="13"/>
        <v>2098</v>
      </c>
    </row>
    <row r="77" spans="1:20" ht="14.25" customHeight="1" x14ac:dyDescent="0.35">
      <c r="A77" s="2" t="s">
        <v>96</v>
      </c>
      <c r="B77" s="2" t="s">
        <v>20</v>
      </c>
      <c r="C77" s="2" t="s">
        <v>13</v>
      </c>
      <c r="D77" s="2" t="s">
        <v>14</v>
      </c>
      <c r="E77" s="2" t="s">
        <v>15</v>
      </c>
      <c r="F77" s="2" t="s">
        <v>23</v>
      </c>
      <c r="G77" s="2" t="s">
        <v>24</v>
      </c>
      <c r="H77" s="2">
        <v>30000</v>
      </c>
      <c r="I77" s="2">
        <v>5</v>
      </c>
      <c r="J77" s="2" t="s">
        <v>27</v>
      </c>
      <c r="K77" s="2">
        <f t="shared" si="7"/>
        <v>24000</v>
      </c>
      <c r="L77" s="9">
        <f>Table_1[[#This Row],[Unit Price]]*Table_1[[#This Row],[Quantity]]</f>
        <v>150000</v>
      </c>
      <c r="M77" s="8">
        <f>Table_1[[#This Row],[Cost Price]]*Table_1[[#This Row],[Quantity]]</f>
        <v>120000</v>
      </c>
      <c r="N77">
        <f>Table_1[[#This Row],[Revenue]]-Table_1[[#This Row],[COGS]]</f>
        <v>30000</v>
      </c>
      <c r="O77" s="11">
        <f t="shared" si="8"/>
        <v>4656740000</v>
      </c>
      <c r="P77">
        <f t="shared" si="9"/>
        <v>3725392000</v>
      </c>
      <c r="Q77">
        <f t="shared" si="10"/>
        <v>931348000</v>
      </c>
      <c r="R77" s="7">
        <f t="shared" si="11"/>
        <v>2098</v>
      </c>
      <c r="S77" s="7">
        <f t="shared" si="12"/>
        <v>2</v>
      </c>
      <c r="T77" s="7">
        <f t="shared" si="13"/>
        <v>2098</v>
      </c>
    </row>
    <row r="78" spans="1:20" ht="14.25" customHeight="1" x14ac:dyDescent="0.35">
      <c r="A78" s="2" t="s">
        <v>75</v>
      </c>
      <c r="B78" s="2" t="s">
        <v>20</v>
      </c>
      <c r="C78" s="2" t="s">
        <v>38</v>
      </c>
      <c r="D78" s="2" t="s">
        <v>14</v>
      </c>
      <c r="E78" s="2" t="s">
        <v>22</v>
      </c>
      <c r="F78" s="2" t="s">
        <v>31</v>
      </c>
      <c r="G78" s="2" t="s">
        <v>24</v>
      </c>
      <c r="H78" s="2">
        <v>60000</v>
      </c>
      <c r="I78" s="2">
        <v>3</v>
      </c>
      <c r="J78" s="2" t="s">
        <v>50</v>
      </c>
      <c r="K78" s="2">
        <f t="shared" si="7"/>
        <v>48000</v>
      </c>
      <c r="L78" s="9">
        <f>Table_1[[#This Row],[Unit Price]]*Table_1[[#This Row],[Quantity]]</f>
        <v>180000</v>
      </c>
      <c r="M78" s="8">
        <f>Table_1[[#This Row],[Cost Price]]*Table_1[[#This Row],[Quantity]]</f>
        <v>144000</v>
      </c>
      <c r="N78">
        <f>Table_1[[#This Row],[Revenue]]-Table_1[[#This Row],[COGS]]</f>
        <v>36000</v>
      </c>
      <c r="O78" s="11">
        <f t="shared" si="8"/>
        <v>4656740000</v>
      </c>
      <c r="P78">
        <f t="shared" si="9"/>
        <v>3725392000</v>
      </c>
      <c r="Q78">
        <f t="shared" si="10"/>
        <v>931348000</v>
      </c>
      <c r="R78" s="7">
        <f t="shared" si="11"/>
        <v>2098</v>
      </c>
      <c r="S78" s="7">
        <f t="shared" si="12"/>
        <v>2</v>
      </c>
      <c r="T78" s="7">
        <f t="shared" si="13"/>
        <v>2098</v>
      </c>
    </row>
    <row r="79" spans="1:20" ht="14.25" customHeight="1" x14ac:dyDescent="0.35">
      <c r="A79" s="2" t="s">
        <v>73</v>
      </c>
      <c r="B79" s="2" t="s">
        <v>12</v>
      </c>
      <c r="C79" s="2" t="s">
        <v>38</v>
      </c>
      <c r="D79" s="2" t="s">
        <v>14</v>
      </c>
      <c r="E79" s="2" t="s">
        <v>15</v>
      </c>
      <c r="F79" s="2" t="s">
        <v>31</v>
      </c>
      <c r="G79" s="2" t="s">
        <v>24</v>
      </c>
      <c r="H79" s="2">
        <v>60000</v>
      </c>
      <c r="I79" s="2">
        <v>6</v>
      </c>
      <c r="J79" s="2" t="s">
        <v>18</v>
      </c>
      <c r="K79" s="2">
        <f t="shared" si="7"/>
        <v>48000</v>
      </c>
      <c r="L79" s="9">
        <f>Table_1[[#This Row],[Unit Price]]*Table_1[[#This Row],[Quantity]]</f>
        <v>360000</v>
      </c>
      <c r="M79" s="8">
        <f>Table_1[[#This Row],[Cost Price]]*Table_1[[#This Row],[Quantity]]</f>
        <v>288000</v>
      </c>
      <c r="N79">
        <f>Table_1[[#This Row],[Revenue]]-Table_1[[#This Row],[COGS]]</f>
        <v>72000</v>
      </c>
      <c r="O79" s="11">
        <f t="shared" si="8"/>
        <v>4656740000</v>
      </c>
      <c r="P79">
        <f t="shared" si="9"/>
        <v>3725392000</v>
      </c>
      <c r="Q79">
        <f t="shared" si="10"/>
        <v>931348000</v>
      </c>
      <c r="R79" s="7">
        <f t="shared" si="11"/>
        <v>2098</v>
      </c>
      <c r="S79" s="7">
        <f t="shared" si="12"/>
        <v>2</v>
      </c>
      <c r="T79" s="7">
        <f t="shared" si="13"/>
        <v>2098</v>
      </c>
    </row>
    <row r="80" spans="1:20" ht="14.25" customHeight="1" x14ac:dyDescent="0.35">
      <c r="A80" s="2" t="s">
        <v>68</v>
      </c>
      <c r="B80" s="2" t="s">
        <v>29</v>
      </c>
      <c r="C80" s="2" t="s">
        <v>30</v>
      </c>
      <c r="D80" s="2" t="s">
        <v>26</v>
      </c>
      <c r="E80" s="2" t="s">
        <v>15</v>
      </c>
      <c r="F80" s="2" t="s">
        <v>35</v>
      </c>
      <c r="G80" s="2" t="s">
        <v>36</v>
      </c>
      <c r="H80" s="2">
        <v>300000</v>
      </c>
      <c r="I80" s="2">
        <v>2</v>
      </c>
      <c r="J80" s="2" t="s">
        <v>18</v>
      </c>
      <c r="K80" s="2">
        <f t="shared" si="7"/>
        <v>240000</v>
      </c>
      <c r="L80" s="9">
        <f>Table_1[[#This Row],[Unit Price]]*Table_1[[#This Row],[Quantity]]</f>
        <v>600000</v>
      </c>
      <c r="M80" s="8">
        <f>Table_1[[#This Row],[Cost Price]]*Table_1[[#This Row],[Quantity]]</f>
        <v>480000</v>
      </c>
      <c r="N80">
        <f>Table_1[[#This Row],[Revenue]]-Table_1[[#This Row],[COGS]]</f>
        <v>120000</v>
      </c>
      <c r="O80" s="11">
        <f t="shared" si="8"/>
        <v>4656740000</v>
      </c>
      <c r="P80">
        <f t="shared" si="9"/>
        <v>3725392000</v>
      </c>
      <c r="Q80">
        <f t="shared" si="10"/>
        <v>931348000</v>
      </c>
      <c r="R80" s="7">
        <f t="shared" si="11"/>
        <v>2098</v>
      </c>
      <c r="S80" s="7">
        <f t="shared" si="12"/>
        <v>1</v>
      </c>
      <c r="T80" s="7">
        <f t="shared" si="13"/>
        <v>2098</v>
      </c>
    </row>
    <row r="81" spans="1:20" ht="14.25" customHeight="1" x14ac:dyDescent="0.35">
      <c r="A81" s="2" t="s">
        <v>100</v>
      </c>
      <c r="B81" s="2" t="s">
        <v>12</v>
      </c>
      <c r="C81" s="2" t="s">
        <v>30</v>
      </c>
      <c r="D81" s="2" t="s">
        <v>14</v>
      </c>
      <c r="E81" s="2" t="s">
        <v>15</v>
      </c>
      <c r="F81" s="2" t="s">
        <v>47</v>
      </c>
      <c r="G81" s="2" t="s">
        <v>36</v>
      </c>
      <c r="H81" s="2">
        <v>150000</v>
      </c>
      <c r="I81" s="2">
        <v>7</v>
      </c>
      <c r="J81" s="2" t="s">
        <v>27</v>
      </c>
      <c r="K81" s="2">
        <f t="shared" si="7"/>
        <v>120000</v>
      </c>
      <c r="L81" s="9">
        <f>Table_1[[#This Row],[Unit Price]]*Table_1[[#This Row],[Quantity]]</f>
        <v>1050000</v>
      </c>
      <c r="M81" s="8">
        <f>Table_1[[#This Row],[Cost Price]]*Table_1[[#This Row],[Quantity]]</f>
        <v>840000</v>
      </c>
      <c r="N81">
        <f>Table_1[[#This Row],[Revenue]]-Table_1[[#This Row],[COGS]]</f>
        <v>210000</v>
      </c>
      <c r="O81" s="11">
        <f t="shared" si="8"/>
        <v>4656740000</v>
      </c>
      <c r="P81">
        <f t="shared" si="9"/>
        <v>3725392000</v>
      </c>
      <c r="Q81">
        <f t="shared" si="10"/>
        <v>931348000</v>
      </c>
      <c r="R81" s="7">
        <f t="shared" si="11"/>
        <v>2098</v>
      </c>
      <c r="S81" s="7">
        <f t="shared" si="12"/>
        <v>1</v>
      </c>
      <c r="T81" s="7">
        <f t="shared" si="13"/>
        <v>2098</v>
      </c>
    </row>
    <row r="82" spans="1:20" ht="14.25" customHeight="1" x14ac:dyDescent="0.35">
      <c r="A82" s="2" t="s">
        <v>101</v>
      </c>
      <c r="B82" s="2" t="s">
        <v>34</v>
      </c>
      <c r="C82" s="2" t="s">
        <v>30</v>
      </c>
      <c r="D82" s="2" t="s">
        <v>26</v>
      </c>
      <c r="E82" s="2" t="s">
        <v>22</v>
      </c>
      <c r="F82" s="2" t="s">
        <v>58</v>
      </c>
      <c r="G82" s="2" t="s">
        <v>24</v>
      </c>
      <c r="H82" s="2">
        <v>220000</v>
      </c>
      <c r="I82" s="2">
        <v>3</v>
      </c>
      <c r="J82" s="2" t="s">
        <v>32</v>
      </c>
      <c r="K82" s="2">
        <f t="shared" si="7"/>
        <v>176000</v>
      </c>
      <c r="L82" s="9">
        <f>Table_1[[#This Row],[Unit Price]]*Table_1[[#This Row],[Quantity]]</f>
        <v>660000</v>
      </c>
      <c r="M82" s="8">
        <f>Table_1[[#This Row],[Cost Price]]*Table_1[[#This Row],[Quantity]]</f>
        <v>528000</v>
      </c>
      <c r="N82">
        <f>Table_1[[#This Row],[Revenue]]-Table_1[[#This Row],[COGS]]</f>
        <v>132000</v>
      </c>
      <c r="O82" s="11">
        <f t="shared" si="8"/>
        <v>4656740000</v>
      </c>
      <c r="P82">
        <f t="shared" si="9"/>
        <v>3725392000</v>
      </c>
      <c r="Q82">
        <f t="shared" si="10"/>
        <v>931348000</v>
      </c>
      <c r="R82" s="7">
        <f t="shared" si="11"/>
        <v>2098</v>
      </c>
      <c r="S82" s="7">
        <f t="shared" si="12"/>
        <v>4</v>
      </c>
      <c r="T82" s="7">
        <f t="shared" si="13"/>
        <v>2098</v>
      </c>
    </row>
    <row r="83" spans="1:20" ht="14.25" customHeight="1" x14ac:dyDescent="0.35">
      <c r="A83" s="2" t="s">
        <v>85</v>
      </c>
      <c r="B83" s="2" t="s">
        <v>12</v>
      </c>
      <c r="C83" s="2" t="s">
        <v>30</v>
      </c>
      <c r="D83" s="2" t="s">
        <v>14</v>
      </c>
      <c r="E83" s="2" t="s">
        <v>22</v>
      </c>
      <c r="F83" s="2" t="s">
        <v>31</v>
      </c>
      <c r="G83" s="2" t="s">
        <v>24</v>
      </c>
      <c r="H83" s="2">
        <v>60000</v>
      </c>
      <c r="I83" s="2">
        <v>9</v>
      </c>
      <c r="J83" s="2" t="s">
        <v>43</v>
      </c>
      <c r="K83" s="2">
        <f t="shared" si="7"/>
        <v>48000</v>
      </c>
      <c r="L83" s="9">
        <f>Table_1[[#This Row],[Unit Price]]*Table_1[[#This Row],[Quantity]]</f>
        <v>540000</v>
      </c>
      <c r="M83" s="8">
        <f>Table_1[[#This Row],[Cost Price]]*Table_1[[#This Row],[Quantity]]</f>
        <v>432000</v>
      </c>
      <c r="N83">
        <f>Table_1[[#This Row],[Revenue]]-Table_1[[#This Row],[COGS]]</f>
        <v>108000</v>
      </c>
      <c r="O83" s="11">
        <f t="shared" si="8"/>
        <v>4656740000</v>
      </c>
      <c r="P83">
        <f t="shared" si="9"/>
        <v>3725392000</v>
      </c>
      <c r="Q83">
        <f t="shared" si="10"/>
        <v>931348000</v>
      </c>
      <c r="R83" s="7">
        <f t="shared" si="11"/>
        <v>2098</v>
      </c>
      <c r="S83" s="7">
        <f t="shared" si="12"/>
        <v>1</v>
      </c>
      <c r="T83" s="7">
        <f t="shared" si="13"/>
        <v>2098</v>
      </c>
    </row>
    <row r="84" spans="1:20" ht="14.25" customHeight="1" x14ac:dyDescent="0.35">
      <c r="A84" s="2" t="s">
        <v>64</v>
      </c>
      <c r="B84" s="2" t="s">
        <v>12</v>
      </c>
      <c r="C84" s="2" t="s">
        <v>21</v>
      </c>
      <c r="D84" s="2" t="s">
        <v>26</v>
      </c>
      <c r="E84" s="2" t="s">
        <v>22</v>
      </c>
      <c r="F84" s="2" t="s">
        <v>41</v>
      </c>
      <c r="G84" s="2" t="s">
        <v>17</v>
      </c>
      <c r="H84" s="2">
        <v>320000</v>
      </c>
      <c r="I84" s="2">
        <v>2</v>
      </c>
      <c r="J84" s="2" t="s">
        <v>32</v>
      </c>
      <c r="K84" s="2">
        <f t="shared" si="7"/>
        <v>256000</v>
      </c>
      <c r="L84" s="9">
        <f>Table_1[[#This Row],[Unit Price]]*Table_1[[#This Row],[Quantity]]</f>
        <v>640000</v>
      </c>
      <c r="M84" s="8">
        <f>Table_1[[#This Row],[Cost Price]]*Table_1[[#This Row],[Quantity]]</f>
        <v>512000</v>
      </c>
      <c r="N84">
        <f>Table_1[[#This Row],[Revenue]]-Table_1[[#This Row],[COGS]]</f>
        <v>128000</v>
      </c>
      <c r="O84" s="11">
        <f t="shared" si="8"/>
        <v>4656740000</v>
      </c>
      <c r="P84">
        <f t="shared" si="9"/>
        <v>3725392000</v>
      </c>
      <c r="Q84">
        <f t="shared" si="10"/>
        <v>931348000</v>
      </c>
      <c r="R84" s="7">
        <f t="shared" si="11"/>
        <v>2098</v>
      </c>
      <c r="S84" s="7">
        <f t="shared" si="12"/>
        <v>2</v>
      </c>
      <c r="T84" s="7">
        <f t="shared" si="13"/>
        <v>2098</v>
      </c>
    </row>
    <row r="85" spans="1:20" ht="14.25" customHeight="1" x14ac:dyDescent="0.35">
      <c r="A85" s="2" t="s">
        <v>65</v>
      </c>
      <c r="B85" s="2" t="s">
        <v>12</v>
      </c>
      <c r="C85" s="2" t="s">
        <v>30</v>
      </c>
      <c r="D85" s="2" t="s">
        <v>26</v>
      </c>
      <c r="E85" s="2" t="s">
        <v>15</v>
      </c>
      <c r="F85" s="2" t="s">
        <v>58</v>
      </c>
      <c r="G85" s="2" t="s">
        <v>24</v>
      </c>
      <c r="H85" s="2">
        <v>220000</v>
      </c>
      <c r="I85" s="2">
        <v>5</v>
      </c>
      <c r="J85" s="2" t="s">
        <v>18</v>
      </c>
      <c r="K85" s="2">
        <f t="shared" si="7"/>
        <v>176000</v>
      </c>
      <c r="L85" s="9">
        <f>Table_1[[#This Row],[Unit Price]]*Table_1[[#This Row],[Quantity]]</f>
        <v>1100000</v>
      </c>
      <c r="M85" s="8">
        <f>Table_1[[#This Row],[Cost Price]]*Table_1[[#This Row],[Quantity]]</f>
        <v>880000</v>
      </c>
      <c r="N85">
        <f>Table_1[[#This Row],[Revenue]]-Table_1[[#This Row],[COGS]]</f>
        <v>220000</v>
      </c>
      <c r="O85" s="11">
        <f t="shared" si="8"/>
        <v>4656740000</v>
      </c>
      <c r="P85">
        <f t="shared" si="9"/>
        <v>3725392000</v>
      </c>
      <c r="Q85">
        <f t="shared" si="10"/>
        <v>931348000</v>
      </c>
      <c r="R85" s="7">
        <f t="shared" si="11"/>
        <v>2098</v>
      </c>
      <c r="S85" s="7">
        <f t="shared" si="12"/>
        <v>2</v>
      </c>
      <c r="T85" s="7">
        <f t="shared" si="13"/>
        <v>2098</v>
      </c>
    </row>
    <row r="86" spans="1:20" ht="14.25" customHeight="1" x14ac:dyDescent="0.35">
      <c r="A86" s="2" t="s">
        <v>100</v>
      </c>
      <c r="B86" s="2" t="s">
        <v>12</v>
      </c>
      <c r="C86" s="2" t="s">
        <v>13</v>
      </c>
      <c r="D86" s="2" t="s">
        <v>26</v>
      </c>
      <c r="E86" s="2" t="s">
        <v>15</v>
      </c>
      <c r="F86" s="2" t="s">
        <v>47</v>
      </c>
      <c r="G86" s="2" t="s">
        <v>36</v>
      </c>
      <c r="H86" s="2">
        <v>150000</v>
      </c>
      <c r="I86" s="2">
        <v>1</v>
      </c>
      <c r="J86" s="2" t="s">
        <v>54</v>
      </c>
      <c r="K86" s="2">
        <f t="shared" si="7"/>
        <v>120000</v>
      </c>
      <c r="L86" s="9">
        <f>Table_1[[#This Row],[Unit Price]]*Table_1[[#This Row],[Quantity]]</f>
        <v>150000</v>
      </c>
      <c r="M86" s="8">
        <f>Table_1[[#This Row],[Cost Price]]*Table_1[[#This Row],[Quantity]]</f>
        <v>120000</v>
      </c>
      <c r="N86">
        <f>Table_1[[#This Row],[Revenue]]-Table_1[[#This Row],[COGS]]</f>
        <v>30000</v>
      </c>
      <c r="O86" s="11">
        <f t="shared" si="8"/>
        <v>4656740000</v>
      </c>
      <c r="P86">
        <f t="shared" si="9"/>
        <v>3725392000</v>
      </c>
      <c r="Q86">
        <f t="shared" si="10"/>
        <v>931348000</v>
      </c>
      <c r="R86" s="7">
        <f t="shared" si="11"/>
        <v>2098</v>
      </c>
      <c r="S86" s="7">
        <f t="shared" si="12"/>
        <v>1</v>
      </c>
      <c r="T86" s="7">
        <f t="shared" si="13"/>
        <v>2098</v>
      </c>
    </row>
    <row r="87" spans="1:20" ht="14.25" customHeight="1" x14ac:dyDescent="0.35">
      <c r="A87" s="2" t="s">
        <v>71</v>
      </c>
      <c r="B87" s="2" t="s">
        <v>29</v>
      </c>
      <c r="C87" s="2" t="s">
        <v>21</v>
      </c>
      <c r="D87" s="2" t="s">
        <v>14</v>
      </c>
      <c r="E87" s="2" t="s">
        <v>22</v>
      </c>
      <c r="F87" s="2" t="s">
        <v>35</v>
      </c>
      <c r="G87" s="2" t="s">
        <v>36</v>
      </c>
      <c r="H87" s="2">
        <v>300000</v>
      </c>
      <c r="I87" s="2">
        <v>8</v>
      </c>
      <c r="J87" s="2" t="s">
        <v>18</v>
      </c>
      <c r="K87" s="2">
        <f t="shared" si="7"/>
        <v>240000</v>
      </c>
      <c r="L87" s="9">
        <f>Table_1[[#This Row],[Unit Price]]*Table_1[[#This Row],[Quantity]]</f>
        <v>2400000</v>
      </c>
      <c r="M87" s="8">
        <f>Table_1[[#This Row],[Cost Price]]*Table_1[[#This Row],[Quantity]]</f>
        <v>1920000</v>
      </c>
      <c r="N87">
        <f>Table_1[[#This Row],[Revenue]]-Table_1[[#This Row],[COGS]]</f>
        <v>480000</v>
      </c>
      <c r="O87" s="11">
        <f t="shared" si="8"/>
        <v>4656740000</v>
      </c>
      <c r="P87">
        <f t="shared" si="9"/>
        <v>3725392000</v>
      </c>
      <c r="Q87">
        <f t="shared" si="10"/>
        <v>931348000</v>
      </c>
      <c r="R87" s="7">
        <f t="shared" si="11"/>
        <v>2098</v>
      </c>
      <c r="S87" s="7">
        <f t="shared" si="12"/>
        <v>2</v>
      </c>
      <c r="T87" s="7">
        <f t="shared" si="13"/>
        <v>2098</v>
      </c>
    </row>
    <row r="88" spans="1:20" ht="14.25" customHeight="1" x14ac:dyDescent="0.35">
      <c r="A88" s="2" t="s">
        <v>70</v>
      </c>
      <c r="B88" s="2" t="s">
        <v>20</v>
      </c>
      <c r="C88" s="2" t="s">
        <v>38</v>
      </c>
      <c r="D88" s="2" t="s">
        <v>14</v>
      </c>
      <c r="E88" s="2" t="s">
        <v>15</v>
      </c>
      <c r="F88" s="2" t="s">
        <v>58</v>
      </c>
      <c r="G88" s="2" t="s">
        <v>24</v>
      </c>
      <c r="H88" s="2">
        <v>220000</v>
      </c>
      <c r="I88" s="2">
        <v>3</v>
      </c>
      <c r="J88" s="2" t="s">
        <v>50</v>
      </c>
      <c r="K88" s="2">
        <f t="shared" si="7"/>
        <v>176000</v>
      </c>
      <c r="L88" s="9">
        <f>Table_1[[#This Row],[Unit Price]]*Table_1[[#This Row],[Quantity]]</f>
        <v>660000</v>
      </c>
      <c r="M88" s="8">
        <f>Table_1[[#This Row],[Cost Price]]*Table_1[[#This Row],[Quantity]]</f>
        <v>528000</v>
      </c>
      <c r="N88">
        <f>Table_1[[#This Row],[Revenue]]-Table_1[[#This Row],[COGS]]</f>
        <v>132000</v>
      </c>
      <c r="O88" s="11">
        <f t="shared" si="8"/>
        <v>4656740000</v>
      </c>
      <c r="P88">
        <f t="shared" si="9"/>
        <v>3725392000</v>
      </c>
      <c r="Q88">
        <f t="shared" si="10"/>
        <v>931348000</v>
      </c>
      <c r="R88" s="7">
        <f t="shared" si="11"/>
        <v>2098</v>
      </c>
      <c r="S88" s="7">
        <f t="shared" si="12"/>
        <v>2</v>
      </c>
      <c r="T88" s="7">
        <f t="shared" si="13"/>
        <v>2098</v>
      </c>
    </row>
    <row r="89" spans="1:20" ht="14.25" customHeight="1" x14ac:dyDescent="0.35">
      <c r="A89" s="2" t="s">
        <v>102</v>
      </c>
      <c r="B89" s="2" t="s">
        <v>12</v>
      </c>
      <c r="C89" s="2" t="s">
        <v>13</v>
      </c>
      <c r="D89" s="2" t="s">
        <v>14</v>
      </c>
      <c r="E89" s="2" t="s">
        <v>15</v>
      </c>
      <c r="F89" s="2" t="s">
        <v>56</v>
      </c>
      <c r="G89" s="2" t="s">
        <v>36</v>
      </c>
      <c r="H89" s="2">
        <v>250000</v>
      </c>
      <c r="I89" s="2">
        <v>8</v>
      </c>
      <c r="J89" s="2" t="s">
        <v>18</v>
      </c>
      <c r="K89" s="2">
        <f t="shared" si="7"/>
        <v>200000</v>
      </c>
      <c r="L89" s="9">
        <f>Table_1[[#This Row],[Unit Price]]*Table_1[[#This Row],[Quantity]]</f>
        <v>2000000</v>
      </c>
      <c r="M89" s="8">
        <f>Table_1[[#This Row],[Cost Price]]*Table_1[[#This Row],[Quantity]]</f>
        <v>1600000</v>
      </c>
      <c r="N89">
        <f>Table_1[[#This Row],[Revenue]]-Table_1[[#This Row],[COGS]]</f>
        <v>400000</v>
      </c>
      <c r="O89" s="11">
        <f t="shared" si="8"/>
        <v>4656740000</v>
      </c>
      <c r="P89">
        <f t="shared" si="9"/>
        <v>3725392000</v>
      </c>
      <c r="Q89">
        <f t="shared" si="10"/>
        <v>931348000</v>
      </c>
      <c r="R89" s="7">
        <f t="shared" si="11"/>
        <v>2098</v>
      </c>
      <c r="S89" s="7">
        <f t="shared" si="12"/>
        <v>1</v>
      </c>
      <c r="T89" s="7">
        <f t="shared" si="13"/>
        <v>2098</v>
      </c>
    </row>
    <row r="90" spans="1:20" ht="14.25" customHeight="1" x14ac:dyDescent="0.35">
      <c r="A90" s="2" t="s">
        <v>101</v>
      </c>
      <c r="B90" s="2" t="s">
        <v>29</v>
      </c>
      <c r="C90" s="2" t="s">
        <v>21</v>
      </c>
      <c r="D90" s="2" t="s">
        <v>26</v>
      </c>
      <c r="E90" s="2" t="s">
        <v>15</v>
      </c>
      <c r="F90" s="2" t="s">
        <v>35</v>
      </c>
      <c r="G90" s="2" t="s">
        <v>36</v>
      </c>
      <c r="H90" s="2">
        <v>300000</v>
      </c>
      <c r="I90" s="2">
        <v>4</v>
      </c>
      <c r="J90" s="2" t="s">
        <v>32</v>
      </c>
      <c r="K90" s="2">
        <f t="shared" si="7"/>
        <v>240000</v>
      </c>
      <c r="L90" s="9">
        <f>Table_1[[#This Row],[Unit Price]]*Table_1[[#This Row],[Quantity]]</f>
        <v>1200000</v>
      </c>
      <c r="M90" s="8">
        <f>Table_1[[#This Row],[Cost Price]]*Table_1[[#This Row],[Quantity]]</f>
        <v>960000</v>
      </c>
      <c r="N90">
        <f>Table_1[[#This Row],[Revenue]]-Table_1[[#This Row],[COGS]]</f>
        <v>240000</v>
      </c>
      <c r="O90" s="11">
        <f t="shared" si="8"/>
        <v>4656740000</v>
      </c>
      <c r="P90">
        <f t="shared" si="9"/>
        <v>3725392000</v>
      </c>
      <c r="Q90">
        <f t="shared" si="10"/>
        <v>931348000</v>
      </c>
      <c r="R90" s="7">
        <f t="shared" si="11"/>
        <v>2098</v>
      </c>
      <c r="S90" s="7">
        <f t="shared" si="12"/>
        <v>4</v>
      </c>
      <c r="T90" s="7">
        <f t="shared" si="13"/>
        <v>2098</v>
      </c>
    </row>
    <row r="91" spans="1:20" ht="14.25" customHeight="1" x14ac:dyDescent="0.35">
      <c r="A91" s="2" t="s">
        <v>61</v>
      </c>
      <c r="B91" s="2" t="s">
        <v>29</v>
      </c>
      <c r="C91" s="2" t="s">
        <v>30</v>
      </c>
      <c r="D91" s="2" t="s">
        <v>26</v>
      </c>
      <c r="E91" s="2" t="s">
        <v>22</v>
      </c>
      <c r="F91" s="2" t="s">
        <v>35</v>
      </c>
      <c r="G91" s="2" t="s">
        <v>36</v>
      </c>
      <c r="H91" s="2">
        <v>300000</v>
      </c>
      <c r="I91" s="2">
        <v>1</v>
      </c>
      <c r="J91" s="2" t="s">
        <v>32</v>
      </c>
      <c r="K91" s="2">
        <f t="shared" si="7"/>
        <v>240000</v>
      </c>
      <c r="L91" s="9">
        <f>Table_1[[#This Row],[Unit Price]]*Table_1[[#This Row],[Quantity]]</f>
        <v>300000</v>
      </c>
      <c r="M91" s="8">
        <f>Table_1[[#This Row],[Cost Price]]*Table_1[[#This Row],[Quantity]]</f>
        <v>240000</v>
      </c>
      <c r="N91">
        <f>Table_1[[#This Row],[Revenue]]-Table_1[[#This Row],[COGS]]</f>
        <v>60000</v>
      </c>
      <c r="O91" s="11">
        <f t="shared" si="8"/>
        <v>4656740000</v>
      </c>
      <c r="P91">
        <f t="shared" si="9"/>
        <v>3725392000</v>
      </c>
      <c r="Q91">
        <f t="shared" si="10"/>
        <v>931348000</v>
      </c>
      <c r="R91" s="7">
        <f t="shared" si="11"/>
        <v>2098</v>
      </c>
      <c r="S91" s="7">
        <f t="shared" si="12"/>
        <v>5</v>
      </c>
      <c r="T91" s="7">
        <f t="shared" si="13"/>
        <v>2098</v>
      </c>
    </row>
    <row r="92" spans="1:20" ht="14.25" customHeight="1" x14ac:dyDescent="0.35">
      <c r="A92" s="2" t="s">
        <v>33</v>
      </c>
      <c r="B92" s="2" t="s">
        <v>20</v>
      </c>
      <c r="C92" s="2" t="s">
        <v>38</v>
      </c>
      <c r="D92" s="2" t="s">
        <v>14</v>
      </c>
      <c r="E92" s="2" t="s">
        <v>15</v>
      </c>
      <c r="F92" s="2" t="s">
        <v>56</v>
      </c>
      <c r="G92" s="2" t="s">
        <v>36</v>
      </c>
      <c r="H92" s="2">
        <v>250000</v>
      </c>
      <c r="I92" s="2">
        <v>8</v>
      </c>
      <c r="J92" s="2" t="s">
        <v>32</v>
      </c>
      <c r="K92" s="2">
        <f t="shared" si="7"/>
        <v>200000</v>
      </c>
      <c r="L92" s="9">
        <f>Table_1[[#This Row],[Unit Price]]*Table_1[[#This Row],[Quantity]]</f>
        <v>2000000</v>
      </c>
      <c r="M92" s="8">
        <f>Table_1[[#This Row],[Cost Price]]*Table_1[[#This Row],[Quantity]]</f>
        <v>1600000</v>
      </c>
      <c r="N92">
        <f>Table_1[[#This Row],[Revenue]]-Table_1[[#This Row],[COGS]]</f>
        <v>400000</v>
      </c>
      <c r="O92" s="11">
        <f t="shared" si="8"/>
        <v>4656740000</v>
      </c>
      <c r="P92">
        <f t="shared" si="9"/>
        <v>3725392000</v>
      </c>
      <c r="Q92">
        <f t="shared" si="10"/>
        <v>931348000</v>
      </c>
      <c r="R92" s="7">
        <f t="shared" si="11"/>
        <v>2098</v>
      </c>
      <c r="S92" s="7">
        <f t="shared" si="12"/>
        <v>4</v>
      </c>
      <c r="T92" s="7">
        <f t="shared" si="13"/>
        <v>2098</v>
      </c>
    </row>
    <row r="93" spans="1:20" ht="14.25" customHeight="1" x14ac:dyDescent="0.35">
      <c r="A93" s="2" t="s">
        <v>103</v>
      </c>
      <c r="B93" s="2" t="s">
        <v>12</v>
      </c>
      <c r="C93" s="2" t="s">
        <v>38</v>
      </c>
      <c r="D93" s="2" t="s">
        <v>26</v>
      </c>
      <c r="E93" s="2" t="s">
        <v>22</v>
      </c>
      <c r="F93" s="2" t="s">
        <v>39</v>
      </c>
      <c r="G93" s="2" t="s">
        <v>24</v>
      </c>
      <c r="H93" s="2">
        <v>180000</v>
      </c>
      <c r="I93" s="2">
        <v>2</v>
      </c>
      <c r="J93" s="2" t="s">
        <v>50</v>
      </c>
      <c r="K93" s="2">
        <f t="shared" si="7"/>
        <v>144000</v>
      </c>
      <c r="L93" s="9">
        <f>Table_1[[#This Row],[Unit Price]]*Table_1[[#This Row],[Quantity]]</f>
        <v>360000</v>
      </c>
      <c r="M93" s="8">
        <f>Table_1[[#This Row],[Cost Price]]*Table_1[[#This Row],[Quantity]]</f>
        <v>288000</v>
      </c>
      <c r="N93">
        <f>Table_1[[#This Row],[Revenue]]-Table_1[[#This Row],[COGS]]</f>
        <v>72000</v>
      </c>
      <c r="O93" s="11">
        <f t="shared" si="8"/>
        <v>4656740000</v>
      </c>
      <c r="P93">
        <f t="shared" si="9"/>
        <v>3725392000</v>
      </c>
      <c r="Q93">
        <f t="shared" si="10"/>
        <v>931348000</v>
      </c>
      <c r="R93" s="7">
        <f t="shared" si="11"/>
        <v>2098</v>
      </c>
      <c r="S93" s="7">
        <f t="shared" si="12"/>
        <v>3</v>
      </c>
      <c r="T93" s="7">
        <f t="shared" si="13"/>
        <v>2098</v>
      </c>
    </row>
    <row r="94" spans="1:20" ht="14.25" customHeight="1" x14ac:dyDescent="0.35">
      <c r="A94" s="2" t="s">
        <v>73</v>
      </c>
      <c r="B94" s="2" t="s">
        <v>12</v>
      </c>
      <c r="C94" s="2" t="s">
        <v>38</v>
      </c>
      <c r="D94" s="2" t="s">
        <v>14</v>
      </c>
      <c r="E94" s="2" t="s">
        <v>22</v>
      </c>
      <c r="F94" s="2" t="s">
        <v>39</v>
      </c>
      <c r="G94" s="2" t="s">
        <v>24</v>
      </c>
      <c r="H94" s="2">
        <v>180000</v>
      </c>
      <c r="I94" s="2">
        <v>6</v>
      </c>
      <c r="J94" s="2" t="s">
        <v>32</v>
      </c>
      <c r="K94" s="2">
        <f t="shared" si="7"/>
        <v>144000</v>
      </c>
      <c r="L94" s="9">
        <f>Table_1[[#This Row],[Unit Price]]*Table_1[[#This Row],[Quantity]]</f>
        <v>1080000</v>
      </c>
      <c r="M94" s="8">
        <f>Table_1[[#This Row],[Cost Price]]*Table_1[[#This Row],[Quantity]]</f>
        <v>864000</v>
      </c>
      <c r="N94">
        <f>Table_1[[#This Row],[Revenue]]-Table_1[[#This Row],[COGS]]</f>
        <v>216000</v>
      </c>
      <c r="O94" s="11">
        <f t="shared" si="8"/>
        <v>4656740000</v>
      </c>
      <c r="P94">
        <f t="shared" si="9"/>
        <v>3725392000</v>
      </c>
      <c r="Q94">
        <f t="shared" si="10"/>
        <v>931348000</v>
      </c>
      <c r="R94" s="7">
        <f t="shared" si="11"/>
        <v>2098</v>
      </c>
      <c r="S94" s="7">
        <f t="shared" si="12"/>
        <v>2</v>
      </c>
      <c r="T94" s="7">
        <f t="shared" si="13"/>
        <v>2098</v>
      </c>
    </row>
    <row r="95" spans="1:20" ht="14.25" customHeight="1" x14ac:dyDescent="0.35">
      <c r="A95" s="2" t="s">
        <v>104</v>
      </c>
      <c r="B95" s="2" t="s">
        <v>34</v>
      </c>
      <c r="C95" s="2" t="s">
        <v>21</v>
      </c>
      <c r="D95" s="2" t="s">
        <v>26</v>
      </c>
      <c r="E95" s="2" t="s">
        <v>15</v>
      </c>
      <c r="F95" s="2" t="s">
        <v>35</v>
      </c>
      <c r="G95" s="2" t="s">
        <v>36</v>
      </c>
      <c r="H95" s="2">
        <v>300000</v>
      </c>
      <c r="I95" s="2">
        <v>2</v>
      </c>
      <c r="J95" s="2" t="s">
        <v>32</v>
      </c>
      <c r="K95" s="2">
        <f t="shared" si="7"/>
        <v>240000</v>
      </c>
      <c r="L95" s="9">
        <f>Table_1[[#This Row],[Unit Price]]*Table_1[[#This Row],[Quantity]]</f>
        <v>600000</v>
      </c>
      <c r="M95" s="8">
        <f>Table_1[[#This Row],[Cost Price]]*Table_1[[#This Row],[Quantity]]</f>
        <v>480000</v>
      </c>
      <c r="N95">
        <f>Table_1[[#This Row],[Revenue]]-Table_1[[#This Row],[COGS]]</f>
        <v>120000</v>
      </c>
      <c r="O95" s="11">
        <f t="shared" si="8"/>
        <v>4656740000</v>
      </c>
      <c r="P95">
        <f t="shared" si="9"/>
        <v>3725392000</v>
      </c>
      <c r="Q95">
        <f t="shared" si="10"/>
        <v>931348000</v>
      </c>
      <c r="R95" s="7">
        <f t="shared" si="11"/>
        <v>2098</v>
      </c>
      <c r="S95" s="7">
        <f t="shared" si="12"/>
        <v>2</v>
      </c>
      <c r="T95" s="7">
        <f t="shared" si="13"/>
        <v>2098</v>
      </c>
    </row>
    <row r="96" spans="1:20" ht="14.25" customHeight="1" x14ac:dyDescent="0.35">
      <c r="A96" s="2" t="s">
        <v>19</v>
      </c>
      <c r="B96" s="2" t="s">
        <v>20</v>
      </c>
      <c r="C96" s="2" t="s">
        <v>13</v>
      </c>
      <c r="D96" s="2" t="s">
        <v>26</v>
      </c>
      <c r="E96" s="2" t="s">
        <v>22</v>
      </c>
      <c r="F96" s="2" t="s">
        <v>47</v>
      </c>
      <c r="G96" s="2" t="s">
        <v>36</v>
      </c>
      <c r="H96" s="2">
        <v>150000</v>
      </c>
      <c r="I96" s="2">
        <v>6</v>
      </c>
      <c r="J96" s="2" t="s">
        <v>18</v>
      </c>
      <c r="K96" s="2">
        <f t="shared" si="7"/>
        <v>120000</v>
      </c>
      <c r="L96" s="9">
        <f>Table_1[[#This Row],[Unit Price]]*Table_1[[#This Row],[Quantity]]</f>
        <v>900000</v>
      </c>
      <c r="M96" s="8">
        <f>Table_1[[#This Row],[Cost Price]]*Table_1[[#This Row],[Quantity]]</f>
        <v>720000</v>
      </c>
      <c r="N96">
        <f>Table_1[[#This Row],[Revenue]]-Table_1[[#This Row],[COGS]]</f>
        <v>180000</v>
      </c>
      <c r="O96" s="11">
        <f t="shared" si="8"/>
        <v>4656740000</v>
      </c>
      <c r="P96">
        <f t="shared" si="9"/>
        <v>3725392000</v>
      </c>
      <c r="Q96">
        <f t="shared" si="10"/>
        <v>931348000</v>
      </c>
      <c r="R96" s="7">
        <f t="shared" si="11"/>
        <v>2098</v>
      </c>
      <c r="S96" s="7">
        <f t="shared" si="12"/>
        <v>4</v>
      </c>
      <c r="T96" s="7">
        <f t="shared" si="13"/>
        <v>2098</v>
      </c>
    </row>
    <row r="97" spans="1:20" ht="14.25" customHeight="1" x14ac:dyDescent="0.35">
      <c r="A97" s="2" t="s">
        <v>105</v>
      </c>
      <c r="B97" s="2" t="s">
        <v>29</v>
      </c>
      <c r="C97" s="2" t="s">
        <v>21</v>
      </c>
      <c r="D97" s="2" t="s">
        <v>26</v>
      </c>
      <c r="E97" s="2" t="s">
        <v>22</v>
      </c>
      <c r="F97" s="2" t="s">
        <v>52</v>
      </c>
      <c r="G97" s="2" t="s">
        <v>36</v>
      </c>
      <c r="H97" s="2">
        <v>420000</v>
      </c>
      <c r="I97" s="2">
        <v>10</v>
      </c>
      <c r="J97" s="2" t="s">
        <v>18</v>
      </c>
      <c r="K97" s="2">
        <f t="shared" si="7"/>
        <v>336000</v>
      </c>
      <c r="L97" s="9">
        <f>Table_1[[#This Row],[Unit Price]]*Table_1[[#This Row],[Quantity]]</f>
        <v>4200000</v>
      </c>
      <c r="M97" s="8">
        <f>Table_1[[#This Row],[Cost Price]]*Table_1[[#This Row],[Quantity]]</f>
        <v>3360000</v>
      </c>
      <c r="N97">
        <f>Table_1[[#This Row],[Revenue]]-Table_1[[#This Row],[COGS]]</f>
        <v>840000</v>
      </c>
      <c r="O97" s="11">
        <f t="shared" si="8"/>
        <v>4656740000</v>
      </c>
      <c r="P97">
        <f t="shared" si="9"/>
        <v>3725392000</v>
      </c>
      <c r="Q97">
        <f t="shared" si="10"/>
        <v>931348000</v>
      </c>
      <c r="R97" s="7">
        <f t="shared" si="11"/>
        <v>2098</v>
      </c>
      <c r="S97" s="7">
        <f t="shared" si="12"/>
        <v>3</v>
      </c>
      <c r="T97" s="7">
        <f t="shared" si="13"/>
        <v>2098</v>
      </c>
    </row>
    <row r="98" spans="1:20" ht="14.25" customHeight="1" x14ac:dyDescent="0.35">
      <c r="A98" s="2" t="s">
        <v>106</v>
      </c>
      <c r="B98" s="2" t="s">
        <v>20</v>
      </c>
      <c r="C98" s="2" t="s">
        <v>30</v>
      </c>
      <c r="D98" s="2" t="s">
        <v>14</v>
      </c>
      <c r="E98" s="2" t="s">
        <v>15</v>
      </c>
      <c r="F98" s="2" t="s">
        <v>52</v>
      </c>
      <c r="G98" s="2" t="s">
        <v>36</v>
      </c>
      <c r="H98" s="2">
        <v>420000</v>
      </c>
      <c r="I98" s="2">
        <v>8</v>
      </c>
      <c r="J98" s="2" t="s">
        <v>32</v>
      </c>
      <c r="K98" s="2">
        <f t="shared" si="7"/>
        <v>336000</v>
      </c>
      <c r="L98" s="9">
        <f>Table_1[[#This Row],[Unit Price]]*Table_1[[#This Row],[Quantity]]</f>
        <v>3360000</v>
      </c>
      <c r="M98" s="8">
        <f>Table_1[[#This Row],[Cost Price]]*Table_1[[#This Row],[Quantity]]</f>
        <v>2688000</v>
      </c>
      <c r="N98">
        <f>Table_1[[#This Row],[Revenue]]-Table_1[[#This Row],[COGS]]</f>
        <v>672000</v>
      </c>
      <c r="O98" s="11">
        <f t="shared" si="8"/>
        <v>4656740000</v>
      </c>
      <c r="P98">
        <f t="shared" si="9"/>
        <v>3725392000</v>
      </c>
      <c r="Q98">
        <f t="shared" si="10"/>
        <v>931348000</v>
      </c>
      <c r="R98" s="7">
        <f t="shared" si="11"/>
        <v>2098</v>
      </c>
      <c r="S98" s="7">
        <f t="shared" si="12"/>
        <v>4</v>
      </c>
      <c r="T98" s="7">
        <f t="shared" si="13"/>
        <v>2098</v>
      </c>
    </row>
    <row r="99" spans="1:20" ht="14.25" customHeight="1" x14ac:dyDescent="0.35">
      <c r="A99" s="2" t="s">
        <v>48</v>
      </c>
      <c r="B99" s="2" t="s">
        <v>29</v>
      </c>
      <c r="C99" s="2" t="s">
        <v>21</v>
      </c>
      <c r="D99" s="2" t="s">
        <v>14</v>
      </c>
      <c r="E99" s="2" t="s">
        <v>22</v>
      </c>
      <c r="F99" s="2" t="s">
        <v>39</v>
      </c>
      <c r="G99" s="2" t="s">
        <v>24</v>
      </c>
      <c r="H99" s="2">
        <v>180000</v>
      </c>
      <c r="I99" s="2">
        <v>8</v>
      </c>
      <c r="J99" s="2" t="s">
        <v>18</v>
      </c>
      <c r="K99" s="2">
        <f t="shared" si="7"/>
        <v>144000</v>
      </c>
      <c r="L99" s="9">
        <f>Table_1[[#This Row],[Unit Price]]*Table_1[[#This Row],[Quantity]]</f>
        <v>1440000</v>
      </c>
      <c r="M99" s="8">
        <f>Table_1[[#This Row],[Cost Price]]*Table_1[[#This Row],[Quantity]]</f>
        <v>1152000</v>
      </c>
      <c r="N99">
        <f>Table_1[[#This Row],[Revenue]]-Table_1[[#This Row],[COGS]]</f>
        <v>288000</v>
      </c>
      <c r="O99" s="11">
        <f t="shared" si="8"/>
        <v>4656740000</v>
      </c>
      <c r="P99">
        <f t="shared" si="9"/>
        <v>3725392000</v>
      </c>
      <c r="Q99">
        <f t="shared" si="10"/>
        <v>931348000</v>
      </c>
      <c r="R99" s="7">
        <f t="shared" si="11"/>
        <v>2098</v>
      </c>
      <c r="S99" s="7">
        <f t="shared" si="12"/>
        <v>1</v>
      </c>
      <c r="T99" s="7">
        <f t="shared" si="13"/>
        <v>2098</v>
      </c>
    </row>
    <row r="100" spans="1:20" ht="14.25" customHeight="1" x14ac:dyDescent="0.35">
      <c r="A100" s="2" t="s">
        <v>79</v>
      </c>
      <c r="B100" s="2" t="s">
        <v>29</v>
      </c>
      <c r="C100" s="2" t="s">
        <v>30</v>
      </c>
      <c r="D100" s="2" t="s">
        <v>14</v>
      </c>
      <c r="E100" s="2" t="s">
        <v>22</v>
      </c>
      <c r="F100" s="2" t="s">
        <v>35</v>
      </c>
      <c r="G100" s="2" t="s">
        <v>36</v>
      </c>
      <c r="H100" s="2">
        <v>300000</v>
      </c>
      <c r="I100" s="2">
        <v>4</v>
      </c>
      <c r="J100" s="2" t="s">
        <v>50</v>
      </c>
      <c r="K100" s="2">
        <f t="shared" si="7"/>
        <v>240000</v>
      </c>
      <c r="L100" s="9">
        <f>Table_1[[#This Row],[Unit Price]]*Table_1[[#This Row],[Quantity]]</f>
        <v>1200000</v>
      </c>
      <c r="M100" s="8">
        <f>Table_1[[#This Row],[Cost Price]]*Table_1[[#This Row],[Quantity]]</f>
        <v>960000</v>
      </c>
      <c r="N100">
        <f>Table_1[[#This Row],[Revenue]]-Table_1[[#This Row],[COGS]]</f>
        <v>240000</v>
      </c>
      <c r="O100" s="11">
        <f t="shared" si="8"/>
        <v>4656740000</v>
      </c>
      <c r="P100">
        <f t="shared" si="9"/>
        <v>3725392000</v>
      </c>
      <c r="Q100">
        <f t="shared" si="10"/>
        <v>931348000</v>
      </c>
      <c r="R100" s="7">
        <f t="shared" si="11"/>
        <v>2098</v>
      </c>
      <c r="S100" s="7">
        <f t="shared" si="12"/>
        <v>1</v>
      </c>
      <c r="T100" s="7">
        <f t="shared" si="13"/>
        <v>2098</v>
      </c>
    </row>
    <row r="101" spans="1:20" ht="14.25" customHeight="1" x14ac:dyDescent="0.35">
      <c r="A101" s="2" t="s">
        <v>102</v>
      </c>
      <c r="B101" s="2" t="s">
        <v>29</v>
      </c>
      <c r="C101" s="2" t="s">
        <v>30</v>
      </c>
      <c r="D101" s="2" t="s">
        <v>14</v>
      </c>
      <c r="E101" s="2" t="s">
        <v>22</v>
      </c>
      <c r="F101" s="2" t="s">
        <v>52</v>
      </c>
      <c r="G101" s="2" t="s">
        <v>36</v>
      </c>
      <c r="H101" s="2">
        <v>420000</v>
      </c>
      <c r="I101" s="2">
        <v>1</v>
      </c>
      <c r="J101" s="2" t="s">
        <v>43</v>
      </c>
      <c r="K101" s="2">
        <f t="shared" si="7"/>
        <v>336000</v>
      </c>
      <c r="L101" s="9">
        <f>Table_1[[#This Row],[Unit Price]]*Table_1[[#This Row],[Quantity]]</f>
        <v>420000</v>
      </c>
      <c r="M101" s="8">
        <f>Table_1[[#This Row],[Cost Price]]*Table_1[[#This Row],[Quantity]]</f>
        <v>336000</v>
      </c>
      <c r="N101">
        <f>Table_1[[#This Row],[Revenue]]-Table_1[[#This Row],[COGS]]</f>
        <v>84000</v>
      </c>
      <c r="O101" s="11">
        <f t="shared" si="8"/>
        <v>4656740000</v>
      </c>
      <c r="P101">
        <f t="shared" si="9"/>
        <v>3725392000</v>
      </c>
      <c r="Q101">
        <f t="shared" si="10"/>
        <v>931348000</v>
      </c>
      <c r="R101" s="7">
        <f t="shared" si="11"/>
        <v>2098</v>
      </c>
      <c r="S101" s="7">
        <f t="shared" si="12"/>
        <v>1</v>
      </c>
      <c r="T101" s="7">
        <f t="shared" si="13"/>
        <v>2098</v>
      </c>
    </row>
    <row r="102" spans="1:20" ht="14.25" customHeight="1" x14ac:dyDescent="0.35">
      <c r="A102" s="2" t="s">
        <v>107</v>
      </c>
      <c r="B102" s="2" t="s">
        <v>12</v>
      </c>
      <c r="C102" s="2" t="s">
        <v>30</v>
      </c>
      <c r="D102" s="2" t="s">
        <v>26</v>
      </c>
      <c r="E102" s="2" t="s">
        <v>15</v>
      </c>
      <c r="F102" s="2" t="s">
        <v>23</v>
      </c>
      <c r="G102" s="2" t="s">
        <v>24</v>
      </c>
      <c r="H102" s="2">
        <v>30000</v>
      </c>
      <c r="I102" s="2">
        <v>7</v>
      </c>
      <c r="J102" s="2" t="s">
        <v>32</v>
      </c>
      <c r="K102" s="2">
        <f t="shared" si="7"/>
        <v>24000</v>
      </c>
      <c r="L102" s="9">
        <f>Table_1[[#This Row],[Unit Price]]*Table_1[[#This Row],[Quantity]]</f>
        <v>210000</v>
      </c>
      <c r="M102" s="8">
        <f>Table_1[[#This Row],[Cost Price]]*Table_1[[#This Row],[Quantity]]</f>
        <v>168000</v>
      </c>
      <c r="N102">
        <f>Table_1[[#This Row],[Revenue]]-Table_1[[#This Row],[COGS]]</f>
        <v>42000</v>
      </c>
      <c r="O102" s="11">
        <f t="shared" si="8"/>
        <v>4656740000</v>
      </c>
      <c r="P102">
        <f t="shared" si="9"/>
        <v>3725392000</v>
      </c>
      <c r="Q102">
        <f t="shared" si="10"/>
        <v>931348000</v>
      </c>
      <c r="R102" s="7">
        <f t="shared" si="11"/>
        <v>2098</v>
      </c>
      <c r="S102" s="7">
        <f t="shared" si="12"/>
        <v>3</v>
      </c>
      <c r="T102" s="7">
        <f t="shared" si="13"/>
        <v>2098</v>
      </c>
    </row>
    <row r="103" spans="1:20" ht="14.25" customHeight="1" x14ac:dyDescent="0.35">
      <c r="A103" s="2" t="s">
        <v>64</v>
      </c>
      <c r="B103" s="2" t="s">
        <v>29</v>
      </c>
      <c r="C103" s="2" t="s">
        <v>13</v>
      </c>
      <c r="D103" s="2" t="s">
        <v>14</v>
      </c>
      <c r="E103" s="2" t="s">
        <v>15</v>
      </c>
      <c r="F103" s="2" t="s">
        <v>52</v>
      </c>
      <c r="G103" s="2" t="s">
        <v>36</v>
      </c>
      <c r="H103" s="2">
        <v>420000</v>
      </c>
      <c r="I103" s="2">
        <v>3</v>
      </c>
      <c r="J103" s="2" t="s">
        <v>32</v>
      </c>
      <c r="K103" s="2">
        <f t="shared" si="7"/>
        <v>336000</v>
      </c>
      <c r="L103" s="9">
        <f>Table_1[[#This Row],[Unit Price]]*Table_1[[#This Row],[Quantity]]</f>
        <v>1260000</v>
      </c>
      <c r="M103" s="8">
        <f>Table_1[[#This Row],[Cost Price]]*Table_1[[#This Row],[Quantity]]</f>
        <v>1008000</v>
      </c>
      <c r="N103">
        <f>Table_1[[#This Row],[Revenue]]-Table_1[[#This Row],[COGS]]</f>
        <v>252000</v>
      </c>
      <c r="O103" s="11">
        <f t="shared" si="8"/>
        <v>4656740000</v>
      </c>
      <c r="P103">
        <f t="shared" si="9"/>
        <v>3725392000</v>
      </c>
      <c r="Q103">
        <f t="shared" si="10"/>
        <v>931348000</v>
      </c>
      <c r="R103" s="7">
        <f t="shared" si="11"/>
        <v>2098</v>
      </c>
      <c r="S103" s="7">
        <f t="shared" si="12"/>
        <v>2</v>
      </c>
      <c r="T103" s="7">
        <f t="shared" si="13"/>
        <v>2098</v>
      </c>
    </row>
    <row r="104" spans="1:20" ht="14.25" customHeight="1" x14ac:dyDescent="0.35">
      <c r="A104" s="2" t="s">
        <v>108</v>
      </c>
      <c r="B104" s="2" t="s">
        <v>29</v>
      </c>
      <c r="C104" s="2" t="s">
        <v>13</v>
      </c>
      <c r="D104" s="2" t="s">
        <v>14</v>
      </c>
      <c r="E104" s="2" t="s">
        <v>22</v>
      </c>
      <c r="F104" s="2" t="s">
        <v>31</v>
      </c>
      <c r="G104" s="2" t="s">
        <v>24</v>
      </c>
      <c r="H104" s="2">
        <v>60000</v>
      </c>
      <c r="I104" s="2">
        <v>5</v>
      </c>
      <c r="J104" s="2" t="s">
        <v>54</v>
      </c>
      <c r="K104" s="2">
        <f t="shared" si="7"/>
        <v>48000</v>
      </c>
      <c r="L104" s="9">
        <f>Table_1[[#This Row],[Unit Price]]*Table_1[[#This Row],[Quantity]]</f>
        <v>300000</v>
      </c>
      <c r="M104" s="8">
        <f>Table_1[[#This Row],[Cost Price]]*Table_1[[#This Row],[Quantity]]</f>
        <v>240000</v>
      </c>
      <c r="N104">
        <f>Table_1[[#This Row],[Revenue]]-Table_1[[#This Row],[COGS]]</f>
        <v>60000</v>
      </c>
      <c r="O104" s="11">
        <f t="shared" si="8"/>
        <v>4656740000</v>
      </c>
      <c r="P104">
        <f t="shared" si="9"/>
        <v>3725392000</v>
      </c>
      <c r="Q104">
        <f t="shared" si="10"/>
        <v>931348000</v>
      </c>
      <c r="R104" s="7">
        <f t="shared" si="11"/>
        <v>2098</v>
      </c>
      <c r="S104" s="7">
        <f t="shared" si="12"/>
        <v>4</v>
      </c>
      <c r="T104" s="7">
        <f t="shared" si="13"/>
        <v>2098</v>
      </c>
    </row>
    <row r="105" spans="1:20" ht="14.25" customHeight="1" x14ac:dyDescent="0.35">
      <c r="A105" s="2" t="s">
        <v>98</v>
      </c>
      <c r="B105" s="2" t="s">
        <v>12</v>
      </c>
      <c r="C105" s="2" t="s">
        <v>38</v>
      </c>
      <c r="D105" s="2" t="s">
        <v>26</v>
      </c>
      <c r="E105" s="2" t="s">
        <v>15</v>
      </c>
      <c r="F105" s="2" t="s">
        <v>35</v>
      </c>
      <c r="G105" s="2" t="s">
        <v>36</v>
      </c>
      <c r="H105" s="2">
        <v>300000</v>
      </c>
      <c r="I105" s="2">
        <v>9</v>
      </c>
      <c r="J105" s="2" t="s">
        <v>54</v>
      </c>
      <c r="K105" s="2">
        <f t="shared" si="7"/>
        <v>240000</v>
      </c>
      <c r="L105" s="9">
        <f>Table_1[[#This Row],[Unit Price]]*Table_1[[#This Row],[Quantity]]</f>
        <v>2700000</v>
      </c>
      <c r="M105" s="8">
        <f>Table_1[[#This Row],[Cost Price]]*Table_1[[#This Row],[Quantity]]</f>
        <v>2160000</v>
      </c>
      <c r="N105">
        <f>Table_1[[#This Row],[Revenue]]-Table_1[[#This Row],[COGS]]</f>
        <v>540000</v>
      </c>
      <c r="O105" s="11">
        <f t="shared" si="8"/>
        <v>4656740000</v>
      </c>
      <c r="P105">
        <f t="shared" si="9"/>
        <v>3725392000</v>
      </c>
      <c r="Q105">
        <f t="shared" si="10"/>
        <v>931348000</v>
      </c>
      <c r="R105" s="7">
        <f t="shared" si="11"/>
        <v>2098</v>
      </c>
      <c r="S105" s="7">
        <f t="shared" si="12"/>
        <v>4</v>
      </c>
      <c r="T105" s="7">
        <f t="shared" si="13"/>
        <v>2098</v>
      </c>
    </row>
    <row r="106" spans="1:20" ht="14.25" customHeight="1" x14ac:dyDescent="0.35">
      <c r="A106" s="2" t="s">
        <v>49</v>
      </c>
      <c r="B106" s="2" t="s">
        <v>20</v>
      </c>
      <c r="C106" s="2" t="s">
        <v>30</v>
      </c>
      <c r="D106" s="2" t="s">
        <v>14</v>
      </c>
      <c r="E106" s="2" t="s">
        <v>22</v>
      </c>
      <c r="F106" s="2" t="s">
        <v>41</v>
      </c>
      <c r="G106" s="2" t="s">
        <v>17</v>
      </c>
      <c r="H106" s="2">
        <v>320000</v>
      </c>
      <c r="I106" s="2">
        <v>4</v>
      </c>
      <c r="J106" s="2" t="s">
        <v>43</v>
      </c>
      <c r="K106" s="2">
        <f t="shared" si="7"/>
        <v>256000</v>
      </c>
      <c r="L106" s="9">
        <f>Table_1[[#This Row],[Unit Price]]*Table_1[[#This Row],[Quantity]]</f>
        <v>1280000</v>
      </c>
      <c r="M106" s="8">
        <f>Table_1[[#This Row],[Cost Price]]*Table_1[[#This Row],[Quantity]]</f>
        <v>1024000</v>
      </c>
      <c r="N106">
        <f>Table_1[[#This Row],[Revenue]]-Table_1[[#This Row],[COGS]]</f>
        <v>256000</v>
      </c>
      <c r="O106" s="11">
        <f t="shared" si="8"/>
        <v>4656740000</v>
      </c>
      <c r="P106">
        <f t="shared" si="9"/>
        <v>3725392000</v>
      </c>
      <c r="Q106">
        <f t="shared" si="10"/>
        <v>931348000</v>
      </c>
      <c r="R106" s="7">
        <f t="shared" si="11"/>
        <v>2098</v>
      </c>
      <c r="S106" s="7">
        <f t="shared" si="12"/>
        <v>4</v>
      </c>
      <c r="T106" s="7">
        <f t="shared" si="13"/>
        <v>2098</v>
      </c>
    </row>
    <row r="107" spans="1:20" ht="14.25" customHeight="1" x14ac:dyDescent="0.35">
      <c r="A107" s="2" t="s">
        <v>77</v>
      </c>
      <c r="B107" s="2" t="s">
        <v>34</v>
      </c>
      <c r="C107" s="2" t="s">
        <v>21</v>
      </c>
      <c r="D107" s="2" t="s">
        <v>14</v>
      </c>
      <c r="E107" s="2" t="s">
        <v>22</v>
      </c>
      <c r="F107" s="2" t="s">
        <v>39</v>
      </c>
      <c r="G107" s="2" t="s">
        <v>24</v>
      </c>
      <c r="H107" s="2">
        <v>180000</v>
      </c>
      <c r="I107" s="2">
        <v>2</v>
      </c>
      <c r="J107" s="2" t="s">
        <v>54</v>
      </c>
      <c r="K107" s="2">
        <f t="shared" si="7"/>
        <v>144000</v>
      </c>
      <c r="L107" s="9">
        <f>Table_1[[#This Row],[Unit Price]]*Table_1[[#This Row],[Quantity]]</f>
        <v>360000</v>
      </c>
      <c r="M107" s="8">
        <f>Table_1[[#This Row],[Cost Price]]*Table_1[[#This Row],[Quantity]]</f>
        <v>288000</v>
      </c>
      <c r="N107">
        <f>Table_1[[#This Row],[Revenue]]-Table_1[[#This Row],[COGS]]</f>
        <v>72000</v>
      </c>
      <c r="O107" s="11">
        <f t="shared" si="8"/>
        <v>4656740000</v>
      </c>
      <c r="P107">
        <f t="shared" si="9"/>
        <v>3725392000</v>
      </c>
      <c r="Q107">
        <f t="shared" si="10"/>
        <v>931348000</v>
      </c>
      <c r="R107" s="7">
        <f t="shared" si="11"/>
        <v>2098</v>
      </c>
      <c r="S107" s="7">
        <f t="shared" si="12"/>
        <v>1</v>
      </c>
      <c r="T107" s="7">
        <f t="shared" si="13"/>
        <v>2098</v>
      </c>
    </row>
    <row r="108" spans="1:20" ht="14.25" customHeight="1" x14ac:dyDescent="0.35">
      <c r="A108" s="2" t="s">
        <v>109</v>
      </c>
      <c r="B108" s="2" t="s">
        <v>20</v>
      </c>
      <c r="C108" s="2" t="s">
        <v>21</v>
      </c>
      <c r="D108" s="2" t="s">
        <v>14</v>
      </c>
      <c r="E108" s="2" t="s">
        <v>15</v>
      </c>
      <c r="F108" s="2" t="s">
        <v>16</v>
      </c>
      <c r="G108" s="2" t="s">
        <v>17</v>
      </c>
      <c r="H108" s="2">
        <v>85000</v>
      </c>
      <c r="I108" s="2">
        <v>1</v>
      </c>
      <c r="J108" s="2" t="s">
        <v>43</v>
      </c>
      <c r="K108" s="2">
        <f t="shared" si="7"/>
        <v>68000</v>
      </c>
      <c r="L108" s="9">
        <f>Table_1[[#This Row],[Unit Price]]*Table_1[[#This Row],[Quantity]]</f>
        <v>85000</v>
      </c>
      <c r="M108" s="8">
        <f>Table_1[[#This Row],[Cost Price]]*Table_1[[#This Row],[Quantity]]</f>
        <v>68000</v>
      </c>
      <c r="N108">
        <f>Table_1[[#This Row],[Revenue]]-Table_1[[#This Row],[COGS]]</f>
        <v>17000</v>
      </c>
      <c r="O108" s="11">
        <f t="shared" si="8"/>
        <v>4656740000</v>
      </c>
      <c r="P108">
        <f t="shared" si="9"/>
        <v>3725392000</v>
      </c>
      <c r="Q108">
        <f t="shared" si="10"/>
        <v>931348000</v>
      </c>
      <c r="R108" s="7">
        <f t="shared" si="11"/>
        <v>2098</v>
      </c>
      <c r="S108" s="7">
        <f t="shared" si="12"/>
        <v>2</v>
      </c>
      <c r="T108" s="7">
        <f t="shared" si="13"/>
        <v>2098</v>
      </c>
    </row>
    <row r="109" spans="1:20" ht="14.25" customHeight="1" x14ac:dyDescent="0.35">
      <c r="A109" s="2" t="s">
        <v>110</v>
      </c>
      <c r="B109" s="2" t="s">
        <v>34</v>
      </c>
      <c r="C109" s="2" t="s">
        <v>30</v>
      </c>
      <c r="D109" s="2" t="s">
        <v>26</v>
      </c>
      <c r="E109" s="2" t="s">
        <v>22</v>
      </c>
      <c r="F109" s="2" t="s">
        <v>41</v>
      </c>
      <c r="G109" s="2" t="s">
        <v>17</v>
      </c>
      <c r="H109" s="2">
        <v>320000</v>
      </c>
      <c r="I109" s="2">
        <v>7</v>
      </c>
      <c r="J109" s="2" t="s">
        <v>43</v>
      </c>
      <c r="K109" s="2">
        <f t="shared" si="7"/>
        <v>256000</v>
      </c>
      <c r="L109" s="9">
        <f>Table_1[[#This Row],[Unit Price]]*Table_1[[#This Row],[Quantity]]</f>
        <v>2240000</v>
      </c>
      <c r="M109" s="8">
        <f>Table_1[[#This Row],[Cost Price]]*Table_1[[#This Row],[Quantity]]</f>
        <v>1792000</v>
      </c>
      <c r="N109">
        <f>Table_1[[#This Row],[Revenue]]-Table_1[[#This Row],[COGS]]</f>
        <v>448000</v>
      </c>
      <c r="O109" s="11">
        <f t="shared" si="8"/>
        <v>4656740000</v>
      </c>
      <c r="P109">
        <f t="shared" si="9"/>
        <v>3725392000</v>
      </c>
      <c r="Q109">
        <f t="shared" si="10"/>
        <v>931348000</v>
      </c>
      <c r="R109" s="7">
        <f t="shared" si="11"/>
        <v>2098</v>
      </c>
      <c r="S109" s="7">
        <f t="shared" si="12"/>
        <v>2</v>
      </c>
      <c r="T109" s="7">
        <f t="shared" si="13"/>
        <v>2098</v>
      </c>
    </row>
    <row r="110" spans="1:20" ht="14.25" customHeight="1" x14ac:dyDescent="0.35">
      <c r="A110" s="2" t="s">
        <v>80</v>
      </c>
      <c r="B110" s="2" t="s">
        <v>20</v>
      </c>
      <c r="C110" s="2" t="s">
        <v>38</v>
      </c>
      <c r="D110" s="2" t="s">
        <v>26</v>
      </c>
      <c r="E110" s="2" t="s">
        <v>15</v>
      </c>
      <c r="F110" s="2" t="s">
        <v>31</v>
      </c>
      <c r="G110" s="2" t="s">
        <v>24</v>
      </c>
      <c r="H110" s="2">
        <v>60000</v>
      </c>
      <c r="I110" s="2">
        <v>9</v>
      </c>
      <c r="J110" s="2" t="s">
        <v>18</v>
      </c>
      <c r="K110" s="2">
        <f t="shared" si="7"/>
        <v>48000</v>
      </c>
      <c r="L110" s="9">
        <f>Table_1[[#This Row],[Unit Price]]*Table_1[[#This Row],[Quantity]]</f>
        <v>540000</v>
      </c>
      <c r="M110" s="8">
        <f>Table_1[[#This Row],[Cost Price]]*Table_1[[#This Row],[Quantity]]</f>
        <v>432000</v>
      </c>
      <c r="N110">
        <f>Table_1[[#This Row],[Revenue]]-Table_1[[#This Row],[COGS]]</f>
        <v>108000</v>
      </c>
      <c r="O110" s="11">
        <f t="shared" si="8"/>
        <v>4656740000</v>
      </c>
      <c r="P110">
        <f t="shared" si="9"/>
        <v>3725392000</v>
      </c>
      <c r="Q110">
        <f t="shared" si="10"/>
        <v>931348000</v>
      </c>
      <c r="R110" s="7">
        <f t="shared" si="11"/>
        <v>2098</v>
      </c>
      <c r="S110" s="7">
        <f t="shared" si="12"/>
        <v>2</v>
      </c>
      <c r="T110" s="7">
        <f t="shared" si="13"/>
        <v>2098</v>
      </c>
    </row>
    <row r="111" spans="1:20" ht="14.25" customHeight="1" x14ac:dyDescent="0.35">
      <c r="A111" s="2" t="s">
        <v>79</v>
      </c>
      <c r="B111" s="2" t="s">
        <v>34</v>
      </c>
      <c r="C111" s="2" t="s">
        <v>38</v>
      </c>
      <c r="D111" s="2" t="s">
        <v>26</v>
      </c>
      <c r="E111" s="2" t="s">
        <v>22</v>
      </c>
      <c r="F111" s="2" t="s">
        <v>16</v>
      </c>
      <c r="G111" s="2" t="s">
        <v>17</v>
      </c>
      <c r="H111" s="2">
        <v>85000</v>
      </c>
      <c r="I111" s="2">
        <v>1</v>
      </c>
      <c r="J111" s="2" t="s">
        <v>27</v>
      </c>
      <c r="K111" s="2">
        <f t="shared" si="7"/>
        <v>68000</v>
      </c>
      <c r="L111" s="9">
        <f>Table_1[[#This Row],[Unit Price]]*Table_1[[#This Row],[Quantity]]</f>
        <v>85000</v>
      </c>
      <c r="M111" s="8">
        <f>Table_1[[#This Row],[Cost Price]]*Table_1[[#This Row],[Quantity]]</f>
        <v>68000</v>
      </c>
      <c r="N111">
        <f>Table_1[[#This Row],[Revenue]]-Table_1[[#This Row],[COGS]]</f>
        <v>17000</v>
      </c>
      <c r="O111" s="11">
        <f t="shared" si="8"/>
        <v>4656740000</v>
      </c>
      <c r="P111">
        <f t="shared" si="9"/>
        <v>3725392000</v>
      </c>
      <c r="Q111">
        <f t="shared" si="10"/>
        <v>931348000</v>
      </c>
      <c r="R111" s="7">
        <f t="shared" si="11"/>
        <v>2098</v>
      </c>
      <c r="S111" s="7">
        <f t="shared" si="12"/>
        <v>1</v>
      </c>
      <c r="T111" s="7">
        <f t="shared" si="13"/>
        <v>2098</v>
      </c>
    </row>
    <row r="112" spans="1:20" ht="14.25" customHeight="1" x14ac:dyDescent="0.35">
      <c r="A112" s="2" t="s">
        <v>45</v>
      </c>
      <c r="B112" s="2" t="s">
        <v>20</v>
      </c>
      <c r="C112" s="2" t="s">
        <v>21</v>
      </c>
      <c r="D112" s="2" t="s">
        <v>14</v>
      </c>
      <c r="E112" s="2" t="s">
        <v>15</v>
      </c>
      <c r="F112" s="2" t="s">
        <v>35</v>
      </c>
      <c r="G112" s="2" t="s">
        <v>36</v>
      </c>
      <c r="H112" s="2">
        <v>300000</v>
      </c>
      <c r="I112" s="2">
        <v>6</v>
      </c>
      <c r="J112" s="2" t="s">
        <v>54</v>
      </c>
      <c r="K112" s="2">
        <f t="shared" si="7"/>
        <v>240000</v>
      </c>
      <c r="L112" s="9">
        <f>Table_1[[#This Row],[Unit Price]]*Table_1[[#This Row],[Quantity]]</f>
        <v>1800000</v>
      </c>
      <c r="M112" s="8">
        <f>Table_1[[#This Row],[Cost Price]]*Table_1[[#This Row],[Quantity]]</f>
        <v>1440000</v>
      </c>
      <c r="N112">
        <f>Table_1[[#This Row],[Revenue]]-Table_1[[#This Row],[COGS]]</f>
        <v>360000</v>
      </c>
      <c r="O112" s="11">
        <f t="shared" si="8"/>
        <v>4656740000</v>
      </c>
      <c r="P112">
        <f t="shared" si="9"/>
        <v>3725392000</v>
      </c>
      <c r="Q112">
        <f t="shared" si="10"/>
        <v>931348000</v>
      </c>
      <c r="R112" s="7">
        <f t="shared" si="11"/>
        <v>2098</v>
      </c>
      <c r="S112" s="7">
        <f t="shared" si="12"/>
        <v>3</v>
      </c>
      <c r="T112" s="7">
        <f t="shared" si="13"/>
        <v>2098</v>
      </c>
    </row>
    <row r="113" spans="1:20" ht="14.25" customHeight="1" x14ac:dyDescent="0.35">
      <c r="A113" s="2" t="s">
        <v>83</v>
      </c>
      <c r="B113" s="2" t="s">
        <v>34</v>
      </c>
      <c r="C113" s="2" t="s">
        <v>21</v>
      </c>
      <c r="D113" s="2" t="s">
        <v>26</v>
      </c>
      <c r="E113" s="2" t="s">
        <v>15</v>
      </c>
      <c r="F113" s="2" t="s">
        <v>23</v>
      </c>
      <c r="G113" s="2" t="s">
        <v>24</v>
      </c>
      <c r="H113" s="2">
        <v>30000</v>
      </c>
      <c r="I113" s="2">
        <v>5</v>
      </c>
      <c r="J113" s="2" t="s">
        <v>18</v>
      </c>
      <c r="K113" s="2">
        <f t="shared" si="7"/>
        <v>24000</v>
      </c>
      <c r="L113" s="9">
        <f>Table_1[[#This Row],[Unit Price]]*Table_1[[#This Row],[Quantity]]</f>
        <v>150000</v>
      </c>
      <c r="M113" s="8">
        <f>Table_1[[#This Row],[Cost Price]]*Table_1[[#This Row],[Quantity]]</f>
        <v>120000</v>
      </c>
      <c r="N113">
        <f>Table_1[[#This Row],[Revenue]]-Table_1[[#This Row],[COGS]]</f>
        <v>30000</v>
      </c>
      <c r="O113" s="11">
        <f t="shared" si="8"/>
        <v>4656740000</v>
      </c>
      <c r="P113">
        <f t="shared" si="9"/>
        <v>3725392000</v>
      </c>
      <c r="Q113">
        <f t="shared" si="10"/>
        <v>931348000</v>
      </c>
      <c r="R113" s="7">
        <f t="shared" si="11"/>
        <v>2098</v>
      </c>
      <c r="S113" s="7">
        <f t="shared" si="12"/>
        <v>1</v>
      </c>
      <c r="T113" s="7">
        <f t="shared" si="13"/>
        <v>2098</v>
      </c>
    </row>
    <row r="114" spans="1:20" ht="14.25" customHeight="1" x14ac:dyDescent="0.35">
      <c r="A114" s="2" t="s">
        <v>40</v>
      </c>
      <c r="B114" s="2" t="s">
        <v>34</v>
      </c>
      <c r="C114" s="2" t="s">
        <v>13</v>
      </c>
      <c r="D114" s="2" t="s">
        <v>14</v>
      </c>
      <c r="E114" s="2" t="s">
        <v>22</v>
      </c>
      <c r="F114" s="2" t="s">
        <v>47</v>
      </c>
      <c r="G114" s="2" t="s">
        <v>36</v>
      </c>
      <c r="H114" s="2">
        <v>150000</v>
      </c>
      <c r="I114" s="2">
        <v>4</v>
      </c>
      <c r="J114" s="2" t="s">
        <v>50</v>
      </c>
      <c r="K114" s="2">
        <f t="shared" si="7"/>
        <v>120000</v>
      </c>
      <c r="L114" s="9">
        <f>Table_1[[#This Row],[Unit Price]]*Table_1[[#This Row],[Quantity]]</f>
        <v>600000</v>
      </c>
      <c r="M114" s="8">
        <f>Table_1[[#This Row],[Cost Price]]*Table_1[[#This Row],[Quantity]]</f>
        <v>480000</v>
      </c>
      <c r="N114">
        <f>Table_1[[#This Row],[Revenue]]-Table_1[[#This Row],[COGS]]</f>
        <v>120000</v>
      </c>
      <c r="O114" s="11">
        <f t="shared" si="8"/>
        <v>4656740000</v>
      </c>
      <c r="P114">
        <f t="shared" si="9"/>
        <v>3725392000</v>
      </c>
      <c r="Q114">
        <f t="shared" si="10"/>
        <v>931348000</v>
      </c>
      <c r="R114" s="7">
        <f t="shared" si="11"/>
        <v>2098</v>
      </c>
      <c r="S114" s="7">
        <f t="shared" si="12"/>
        <v>3</v>
      </c>
      <c r="T114" s="7">
        <f t="shared" si="13"/>
        <v>2098</v>
      </c>
    </row>
    <row r="115" spans="1:20" ht="14.25" customHeight="1" x14ac:dyDescent="0.35">
      <c r="A115" s="2" t="s">
        <v>45</v>
      </c>
      <c r="B115" s="2" t="s">
        <v>29</v>
      </c>
      <c r="C115" s="2" t="s">
        <v>13</v>
      </c>
      <c r="D115" s="2" t="s">
        <v>26</v>
      </c>
      <c r="E115" s="2" t="s">
        <v>22</v>
      </c>
      <c r="F115" s="2" t="s">
        <v>47</v>
      </c>
      <c r="G115" s="2" t="s">
        <v>36</v>
      </c>
      <c r="H115" s="2">
        <v>150000</v>
      </c>
      <c r="I115" s="2">
        <v>6</v>
      </c>
      <c r="J115" s="2" t="s">
        <v>50</v>
      </c>
      <c r="K115" s="2">
        <f t="shared" si="7"/>
        <v>120000</v>
      </c>
      <c r="L115" s="9">
        <f>Table_1[[#This Row],[Unit Price]]*Table_1[[#This Row],[Quantity]]</f>
        <v>900000</v>
      </c>
      <c r="M115" s="8">
        <f>Table_1[[#This Row],[Cost Price]]*Table_1[[#This Row],[Quantity]]</f>
        <v>720000</v>
      </c>
      <c r="N115">
        <f>Table_1[[#This Row],[Revenue]]-Table_1[[#This Row],[COGS]]</f>
        <v>180000</v>
      </c>
      <c r="O115" s="11">
        <f t="shared" si="8"/>
        <v>4656740000</v>
      </c>
      <c r="P115">
        <f t="shared" si="9"/>
        <v>3725392000</v>
      </c>
      <c r="Q115">
        <f t="shared" si="10"/>
        <v>931348000</v>
      </c>
      <c r="R115" s="7">
        <f t="shared" si="11"/>
        <v>2098</v>
      </c>
      <c r="S115" s="7">
        <f t="shared" si="12"/>
        <v>3</v>
      </c>
      <c r="T115" s="7">
        <f t="shared" si="13"/>
        <v>2098</v>
      </c>
    </row>
    <row r="116" spans="1:20" ht="14.25" customHeight="1" x14ac:dyDescent="0.35">
      <c r="A116" s="2" t="s">
        <v>101</v>
      </c>
      <c r="B116" s="2" t="s">
        <v>34</v>
      </c>
      <c r="C116" s="2" t="s">
        <v>21</v>
      </c>
      <c r="D116" s="2" t="s">
        <v>26</v>
      </c>
      <c r="E116" s="2" t="s">
        <v>22</v>
      </c>
      <c r="F116" s="2" t="s">
        <v>47</v>
      </c>
      <c r="G116" s="2" t="s">
        <v>36</v>
      </c>
      <c r="H116" s="2">
        <v>150000</v>
      </c>
      <c r="I116" s="2">
        <v>8</v>
      </c>
      <c r="J116" s="2" t="s">
        <v>50</v>
      </c>
      <c r="K116" s="2">
        <f t="shared" si="7"/>
        <v>120000</v>
      </c>
      <c r="L116" s="9">
        <f>Table_1[[#This Row],[Unit Price]]*Table_1[[#This Row],[Quantity]]</f>
        <v>1200000</v>
      </c>
      <c r="M116" s="8">
        <f>Table_1[[#This Row],[Cost Price]]*Table_1[[#This Row],[Quantity]]</f>
        <v>960000</v>
      </c>
      <c r="N116">
        <f>Table_1[[#This Row],[Revenue]]-Table_1[[#This Row],[COGS]]</f>
        <v>240000</v>
      </c>
      <c r="O116" s="11">
        <f t="shared" si="8"/>
        <v>4656740000</v>
      </c>
      <c r="P116">
        <f t="shared" si="9"/>
        <v>3725392000</v>
      </c>
      <c r="Q116">
        <f t="shared" si="10"/>
        <v>931348000</v>
      </c>
      <c r="R116" s="7">
        <f t="shared" si="11"/>
        <v>2098</v>
      </c>
      <c r="S116" s="7">
        <f t="shared" si="12"/>
        <v>4</v>
      </c>
      <c r="T116" s="7">
        <f t="shared" si="13"/>
        <v>2098</v>
      </c>
    </row>
    <row r="117" spans="1:20" ht="14.25" customHeight="1" x14ac:dyDescent="0.35">
      <c r="A117" s="2" t="s">
        <v>111</v>
      </c>
      <c r="B117" s="2" t="s">
        <v>29</v>
      </c>
      <c r="C117" s="2" t="s">
        <v>21</v>
      </c>
      <c r="D117" s="2" t="s">
        <v>14</v>
      </c>
      <c r="E117" s="2" t="s">
        <v>22</v>
      </c>
      <c r="F117" s="2" t="s">
        <v>23</v>
      </c>
      <c r="G117" s="2" t="s">
        <v>24</v>
      </c>
      <c r="H117" s="2">
        <v>30000</v>
      </c>
      <c r="I117" s="2">
        <v>6</v>
      </c>
      <c r="J117" s="2" t="s">
        <v>18</v>
      </c>
      <c r="K117" s="2">
        <f t="shared" si="7"/>
        <v>24000</v>
      </c>
      <c r="L117" s="9">
        <f>Table_1[[#This Row],[Unit Price]]*Table_1[[#This Row],[Quantity]]</f>
        <v>180000</v>
      </c>
      <c r="M117" s="8">
        <f>Table_1[[#This Row],[Cost Price]]*Table_1[[#This Row],[Quantity]]</f>
        <v>144000</v>
      </c>
      <c r="N117">
        <f>Table_1[[#This Row],[Revenue]]-Table_1[[#This Row],[COGS]]</f>
        <v>36000</v>
      </c>
      <c r="O117" s="11">
        <f t="shared" si="8"/>
        <v>4656740000</v>
      </c>
      <c r="P117">
        <f t="shared" si="9"/>
        <v>3725392000</v>
      </c>
      <c r="Q117">
        <f t="shared" si="10"/>
        <v>931348000</v>
      </c>
      <c r="R117" s="7">
        <f t="shared" si="11"/>
        <v>2098</v>
      </c>
      <c r="S117" s="7">
        <f t="shared" si="12"/>
        <v>1</v>
      </c>
      <c r="T117" s="7">
        <f t="shared" si="13"/>
        <v>2098</v>
      </c>
    </row>
    <row r="118" spans="1:20" ht="14.25" customHeight="1" x14ac:dyDescent="0.35">
      <c r="A118" s="2" t="s">
        <v>112</v>
      </c>
      <c r="B118" s="2" t="s">
        <v>12</v>
      </c>
      <c r="C118" s="2" t="s">
        <v>21</v>
      </c>
      <c r="D118" s="2" t="s">
        <v>14</v>
      </c>
      <c r="E118" s="2" t="s">
        <v>15</v>
      </c>
      <c r="F118" s="2" t="s">
        <v>56</v>
      </c>
      <c r="G118" s="2" t="s">
        <v>36</v>
      </c>
      <c r="H118" s="2">
        <v>250000</v>
      </c>
      <c r="I118" s="2">
        <v>3</v>
      </c>
      <c r="J118" s="2" t="s">
        <v>43</v>
      </c>
      <c r="K118" s="2">
        <f t="shared" si="7"/>
        <v>200000</v>
      </c>
      <c r="L118" s="9">
        <f>Table_1[[#This Row],[Unit Price]]*Table_1[[#This Row],[Quantity]]</f>
        <v>750000</v>
      </c>
      <c r="M118" s="8">
        <f>Table_1[[#This Row],[Cost Price]]*Table_1[[#This Row],[Quantity]]</f>
        <v>600000</v>
      </c>
      <c r="N118">
        <f>Table_1[[#This Row],[Revenue]]-Table_1[[#This Row],[COGS]]</f>
        <v>150000</v>
      </c>
      <c r="O118" s="11">
        <f t="shared" si="8"/>
        <v>4656740000</v>
      </c>
      <c r="P118">
        <f t="shared" si="9"/>
        <v>3725392000</v>
      </c>
      <c r="Q118">
        <f t="shared" si="10"/>
        <v>931348000</v>
      </c>
      <c r="R118" s="7">
        <f t="shared" si="11"/>
        <v>2098</v>
      </c>
      <c r="S118" s="7">
        <f t="shared" si="12"/>
        <v>1</v>
      </c>
      <c r="T118" s="7">
        <f t="shared" si="13"/>
        <v>2098</v>
      </c>
    </row>
    <row r="119" spans="1:20" ht="14.25" customHeight="1" x14ac:dyDescent="0.35">
      <c r="A119" s="2" t="s">
        <v>113</v>
      </c>
      <c r="B119" s="2" t="s">
        <v>29</v>
      </c>
      <c r="C119" s="2" t="s">
        <v>21</v>
      </c>
      <c r="D119" s="2" t="s">
        <v>26</v>
      </c>
      <c r="E119" s="2" t="s">
        <v>15</v>
      </c>
      <c r="F119" s="2" t="s">
        <v>47</v>
      </c>
      <c r="G119" s="2" t="s">
        <v>36</v>
      </c>
      <c r="H119" s="2">
        <v>150000</v>
      </c>
      <c r="I119" s="2">
        <v>5</v>
      </c>
      <c r="J119" s="2" t="s">
        <v>18</v>
      </c>
      <c r="K119" s="2">
        <f t="shared" si="7"/>
        <v>120000</v>
      </c>
      <c r="L119" s="9">
        <f>Table_1[[#This Row],[Unit Price]]*Table_1[[#This Row],[Quantity]]</f>
        <v>750000</v>
      </c>
      <c r="M119" s="8">
        <f>Table_1[[#This Row],[Cost Price]]*Table_1[[#This Row],[Quantity]]</f>
        <v>600000</v>
      </c>
      <c r="N119">
        <f>Table_1[[#This Row],[Revenue]]-Table_1[[#This Row],[COGS]]</f>
        <v>150000</v>
      </c>
      <c r="O119" s="11">
        <f t="shared" si="8"/>
        <v>4656740000</v>
      </c>
      <c r="P119">
        <f t="shared" si="9"/>
        <v>3725392000</v>
      </c>
      <c r="Q119">
        <f t="shared" si="10"/>
        <v>931348000</v>
      </c>
      <c r="R119" s="7">
        <f t="shared" si="11"/>
        <v>2098</v>
      </c>
      <c r="S119" s="7">
        <f t="shared" si="12"/>
        <v>3</v>
      </c>
      <c r="T119" s="7">
        <f t="shared" si="13"/>
        <v>2098</v>
      </c>
    </row>
    <row r="120" spans="1:20" ht="14.25" customHeight="1" x14ac:dyDescent="0.35">
      <c r="A120" s="2" t="s">
        <v>114</v>
      </c>
      <c r="B120" s="2" t="s">
        <v>12</v>
      </c>
      <c r="C120" s="2" t="s">
        <v>21</v>
      </c>
      <c r="D120" s="2" t="s">
        <v>14</v>
      </c>
      <c r="E120" s="2" t="s">
        <v>15</v>
      </c>
      <c r="F120" s="2" t="s">
        <v>58</v>
      </c>
      <c r="G120" s="2" t="s">
        <v>24</v>
      </c>
      <c r="H120" s="2">
        <v>220000</v>
      </c>
      <c r="I120" s="2">
        <v>1</v>
      </c>
      <c r="J120" s="2" t="s">
        <v>50</v>
      </c>
      <c r="K120" s="2">
        <f t="shared" si="7"/>
        <v>176000</v>
      </c>
      <c r="L120" s="9">
        <f>Table_1[[#This Row],[Unit Price]]*Table_1[[#This Row],[Quantity]]</f>
        <v>220000</v>
      </c>
      <c r="M120" s="8">
        <f>Table_1[[#This Row],[Cost Price]]*Table_1[[#This Row],[Quantity]]</f>
        <v>176000</v>
      </c>
      <c r="N120">
        <f>Table_1[[#This Row],[Revenue]]-Table_1[[#This Row],[COGS]]</f>
        <v>44000</v>
      </c>
      <c r="O120" s="11">
        <f t="shared" si="8"/>
        <v>4656740000</v>
      </c>
      <c r="P120">
        <f t="shared" si="9"/>
        <v>3725392000</v>
      </c>
      <c r="Q120">
        <f t="shared" si="10"/>
        <v>931348000</v>
      </c>
      <c r="R120" s="7">
        <f t="shared" si="11"/>
        <v>2098</v>
      </c>
      <c r="S120" s="7">
        <f t="shared" si="12"/>
        <v>3</v>
      </c>
      <c r="T120" s="7">
        <f t="shared" si="13"/>
        <v>2098</v>
      </c>
    </row>
    <row r="121" spans="1:20" ht="14.25" customHeight="1" x14ac:dyDescent="0.35">
      <c r="A121" s="2" t="s">
        <v>115</v>
      </c>
      <c r="B121" s="2" t="s">
        <v>34</v>
      </c>
      <c r="C121" s="2" t="s">
        <v>21</v>
      </c>
      <c r="D121" s="2" t="s">
        <v>14</v>
      </c>
      <c r="E121" s="2" t="s">
        <v>22</v>
      </c>
      <c r="F121" s="2" t="s">
        <v>41</v>
      </c>
      <c r="G121" s="2" t="s">
        <v>17</v>
      </c>
      <c r="H121" s="2">
        <v>320000</v>
      </c>
      <c r="I121" s="2">
        <v>10</v>
      </c>
      <c r="J121" s="2" t="s">
        <v>43</v>
      </c>
      <c r="K121" s="2">
        <f t="shared" si="7"/>
        <v>256000</v>
      </c>
      <c r="L121" s="9">
        <f>Table_1[[#This Row],[Unit Price]]*Table_1[[#This Row],[Quantity]]</f>
        <v>3200000</v>
      </c>
      <c r="M121" s="8">
        <f>Table_1[[#This Row],[Cost Price]]*Table_1[[#This Row],[Quantity]]</f>
        <v>2560000</v>
      </c>
      <c r="N121">
        <f>Table_1[[#This Row],[Revenue]]-Table_1[[#This Row],[COGS]]</f>
        <v>640000</v>
      </c>
      <c r="O121" s="11">
        <f t="shared" si="8"/>
        <v>4656740000</v>
      </c>
      <c r="P121">
        <f t="shared" si="9"/>
        <v>3725392000</v>
      </c>
      <c r="Q121">
        <f t="shared" si="10"/>
        <v>931348000</v>
      </c>
      <c r="R121" s="7">
        <f t="shared" si="11"/>
        <v>2098</v>
      </c>
      <c r="S121" s="7">
        <f t="shared" si="12"/>
        <v>1</v>
      </c>
      <c r="T121" s="7">
        <f t="shared" si="13"/>
        <v>2098</v>
      </c>
    </row>
    <row r="122" spans="1:20" ht="14.25" customHeight="1" x14ac:dyDescent="0.35">
      <c r="A122" s="2" t="s">
        <v>82</v>
      </c>
      <c r="B122" s="2" t="s">
        <v>29</v>
      </c>
      <c r="C122" s="2" t="s">
        <v>13</v>
      </c>
      <c r="D122" s="2" t="s">
        <v>26</v>
      </c>
      <c r="E122" s="2" t="s">
        <v>22</v>
      </c>
      <c r="F122" s="2" t="s">
        <v>31</v>
      </c>
      <c r="G122" s="2" t="s">
        <v>24</v>
      </c>
      <c r="H122" s="2">
        <v>60000</v>
      </c>
      <c r="I122" s="2">
        <v>5</v>
      </c>
      <c r="J122" s="2" t="s">
        <v>27</v>
      </c>
      <c r="K122" s="2">
        <f t="shared" si="7"/>
        <v>48000</v>
      </c>
      <c r="L122" s="9">
        <f>Table_1[[#This Row],[Unit Price]]*Table_1[[#This Row],[Quantity]]</f>
        <v>300000</v>
      </c>
      <c r="M122" s="8">
        <f>Table_1[[#This Row],[Cost Price]]*Table_1[[#This Row],[Quantity]]</f>
        <v>240000</v>
      </c>
      <c r="N122">
        <f>Table_1[[#This Row],[Revenue]]-Table_1[[#This Row],[COGS]]</f>
        <v>60000</v>
      </c>
      <c r="O122" s="11">
        <f t="shared" si="8"/>
        <v>4656740000</v>
      </c>
      <c r="P122">
        <f t="shared" si="9"/>
        <v>3725392000</v>
      </c>
      <c r="Q122">
        <f t="shared" si="10"/>
        <v>931348000</v>
      </c>
      <c r="R122" s="7">
        <f t="shared" si="11"/>
        <v>2098</v>
      </c>
      <c r="S122" s="7">
        <f t="shared" si="12"/>
        <v>1</v>
      </c>
      <c r="T122" s="7">
        <f t="shared" si="13"/>
        <v>2098</v>
      </c>
    </row>
    <row r="123" spans="1:20" ht="14.25" customHeight="1" x14ac:dyDescent="0.35">
      <c r="A123" s="2" t="s">
        <v>93</v>
      </c>
      <c r="B123" s="2" t="s">
        <v>20</v>
      </c>
      <c r="C123" s="2" t="s">
        <v>38</v>
      </c>
      <c r="D123" s="2" t="s">
        <v>14</v>
      </c>
      <c r="E123" s="2" t="s">
        <v>22</v>
      </c>
      <c r="F123" s="2" t="s">
        <v>47</v>
      </c>
      <c r="G123" s="2" t="s">
        <v>36</v>
      </c>
      <c r="H123" s="2">
        <v>150000</v>
      </c>
      <c r="I123" s="2">
        <v>7</v>
      </c>
      <c r="J123" s="2" t="s">
        <v>54</v>
      </c>
      <c r="K123" s="2">
        <f t="shared" si="7"/>
        <v>120000</v>
      </c>
      <c r="L123" s="9">
        <f>Table_1[[#This Row],[Unit Price]]*Table_1[[#This Row],[Quantity]]</f>
        <v>1050000</v>
      </c>
      <c r="M123" s="8">
        <f>Table_1[[#This Row],[Cost Price]]*Table_1[[#This Row],[Quantity]]</f>
        <v>840000</v>
      </c>
      <c r="N123">
        <f>Table_1[[#This Row],[Revenue]]-Table_1[[#This Row],[COGS]]</f>
        <v>210000</v>
      </c>
      <c r="O123" s="11">
        <f t="shared" si="8"/>
        <v>4656740000</v>
      </c>
      <c r="P123">
        <f t="shared" si="9"/>
        <v>3725392000</v>
      </c>
      <c r="Q123">
        <f t="shared" si="10"/>
        <v>931348000</v>
      </c>
      <c r="R123" s="7">
        <f t="shared" si="11"/>
        <v>2098</v>
      </c>
      <c r="S123" s="7">
        <f t="shared" si="12"/>
        <v>4</v>
      </c>
      <c r="T123" s="7">
        <f t="shared" si="13"/>
        <v>2098</v>
      </c>
    </row>
    <row r="124" spans="1:20" ht="14.25" customHeight="1" x14ac:dyDescent="0.35">
      <c r="A124" s="2" t="s">
        <v>33</v>
      </c>
      <c r="B124" s="2" t="s">
        <v>34</v>
      </c>
      <c r="C124" s="2" t="s">
        <v>30</v>
      </c>
      <c r="D124" s="2" t="s">
        <v>14</v>
      </c>
      <c r="E124" s="2" t="s">
        <v>15</v>
      </c>
      <c r="F124" s="2" t="s">
        <v>31</v>
      </c>
      <c r="G124" s="2" t="s">
        <v>24</v>
      </c>
      <c r="H124" s="2">
        <v>60000</v>
      </c>
      <c r="I124" s="2">
        <v>7</v>
      </c>
      <c r="J124" s="2" t="s">
        <v>32</v>
      </c>
      <c r="K124" s="2">
        <f t="shared" si="7"/>
        <v>48000</v>
      </c>
      <c r="L124" s="9">
        <f>Table_1[[#This Row],[Unit Price]]*Table_1[[#This Row],[Quantity]]</f>
        <v>420000</v>
      </c>
      <c r="M124" s="8">
        <f>Table_1[[#This Row],[Cost Price]]*Table_1[[#This Row],[Quantity]]</f>
        <v>336000</v>
      </c>
      <c r="N124">
        <f>Table_1[[#This Row],[Revenue]]-Table_1[[#This Row],[COGS]]</f>
        <v>84000</v>
      </c>
      <c r="O124" s="11">
        <f t="shared" si="8"/>
        <v>4656740000</v>
      </c>
      <c r="P124">
        <f t="shared" si="9"/>
        <v>3725392000</v>
      </c>
      <c r="Q124">
        <f t="shared" si="10"/>
        <v>931348000</v>
      </c>
      <c r="R124" s="7">
        <f t="shared" si="11"/>
        <v>2098</v>
      </c>
      <c r="S124" s="7">
        <f t="shared" si="12"/>
        <v>4</v>
      </c>
      <c r="T124" s="7">
        <f t="shared" si="13"/>
        <v>2098</v>
      </c>
    </row>
    <row r="125" spans="1:20" ht="14.25" customHeight="1" x14ac:dyDescent="0.35">
      <c r="A125" s="2" t="s">
        <v>59</v>
      </c>
      <c r="B125" s="2" t="s">
        <v>34</v>
      </c>
      <c r="C125" s="2" t="s">
        <v>13</v>
      </c>
      <c r="D125" s="2" t="s">
        <v>26</v>
      </c>
      <c r="E125" s="2" t="s">
        <v>22</v>
      </c>
      <c r="F125" s="2" t="s">
        <v>58</v>
      </c>
      <c r="G125" s="2" t="s">
        <v>24</v>
      </c>
      <c r="H125" s="2">
        <v>220000</v>
      </c>
      <c r="I125" s="2">
        <v>4</v>
      </c>
      <c r="J125" s="2" t="s">
        <v>43</v>
      </c>
      <c r="K125" s="2">
        <f t="shared" si="7"/>
        <v>176000</v>
      </c>
      <c r="L125" s="9">
        <f>Table_1[[#This Row],[Unit Price]]*Table_1[[#This Row],[Quantity]]</f>
        <v>880000</v>
      </c>
      <c r="M125" s="8">
        <f>Table_1[[#This Row],[Cost Price]]*Table_1[[#This Row],[Quantity]]</f>
        <v>704000</v>
      </c>
      <c r="N125">
        <f>Table_1[[#This Row],[Revenue]]-Table_1[[#This Row],[COGS]]</f>
        <v>176000</v>
      </c>
      <c r="O125" s="11">
        <f t="shared" si="8"/>
        <v>4656740000</v>
      </c>
      <c r="P125">
        <f t="shared" si="9"/>
        <v>3725392000</v>
      </c>
      <c r="Q125">
        <f t="shared" si="10"/>
        <v>931348000</v>
      </c>
      <c r="R125" s="7">
        <f t="shared" si="11"/>
        <v>2098</v>
      </c>
      <c r="S125" s="7">
        <f t="shared" si="12"/>
        <v>2</v>
      </c>
      <c r="T125" s="7">
        <f t="shared" si="13"/>
        <v>2098</v>
      </c>
    </row>
    <row r="126" spans="1:20" ht="14.25" customHeight="1" x14ac:dyDescent="0.35">
      <c r="A126" s="2" t="s">
        <v>76</v>
      </c>
      <c r="B126" s="2" t="s">
        <v>20</v>
      </c>
      <c r="C126" s="2" t="s">
        <v>30</v>
      </c>
      <c r="D126" s="2" t="s">
        <v>26</v>
      </c>
      <c r="E126" s="2" t="s">
        <v>22</v>
      </c>
      <c r="F126" s="2" t="s">
        <v>56</v>
      </c>
      <c r="G126" s="2" t="s">
        <v>36</v>
      </c>
      <c r="H126" s="2">
        <v>250000</v>
      </c>
      <c r="I126" s="2">
        <v>6</v>
      </c>
      <c r="J126" s="2" t="s">
        <v>27</v>
      </c>
      <c r="K126" s="2">
        <f t="shared" si="7"/>
        <v>200000</v>
      </c>
      <c r="L126" s="9">
        <f>Table_1[[#This Row],[Unit Price]]*Table_1[[#This Row],[Quantity]]</f>
        <v>1500000</v>
      </c>
      <c r="M126" s="8">
        <f>Table_1[[#This Row],[Cost Price]]*Table_1[[#This Row],[Quantity]]</f>
        <v>1200000</v>
      </c>
      <c r="N126">
        <f>Table_1[[#This Row],[Revenue]]-Table_1[[#This Row],[COGS]]</f>
        <v>300000</v>
      </c>
      <c r="O126" s="11">
        <f t="shared" si="8"/>
        <v>4656740000</v>
      </c>
      <c r="P126">
        <f t="shared" si="9"/>
        <v>3725392000</v>
      </c>
      <c r="Q126">
        <f t="shared" si="10"/>
        <v>931348000</v>
      </c>
      <c r="R126" s="7">
        <f t="shared" si="11"/>
        <v>2098</v>
      </c>
      <c r="S126" s="7">
        <f t="shared" si="12"/>
        <v>2</v>
      </c>
      <c r="T126" s="7">
        <f t="shared" si="13"/>
        <v>2098</v>
      </c>
    </row>
    <row r="127" spans="1:20" ht="14.25" customHeight="1" x14ac:dyDescent="0.35">
      <c r="A127" s="2" t="s">
        <v>89</v>
      </c>
      <c r="B127" s="2" t="s">
        <v>34</v>
      </c>
      <c r="C127" s="2" t="s">
        <v>13</v>
      </c>
      <c r="D127" s="2" t="s">
        <v>26</v>
      </c>
      <c r="E127" s="2" t="s">
        <v>15</v>
      </c>
      <c r="F127" s="2" t="s">
        <v>52</v>
      </c>
      <c r="G127" s="2" t="s">
        <v>36</v>
      </c>
      <c r="H127" s="2">
        <v>420000</v>
      </c>
      <c r="I127" s="2">
        <v>10</v>
      </c>
      <c r="J127" s="2" t="s">
        <v>18</v>
      </c>
      <c r="K127" s="2">
        <f t="shared" si="7"/>
        <v>336000</v>
      </c>
      <c r="L127" s="9">
        <f>Table_1[[#This Row],[Unit Price]]*Table_1[[#This Row],[Quantity]]</f>
        <v>4200000</v>
      </c>
      <c r="M127" s="8">
        <f>Table_1[[#This Row],[Cost Price]]*Table_1[[#This Row],[Quantity]]</f>
        <v>3360000</v>
      </c>
      <c r="N127">
        <f>Table_1[[#This Row],[Revenue]]-Table_1[[#This Row],[COGS]]</f>
        <v>840000</v>
      </c>
      <c r="O127" s="11">
        <f t="shared" si="8"/>
        <v>4656740000</v>
      </c>
      <c r="P127">
        <f t="shared" si="9"/>
        <v>3725392000</v>
      </c>
      <c r="Q127">
        <f t="shared" si="10"/>
        <v>931348000</v>
      </c>
      <c r="R127" s="7">
        <f t="shared" si="11"/>
        <v>2098</v>
      </c>
      <c r="S127" s="7">
        <f t="shared" si="12"/>
        <v>3</v>
      </c>
      <c r="T127" s="7">
        <f t="shared" si="13"/>
        <v>2098</v>
      </c>
    </row>
    <row r="128" spans="1:20" ht="14.25" customHeight="1" x14ac:dyDescent="0.35">
      <c r="A128" s="2" t="s">
        <v>66</v>
      </c>
      <c r="B128" s="2" t="s">
        <v>20</v>
      </c>
      <c r="C128" s="2" t="s">
        <v>13</v>
      </c>
      <c r="D128" s="2" t="s">
        <v>14</v>
      </c>
      <c r="E128" s="2" t="s">
        <v>15</v>
      </c>
      <c r="F128" s="2" t="s">
        <v>23</v>
      </c>
      <c r="G128" s="2" t="s">
        <v>24</v>
      </c>
      <c r="H128" s="2">
        <v>30000</v>
      </c>
      <c r="I128" s="2">
        <v>9</v>
      </c>
      <c r="J128" s="2" t="s">
        <v>54</v>
      </c>
      <c r="K128" s="2">
        <f t="shared" si="7"/>
        <v>24000</v>
      </c>
      <c r="L128" s="9">
        <f>Table_1[[#This Row],[Unit Price]]*Table_1[[#This Row],[Quantity]]</f>
        <v>270000</v>
      </c>
      <c r="M128" s="8">
        <f>Table_1[[#This Row],[Cost Price]]*Table_1[[#This Row],[Quantity]]</f>
        <v>216000</v>
      </c>
      <c r="N128">
        <f>Table_1[[#This Row],[Revenue]]-Table_1[[#This Row],[COGS]]</f>
        <v>54000</v>
      </c>
      <c r="O128" s="11">
        <f t="shared" si="8"/>
        <v>4656740000</v>
      </c>
      <c r="P128">
        <f t="shared" si="9"/>
        <v>3725392000</v>
      </c>
      <c r="Q128">
        <f t="shared" si="10"/>
        <v>931348000</v>
      </c>
      <c r="R128" s="7">
        <f t="shared" si="11"/>
        <v>2098</v>
      </c>
      <c r="S128" s="7">
        <f t="shared" si="12"/>
        <v>3</v>
      </c>
      <c r="T128" s="7">
        <f t="shared" si="13"/>
        <v>2098</v>
      </c>
    </row>
    <row r="129" spans="1:20" ht="14.25" customHeight="1" x14ac:dyDescent="0.35">
      <c r="A129" s="2" t="s">
        <v>116</v>
      </c>
      <c r="B129" s="2" t="s">
        <v>12</v>
      </c>
      <c r="C129" s="2" t="s">
        <v>30</v>
      </c>
      <c r="D129" s="2" t="s">
        <v>14</v>
      </c>
      <c r="E129" s="2" t="s">
        <v>22</v>
      </c>
      <c r="F129" s="2" t="s">
        <v>39</v>
      </c>
      <c r="G129" s="2" t="s">
        <v>24</v>
      </c>
      <c r="H129" s="2">
        <v>180000</v>
      </c>
      <c r="I129" s="2">
        <v>8</v>
      </c>
      <c r="J129" s="2" t="s">
        <v>32</v>
      </c>
      <c r="K129" s="2">
        <f t="shared" si="7"/>
        <v>144000</v>
      </c>
      <c r="L129" s="9">
        <f>Table_1[[#This Row],[Unit Price]]*Table_1[[#This Row],[Quantity]]</f>
        <v>1440000</v>
      </c>
      <c r="M129" s="8">
        <f>Table_1[[#This Row],[Cost Price]]*Table_1[[#This Row],[Quantity]]</f>
        <v>1152000</v>
      </c>
      <c r="N129">
        <f>Table_1[[#This Row],[Revenue]]-Table_1[[#This Row],[COGS]]</f>
        <v>288000</v>
      </c>
      <c r="O129" s="11">
        <f t="shared" si="8"/>
        <v>4656740000</v>
      </c>
      <c r="P129">
        <f t="shared" si="9"/>
        <v>3725392000</v>
      </c>
      <c r="Q129">
        <f t="shared" si="10"/>
        <v>931348000</v>
      </c>
      <c r="R129" s="7">
        <f t="shared" si="11"/>
        <v>2098</v>
      </c>
      <c r="S129" s="7">
        <f t="shared" si="12"/>
        <v>3</v>
      </c>
      <c r="T129" s="7">
        <f t="shared" si="13"/>
        <v>2098</v>
      </c>
    </row>
    <row r="130" spans="1:20" ht="14.25" customHeight="1" x14ac:dyDescent="0.35">
      <c r="A130" s="2" t="s">
        <v>100</v>
      </c>
      <c r="B130" s="2" t="s">
        <v>34</v>
      </c>
      <c r="C130" s="2" t="s">
        <v>21</v>
      </c>
      <c r="D130" s="2" t="s">
        <v>14</v>
      </c>
      <c r="E130" s="2" t="s">
        <v>15</v>
      </c>
      <c r="F130" s="2" t="s">
        <v>52</v>
      </c>
      <c r="G130" s="2" t="s">
        <v>36</v>
      </c>
      <c r="H130" s="2">
        <v>420000</v>
      </c>
      <c r="I130" s="2">
        <v>5</v>
      </c>
      <c r="J130" s="2" t="s">
        <v>50</v>
      </c>
      <c r="K130" s="2">
        <f t="shared" ref="K130:K193" si="14">H130-H130*0.2</f>
        <v>336000</v>
      </c>
      <c r="L130" s="9">
        <f>Table_1[[#This Row],[Unit Price]]*Table_1[[#This Row],[Quantity]]</f>
        <v>2100000</v>
      </c>
      <c r="M130" s="8">
        <f>Table_1[[#This Row],[Cost Price]]*Table_1[[#This Row],[Quantity]]</f>
        <v>1680000</v>
      </c>
      <c r="N130">
        <f>Table_1[[#This Row],[Revenue]]-Table_1[[#This Row],[COGS]]</f>
        <v>420000</v>
      </c>
      <c r="O130" s="11">
        <f t="shared" ref="O130:O193" si="15">SUM(L$2:L$1048576)</f>
        <v>4656740000</v>
      </c>
      <c r="P130">
        <f t="shared" ref="P130:P193" si="16">SUM(M:M)</f>
        <v>3725392000</v>
      </c>
      <c r="Q130">
        <f t="shared" ref="Q130:Q193" si="17">SUM(N:N)</f>
        <v>931348000</v>
      </c>
      <c r="R130" s="7">
        <f t="shared" ref="R130:R193" si="18">COUNTA(A$2:A$1048576)</f>
        <v>2098</v>
      </c>
      <c r="S130" s="7">
        <f t="shared" ref="S130:S193" si="19">MONTH(A130:A1618)</f>
        <v>1</v>
      </c>
      <c r="T130" s="7">
        <f t="shared" ref="T130:T193" si="20">COUNTA(A:A)-1</f>
        <v>2098</v>
      </c>
    </row>
    <row r="131" spans="1:20" ht="14.25" customHeight="1" x14ac:dyDescent="0.35">
      <c r="A131" s="2" t="s">
        <v>95</v>
      </c>
      <c r="B131" s="2" t="s">
        <v>12</v>
      </c>
      <c r="C131" s="2" t="s">
        <v>13</v>
      </c>
      <c r="D131" s="2" t="s">
        <v>26</v>
      </c>
      <c r="E131" s="2" t="s">
        <v>15</v>
      </c>
      <c r="F131" s="2" t="s">
        <v>31</v>
      </c>
      <c r="G131" s="2" t="s">
        <v>24</v>
      </c>
      <c r="H131" s="2">
        <v>60000</v>
      </c>
      <c r="I131" s="2">
        <v>9</v>
      </c>
      <c r="J131" s="2" t="s">
        <v>18</v>
      </c>
      <c r="K131" s="2">
        <f t="shared" si="14"/>
        <v>48000</v>
      </c>
      <c r="L131" s="9">
        <f>Table_1[[#This Row],[Unit Price]]*Table_1[[#This Row],[Quantity]]</f>
        <v>540000</v>
      </c>
      <c r="M131" s="8">
        <f>Table_1[[#This Row],[Cost Price]]*Table_1[[#This Row],[Quantity]]</f>
        <v>432000</v>
      </c>
      <c r="N131">
        <f>Table_1[[#This Row],[Revenue]]-Table_1[[#This Row],[COGS]]</f>
        <v>108000</v>
      </c>
      <c r="O131" s="11">
        <f t="shared" si="15"/>
        <v>4656740000</v>
      </c>
      <c r="P131">
        <f t="shared" si="16"/>
        <v>3725392000</v>
      </c>
      <c r="Q131">
        <f t="shared" si="17"/>
        <v>931348000</v>
      </c>
      <c r="R131" s="7">
        <f t="shared" si="18"/>
        <v>2098</v>
      </c>
      <c r="S131" s="7">
        <f t="shared" si="19"/>
        <v>1</v>
      </c>
      <c r="T131" s="7">
        <f t="shared" si="20"/>
        <v>2098</v>
      </c>
    </row>
    <row r="132" spans="1:20" ht="14.25" customHeight="1" x14ac:dyDescent="0.35">
      <c r="A132" s="2" t="s">
        <v>57</v>
      </c>
      <c r="B132" s="2" t="s">
        <v>29</v>
      </c>
      <c r="C132" s="2" t="s">
        <v>30</v>
      </c>
      <c r="D132" s="2" t="s">
        <v>26</v>
      </c>
      <c r="E132" s="2" t="s">
        <v>22</v>
      </c>
      <c r="F132" s="2" t="s">
        <v>16</v>
      </c>
      <c r="G132" s="2" t="s">
        <v>17</v>
      </c>
      <c r="H132" s="2">
        <v>85000</v>
      </c>
      <c r="I132" s="2">
        <v>5</v>
      </c>
      <c r="J132" s="2" t="s">
        <v>27</v>
      </c>
      <c r="K132" s="2">
        <f t="shared" si="14"/>
        <v>68000</v>
      </c>
      <c r="L132" s="9">
        <f>Table_1[[#This Row],[Unit Price]]*Table_1[[#This Row],[Quantity]]</f>
        <v>425000</v>
      </c>
      <c r="M132" s="8">
        <f>Table_1[[#This Row],[Cost Price]]*Table_1[[#This Row],[Quantity]]</f>
        <v>340000</v>
      </c>
      <c r="N132">
        <f>Table_1[[#This Row],[Revenue]]-Table_1[[#This Row],[COGS]]</f>
        <v>85000</v>
      </c>
      <c r="O132" s="11">
        <f t="shared" si="15"/>
        <v>4656740000</v>
      </c>
      <c r="P132">
        <f t="shared" si="16"/>
        <v>3725392000</v>
      </c>
      <c r="Q132">
        <f t="shared" si="17"/>
        <v>931348000</v>
      </c>
      <c r="R132" s="7">
        <f t="shared" si="18"/>
        <v>2098</v>
      </c>
      <c r="S132" s="7">
        <f t="shared" si="19"/>
        <v>2</v>
      </c>
      <c r="T132" s="7">
        <f t="shared" si="20"/>
        <v>2098</v>
      </c>
    </row>
    <row r="133" spans="1:20" ht="14.25" customHeight="1" x14ac:dyDescent="0.35">
      <c r="A133" s="2" t="s">
        <v>117</v>
      </c>
      <c r="B133" s="2" t="s">
        <v>29</v>
      </c>
      <c r="C133" s="2" t="s">
        <v>30</v>
      </c>
      <c r="D133" s="2" t="s">
        <v>26</v>
      </c>
      <c r="E133" s="2" t="s">
        <v>15</v>
      </c>
      <c r="F133" s="2" t="s">
        <v>16</v>
      </c>
      <c r="G133" s="2" t="s">
        <v>17</v>
      </c>
      <c r="H133" s="2">
        <v>85000</v>
      </c>
      <c r="I133" s="2">
        <v>1</v>
      </c>
      <c r="J133" s="2" t="s">
        <v>32</v>
      </c>
      <c r="K133" s="2">
        <f t="shared" si="14"/>
        <v>68000</v>
      </c>
      <c r="L133" s="9">
        <f>Table_1[[#This Row],[Unit Price]]*Table_1[[#This Row],[Quantity]]</f>
        <v>85000</v>
      </c>
      <c r="M133" s="8">
        <f>Table_1[[#This Row],[Cost Price]]*Table_1[[#This Row],[Quantity]]</f>
        <v>68000</v>
      </c>
      <c r="N133">
        <f>Table_1[[#This Row],[Revenue]]-Table_1[[#This Row],[COGS]]</f>
        <v>17000</v>
      </c>
      <c r="O133" s="11">
        <f t="shared" si="15"/>
        <v>4656740000</v>
      </c>
      <c r="P133">
        <f t="shared" si="16"/>
        <v>3725392000</v>
      </c>
      <c r="Q133">
        <f t="shared" si="17"/>
        <v>931348000</v>
      </c>
      <c r="R133" s="7">
        <f t="shared" si="18"/>
        <v>2098</v>
      </c>
      <c r="S133" s="7">
        <f t="shared" si="19"/>
        <v>4</v>
      </c>
      <c r="T133" s="7">
        <f t="shared" si="20"/>
        <v>2098</v>
      </c>
    </row>
    <row r="134" spans="1:20" ht="14.25" customHeight="1" x14ac:dyDescent="0.35">
      <c r="A134" s="2" t="s">
        <v>82</v>
      </c>
      <c r="B134" s="2" t="s">
        <v>20</v>
      </c>
      <c r="C134" s="2" t="s">
        <v>21</v>
      </c>
      <c r="D134" s="2" t="s">
        <v>14</v>
      </c>
      <c r="E134" s="2" t="s">
        <v>22</v>
      </c>
      <c r="F134" s="2" t="s">
        <v>31</v>
      </c>
      <c r="G134" s="2" t="s">
        <v>24</v>
      </c>
      <c r="H134" s="2">
        <v>60000</v>
      </c>
      <c r="I134" s="2">
        <v>8</v>
      </c>
      <c r="J134" s="2" t="s">
        <v>43</v>
      </c>
      <c r="K134" s="2">
        <f t="shared" si="14"/>
        <v>48000</v>
      </c>
      <c r="L134" s="9">
        <f>Table_1[[#This Row],[Unit Price]]*Table_1[[#This Row],[Quantity]]</f>
        <v>480000</v>
      </c>
      <c r="M134" s="8">
        <f>Table_1[[#This Row],[Cost Price]]*Table_1[[#This Row],[Quantity]]</f>
        <v>384000</v>
      </c>
      <c r="N134">
        <f>Table_1[[#This Row],[Revenue]]-Table_1[[#This Row],[COGS]]</f>
        <v>96000</v>
      </c>
      <c r="O134" s="11">
        <f t="shared" si="15"/>
        <v>4656740000</v>
      </c>
      <c r="P134">
        <f t="shared" si="16"/>
        <v>3725392000</v>
      </c>
      <c r="Q134">
        <f t="shared" si="17"/>
        <v>931348000</v>
      </c>
      <c r="R134" s="7">
        <f t="shared" si="18"/>
        <v>2098</v>
      </c>
      <c r="S134" s="7">
        <f t="shared" si="19"/>
        <v>1</v>
      </c>
      <c r="T134" s="7">
        <f t="shared" si="20"/>
        <v>2098</v>
      </c>
    </row>
    <row r="135" spans="1:20" ht="14.25" customHeight="1" x14ac:dyDescent="0.35">
      <c r="A135" s="2" t="s">
        <v>33</v>
      </c>
      <c r="B135" s="2" t="s">
        <v>12</v>
      </c>
      <c r="C135" s="2" t="s">
        <v>30</v>
      </c>
      <c r="D135" s="2" t="s">
        <v>26</v>
      </c>
      <c r="E135" s="2" t="s">
        <v>15</v>
      </c>
      <c r="F135" s="2" t="s">
        <v>47</v>
      </c>
      <c r="G135" s="2" t="s">
        <v>36</v>
      </c>
      <c r="H135" s="2">
        <v>150000</v>
      </c>
      <c r="I135" s="2">
        <v>5</v>
      </c>
      <c r="J135" s="2" t="s">
        <v>50</v>
      </c>
      <c r="K135" s="2">
        <f t="shared" si="14"/>
        <v>120000</v>
      </c>
      <c r="L135" s="9">
        <f>Table_1[[#This Row],[Unit Price]]*Table_1[[#This Row],[Quantity]]</f>
        <v>750000</v>
      </c>
      <c r="M135" s="8">
        <f>Table_1[[#This Row],[Cost Price]]*Table_1[[#This Row],[Quantity]]</f>
        <v>600000</v>
      </c>
      <c r="N135">
        <f>Table_1[[#This Row],[Revenue]]-Table_1[[#This Row],[COGS]]</f>
        <v>150000</v>
      </c>
      <c r="O135" s="11">
        <f t="shared" si="15"/>
        <v>4656740000</v>
      </c>
      <c r="P135">
        <f t="shared" si="16"/>
        <v>3725392000</v>
      </c>
      <c r="Q135">
        <f t="shared" si="17"/>
        <v>931348000</v>
      </c>
      <c r="R135" s="7">
        <f t="shared" si="18"/>
        <v>2098</v>
      </c>
      <c r="S135" s="7">
        <f t="shared" si="19"/>
        <v>4</v>
      </c>
      <c r="T135" s="7">
        <f t="shared" si="20"/>
        <v>2098</v>
      </c>
    </row>
    <row r="136" spans="1:20" ht="14.25" customHeight="1" x14ac:dyDescent="0.35">
      <c r="A136" s="2" t="s">
        <v>66</v>
      </c>
      <c r="B136" s="2" t="s">
        <v>12</v>
      </c>
      <c r="C136" s="2" t="s">
        <v>38</v>
      </c>
      <c r="D136" s="2" t="s">
        <v>14</v>
      </c>
      <c r="E136" s="2" t="s">
        <v>15</v>
      </c>
      <c r="F136" s="2" t="s">
        <v>41</v>
      </c>
      <c r="G136" s="2" t="s">
        <v>17</v>
      </c>
      <c r="H136" s="2">
        <v>320000</v>
      </c>
      <c r="I136" s="2">
        <v>10</v>
      </c>
      <c r="J136" s="2" t="s">
        <v>43</v>
      </c>
      <c r="K136" s="2">
        <f t="shared" si="14"/>
        <v>256000</v>
      </c>
      <c r="L136" s="9">
        <f>Table_1[[#This Row],[Unit Price]]*Table_1[[#This Row],[Quantity]]</f>
        <v>3200000</v>
      </c>
      <c r="M136" s="8">
        <f>Table_1[[#This Row],[Cost Price]]*Table_1[[#This Row],[Quantity]]</f>
        <v>2560000</v>
      </c>
      <c r="N136">
        <f>Table_1[[#This Row],[Revenue]]-Table_1[[#This Row],[COGS]]</f>
        <v>640000</v>
      </c>
      <c r="O136" s="11">
        <f t="shared" si="15"/>
        <v>4656740000</v>
      </c>
      <c r="P136">
        <f t="shared" si="16"/>
        <v>3725392000</v>
      </c>
      <c r="Q136">
        <f t="shared" si="17"/>
        <v>931348000</v>
      </c>
      <c r="R136" s="7">
        <f t="shared" si="18"/>
        <v>2098</v>
      </c>
      <c r="S136" s="7">
        <f t="shared" si="19"/>
        <v>3</v>
      </c>
      <c r="T136" s="7">
        <f t="shared" si="20"/>
        <v>2098</v>
      </c>
    </row>
    <row r="137" spans="1:20" ht="14.25" customHeight="1" x14ac:dyDescent="0.35">
      <c r="A137" s="2" t="s">
        <v>118</v>
      </c>
      <c r="B137" s="2" t="s">
        <v>12</v>
      </c>
      <c r="C137" s="2" t="s">
        <v>38</v>
      </c>
      <c r="D137" s="2" t="s">
        <v>26</v>
      </c>
      <c r="E137" s="2" t="s">
        <v>15</v>
      </c>
      <c r="F137" s="2" t="s">
        <v>56</v>
      </c>
      <c r="G137" s="2" t="s">
        <v>36</v>
      </c>
      <c r="H137" s="2">
        <v>250000</v>
      </c>
      <c r="I137" s="2">
        <v>6</v>
      </c>
      <c r="J137" s="2" t="s">
        <v>54</v>
      </c>
      <c r="K137" s="2">
        <f t="shared" si="14"/>
        <v>200000</v>
      </c>
      <c r="L137" s="9">
        <f>Table_1[[#This Row],[Unit Price]]*Table_1[[#This Row],[Quantity]]</f>
        <v>1500000</v>
      </c>
      <c r="M137" s="8">
        <f>Table_1[[#This Row],[Cost Price]]*Table_1[[#This Row],[Quantity]]</f>
        <v>1200000</v>
      </c>
      <c r="N137">
        <f>Table_1[[#This Row],[Revenue]]-Table_1[[#This Row],[COGS]]</f>
        <v>300000</v>
      </c>
      <c r="O137" s="11">
        <f t="shared" si="15"/>
        <v>4656740000</v>
      </c>
      <c r="P137">
        <f t="shared" si="16"/>
        <v>3725392000</v>
      </c>
      <c r="Q137">
        <f t="shared" si="17"/>
        <v>931348000</v>
      </c>
      <c r="R137" s="7">
        <f t="shared" si="18"/>
        <v>2098</v>
      </c>
      <c r="S137" s="7">
        <f t="shared" si="19"/>
        <v>1</v>
      </c>
      <c r="T137" s="7">
        <f t="shared" si="20"/>
        <v>2098</v>
      </c>
    </row>
    <row r="138" spans="1:20" ht="14.25" customHeight="1" x14ac:dyDescent="0.35">
      <c r="A138" s="2" t="s">
        <v>112</v>
      </c>
      <c r="B138" s="2" t="s">
        <v>29</v>
      </c>
      <c r="C138" s="2" t="s">
        <v>30</v>
      </c>
      <c r="D138" s="2" t="s">
        <v>26</v>
      </c>
      <c r="E138" s="2" t="s">
        <v>15</v>
      </c>
      <c r="F138" s="2" t="s">
        <v>47</v>
      </c>
      <c r="G138" s="2" t="s">
        <v>36</v>
      </c>
      <c r="H138" s="2">
        <v>150000</v>
      </c>
      <c r="I138" s="2">
        <v>3</v>
      </c>
      <c r="J138" s="2" t="s">
        <v>18</v>
      </c>
      <c r="K138" s="2">
        <f t="shared" si="14"/>
        <v>120000</v>
      </c>
      <c r="L138" s="9">
        <f>Table_1[[#This Row],[Unit Price]]*Table_1[[#This Row],[Quantity]]</f>
        <v>450000</v>
      </c>
      <c r="M138" s="8">
        <f>Table_1[[#This Row],[Cost Price]]*Table_1[[#This Row],[Quantity]]</f>
        <v>360000</v>
      </c>
      <c r="N138">
        <f>Table_1[[#This Row],[Revenue]]-Table_1[[#This Row],[COGS]]</f>
        <v>90000</v>
      </c>
      <c r="O138" s="11">
        <f t="shared" si="15"/>
        <v>4656740000</v>
      </c>
      <c r="P138">
        <f t="shared" si="16"/>
        <v>3725392000</v>
      </c>
      <c r="Q138">
        <f t="shared" si="17"/>
        <v>931348000</v>
      </c>
      <c r="R138" s="7">
        <f t="shared" si="18"/>
        <v>2098</v>
      </c>
      <c r="S138" s="7">
        <f t="shared" si="19"/>
        <v>1</v>
      </c>
      <c r="T138" s="7">
        <f t="shared" si="20"/>
        <v>2098</v>
      </c>
    </row>
    <row r="139" spans="1:20" ht="14.25" customHeight="1" x14ac:dyDescent="0.35">
      <c r="A139" s="2" t="s">
        <v>116</v>
      </c>
      <c r="B139" s="2" t="s">
        <v>12</v>
      </c>
      <c r="C139" s="2" t="s">
        <v>21</v>
      </c>
      <c r="D139" s="2" t="s">
        <v>26</v>
      </c>
      <c r="E139" s="2" t="s">
        <v>15</v>
      </c>
      <c r="F139" s="2" t="s">
        <v>31</v>
      </c>
      <c r="G139" s="2" t="s">
        <v>24</v>
      </c>
      <c r="H139" s="2">
        <v>60000</v>
      </c>
      <c r="I139" s="2">
        <v>10</v>
      </c>
      <c r="J139" s="2" t="s">
        <v>50</v>
      </c>
      <c r="K139" s="2">
        <f t="shared" si="14"/>
        <v>48000</v>
      </c>
      <c r="L139" s="9">
        <f>Table_1[[#This Row],[Unit Price]]*Table_1[[#This Row],[Quantity]]</f>
        <v>600000</v>
      </c>
      <c r="M139" s="8">
        <f>Table_1[[#This Row],[Cost Price]]*Table_1[[#This Row],[Quantity]]</f>
        <v>480000</v>
      </c>
      <c r="N139">
        <f>Table_1[[#This Row],[Revenue]]-Table_1[[#This Row],[COGS]]</f>
        <v>120000</v>
      </c>
      <c r="O139" s="11">
        <f t="shared" si="15"/>
        <v>4656740000</v>
      </c>
      <c r="P139">
        <f t="shared" si="16"/>
        <v>3725392000</v>
      </c>
      <c r="Q139">
        <f t="shared" si="17"/>
        <v>931348000</v>
      </c>
      <c r="R139" s="7">
        <f t="shared" si="18"/>
        <v>2098</v>
      </c>
      <c r="S139" s="7">
        <f t="shared" si="19"/>
        <v>3</v>
      </c>
      <c r="T139" s="7">
        <f t="shared" si="20"/>
        <v>2098</v>
      </c>
    </row>
    <row r="140" spans="1:20" ht="14.25" customHeight="1" x14ac:dyDescent="0.35">
      <c r="A140" s="2" t="s">
        <v>55</v>
      </c>
      <c r="B140" s="2" t="s">
        <v>34</v>
      </c>
      <c r="C140" s="2" t="s">
        <v>30</v>
      </c>
      <c r="D140" s="2" t="s">
        <v>14</v>
      </c>
      <c r="E140" s="2" t="s">
        <v>15</v>
      </c>
      <c r="F140" s="2" t="s">
        <v>47</v>
      </c>
      <c r="G140" s="2" t="s">
        <v>36</v>
      </c>
      <c r="H140" s="2">
        <v>150000</v>
      </c>
      <c r="I140" s="2">
        <v>8</v>
      </c>
      <c r="J140" s="2" t="s">
        <v>32</v>
      </c>
      <c r="K140" s="2">
        <f t="shared" si="14"/>
        <v>120000</v>
      </c>
      <c r="L140" s="9">
        <f>Table_1[[#This Row],[Unit Price]]*Table_1[[#This Row],[Quantity]]</f>
        <v>1200000</v>
      </c>
      <c r="M140" s="8">
        <f>Table_1[[#This Row],[Cost Price]]*Table_1[[#This Row],[Quantity]]</f>
        <v>960000</v>
      </c>
      <c r="N140">
        <f>Table_1[[#This Row],[Revenue]]-Table_1[[#This Row],[COGS]]</f>
        <v>240000</v>
      </c>
      <c r="O140" s="11">
        <f t="shared" si="15"/>
        <v>4656740000</v>
      </c>
      <c r="P140">
        <f t="shared" si="16"/>
        <v>3725392000</v>
      </c>
      <c r="Q140">
        <f t="shared" si="17"/>
        <v>931348000</v>
      </c>
      <c r="R140" s="7">
        <f t="shared" si="18"/>
        <v>2098</v>
      </c>
      <c r="S140" s="7">
        <f t="shared" si="19"/>
        <v>4</v>
      </c>
      <c r="T140" s="7">
        <f t="shared" si="20"/>
        <v>2098</v>
      </c>
    </row>
    <row r="141" spans="1:20" ht="14.25" customHeight="1" x14ac:dyDescent="0.35">
      <c r="A141" s="2" t="s">
        <v>108</v>
      </c>
      <c r="B141" s="2" t="s">
        <v>29</v>
      </c>
      <c r="C141" s="2" t="s">
        <v>13</v>
      </c>
      <c r="D141" s="2" t="s">
        <v>14</v>
      </c>
      <c r="E141" s="2" t="s">
        <v>15</v>
      </c>
      <c r="F141" s="2" t="s">
        <v>56</v>
      </c>
      <c r="G141" s="2" t="s">
        <v>36</v>
      </c>
      <c r="H141" s="2">
        <v>250000</v>
      </c>
      <c r="I141" s="2">
        <v>7</v>
      </c>
      <c r="J141" s="2" t="s">
        <v>50</v>
      </c>
      <c r="K141" s="2">
        <f t="shared" si="14"/>
        <v>200000</v>
      </c>
      <c r="L141" s="9">
        <f>Table_1[[#This Row],[Unit Price]]*Table_1[[#This Row],[Quantity]]</f>
        <v>1750000</v>
      </c>
      <c r="M141" s="8">
        <f>Table_1[[#This Row],[Cost Price]]*Table_1[[#This Row],[Quantity]]</f>
        <v>1400000</v>
      </c>
      <c r="N141">
        <f>Table_1[[#This Row],[Revenue]]-Table_1[[#This Row],[COGS]]</f>
        <v>350000</v>
      </c>
      <c r="O141" s="11">
        <f t="shared" si="15"/>
        <v>4656740000</v>
      </c>
      <c r="P141">
        <f t="shared" si="16"/>
        <v>3725392000</v>
      </c>
      <c r="Q141">
        <f t="shared" si="17"/>
        <v>931348000</v>
      </c>
      <c r="R141" s="7">
        <f t="shared" si="18"/>
        <v>2098</v>
      </c>
      <c r="S141" s="7">
        <f t="shared" si="19"/>
        <v>4</v>
      </c>
      <c r="T141" s="7">
        <f t="shared" si="20"/>
        <v>2098</v>
      </c>
    </row>
    <row r="142" spans="1:20" ht="14.25" customHeight="1" x14ac:dyDescent="0.35">
      <c r="A142" s="2" t="s">
        <v>33</v>
      </c>
      <c r="B142" s="2" t="s">
        <v>29</v>
      </c>
      <c r="C142" s="2" t="s">
        <v>38</v>
      </c>
      <c r="D142" s="2" t="s">
        <v>26</v>
      </c>
      <c r="E142" s="2" t="s">
        <v>15</v>
      </c>
      <c r="F142" s="2" t="s">
        <v>16</v>
      </c>
      <c r="G142" s="2" t="s">
        <v>17</v>
      </c>
      <c r="H142" s="2">
        <v>85000</v>
      </c>
      <c r="I142" s="2">
        <v>6</v>
      </c>
      <c r="J142" s="2" t="s">
        <v>43</v>
      </c>
      <c r="K142" s="2">
        <f t="shared" si="14"/>
        <v>68000</v>
      </c>
      <c r="L142" s="9">
        <f>Table_1[[#This Row],[Unit Price]]*Table_1[[#This Row],[Quantity]]</f>
        <v>510000</v>
      </c>
      <c r="M142" s="8">
        <f>Table_1[[#This Row],[Cost Price]]*Table_1[[#This Row],[Quantity]]</f>
        <v>408000</v>
      </c>
      <c r="N142">
        <f>Table_1[[#This Row],[Revenue]]-Table_1[[#This Row],[COGS]]</f>
        <v>102000</v>
      </c>
      <c r="O142" s="11">
        <f t="shared" si="15"/>
        <v>4656740000</v>
      </c>
      <c r="P142">
        <f t="shared" si="16"/>
        <v>3725392000</v>
      </c>
      <c r="Q142">
        <f t="shared" si="17"/>
        <v>931348000</v>
      </c>
      <c r="R142" s="7">
        <f t="shared" si="18"/>
        <v>2098</v>
      </c>
      <c r="S142" s="7">
        <f t="shared" si="19"/>
        <v>4</v>
      </c>
      <c r="T142" s="7">
        <f t="shared" si="20"/>
        <v>2098</v>
      </c>
    </row>
    <row r="143" spans="1:20" ht="14.25" customHeight="1" x14ac:dyDescent="0.35">
      <c r="A143" s="2" t="s">
        <v>110</v>
      </c>
      <c r="B143" s="2" t="s">
        <v>34</v>
      </c>
      <c r="C143" s="2" t="s">
        <v>13</v>
      </c>
      <c r="D143" s="2" t="s">
        <v>26</v>
      </c>
      <c r="E143" s="2" t="s">
        <v>15</v>
      </c>
      <c r="F143" s="2" t="s">
        <v>39</v>
      </c>
      <c r="G143" s="2" t="s">
        <v>24</v>
      </c>
      <c r="H143" s="2">
        <v>180000</v>
      </c>
      <c r="I143" s="2">
        <v>9</v>
      </c>
      <c r="J143" s="2" t="s">
        <v>50</v>
      </c>
      <c r="K143" s="2">
        <f t="shared" si="14"/>
        <v>144000</v>
      </c>
      <c r="L143" s="9">
        <f>Table_1[[#This Row],[Unit Price]]*Table_1[[#This Row],[Quantity]]</f>
        <v>1620000</v>
      </c>
      <c r="M143" s="8">
        <f>Table_1[[#This Row],[Cost Price]]*Table_1[[#This Row],[Quantity]]</f>
        <v>1296000</v>
      </c>
      <c r="N143">
        <f>Table_1[[#This Row],[Revenue]]-Table_1[[#This Row],[COGS]]</f>
        <v>324000</v>
      </c>
      <c r="O143" s="11">
        <f t="shared" si="15"/>
        <v>4656740000</v>
      </c>
      <c r="P143">
        <f t="shared" si="16"/>
        <v>3725392000</v>
      </c>
      <c r="Q143">
        <f t="shared" si="17"/>
        <v>931348000</v>
      </c>
      <c r="R143" s="7">
        <f t="shared" si="18"/>
        <v>2098</v>
      </c>
      <c r="S143" s="7">
        <f t="shared" si="19"/>
        <v>2</v>
      </c>
      <c r="T143" s="7">
        <f t="shared" si="20"/>
        <v>2098</v>
      </c>
    </row>
    <row r="144" spans="1:20" ht="14.25" customHeight="1" x14ac:dyDescent="0.35">
      <c r="A144" s="2" t="s">
        <v>44</v>
      </c>
      <c r="B144" s="2" t="s">
        <v>12</v>
      </c>
      <c r="C144" s="2" t="s">
        <v>38</v>
      </c>
      <c r="D144" s="2" t="s">
        <v>26</v>
      </c>
      <c r="E144" s="2" t="s">
        <v>15</v>
      </c>
      <c r="F144" s="2" t="s">
        <v>23</v>
      </c>
      <c r="G144" s="2" t="s">
        <v>24</v>
      </c>
      <c r="H144" s="2">
        <v>30000</v>
      </c>
      <c r="I144" s="2">
        <v>8</v>
      </c>
      <c r="J144" s="2" t="s">
        <v>50</v>
      </c>
      <c r="K144" s="2">
        <f t="shared" si="14"/>
        <v>24000</v>
      </c>
      <c r="L144" s="9">
        <f>Table_1[[#This Row],[Unit Price]]*Table_1[[#This Row],[Quantity]]</f>
        <v>240000</v>
      </c>
      <c r="M144" s="8">
        <f>Table_1[[#This Row],[Cost Price]]*Table_1[[#This Row],[Quantity]]</f>
        <v>192000</v>
      </c>
      <c r="N144">
        <f>Table_1[[#This Row],[Revenue]]-Table_1[[#This Row],[COGS]]</f>
        <v>48000</v>
      </c>
      <c r="O144" s="11">
        <f t="shared" si="15"/>
        <v>4656740000</v>
      </c>
      <c r="P144">
        <f t="shared" si="16"/>
        <v>3725392000</v>
      </c>
      <c r="Q144">
        <f t="shared" si="17"/>
        <v>931348000</v>
      </c>
      <c r="R144" s="7">
        <f t="shared" si="18"/>
        <v>2098</v>
      </c>
      <c r="S144" s="7">
        <f t="shared" si="19"/>
        <v>3</v>
      </c>
      <c r="T144" s="7">
        <f t="shared" si="20"/>
        <v>2098</v>
      </c>
    </row>
    <row r="145" spans="1:20" ht="14.25" customHeight="1" x14ac:dyDescent="0.35">
      <c r="A145" s="2" t="s">
        <v>119</v>
      </c>
      <c r="B145" s="2" t="s">
        <v>29</v>
      </c>
      <c r="C145" s="2" t="s">
        <v>13</v>
      </c>
      <c r="D145" s="2" t="s">
        <v>26</v>
      </c>
      <c r="E145" s="2" t="s">
        <v>22</v>
      </c>
      <c r="F145" s="2" t="s">
        <v>16</v>
      </c>
      <c r="G145" s="2" t="s">
        <v>17</v>
      </c>
      <c r="H145" s="2">
        <v>85000</v>
      </c>
      <c r="I145" s="2">
        <v>1</v>
      </c>
      <c r="J145" s="2" t="s">
        <v>27</v>
      </c>
      <c r="K145" s="2">
        <f t="shared" si="14"/>
        <v>68000</v>
      </c>
      <c r="L145" s="9">
        <f>Table_1[[#This Row],[Unit Price]]*Table_1[[#This Row],[Quantity]]</f>
        <v>85000</v>
      </c>
      <c r="M145" s="8">
        <f>Table_1[[#This Row],[Cost Price]]*Table_1[[#This Row],[Quantity]]</f>
        <v>68000</v>
      </c>
      <c r="N145">
        <f>Table_1[[#This Row],[Revenue]]-Table_1[[#This Row],[COGS]]</f>
        <v>17000</v>
      </c>
      <c r="O145" s="11">
        <f t="shared" si="15"/>
        <v>4656740000</v>
      </c>
      <c r="P145">
        <f t="shared" si="16"/>
        <v>3725392000</v>
      </c>
      <c r="Q145">
        <f t="shared" si="17"/>
        <v>931348000</v>
      </c>
      <c r="R145" s="7">
        <f t="shared" si="18"/>
        <v>2098</v>
      </c>
      <c r="S145" s="7">
        <f t="shared" si="19"/>
        <v>1</v>
      </c>
      <c r="T145" s="7">
        <f t="shared" si="20"/>
        <v>2098</v>
      </c>
    </row>
    <row r="146" spans="1:20" ht="14.25" customHeight="1" x14ac:dyDescent="0.35">
      <c r="A146" s="2" t="s">
        <v>92</v>
      </c>
      <c r="B146" s="2" t="s">
        <v>12</v>
      </c>
      <c r="C146" s="2" t="s">
        <v>38</v>
      </c>
      <c r="D146" s="2" t="s">
        <v>26</v>
      </c>
      <c r="E146" s="2" t="s">
        <v>15</v>
      </c>
      <c r="F146" s="2" t="s">
        <v>23</v>
      </c>
      <c r="G146" s="2" t="s">
        <v>24</v>
      </c>
      <c r="H146" s="2">
        <v>30000</v>
      </c>
      <c r="I146" s="2">
        <v>8</v>
      </c>
      <c r="J146" s="2" t="s">
        <v>54</v>
      </c>
      <c r="K146" s="2">
        <f t="shared" si="14"/>
        <v>24000</v>
      </c>
      <c r="L146" s="9">
        <f>Table_1[[#This Row],[Unit Price]]*Table_1[[#This Row],[Quantity]]</f>
        <v>240000</v>
      </c>
      <c r="M146" s="8">
        <f>Table_1[[#This Row],[Cost Price]]*Table_1[[#This Row],[Quantity]]</f>
        <v>192000</v>
      </c>
      <c r="N146">
        <f>Table_1[[#This Row],[Revenue]]-Table_1[[#This Row],[COGS]]</f>
        <v>48000</v>
      </c>
      <c r="O146" s="11">
        <f t="shared" si="15"/>
        <v>4656740000</v>
      </c>
      <c r="P146">
        <f t="shared" si="16"/>
        <v>3725392000</v>
      </c>
      <c r="Q146">
        <f t="shared" si="17"/>
        <v>931348000</v>
      </c>
      <c r="R146" s="7">
        <f t="shared" si="18"/>
        <v>2098</v>
      </c>
      <c r="S146" s="7">
        <f t="shared" si="19"/>
        <v>2</v>
      </c>
      <c r="T146" s="7">
        <f t="shared" si="20"/>
        <v>2098</v>
      </c>
    </row>
    <row r="147" spans="1:20" ht="14.25" customHeight="1" x14ac:dyDescent="0.35">
      <c r="A147" s="2" t="s">
        <v>111</v>
      </c>
      <c r="B147" s="2" t="s">
        <v>34</v>
      </c>
      <c r="C147" s="2" t="s">
        <v>30</v>
      </c>
      <c r="D147" s="2" t="s">
        <v>14</v>
      </c>
      <c r="E147" s="2" t="s">
        <v>15</v>
      </c>
      <c r="F147" s="2" t="s">
        <v>41</v>
      </c>
      <c r="G147" s="2" t="s">
        <v>17</v>
      </c>
      <c r="H147" s="2">
        <v>320000</v>
      </c>
      <c r="I147" s="2">
        <v>2</v>
      </c>
      <c r="J147" s="2" t="s">
        <v>50</v>
      </c>
      <c r="K147" s="2">
        <f t="shared" si="14"/>
        <v>256000</v>
      </c>
      <c r="L147" s="9">
        <f>Table_1[[#This Row],[Unit Price]]*Table_1[[#This Row],[Quantity]]</f>
        <v>640000</v>
      </c>
      <c r="M147" s="8">
        <f>Table_1[[#This Row],[Cost Price]]*Table_1[[#This Row],[Quantity]]</f>
        <v>512000</v>
      </c>
      <c r="N147">
        <f>Table_1[[#This Row],[Revenue]]-Table_1[[#This Row],[COGS]]</f>
        <v>128000</v>
      </c>
      <c r="O147" s="11">
        <f t="shared" si="15"/>
        <v>4656740000</v>
      </c>
      <c r="P147">
        <f t="shared" si="16"/>
        <v>3725392000</v>
      </c>
      <c r="Q147">
        <f t="shared" si="17"/>
        <v>931348000</v>
      </c>
      <c r="R147" s="7">
        <f t="shared" si="18"/>
        <v>2098</v>
      </c>
      <c r="S147" s="7">
        <f t="shared" si="19"/>
        <v>1</v>
      </c>
      <c r="T147" s="7">
        <f t="shared" si="20"/>
        <v>2098</v>
      </c>
    </row>
    <row r="148" spans="1:20" ht="14.25" customHeight="1" x14ac:dyDescent="0.35">
      <c r="A148" s="2" t="s">
        <v>51</v>
      </c>
      <c r="B148" s="2" t="s">
        <v>20</v>
      </c>
      <c r="C148" s="2" t="s">
        <v>13</v>
      </c>
      <c r="D148" s="2" t="s">
        <v>14</v>
      </c>
      <c r="E148" s="2" t="s">
        <v>15</v>
      </c>
      <c r="F148" s="2" t="s">
        <v>47</v>
      </c>
      <c r="G148" s="2" t="s">
        <v>36</v>
      </c>
      <c r="H148" s="2">
        <v>150000</v>
      </c>
      <c r="I148" s="2">
        <v>5</v>
      </c>
      <c r="J148" s="2" t="s">
        <v>50</v>
      </c>
      <c r="K148" s="2">
        <f t="shared" si="14"/>
        <v>120000</v>
      </c>
      <c r="L148" s="9">
        <f>Table_1[[#This Row],[Unit Price]]*Table_1[[#This Row],[Quantity]]</f>
        <v>750000</v>
      </c>
      <c r="M148" s="8">
        <f>Table_1[[#This Row],[Cost Price]]*Table_1[[#This Row],[Quantity]]</f>
        <v>600000</v>
      </c>
      <c r="N148">
        <f>Table_1[[#This Row],[Revenue]]-Table_1[[#This Row],[COGS]]</f>
        <v>150000</v>
      </c>
      <c r="O148" s="11">
        <f t="shared" si="15"/>
        <v>4656740000</v>
      </c>
      <c r="P148">
        <f t="shared" si="16"/>
        <v>3725392000</v>
      </c>
      <c r="Q148">
        <f t="shared" si="17"/>
        <v>931348000</v>
      </c>
      <c r="R148" s="7">
        <f t="shared" si="18"/>
        <v>2098</v>
      </c>
      <c r="S148" s="7">
        <f t="shared" si="19"/>
        <v>3</v>
      </c>
      <c r="T148" s="7">
        <f t="shared" si="20"/>
        <v>2098</v>
      </c>
    </row>
    <row r="149" spans="1:20" ht="14.25" customHeight="1" x14ac:dyDescent="0.35">
      <c r="A149" s="2" t="s">
        <v>120</v>
      </c>
      <c r="B149" s="2" t="s">
        <v>20</v>
      </c>
      <c r="C149" s="2" t="s">
        <v>30</v>
      </c>
      <c r="D149" s="2" t="s">
        <v>26</v>
      </c>
      <c r="E149" s="2" t="s">
        <v>15</v>
      </c>
      <c r="F149" s="2" t="s">
        <v>56</v>
      </c>
      <c r="G149" s="2" t="s">
        <v>36</v>
      </c>
      <c r="H149" s="2">
        <v>250000</v>
      </c>
      <c r="I149" s="2">
        <v>5</v>
      </c>
      <c r="J149" s="2" t="s">
        <v>54</v>
      </c>
      <c r="K149" s="2">
        <f t="shared" si="14"/>
        <v>200000</v>
      </c>
      <c r="L149" s="9">
        <f>Table_1[[#This Row],[Unit Price]]*Table_1[[#This Row],[Quantity]]</f>
        <v>1250000</v>
      </c>
      <c r="M149" s="8">
        <f>Table_1[[#This Row],[Cost Price]]*Table_1[[#This Row],[Quantity]]</f>
        <v>1000000</v>
      </c>
      <c r="N149">
        <f>Table_1[[#This Row],[Revenue]]-Table_1[[#This Row],[COGS]]</f>
        <v>250000</v>
      </c>
      <c r="O149" s="11">
        <f t="shared" si="15"/>
        <v>4656740000</v>
      </c>
      <c r="P149">
        <f t="shared" si="16"/>
        <v>3725392000</v>
      </c>
      <c r="Q149">
        <f t="shared" si="17"/>
        <v>931348000</v>
      </c>
      <c r="R149" s="7">
        <f t="shared" si="18"/>
        <v>2098</v>
      </c>
      <c r="S149" s="7">
        <f t="shared" si="19"/>
        <v>3</v>
      </c>
      <c r="T149" s="7">
        <f t="shared" si="20"/>
        <v>2098</v>
      </c>
    </row>
    <row r="150" spans="1:20" ht="14.25" customHeight="1" x14ac:dyDescent="0.35">
      <c r="A150" s="2" t="s">
        <v>11</v>
      </c>
      <c r="B150" s="2" t="s">
        <v>34</v>
      </c>
      <c r="C150" s="2" t="s">
        <v>38</v>
      </c>
      <c r="D150" s="2" t="s">
        <v>26</v>
      </c>
      <c r="E150" s="2" t="s">
        <v>15</v>
      </c>
      <c r="F150" s="2" t="s">
        <v>58</v>
      </c>
      <c r="G150" s="2" t="s">
        <v>24</v>
      </c>
      <c r="H150" s="2">
        <v>220000</v>
      </c>
      <c r="I150" s="2">
        <v>10</v>
      </c>
      <c r="J150" s="2" t="s">
        <v>27</v>
      </c>
      <c r="K150" s="2">
        <f t="shared" si="14"/>
        <v>176000</v>
      </c>
      <c r="L150" s="9">
        <f>Table_1[[#This Row],[Unit Price]]*Table_1[[#This Row],[Quantity]]</f>
        <v>2200000</v>
      </c>
      <c r="M150" s="8">
        <f>Table_1[[#This Row],[Cost Price]]*Table_1[[#This Row],[Quantity]]</f>
        <v>1760000</v>
      </c>
      <c r="N150">
        <f>Table_1[[#This Row],[Revenue]]-Table_1[[#This Row],[COGS]]</f>
        <v>440000</v>
      </c>
      <c r="O150" s="11">
        <f t="shared" si="15"/>
        <v>4656740000</v>
      </c>
      <c r="P150">
        <f t="shared" si="16"/>
        <v>3725392000</v>
      </c>
      <c r="Q150">
        <f t="shared" si="17"/>
        <v>931348000</v>
      </c>
      <c r="R150" s="7">
        <f t="shared" si="18"/>
        <v>2098</v>
      </c>
      <c r="S150" s="7">
        <f t="shared" si="19"/>
        <v>1</v>
      </c>
      <c r="T150" s="7">
        <f t="shared" si="20"/>
        <v>2098</v>
      </c>
    </row>
    <row r="151" spans="1:20" ht="14.25" customHeight="1" x14ac:dyDescent="0.35">
      <c r="A151" s="2" t="s">
        <v>99</v>
      </c>
      <c r="B151" s="2" t="s">
        <v>34</v>
      </c>
      <c r="C151" s="2" t="s">
        <v>30</v>
      </c>
      <c r="D151" s="2" t="s">
        <v>26</v>
      </c>
      <c r="E151" s="2" t="s">
        <v>15</v>
      </c>
      <c r="F151" s="2" t="s">
        <v>31</v>
      </c>
      <c r="G151" s="2" t="s">
        <v>24</v>
      </c>
      <c r="H151" s="2">
        <v>60000</v>
      </c>
      <c r="I151" s="2">
        <v>2</v>
      </c>
      <c r="J151" s="2" t="s">
        <v>43</v>
      </c>
      <c r="K151" s="2">
        <f t="shared" si="14"/>
        <v>48000</v>
      </c>
      <c r="L151" s="9">
        <f>Table_1[[#This Row],[Unit Price]]*Table_1[[#This Row],[Quantity]]</f>
        <v>120000</v>
      </c>
      <c r="M151" s="8">
        <f>Table_1[[#This Row],[Cost Price]]*Table_1[[#This Row],[Quantity]]</f>
        <v>96000</v>
      </c>
      <c r="N151">
        <f>Table_1[[#This Row],[Revenue]]-Table_1[[#This Row],[COGS]]</f>
        <v>24000</v>
      </c>
      <c r="O151" s="11">
        <f t="shared" si="15"/>
        <v>4656740000</v>
      </c>
      <c r="P151">
        <f t="shared" si="16"/>
        <v>3725392000</v>
      </c>
      <c r="Q151">
        <f t="shared" si="17"/>
        <v>931348000</v>
      </c>
      <c r="R151" s="7">
        <f t="shared" si="18"/>
        <v>2098</v>
      </c>
      <c r="S151" s="7">
        <f t="shared" si="19"/>
        <v>4</v>
      </c>
      <c r="T151" s="7">
        <f t="shared" si="20"/>
        <v>2098</v>
      </c>
    </row>
    <row r="152" spans="1:20" ht="14.25" customHeight="1" x14ac:dyDescent="0.35">
      <c r="A152" s="2" t="s">
        <v>111</v>
      </c>
      <c r="B152" s="2" t="s">
        <v>34</v>
      </c>
      <c r="C152" s="2" t="s">
        <v>30</v>
      </c>
      <c r="D152" s="2" t="s">
        <v>26</v>
      </c>
      <c r="E152" s="2" t="s">
        <v>22</v>
      </c>
      <c r="F152" s="2" t="s">
        <v>56</v>
      </c>
      <c r="G152" s="2" t="s">
        <v>36</v>
      </c>
      <c r="H152" s="2">
        <v>250000</v>
      </c>
      <c r="I152" s="2">
        <v>1</v>
      </c>
      <c r="J152" s="2" t="s">
        <v>50</v>
      </c>
      <c r="K152" s="2">
        <f t="shared" si="14"/>
        <v>200000</v>
      </c>
      <c r="L152" s="9">
        <f>Table_1[[#This Row],[Unit Price]]*Table_1[[#This Row],[Quantity]]</f>
        <v>250000</v>
      </c>
      <c r="M152" s="8">
        <f>Table_1[[#This Row],[Cost Price]]*Table_1[[#This Row],[Quantity]]</f>
        <v>200000</v>
      </c>
      <c r="N152">
        <f>Table_1[[#This Row],[Revenue]]-Table_1[[#This Row],[COGS]]</f>
        <v>50000</v>
      </c>
      <c r="O152" s="11">
        <f t="shared" si="15"/>
        <v>4656740000</v>
      </c>
      <c r="P152">
        <f t="shared" si="16"/>
        <v>3725392000</v>
      </c>
      <c r="Q152">
        <f t="shared" si="17"/>
        <v>931348000</v>
      </c>
      <c r="R152" s="7">
        <f t="shared" si="18"/>
        <v>2098</v>
      </c>
      <c r="S152" s="7">
        <f t="shared" si="19"/>
        <v>1</v>
      </c>
      <c r="T152" s="7">
        <f t="shared" si="20"/>
        <v>2098</v>
      </c>
    </row>
    <row r="153" spans="1:20" ht="14.25" customHeight="1" x14ac:dyDescent="0.35">
      <c r="A153" s="2" t="s">
        <v>102</v>
      </c>
      <c r="B153" s="2" t="s">
        <v>12</v>
      </c>
      <c r="C153" s="2" t="s">
        <v>13</v>
      </c>
      <c r="D153" s="2" t="s">
        <v>14</v>
      </c>
      <c r="E153" s="2" t="s">
        <v>15</v>
      </c>
      <c r="F153" s="2" t="s">
        <v>39</v>
      </c>
      <c r="G153" s="2" t="s">
        <v>24</v>
      </c>
      <c r="H153" s="2">
        <v>180000</v>
      </c>
      <c r="I153" s="2">
        <v>8</v>
      </c>
      <c r="J153" s="2" t="s">
        <v>54</v>
      </c>
      <c r="K153" s="2">
        <f t="shared" si="14"/>
        <v>144000</v>
      </c>
      <c r="L153" s="9">
        <f>Table_1[[#This Row],[Unit Price]]*Table_1[[#This Row],[Quantity]]</f>
        <v>1440000</v>
      </c>
      <c r="M153" s="8">
        <f>Table_1[[#This Row],[Cost Price]]*Table_1[[#This Row],[Quantity]]</f>
        <v>1152000</v>
      </c>
      <c r="N153">
        <f>Table_1[[#This Row],[Revenue]]-Table_1[[#This Row],[COGS]]</f>
        <v>288000</v>
      </c>
      <c r="O153" s="11">
        <f t="shared" si="15"/>
        <v>4656740000</v>
      </c>
      <c r="P153">
        <f t="shared" si="16"/>
        <v>3725392000</v>
      </c>
      <c r="Q153">
        <f t="shared" si="17"/>
        <v>931348000</v>
      </c>
      <c r="R153" s="7">
        <f t="shared" si="18"/>
        <v>2098</v>
      </c>
      <c r="S153" s="7">
        <f t="shared" si="19"/>
        <v>1</v>
      </c>
      <c r="T153" s="7">
        <f t="shared" si="20"/>
        <v>2098</v>
      </c>
    </row>
    <row r="154" spans="1:20" ht="14.25" customHeight="1" x14ac:dyDescent="0.35">
      <c r="A154" s="2" t="s">
        <v>69</v>
      </c>
      <c r="B154" s="2" t="s">
        <v>34</v>
      </c>
      <c r="C154" s="2" t="s">
        <v>21</v>
      </c>
      <c r="D154" s="2" t="s">
        <v>14</v>
      </c>
      <c r="E154" s="2" t="s">
        <v>15</v>
      </c>
      <c r="F154" s="2" t="s">
        <v>47</v>
      </c>
      <c r="G154" s="2" t="s">
        <v>36</v>
      </c>
      <c r="H154" s="2">
        <v>150000</v>
      </c>
      <c r="I154" s="2">
        <v>1</v>
      </c>
      <c r="J154" s="2" t="s">
        <v>18</v>
      </c>
      <c r="K154" s="2">
        <f t="shared" si="14"/>
        <v>120000</v>
      </c>
      <c r="L154" s="9">
        <f>Table_1[[#This Row],[Unit Price]]*Table_1[[#This Row],[Quantity]]</f>
        <v>150000</v>
      </c>
      <c r="M154" s="8">
        <f>Table_1[[#This Row],[Cost Price]]*Table_1[[#This Row],[Quantity]]</f>
        <v>120000</v>
      </c>
      <c r="N154">
        <f>Table_1[[#This Row],[Revenue]]-Table_1[[#This Row],[COGS]]</f>
        <v>30000</v>
      </c>
      <c r="O154" s="11">
        <f t="shared" si="15"/>
        <v>4656740000</v>
      </c>
      <c r="P154">
        <f t="shared" si="16"/>
        <v>3725392000</v>
      </c>
      <c r="Q154">
        <f t="shared" si="17"/>
        <v>931348000</v>
      </c>
      <c r="R154" s="7">
        <f t="shared" si="18"/>
        <v>2098</v>
      </c>
      <c r="S154" s="7">
        <f t="shared" si="19"/>
        <v>1</v>
      </c>
      <c r="T154" s="7">
        <f t="shared" si="20"/>
        <v>2098</v>
      </c>
    </row>
    <row r="155" spans="1:20" ht="14.25" customHeight="1" x14ac:dyDescent="0.35">
      <c r="A155" s="2" t="s">
        <v>121</v>
      </c>
      <c r="B155" s="2" t="s">
        <v>34</v>
      </c>
      <c r="C155" s="2" t="s">
        <v>38</v>
      </c>
      <c r="D155" s="2" t="s">
        <v>14</v>
      </c>
      <c r="E155" s="2" t="s">
        <v>15</v>
      </c>
      <c r="F155" s="2" t="s">
        <v>23</v>
      </c>
      <c r="G155" s="2" t="s">
        <v>24</v>
      </c>
      <c r="H155" s="2">
        <v>30000</v>
      </c>
      <c r="I155" s="2">
        <v>6</v>
      </c>
      <c r="J155" s="2" t="s">
        <v>27</v>
      </c>
      <c r="K155" s="2">
        <f t="shared" si="14"/>
        <v>24000</v>
      </c>
      <c r="L155" s="9">
        <f>Table_1[[#This Row],[Unit Price]]*Table_1[[#This Row],[Quantity]]</f>
        <v>180000</v>
      </c>
      <c r="M155" s="8">
        <f>Table_1[[#This Row],[Cost Price]]*Table_1[[#This Row],[Quantity]]</f>
        <v>144000</v>
      </c>
      <c r="N155">
        <f>Table_1[[#This Row],[Revenue]]-Table_1[[#This Row],[COGS]]</f>
        <v>36000</v>
      </c>
      <c r="O155" s="11">
        <f t="shared" si="15"/>
        <v>4656740000</v>
      </c>
      <c r="P155">
        <f t="shared" si="16"/>
        <v>3725392000</v>
      </c>
      <c r="Q155">
        <f t="shared" si="17"/>
        <v>931348000</v>
      </c>
      <c r="R155" s="7">
        <f t="shared" si="18"/>
        <v>2098</v>
      </c>
      <c r="S155" s="7">
        <f t="shared" si="19"/>
        <v>2</v>
      </c>
      <c r="T155" s="7">
        <f t="shared" si="20"/>
        <v>2098</v>
      </c>
    </row>
    <row r="156" spans="1:20" ht="14.25" customHeight="1" x14ac:dyDescent="0.35">
      <c r="A156" s="2" t="s">
        <v>112</v>
      </c>
      <c r="B156" s="2" t="s">
        <v>12</v>
      </c>
      <c r="C156" s="2" t="s">
        <v>13</v>
      </c>
      <c r="D156" s="2" t="s">
        <v>26</v>
      </c>
      <c r="E156" s="2" t="s">
        <v>15</v>
      </c>
      <c r="F156" s="2" t="s">
        <v>58</v>
      </c>
      <c r="G156" s="2" t="s">
        <v>24</v>
      </c>
      <c r="H156" s="2">
        <v>220000</v>
      </c>
      <c r="I156" s="2">
        <v>10</v>
      </c>
      <c r="J156" s="2" t="s">
        <v>54</v>
      </c>
      <c r="K156" s="2">
        <f t="shared" si="14"/>
        <v>176000</v>
      </c>
      <c r="L156" s="9">
        <f>Table_1[[#This Row],[Unit Price]]*Table_1[[#This Row],[Quantity]]</f>
        <v>2200000</v>
      </c>
      <c r="M156" s="8">
        <f>Table_1[[#This Row],[Cost Price]]*Table_1[[#This Row],[Quantity]]</f>
        <v>1760000</v>
      </c>
      <c r="N156">
        <f>Table_1[[#This Row],[Revenue]]-Table_1[[#This Row],[COGS]]</f>
        <v>440000</v>
      </c>
      <c r="O156" s="11">
        <f t="shared" si="15"/>
        <v>4656740000</v>
      </c>
      <c r="P156">
        <f t="shared" si="16"/>
        <v>3725392000</v>
      </c>
      <c r="Q156">
        <f t="shared" si="17"/>
        <v>931348000</v>
      </c>
      <c r="R156" s="7">
        <f t="shared" si="18"/>
        <v>2098</v>
      </c>
      <c r="S156" s="7">
        <f t="shared" si="19"/>
        <v>1</v>
      </c>
      <c r="T156" s="7">
        <f t="shared" si="20"/>
        <v>2098</v>
      </c>
    </row>
    <row r="157" spans="1:20" ht="14.25" customHeight="1" x14ac:dyDescent="0.35">
      <c r="A157" s="2" t="s">
        <v>83</v>
      </c>
      <c r="B157" s="2" t="s">
        <v>12</v>
      </c>
      <c r="C157" s="2" t="s">
        <v>13</v>
      </c>
      <c r="D157" s="2" t="s">
        <v>14</v>
      </c>
      <c r="E157" s="2" t="s">
        <v>22</v>
      </c>
      <c r="F157" s="2" t="s">
        <v>52</v>
      </c>
      <c r="G157" s="2" t="s">
        <v>36</v>
      </c>
      <c r="H157" s="2">
        <v>420000</v>
      </c>
      <c r="I157" s="2">
        <v>1</v>
      </c>
      <c r="J157" s="2" t="s">
        <v>27</v>
      </c>
      <c r="K157" s="2">
        <f t="shared" si="14"/>
        <v>336000</v>
      </c>
      <c r="L157" s="9">
        <f>Table_1[[#This Row],[Unit Price]]*Table_1[[#This Row],[Quantity]]</f>
        <v>420000</v>
      </c>
      <c r="M157" s="8">
        <f>Table_1[[#This Row],[Cost Price]]*Table_1[[#This Row],[Quantity]]</f>
        <v>336000</v>
      </c>
      <c r="N157">
        <f>Table_1[[#This Row],[Revenue]]-Table_1[[#This Row],[COGS]]</f>
        <v>84000</v>
      </c>
      <c r="O157" s="11">
        <f t="shared" si="15"/>
        <v>4656740000</v>
      </c>
      <c r="P157">
        <f t="shared" si="16"/>
        <v>3725392000</v>
      </c>
      <c r="Q157">
        <f t="shared" si="17"/>
        <v>931348000</v>
      </c>
      <c r="R157" s="7">
        <f t="shared" si="18"/>
        <v>2098</v>
      </c>
      <c r="S157" s="7">
        <f t="shared" si="19"/>
        <v>1</v>
      </c>
      <c r="T157" s="7">
        <f t="shared" si="20"/>
        <v>2098</v>
      </c>
    </row>
    <row r="158" spans="1:20" ht="14.25" customHeight="1" x14ac:dyDescent="0.35">
      <c r="A158" s="2" t="s">
        <v>68</v>
      </c>
      <c r="B158" s="2" t="s">
        <v>12</v>
      </c>
      <c r="C158" s="2" t="s">
        <v>21</v>
      </c>
      <c r="D158" s="2" t="s">
        <v>26</v>
      </c>
      <c r="E158" s="2" t="s">
        <v>22</v>
      </c>
      <c r="F158" s="2" t="s">
        <v>35</v>
      </c>
      <c r="G158" s="2" t="s">
        <v>36</v>
      </c>
      <c r="H158" s="2">
        <v>300000</v>
      </c>
      <c r="I158" s="2">
        <v>8</v>
      </c>
      <c r="J158" s="2" t="s">
        <v>27</v>
      </c>
      <c r="K158" s="2">
        <f t="shared" si="14"/>
        <v>240000</v>
      </c>
      <c r="L158" s="9">
        <f>Table_1[[#This Row],[Unit Price]]*Table_1[[#This Row],[Quantity]]</f>
        <v>2400000</v>
      </c>
      <c r="M158" s="8">
        <f>Table_1[[#This Row],[Cost Price]]*Table_1[[#This Row],[Quantity]]</f>
        <v>1920000</v>
      </c>
      <c r="N158">
        <f>Table_1[[#This Row],[Revenue]]-Table_1[[#This Row],[COGS]]</f>
        <v>480000</v>
      </c>
      <c r="O158" s="11">
        <f t="shared" si="15"/>
        <v>4656740000</v>
      </c>
      <c r="P158">
        <f t="shared" si="16"/>
        <v>3725392000</v>
      </c>
      <c r="Q158">
        <f t="shared" si="17"/>
        <v>931348000</v>
      </c>
      <c r="R158" s="7">
        <f t="shared" si="18"/>
        <v>2098</v>
      </c>
      <c r="S158" s="7">
        <f t="shared" si="19"/>
        <v>1</v>
      </c>
      <c r="T158" s="7">
        <f t="shared" si="20"/>
        <v>2098</v>
      </c>
    </row>
    <row r="159" spans="1:20" ht="14.25" customHeight="1" x14ac:dyDescent="0.35">
      <c r="A159" s="2" t="s">
        <v>64</v>
      </c>
      <c r="B159" s="2" t="s">
        <v>34</v>
      </c>
      <c r="C159" s="2" t="s">
        <v>38</v>
      </c>
      <c r="D159" s="2" t="s">
        <v>26</v>
      </c>
      <c r="E159" s="2" t="s">
        <v>15</v>
      </c>
      <c r="F159" s="2" t="s">
        <v>56</v>
      </c>
      <c r="G159" s="2" t="s">
        <v>36</v>
      </c>
      <c r="H159" s="2">
        <v>250000</v>
      </c>
      <c r="I159" s="2">
        <v>3</v>
      </c>
      <c r="J159" s="2" t="s">
        <v>18</v>
      </c>
      <c r="K159" s="2">
        <f t="shared" si="14"/>
        <v>200000</v>
      </c>
      <c r="L159" s="9">
        <f>Table_1[[#This Row],[Unit Price]]*Table_1[[#This Row],[Quantity]]</f>
        <v>750000</v>
      </c>
      <c r="M159" s="8">
        <f>Table_1[[#This Row],[Cost Price]]*Table_1[[#This Row],[Quantity]]</f>
        <v>600000</v>
      </c>
      <c r="N159">
        <f>Table_1[[#This Row],[Revenue]]-Table_1[[#This Row],[COGS]]</f>
        <v>150000</v>
      </c>
      <c r="O159" s="11">
        <f t="shared" si="15"/>
        <v>4656740000</v>
      </c>
      <c r="P159">
        <f t="shared" si="16"/>
        <v>3725392000</v>
      </c>
      <c r="Q159">
        <f t="shared" si="17"/>
        <v>931348000</v>
      </c>
      <c r="R159" s="7">
        <f t="shared" si="18"/>
        <v>2098</v>
      </c>
      <c r="S159" s="7">
        <f t="shared" si="19"/>
        <v>2</v>
      </c>
      <c r="T159" s="7">
        <f t="shared" si="20"/>
        <v>2098</v>
      </c>
    </row>
    <row r="160" spans="1:20" ht="14.25" customHeight="1" x14ac:dyDescent="0.35">
      <c r="A160" s="2" t="s">
        <v>72</v>
      </c>
      <c r="B160" s="2" t="s">
        <v>12</v>
      </c>
      <c r="C160" s="2" t="s">
        <v>38</v>
      </c>
      <c r="D160" s="2" t="s">
        <v>26</v>
      </c>
      <c r="E160" s="2" t="s">
        <v>15</v>
      </c>
      <c r="F160" s="2" t="s">
        <v>35</v>
      </c>
      <c r="G160" s="2" t="s">
        <v>36</v>
      </c>
      <c r="H160" s="2">
        <v>300000</v>
      </c>
      <c r="I160" s="2">
        <v>4</v>
      </c>
      <c r="J160" s="2" t="s">
        <v>43</v>
      </c>
      <c r="K160" s="2">
        <f t="shared" si="14"/>
        <v>240000</v>
      </c>
      <c r="L160" s="9">
        <f>Table_1[[#This Row],[Unit Price]]*Table_1[[#This Row],[Quantity]]</f>
        <v>1200000</v>
      </c>
      <c r="M160" s="8">
        <f>Table_1[[#This Row],[Cost Price]]*Table_1[[#This Row],[Quantity]]</f>
        <v>960000</v>
      </c>
      <c r="N160">
        <f>Table_1[[#This Row],[Revenue]]-Table_1[[#This Row],[COGS]]</f>
        <v>240000</v>
      </c>
      <c r="O160" s="11">
        <f t="shared" si="15"/>
        <v>4656740000</v>
      </c>
      <c r="P160">
        <f t="shared" si="16"/>
        <v>3725392000</v>
      </c>
      <c r="Q160">
        <f t="shared" si="17"/>
        <v>931348000</v>
      </c>
      <c r="R160" s="7">
        <f t="shared" si="18"/>
        <v>2098</v>
      </c>
      <c r="S160" s="7">
        <f t="shared" si="19"/>
        <v>3</v>
      </c>
      <c r="T160" s="7">
        <f t="shared" si="20"/>
        <v>2098</v>
      </c>
    </row>
    <row r="161" spans="1:20" ht="14.25" customHeight="1" x14ac:dyDescent="0.35">
      <c r="A161" s="2" t="s">
        <v>122</v>
      </c>
      <c r="B161" s="2" t="s">
        <v>12</v>
      </c>
      <c r="C161" s="2" t="s">
        <v>30</v>
      </c>
      <c r="D161" s="2" t="s">
        <v>14</v>
      </c>
      <c r="E161" s="2" t="s">
        <v>15</v>
      </c>
      <c r="F161" s="2" t="s">
        <v>47</v>
      </c>
      <c r="G161" s="2" t="s">
        <v>36</v>
      </c>
      <c r="H161" s="2">
        <v>150000</v>
      </c>
      <c r="I161" s="2">
        <v>6</v>
      </c>
      <c r="J161" s="2" t="s">
        <v>43</v>
      </c>
      <c r="K161" s="2">
        <f t="shared" si="14"/>
        <v>120000</v>
      </c>
      <c r="L161" s="9">
        <f>Table_1[[#This Row],[Unit Price]]*Table_1[[#This Row],[Quantity]]</f>
        <v>900000</v>
      </c>
      <c r="M161" s="8">
        <f>Table_1[[#This Row],[Cost Price]]*Table_1[[#This Row],[Quantity]]</f>
        <v>720000</v>
      </c>
      <c r="N161">
        <f>Table_1[[#This Row],[Revenue]]-Table_1[[#This Row],[COGS]]</f>
        <v>180000</v>
      </c>
      <c r="O161" s="11">
        <f t="shared" si="15"/>
        <v>4656740000</v>
      </c>
      <c r="P161">
        <f t="shared" si="16"/>
        <v>3725392000</v>
      </c>
      <c r="Q161">
        <f t="shared" si="17"/>
        <v>931348000</v>
      </c>
      <c r="R161" s="7">
        <f t="shared" si="18"/>
        <v>2098</v>
      </c>
      <c r="S161" s="7">
        <f t="shared" si="19"/>
        <v>4</v>
      </c>
      <c r="T161" s="7">
        <f t="shared" si="20"/>
        <v>2098</v>
      </c>
    </row>
    <row r="162" spans="1:20" ht="14.25" customHeight="1" x14ac:dyDescent="0.35">
      <c r="A162" s="2" t="s">
        <v>123</v>
      </c>
      <c r="B162" s="2" t="s">
        <v>12</v>
      </c>
      <c r="C162" s="2" t="s">
        <v>38</v>
      </c>
      <c r="D162" s="2" t="s">
        <v>14</v>
      </c>
      <c r="E162" s="2" t="s">
        <v>15</v>
      </c>
      <c r="F162" s="2" t="s">
        <v>52</v>
      </c>
      <c r="G162" s="2" t="s">
        <v>36</v>
      </c>
      <c r="H162" s="2">
        <v>420000</v>
      </c>
      <c r="I162" s="2">
        <v>2</v>
      </c>
      <c r="J162" s="2" t="s">
        <v>18</v>
      </c>
      <c r="K162" s="2">
        <f t="shared" si="14"/>
        <v>336000</v>
      </c>
      <c r="L162" s="9">
        <f>Table_1[[#This Row],[Unit Price]]*Table_1[[#This Row],[Quantity]]</f>
        <v>840000</v>
      </c>
      <c r="M162" s="8">
        <f>Table_1[[#This Row],[Cost Price]]*Table_1[[#This Row],[Quantity]]</f>
        <v>672000</v>
      </c>
      <c r="N162">
        <f>Table_1[[#This Row],[Revenue]]-Table_1[[#This Row],[COGS]]</f>
        <v>168000</v>
      </c>
      <c r="O162" s="11">
        <f t="shared" si="15"/>
        <v>4656740000</v>
      </c>
      <c r="P162">
        <f t="shared" si="16"/>
        <v>3725392000</v>
      </c>
      <c r="Q162">
        <f t="shared" si="17"/>
        <v>931348000</v>
      </c>
      <c r="R162" s="7">
        <f t="shared" si="18"/>
        <v>2098</v>
      </c>
      <c r="S162" s="7">
        <f t="shared" si="19"/>
        <v>4</v>
      </c>
      <c r="T162" s="7">
        <f t="shared" si="20"/>
        <v>2098</v>
      </c>
    </row>
    <row r="163" spans="1:20" ht="14.25" customHeight="1" x14ac:dyDescent="0.35">
      <c r="A163" s="2" t="s">
        <v>124</v>
      </c>
      <c r="B163" s="2" t="s">
        <v>29</v>
      </c>
      <c r="C163" s="2" t="s">
        <v>21</v>
      </c>
      <c r="D163" s="2" t="s">
        <v>14</v>
      </c>
      <c r="E163" s="2" t="s">
        <v>15</v>
      </c>
      <c r="F163" s="2" t="s">
        <v>58</v>
      </c>
      <c r="G163" s="2" t="s">
        <v>24</v>
      </c>
      <c r="H163" s="2">
        <v>220000</v>
      </c>
      <c r="I163" s="2">
        <v>1</v>
      </c>
      <c r="J163" s="2" t="s">
        <v>27</v>
      </c>
      <c r="K163" s="2">
        <f t="shared" si="14"/>
        <v>176000</v>
      </c>
      <c r="L163" s="9">
        <f>Table_1[[#This Row],[Unit Price]]*Table_1[[#This Row],[Quantity]]</f>
        <v>220000</v>
      </c>
      <c r="M163" s="8">
        <f>Table_1[[#This Row],[Cost Price]]*Table_1[[#This Row],[Quantity]]</f>
        <v>176000</v>
      </c>
      <c r="N163">
        <f>Table_1[[#This Row],[Revenue]]-Table_1[[#This Row],[COGS]]</f>
        <v>44000</v>
      </c>
      <c r="O163" s="11">
        <f t="shared" si="15"/>
        <v>4656740000</v>
      </c>
      <c r="P163">
        <f t="shared" si="16"/>
        <v>3725392000</v>
      </c>
      <c r="Q163">
        <f t="shared" si="17"/>
        <v>931348000</v>
      </c>
      <c r="R163" s="7">
        <f t="shared" si="18"/>
        <v>2098</v>
      </c>
      <c r="S163" s="7">
        <f t="shared" si="19"/>
        <v>1</v>
      </c>
      <c r="T163" s="7">
        <f t="shared" si="20"/>
        <v>2098</v>
      </c>
    </row>
    <row r="164" spans="1:20" ht="14.25" customHeight="1" x14ac:dyDescent="0.35">
      <c r="A164" s="2" t="s">
        <v>125</v>
      </c>
      <c r="B164" s="2" t="s">
        <v>29</v>
      </c>
      <c r="C164" s="2" t="s">
        <v>38</v>
      </c>
      <c r="D164" s="2" t="s">
        <v>14</v>
      </c>
      <c r="E164" s="2" t="s">
        <v>22</v>
      </c>
      <c r="F164" s="2" t="s">
        <v>58</v>
      </c>
      <c r="G164" s="2" t="s">
        <v>24</v>
      </c>
      <c r="H164" s="2">
        <v>220000</v>
      </c>
      <c r="I164" s="2">
        <v>8</v>
      </c>
      <c r="J164" s="2" t="s">
        <v>50</v>
      </c>
      <c r="K164" s="2">
        <f t="shared" si="14"/>
        <v>176000</v>
      </c>
      <c r="L164" s="9">
        <f>Table_1[[#This Row],[Unit Price]]*Table_1[[#This Row],[Quantity]]</f>
        <v>1760000</v>
      </c>
      <c r="M164" s="8">
        <f>Table_1[[#This Row],[Cost Price]]*Table_1[[#This Row],[Quantity]]</f>
        <v>1408000</v>
      </c>
      <c r="N164">
        <f>Table_1[[#This Row],[Revenue]]-Table_1[[#This Row],[COGS]]</f>
        <v>352000</v>
      </c>
      <c r="O164" s="11">
        <f t="shared" si="15"/>
        <v>4656740000</v>
      </c>
      <c r="P164">
        <f t="shared" si="16"/>
        <v>3725392000</v>
      </c>
      <c r="Q164">
        <f t="shared" si="17"/>
        <v>931348000</v>
      </c>
      <c r="R164" s="7">
        <f t="shared" si="18"/>
        <v>2098</v>
      </c>
      <c r="S164" s="7">
        <f t="shared" si="19"/>
        <v>4</v>
      </c>
      <c r="T164" s="7">
        <f t="shared" si="20"/>
        <v>2098</v>
      </c>
    </row>
    <row r="165" spans="1:20" ht="14.25" customHeight="1" x14ac:dyDescent="0.35">
      <c r="A165" s="2" t="s">
        <v>87</v>
      </c>
      <c r="B165" s="2" t="s">
        <v>34</v>
      </c>
      <c r="C165" s="2" t="s">
        <v>30</v>
      </c>
      <c r="D165" s="2" t="s">
        <v>14</v>
      </c>
      <c r="E165" s="2" t="s">
        <v>22</v>
      </c>
      <c r="F165" s="2" t="s">
        <v>23</v>
      </c>
      <c r="G165" s="2" t="s">
        <v>24</v>
      </c>
      <c r="H165" s="2">
        <v>30000</v>
      </c>
      <c r="I165" s="2">
        <v>10</v>
      </c>
      <c r="J165" s="2" t="s">
        <v>54</v>
      </c>
      <c r="K165" s="2">
        <f t="shared" si="14"/>
        <v>24000</v>
      </c>
      <c r="L165" s="9">
        <f>Table_1[[#This Row],[Unit Price]]*Table_1[[#This Row],[Quantity]]</f>
        <v>300000</v>
      </c>
      <c r="M165" s="8">
        <f>Table_1[[#This Row],[Cost Price]]*Table_1[[#This Row],[Quantity]]</f>
        <v>240000</v>
      </c>
      <c r="N165">
        <f>Table_1[[#This Row],[Revenue]]-Table_1[[#This Row],[COGS]]</f>
        <v>60000</v>
      </c>
      <c r="O165" s="11">
        <f t="shared" si="15"/>
        <v>4656740000</v>
      </c>
      <c r="P165">
        <f t="shared" si="16"/>
        <v>3725392000</v>
      </c>
      <c r="Q165">
        <f t="shared" si="17"/>
        <v>931348000</v>
      </c>
      <c r="R165" s="7">
        <f t="shared" si="18"/>
        <v>2098</v>
      </c>
      <c r="S165" s="7">
        <f t="shared" si="19"/>
        <v>3</v>
      </c>
      <c r="T165" s="7">
        <f t="shared" si="20"/>
        <v>2098</v>
      </c>
    </row>
    <row r="166" spans="1:20" ht="14.25" customHeight="1" x14ac:dyDescent="0.35">
      <c r="A166" s="2" t="s">
        <v>126</v>
      </c>
      <c r="B166" s="2" t="s">
        <v>34</v>
      </c>
      <c r="C166" s="2" t="s">
        <v>21</v>
      </c>
      <c r="D166" s="2" t="s">
        <v>26</v>
      </c>
      <c r="E166" s="2" t="s">
        <v>15</v>
      </c>
      <c r="F166" s="2" t="s">
        <v>23</v>
      </c>
      <c r="G166" s="2" t="s">
        <v>24</v>
      </c>
      <c r="H166" s="2">
        <v>30000</v>
      </c>
      <c r="I166" s="2">
        <v>4</v>
      </c>
      <c r="J166" s="2" t="s">
        <v>54</v>
      </c>
      <c r="K166" s="2">
        <f t="shared" si="14"/>
        <v>24000</v>
      </c>
      <c r="L166" s="9">
        <f>Table_1[[#This Row],[Unit Price]]*Table_1[[#This Row],[Quantity]]</f>
        <v>120000</v>
      </c>
      <c r="M166" s="8">
        <f>Table_1[[#This Row],[Cost Price]]*Table_1[[#This Row],[Quantity]]</f>
        <v>96000</v>
      </c>
      <c r="N166">
        <f>Table_1[[#This Row],[Revenue]]-Table_1[[#This Row],[COGS]]</f>
        <v>24000</v>
      </c>
      <c r="O166" s="11">
        <f t="shared" si="15"/>
        <v>4656740000</v>
      </c>
      <c r="P166">
        <f t="shared" si="16"/>
        <v>3725392000</v>
      </c>
      <c r="Q166">
        <f t="shared" si="17"/>
        <v>931348000</v>
      </c>
      <c r="R166" s="7">
        <f t="shared" si="18"/>
        <v>2098</v>
      </c>
      <c r="S166" s="7">
        <f t="shared" si="19"/>
        <v>3</v>
      </c>
      <c r="T166" s="7">
        <f t="shared" si="20"/>
        <v>2098</v>
      </c>
    </row>
    <row r="167" spans="1:20" ht="14.25" customHeight="1" x14ac:dyDescent="0.35">
      <c r="A167" s="2" t="s">
        <v>127</v>
      </c>
      <c r="B167" s="2" t="s">
        <v>12</v>
      </c>
      <c r="C167" s="2" t="s">
        <v>13</v>
      </c>
      <c r="D167" s="2" t="s">
        <v>26</v>
      </c>
      <c r="E167" s="2" t="s">
        <v>15</v>
      </c>
      <c r="F167" s="2" t="s">
        <v>39</v>
      </c>
      <c r="G167" s="2" t="s">
        <v>24</v>
      </c>
      <c r="H167" s="2">
        <v>180000</v>
      </c>
      <c r="I167" s="2">
        <v>6</v>
      </c>
      <c r="J167" s="2" t="s">
        <v>18</v>
      </c>
      <c r="K167" s="2">
        <f t="shared" si="14"/>
        <v>144000</v>
      </c>
      <c r="L167" s="9">
        <f>Table_1[[#This Row],[Unit Price]]*Table_1[[#This Row],[Quantity]]</f>
        <v>1080000</v>
      </c>
      <c r="M167" s="8">
        <f>Table_1[[#This Row],[Cost Price]]*Table_1[[#This Row],[Quantity]]</f>
        <v>864000</v>
      </c>
      <c r="N167">
        <f>Table_1[[#This Row],[Revenue]]-Table_1[[#This Row],[COGS]]</f>
        <v>216000</v>
      </c>
      <c r="O167" s="11">
        <f t="shared" si="15"/>
        <v>4656740000</v>
      </c>
      <c r="P167">
        <f t="shared" si="16"/>
        <v>3725392000</v>
      </c>
      <c r="Q167">
        <f t="shared" si="17"/>
        <v>931348000</v>
      </c>
      <c r="R167" s="7">
        <f t="shared" si="18"/>
        <v>2098</v>
      </c>
      <c r="S167" s="7">
        <f t="shared" si="19"/>
        <v>4</v>
      </c>
      <c r="T167" s="7">
        <f t="shared" si="20"/>
        <v>2098</v>
      </c>
    </row>
    <row r="168" spans="1:20" ht="14.25" customHeight="1" x14ac:dyDescent="0.35">
      <c r="A168" s="2" t="s">
        <v>128</v>
      </c>
      <c r="B168" s="2" t="s">
        <v>12</v>
      </c>
      <c r="C168" s="2" t="s">
        <v>38</v>
      </c>
      <c r="D168" s="2" t="s">
        <v>26</v>
      </c>
      <c r="E168" s="2" t="s">
        <v>15</v>
      </c>
      <c r="F168" s="2" t="s">
        <v>35</v>
      </c>
      <c r="G168" s="2" t="s">
        <v>36</v>
      </c>
      <c r="H168" s="2">
        <v>300000</v>
      </c>
      <c r="I168" s="2">
        <v>2</v>
      </c>
      <c r="J168" s="2" t="s">
        <v>54</v>
      </c>
      <c r="K168" s="2">
        <f t="shared" si="14"/>
        <v>240000</v>
      </c>
      <c r="L168" s="9">
        <f>Table_1[[#This Row],[Unit Price]]*Table_1[[#This Row],[Quantity]]</f>
        <v>600000</v>
      </c>
      <c r="M168" s="8">
        <f>Table_1[[#This Row],[Cost Price]]*Table_1[[#This Row],[Quantity]]</f>
        <v>480000</v>
      </c>
      <c r="N168">
        <f>Table_1[[#This Row],[Revenue]]-Table_1[[#This Row],[COGS]]</f>
        <v>120000</v>
      </c>
      <c r="O168" s="11">
        <f t="shared" si="15"/>
        <v>4656740000</v>
      </c>
      <c r="P168">
        <f t="shared" si="16"/>
        <v>3725392000</v>
      </c>
      <c r="Q168">
        <f t="shared" si="17"/>
        <v>931348000</v>
      </c>
      <c r="R168" s="7">
        <f t="shared" si="18"/>
        <v>2098</v>
      </c>
      <c r="S168" s="7">
        <f t="shared" si="19"/>
        <v>4</v>
      </c>
      <c r="T168" s="7">
        <f t="shared" si="20"/>
        <v>2098</v>
      </c>
    </row>
    <row r="169" spans="1:20" ht="14.25" customHeight="1" x14ac:dyDescent="0.35">
      <c r="A169" s="2" t="s">
        <v>124</v>
      </c>
      <c r="B169" s="2" t="s">
        <v>20</v>
      </c>
      <c r="C169" s="2" t="s">
        <v>21</v>
      </c>
      <c r="D169" s="2" t="s">
        <v>14</v>
      </c>
      <c r="E169" s="2" t="s">
        <v>15</v>
      </c>
      <c r="F169" s="2" t="s">
        <v>47</v>
      </c>
      <c r="G169" s="2" t="s">
        <v>36</v>
      </c>
      <c r="H169" s="2">
        <v>150000</v>
      </c>
      <c r="I169" s="2">
        <v>9</v>
      </c>
      <c r="J169" s="2" t="s">
        <v>18</v>
      </c>
      <c r="K169" s="2">
        <f t="shared" si="14"/>
        <v>120000</v>
      </c>
      <c r="L169" s="9">
        <f>Table_1[[#This Row],[Unit Price]]*Table_1[[#This Row],[Quantity]]</f>
        <v>1350000</v>
      </c>
      <c r="M169" s="8">
        <f>Table_1[[#This Row],[Cost Price]]*Table_1[[#This Row],[Quantity]]</f>
        <v>1080000</v>
      </c>
      <c r="N169">
        <f>Table_1[[#This Row],[Revenue]]-Table_1[[#This Row],[COGS]]</f>
        <v>270000</v>
      </c>
      <c r="O169" s="11">
        <f t="shared" si="15"/>
        <v>4656740000</v>
      </c>
      <c r="P169">
        <f t="shared" si="16"/>
        <v>3725392000</v>
      </c>
      <c r="Q169">
        <f t="shared" si="17"/>
        <v>931348000</v>
      </c>
      <c r="R169" s="7">
        <f t="shared" si="18"/>
        <v>2098</v>
      </c>
      <c r="S169" s="7">
        <f t="shared" si="19"/>
        <v>1</v>
      </c>
      <c r="T169" s="7">
        <f t="shared" si="20"/>
        <v>2098</v>
      </c>
    </row>
    <row r="170" spans="1:20" ht="14.25" customHeight="1" x14ac:dyDescent="0.35">
      <c r="A170" s="2" t="s">
        <v>66</v>
      </c>
      <c r="B170" s="2" t="s">
        <v>34</v>
      </c>
      <c r="C170" s="2" t="s">
        <v>13</v>
      </c>
      <c r="D170" s="2" t="s">
        <v>14</v>
      </c>
      <c r="E170" s="2" t="s">
        <v>22</v>
      </c>
      <c r="F170" s="2" t="s">
        <v>47</v>
      </c>
      <c r="G170" s="2" t="s">
        <v>36</v>
      </c>
      <c r="H170" s="2">
        <v>150000</v>
      </c>
      <c r="I170" s="2">
        <v>9</v>
      </c>
      <c r="J170" s="2" t="s">
        <v>27</v>
      </c>
      <c r="K170" s="2">
        <f t="shared" si="14"/>
        <v>120000</v>
      </c>
      <c r="L170" s="9">
        <f>Table_1[[#This Row],[Unit Price]]*Table_1[[#This Row],[Quantity]]</f>
        <v>1350000</v>
      </c>
      <c r="M170" s="8">
        <f>Table_1[[#This Row],[Cost Price]]*Table_1[[#This Row],[Quantity]]</f>
        <v>1080000</v>
      </c>
      <c r="N170">
        <f>Table_1[[#This Row],[Revenue]]-Table_1[[#This Row],[COGS]]</f>
        <v>270000</v>
      </c>
      <c r="O170" s="11">
        <f t="shared" si="15"/>
        <v>4656740000</v>
      </c>
      <c r="P170">
        <f t="shared" si="16"/>
        <v>3725392000</v>
      </c>
      <c r="Q170">
        <f t="shared" si="17"/>
        <v>931348000</v>
      </c>
      <c r="R170" s="7">
        <f t="shared" si="18"/>
        <v>2098</v>
      </c>
      <c r="S170" s="7">
        <f t="shared" si="19"/>
        <v>3</v>
      </c>
      <c r="T170" s="7">
        <f t="shared" si="20"/>
        <v>2098</v>
      </c>
    </row>
    <row r="171" spans="1:20" ht="14.25" customHeight="1" x14ac:dyDescent="0.35">
      <c r="A171" s="2" t="s">
        <v>129</v>
      </c>
      <c r="B171" s="2" t="s">
        <v>12</v>
      </c>
      <c r="C171" s="2" t="s">
        <v>13</v>
      </c>
      <c r="D171" s="2" t="s">
        <v>14</v>
      </c>
      <c r="E171" s="2" t="s">
        <v>15</v>
      </c>
      <c r="F171" s="2" t="s">
        <v>23</v>
      </c>
      <c r="G171" s="2" t="s">
        <v>24</v>
      </c>
      <c r="H171" s="2">
        <v>30000</v>
      </c>
      <c r="I171" s="2">
        <v>4</v>
      </c>
      <c r="J171" s="2" t="s">
        <v>18</v>
      </c>
      <c r="K171" s="2">
        <f t="shared" si="14"/>
        <v>24000</v>
      </c>
      <c r="L171" s="9">
        <f>Table_1[[#This Row],[Unit Price]]*Table_1[[#This Row],[Quantity]]</f>
        <v>120000</v>
      </c>
      <c r="M171" s="8">
        <f>Table_1[[#This Row],[Cost Price]]*Table_1[[#This Row],[Quantity]]</f>
        <v>96000</v>
      </c>
      <c r="N171">
        <f>Table_1[[#This Row],[Revenue]]-Table_1[[#This Row],[COGS]]</f>
        <v>24000</v>
      </c>
      <c r="O171" s="11">
        <f t="shared" si="15"/>
        <v>4656740000</v>
      </c>
      <c r="P171">
        <f t="shared" si="16"/>
        <v>3725392000</v>
      </c>
      <c r="Q171">
        <f t="shared" si="17"/>
        <v>931348000</v>
      </c>
      <c r="R171" s="7">
        <f t="shared" si="18"/>
        <v>2098</v>
      </c>
      <c r="S171" s="7">
        <f t="shared" si="19"/>
        <v>2</v>
      </c>
      <c r="T171" s="7">
        <f t="shared" si="20"/>
        <v>2098</v>
      </c>
    </row>
    <row r="172" spans="1:20" ht="14.25" customHeight="1" x14ac:dyDescent="0.35">
      <c r="A172" s="2" t="s">
        <v>61</v>
      </c>
      <c r="B172" s="2" t="s">
        <v>20</v>
      </c>
      <c r="C172" s="2" t="s">
        <v>30</v>
      </c>
      <c r="D172" s="2" t="s">
        <v>26</v>
      </c>
      <c r="E172" s="2" t="s">
        <v>15</v>
      </c>
      <c r="F172" s="2" t="s">
        <v>31</v>
      </c>
      <c r="G172" s="2" t="s">
        <v>24</v>
      </c>
      <c r="H172" s="2">
        <v>60000</v>
      </c>
      <c r="I172" s="2">
        <v>9</v>
      </c>
      <c r="J172" s="2" t="s">
        <v>32</v>
      </c>
      <c r="K172" s="2">
        <f t="shared" si="14"/>
        <v>48000</v>
      </c>
      <c r="L172" s="9">
        <f>Table_1[[#This Row],[Unit Price]]*Table_1[[#This Row],[Quantity]]</f>
        <v>540000</v>
      </c>
      <c r="M172" s="8">
        <f>Table_1[[#This Row],[Cost Price]]*Table_1[[#This Row],[Quantity]]</f>
        <v>432000</v>
      </c>
      <c r="N172">
        <f>Table_1[[#This Row],[Revenue]]-Table_1[[#This Row],[COGS]]</f>
        <v>108000</v>
      </c>
      <c r="O172" s="11">
        <f t="shared" si="15"/>
        <v>4656740000</v>
      </c>
      <c r="P172">
        <f t="shared" si="16"/>
        <v>3725392000</v>
      </c>
      <c r="Q172">
        <f t="shared" si="17"/>
        <v>931348000</v>
      </c>
      <c r="R172" s="7">
        <f t="shared" si="18"/>
        <v>2098</v>
      </c>
      <c r="S172" s="7">
        <f t="shared" si="19"/>
        <v>5</v>
      </c>
      <c r="T172" s="7">
        <f t="shared" si="20"/>
        <v>2098</v>
      </c>
    </row>
    <row r="173" spans="1:20" ht="14.25" customHeight="1" x14ac:dyDescent="0.35">
      <c r="A173" s="2" t="s">
        <v>130</v>
      </c>
      <c r="B173" s="2" t="s">
        <v>29</v>
      </c>
      <c r="C173" s="2" t="s">
        <v>21</v>
      </c>
      <c r="D173" s="2" t="s">
        <v>14</v>
      </c>
      <c r="E173" s="2" t="s">
        <v>22</v>
      </c>
      <c r="F173" s="2" t="s">
        <v>35</v>
      </c>
      <c r="G173" s="2" t="s">
        <v>36</v>
      </c>
      <c r="H173" s="2">
        <v>300000</v>
      </c>
      <c r="I173" s="2">
        <v>9</v>
      </c>
      <c r="J173" s="2" t="s">
        <v>32</v>
      </c>
      <c r="K173" s="2">
        <f t="shared" si="14"/>
        <v>240000</v>
      </c>
      <c r="L173" s="9">
        <f>Table_1[[#This Row],[Unit Price]]*Table_1[[#This Row],[Quantity]]</f>
        <v>2700000</v>
      </c>
      <c r="M173" s="8">
        <f>Table_1[[#This Row],[Cost Price]]*Table_1[[#This Row],[Quantity]]</f>
        <v>2160000</v>
      </c>
      <c r="N173">
        <f>Table_1[[#This Row],[Revenue]]-Table_1[[#This Row],[COGS]]</f>
        <v>540000</v>
      </c>
      <c r="O173" s="11">
        <f t="shared" si="15"/>
        <v>4656740000</v>
      </c>
      <c r="P173">
        <f t="shared" si="16"/>
        <v>3725392000</v>
      </c>
      <c r="Q173">
        <f t="shared" si="17"/>
        <v>931348000</v>
      </c>
      <c r="R173" s="7">
        <f t="shared" si="18"/>
        <v>2098</v>
      </c>
      <c r="S173" s="7">
        <f t="shared" si="19"/>
        <v>1</v>
      </c>
      <c r="T173" s="7">
        <f t="shared" si="20"/>
        <v>2098</v>
      </c>
    </row>
    <row r="174" spans="1:20" ht="14.25" customHeight="1" x14ac:dyDescent="0.35">
      <c r="A174" s="2" t="s">
        <v>98</v>
      </c>
      <c r="B174" s="2" t="s">
        <v>34</v>
      </c>
      <c r="C174" s="2" t="s">
        <v>38</v>
      </c>
      <c r="D174" s="2" t="s">
        <v>14</v>
      </c>
      <c r="E174" s="2" t="s">
        <v>15</v>
      </c>
      <c r="F174" s="2" t="s">
        <v>41</v>
      </c>
      <c r="G174" s="2" t="s">
        <v>17</v>
      </c>
      <c r="H174" s="2">
        <v>320000</v>
      </c>
      <c r="I174" s="2">
        <v>3</v>
      </c>
      <c r="J174" s="2" t="s">
        <v>54</v>
      </c>
      <c r="K174" s="2">
        <f t="shared" si="14"/>
        <v>256000</v>
      </c>
      <c r="L174" s="9">
        <f>Table_1[[#This Row],[Unit Price]]*Table_1[[#This Row],[Quantity]]</f>
        <v>960000</v>
      </c>
      <c r="M174" s="8">
        <f>Table_1[[#This Row],[Cost Price]]*Table_1[[#This Row],[Quantity]]</f>
        <v>768000</v>
      </c>
      <c r="N174">
        <f>Table_1[[#This Row],[Revenue]]-Table_1[[#This Row],[COGS]]</f>
        <v>192000</v>
      </c>
      <c r="O174" s="11">
        <f t="shared" si="15"/>
        <v>4656740000</v>
      </c>
      <c r="P174">
        <f t="shared" si="16"/>
        <v>3725392000</v>
      </c>
      <c r="Q174">
        <f t="shared" si="17"/>
        <v>931348000</v>
      </c>
      <c r="R174" s="7">
        <f t="shared" si="18"/>
        <v>2098</v>
      </c>
      <c r="S174" s="7">
        <f t="shared" si="19"/>
        <v>4</v>
      </c>
      <c r="T174" s="7">
        <f t="shared" si="20"/>
        <v>2098</v>
      </c>
    </row>
    <row r="175" spans="1:20" ht="14.25" customHeight="1" x14ac:dyDescent="0.35">
      <c r="A175" s="2" t="s">
        <v>28</v>
      </c>
      <c r="B175" s="2" t="s">
        <v>12</v>
      </c>
      <c r="C175" s="2" t="s">
        <v>13</v>
      </c>
      <c r="D175" s="2" t="s">
        <v>14</v>
      </c>
      <c r="E175" s="2" t="s">
        <v>15</v>
      </c>
      <c r="F175" s="2" t="s">
        <v>47</v>
      </c>
      <c r="G175" s="2" t="s">
        <v>36</v>
      </c>
      <c r="H175" s="2">
        <v>150000</v>
      </c>
      <c r="I175" s="2">
        <v>1</v>
      </c>
      <c r="J175" s="2" t="s">
        <v>18</v>
      </c>
      <c r="K175" s="2">
        <f t="shared" si="14"/>
        <v>120000</v>
      </c>
      <c r="L175" s="9">
        <f>Table_1[[#This Row],[Unit Price]]*Table_1[[#This Row],[Quantity]]</f>
        <v>150000</v>
      </c>
      <c r="M175" s="8">
        <f>Table_1[[#This Row],[Cost Price]]*Table_1[[#This Row],[Quantity]]</f>
        <v>120000</v>
      </c>
      <c r="N175">
        <f>Table_1[[#This Row],[Revenue]]-Table_1[[#This Row],[COGS]]</f>
        <v>30000</v>
      </c>
      <c r="O175" s="11">
        <f t="shared" si="15"/>
        <v>4656740000</v>
      </c>
      <c r="P175">
        <f t="shared" si="16"/>
        <v>3725392000</v>
      </c>
      <c r="Q175">
        <f t="shared" si="17"/>
        <v>931348000</v>
      </c>
      <c r="R175" s="7">
        <f t="shared" si="18"/>
        <v>2098</v>
      </c>
      <c r="S175" s="7">
        <f t="shared" si="19"/>
        <v>4</v>
      </c>
      <c r="T175" s="7">
        <f t="shared" si="20"/>
        <v>2098</v>
      </c>
    </row>
    <row r="176" spans="1:20" ht="14.25" customHeight="1" x14ac:dyDescent="0.35">
      <c r="A176" s="2" t="s">
        <v>122</v>
      </c>
      <c r="B176" s="2" t="s">
        <v>34</v>
      </c>
      <c r="C176" s="2" t="s">
        <v>21</v>
      </c>
      <c r="D176" s="2" t="s">
        <v>26</v>
      </c>
      <c r="E176" s="2" t="s">
        <v>15</v>
      </c>
      <c r="F176" s="2" t="s">
        <v>35</v>
      </c>
      <c r="G176" s="2" t="s">
        <v>36</v>
      </c>
      <c r="H176" s="2">
        <v>300000</v>
      </c>
      <c r="I176" s="2">
        <v>9</v>
      </c>
      <c r="J176" s="2" t="s">
        <v>32</v>
      </c>
      <c r="K176" s="2">
        <f t="shared" si="14"/>
        <v>240000</v>
      </c>
      <c r="L176" s="9">
        <f>Table_1[[#This Row],[Unit Price]]*Table_1[[#This Row],[Quantity]]</f>
        <v>2700000</v>
      </c>
      <c r="M176" s="8">
        <f>Table_1[[#This Row],[Cost Price]]*Table_1[[#This Row],[Quantity]]</f>
        <v>2160000</v>
      </c>
      <c r="N176">
        <f>Table_1[[#This Row],[Revenue]]-Table_1[[#This Row],[COGS]]</f>
        <v>540000</v>
      </c>
      <c r="O176" s="11">
        <f t="shared" si="15"/>
        <v>4656740000</v>
      </c>
      <c r="P176">
        <f t="shared" si="16"/>
        <v>3725392000</v>
      </c>
      <c r="Q176">
        <f t="shared" si="17"/>
        <v>931348000</v>
      </c>
      <c r="R176" s="7">
        <f t="shared" si="18"/>
        <v>2098</v>
      </c>
      <c r="S176" s="7">
        <f t="shared" si="19"/>
        <v>4</v>
      </c>
      <c r="T176" s="7">
        <f t="shared" si="20"/>
        <v>2098</v>
      </c>
    </row>
    <row r="177" spans="1:20" ht="14.25" customHeight="1" x14ac:dyDescent="0.35">
      <c r="A177" s="2" t="s">
        <v>68</v>
      </c>
      <c r="B177" s="2" t="s">
        <v>20</v>
      </c>
      <c r="C177" s="2" t="s">
        <v>21</v>
      </c>
      <c r="D177" s="2" t="s">
        <v>14</v>
      </c>
      <c r="E177" s="2" t="s">
        <v>15</v>
      </c>
      <c r="F177" s="2" t="s">
        <v>58</v>
      </c>
      <c r="G177" s="2" t="s">
        <v>24</v>
      </c>
      <c r="H177" s="2">
        <v>220000</v>
      </c>
      <c r="I177" s="2">
        <v>3</v>
      </c>
      <c r="J177" s="2" t="s">
        <v>27</v>
      </c>
      <c r="K177" s="2">
        <f t="shared" si="14"/>
        <v>176000</v>
      </c>
      <c r="L177" s="9">
        <f>Table_1[[#This Row],[Unit Price]]*Table_1[[#This Row],[Quantity]]</f>
        <v>660000</v>
      </c>
      <c r="M177" s="8">
        <f>Table_1[[#This Row],[Cost Price]]*Table_1[[#This Row],[Quantity]]</f>
        <v>528000</v>
      </c>
      <c r="N177">
        <f>Table_1[[#This Row],[Revenue]]-Table_1[[#This Row],[COGS]]</f>
        <v>132000</v>
      </c>
      <c r="O177" s="11">
        <f t="shared" si="15"/>
        <v>4656740000</v>
      </c>
      <c r="P177">
        <f t="shared" si="16"/>
        <v>3725392000</v>
      </c>
      <c r="Q177">
        <f t="shared" si="17"/>
        <v>931348000</v>
      </c>
      <c r="R177" s="7">
        <f t="shared" si="18"/>
        <v>2098</v>
      </c>
      <c r="S177" s="7">
        <f t="shared" si="19"/>
        <v>1</v>
      </c>
      <c r="T177" s="7">
        <f t="shared" si="20"/>
        <v>2098</v>
      </c>
    </row>
    <row r="178" spans="1:20" ht="14.25" customHeight="1" x14ac:dyDescent="0.35">
      <c r="A178" s="2" t="s">
        <v>101</v>
      </c>
      <c r="B178" s="2" t="s">
        <v>12</v>
      </c>
      <c r="C178" s="2" t="s">
        <v>30</v>
      </c>
      <c r="D178" s="2" t="s">
        <v>26</v>
      </c>
      <c r="E178" s="2" t="s">
        <v>15</v>
      </c>
      <c r="F178" s="2" t="s">
        <v>58</v>
      </c>
      <c r="G178" s="2" t="s">
        <v>24</v>
      </c>
      <c r="H178" s="2">
        <v>220000</v>
      </c>
      <c r="I178" s="2">
        <v>9</v>
      </c>
      <c r="J178" s="2" t="s">
        <v>54</v>
      </c>
      <c r="K178" s="2">
        <f t="shared" si="14"/>
        <v>176000</v>
      </c>
      <c r="L178" s="9">
        <f>Table_1[[#This Row],[Unit Price]]*Table_1[[#This Row],[Quantity]]</f>
        <v>1980000</v>
      </c>
      <c r="M178" s="8">
        <f>Table_1[[#This Row],[Cost Price]]*Table_1[[#This Row],[Quantity]]</f>
        <v>1584000</v>
      </c>
      <c r="N178">
        <f>Table_1[[#This Row],[Revenue]]-Table_1[[#This Row],[COGS]]</f>
        <v>396000</v>
      </c>
      <c r="O178" s="11">
        <f t="shared" si="15"/>
        <v>4656740000</v>
      </c>
      <c r="P178">
        <f t="shared" si="16"/>
        <v>3725392000</v>
      </c>
      <c r="Q178">
        <f t="shared" si="17"/>
        <v>931348000</v>
      </c>
      <c r="R178" s="7">
        <f t="shared" si="18"/>
        <v>2098</v>
      </c>
      <c r="S178" s="7">
        <f t="shared" si="19"/>
        <v>4</v>
      </c>
      <c r="T178" s="7">
        <f t="shared" si="20"/>
        <v>2098</v>
      </c>
    </row>
    <row r="179" spans="1:20" ht="14.25" customHeight="1" x14ac:dyDescent="0.35">
      <c r="A179" s="2" t="s">
        <v>131</v>
      </c>
      <c r="B179" s="2" t="s">
        <v>20</v>
      </c>
      <c r="C179" s="2" t="s">
        <v>30</v>
      </c>
      <c r="D179" s="2" t="s">
        <v>26</v>
      </c>
      <c r="E179" s="2" t="s">
        <v>22</v>
      </c>
      <c r="F179" s="2" t="s">
        <v>31</v>
      </c>
      <c r="G179" s="2" t="s">
        <v>24</v>
      </c>
      <c r="H179" s="2">
        <v>60000</v>
      </c>
      <c r="I179" s="2">
        <v>6</v>
      </c>
      <c r="J179" s="2" t="s">
        <v>54</v>
      </c>
      <c r="K179" s="2">
        <f t="shared" si="14"/>
        <v>48000</v>
      </c>
      <c r="L179" s="9">
        <f>Table_1[[#This Row],[Unit Price]]*Table_1[[#This Row],[Quantity]]</f>
        <v>360000</v>
      </c>
      <c r="M179" s="8">
        <f>Table_1[[#This Row],[Cost Price]]*Table_1[[#This Row],[Quantity]]</f>
        <v>288000</v>
      </c>
      <c r="N179">
        <f>Table_1[[#This Row],[Revenue]]-Table_1[[#This Row],[COGS]]</f>
        <v>72000</v>
      </c>
      <c r="O179" s="11">
        <f t="shared" si="15"/>
        <v>4656740000</v>
      </c>
      <c r="P179">
        <f t="shared" si="16"/>
        <v>3725392000</v>
      </c>
      <c r="Q179">
        <f t="shared" si="17"/>
        <v>931348000</v>
      </c>
      <c r="R179" s="7">
        <f t="shared" si="18"/>
        <v>2098</v>
      </c>
      <c r="S179" s="7">
        <f t="shared" si="19"/>
        <v>1</v>
      </c>
      <c r="T179" s="7">
        <f t="shared" si="20"/>
        <v>2098</v>
      </c>
    </row>
    <row r="180" spans="1:20" ht="14.25" customHeight="1" x14ac:dyDescent="0.35">
      <c r="A180" s="2" t="s">
        <v>74</v>
      </c>
      <c r="B180" s="2" t="s">
        <v>34</v>
      </c>
      <c r="C180" s="2" t="s">
        <v>30</v>
      </c>
      <c r="D180" s="2" t="s">
        <v>14</v>
      </c>
      <c r="E180" s="2" t="s">
        <v>22</v>
      </c>
      <c r="F180" s="2" t="s">
        <v>23</v>
      </c>
      <c r="G180" s="2" t="s">
        <v>24</v>
      </c>
      <c r="H180" s="2">
        <v>30000</v>
      </c>
      <c r="I180" s="2">
        <v>10</v>
      </c>
      <c r="J180" s="2" t="s">
        <v>43</v>
      </c>
      <c r="K180" s="2">
        <f t="shared" si="14"/>
        <v>24000</v>
      </c>
      <c r="L180" s="9">
        <f>Table_1[[#This Row],[Unit Price]]*Table_1[[#This Row],[Quantity]]</f>
        <v>300000</v>
      </c>
      <c r="M180" s="8">
        <f>Table_1[[#This Row],[Cost Price]]*Table_1[[#This Row],[Quantity]]</f>
        <v>240000</v>
      </c>
      <c r="N180">
        <f>Table_1[[#This Row],[Revenue]]-Table_1[[#This Row],[COGS]]</f>
        <v>60000</v>
      </c>
      <c r="O180" s="11">
        <f t="shared" si="15"/>
        <v>4656740000</v>
      </c>
      <c r="P180">
        <f t="shared" si="16"/>
        <v>3725392000</v>
      </c>
      <c r="Q180">
        <f t="shared" si="17"/>
        <v>931348000</v>
      </c>
      <c r="R180" s="7">
        <f t="shared" si="18"/>
        <v>2098</v>
      </c>
      <c r="S180" s="7">
        <f t="shared" si="19"/>
        <v>2</v>
      </c>
      <c r="T180" s="7">
        <f t="shared" si="20"/>
        <v>2098</v>
      </c>
    </row>
    <row r="181" spans="1:20" ht="14.25" customHeight="1" x14ac:dyDescent="0.35">
      <c r="A181" s="2" t="s">
        <v>86</v>
      </c>
      <c r="B181" s="2" t="s">
        <v>29</v>
      </c>
      <c r="C181" s="2" t="s">
        <v>30</v>
      </c>
      <c r="D181" s="2" t="s">
        <v>26</v>
      </c>
      <c r="E181" s="2" t="s">
        <v>22</v>
      </c>
      <c r="F181" s="2" t="s">
        <v>52</v>
      </c>
      <c r="G181" s="2" t="s">
        <v>36</v>
      </c>
      <c r="H181" s="2">
        <v>420000</v>
      </c>
      <c r="I181" s="2">
        <v>8</v>
      </c>
      <c r="J181" s="2" t="s">
        <v>54</v>
      </c>
      <c r="K181" s="2">
        <f t="shared" si="14"/>
        <v>336000</v>
      </c>
      <c r="L181" s="9">
        <f>Table_1[[#This Row],[Unit Price]]*Table_1[[#This Row],[Quantity]]</f>
        <v>3360000</v>
      </c>
      <c r="M181" s="8">
        <f>Table_1[[#This Row],[Cost Price]]*Table_1[[#This Row],[Quantity]]</f>
        <v>2688000</v>
      </c>
      <c r="N181">
        <f>Table_1[[#This Row],[Revenue]]-Table_1[[#This Row],[COGS]]</f>
        <v>672000</v>
      </c>
      <c r="O181" s="11">
        <f t="shared" si="15"/>
        <v>4656740000</v>
      </c>
      <c r="P181">
        <f t="shared" si="16"/>
        <v>3725392000</v>
      </c>
      <c r="Q181">
        <f t="shared" si="17"/>
        <v>931348000</v>
      </c>
      <c r="R181" s="7">
        <f t="shared" si="18"/>
        <v>2098</v>
      </c>
      <c r="S181" s="7">
        <f t="shared" si="19"/>
        <v>1</v>
      </c>
      <c r="T181" s="7">
        <f t="shared" si="20"/>
        <v>2098</v>
      </c>
    </row>
    <row r="182" spans="1:20" ht="14.25" customHeight="1" x14ac:dyDescent="0.35">
      <c r="A182" s="2" t="s">
        <v>45</v>
      </c>
      <c r="B182" s="2" t="s">
        <v>29</v>
      </c>
      <c r="C182" s="2" t="s">
        <v>30</v>
      </c>
      <c r="D182" s="2" t="s">
        <v>26</v>
      </c>
      <c r="E182" s="2" t="s">
        <v>15</v>
      </c>
      <c r="F182" s="2" t="s">
        <v>31</v>
      </c>
      <c r="G182" s="2" t="s">
        <v>24</v>
      </c>
      <c r="H182" s="2">
        <v>60000</v>
      </c>
      <c r="I182" s="2">
        <v>9</v>
      </c>
      <c r="J182" s="2" t="s">
        <v>18</v>
      </c>
      <c r="K182" s="2">
        <f t="shared" si="14"/>
        <v>48000</v>
      </c>
      <c r="L182" s="9">
        <f>Table_1[[#This Row],[Unit Price]]*Table_1[[#This Row],[Quantity]]</f>
        <v>540000</v>
      </c>
      <c r="M182" s="8">
        <f>Table_1[[#This Row],[Cost Price]]*Table_1[[#This Row],[Quantity]]</f>
        <v>432000</v>
      </c>
      <c r="N182">
        <f>Table_1[[#This Row],[Revenue]]-Table_1[[#This Row],[COGS]]</f>
        <v>108000</v>
      </c>
      <c r="O182" s="11">
        <f t="shared" si="15"/>
        <v>4656740000</v>
      </c>
      <c r="P182">
        <f t="shared" si="16"/>
        <v>3725392000</v>
      </c>
      <c r="Q182">
        <f t="shared" si="17"/>
        <v>931348000</v>
      </c>
      <c r="R182" s="7">
        <f t="shared" si="18"/>
        <v>2098</v>
      </c>
      <c r="S182" s="7">
        <f t="shared" si="19"/>
        <v>3</v>
      </c>
      <c r="T182" s="7">
        <f t="shared" si="20"/>
        <v>2098</v>
      </c>
    </row>
    <row r="183" spans="1:20" ht="14.25" customHeight="1" x14ac:dyDescent="0.35">
      <c r="A183" s="2" t="s">
        <v>132</v>
      </c>
      <c r="B183" s="2" t="s">
        <v>20</v>
      </c>
      <c r="C183" s="2" t="s">
        <v>30</v>
      </c>
      <c r="D183" s="2" t="s">
        <v>26</v>
      </c>
      <c r="E183" s="2" t="s">
        <v>15</v>
      </c>
      <c r="F183" s="2" t="s">
        <v>56</v>
      </c>
      <c r="G183" s="2" t="s">
        <v>36</v>
      </c>
      <c r="H183" s="2">
        <v>250000</v>
      </c>
      <c r="I183" s="2">
        <v>1</v>
      </c>
      <c r="J183" s="2" t="s">
        <v>43</v>
      </c>
      <c r="K183" s="2">
        <f t="shared" si="14"/>
        <v>200000</v>
      </c>
      <c r="L183" s="9">
        <f>Table_1[[#This Row],[Unit Price]]*Table_1[[#This Row],[Quantity]]</f>
        <v>250000</v>
      </c>
      <c r="M183" s="8">
        <f>Table_1[[#This Row],[Cost Price]]*Table_1[[#This Row],[Quantity]]</f>
        <v>200000</v>
      </c>
      <c r="N183">
        <f>Table_1[[#This Row],[Revenue]]-Table_1[[#This Row],[COGS]]</f>
        <v>50000</v>
      </c>
      <c r="O183" s="11">
        <f t="shared" si="15"/>
        <v>4656740000</v>
      </c>
      <c r="P183">
        <f t="shared" si="16"/>
        <v>3725392000</v>
      </c>
      <c r="Q183">
        <f t="shared" si="17"/>
        <v>931348000</v>
      </c>
      <c r="R183" s="7">
        <f t="shared" si="18"/>
        <v>2098</v>
      </c>
      <c r="S183" s="7">
        <f t="shared" si="19"/>
        <v>1</v>
      </c>
      <c r="T183" s="7">
        <f t="shared" si="20"/>
        <v>2098</v>
      </c>
    </row>
    <row r="184" spans="1:20" ht="14.25" customHeight="1" x14ac:dyDescent="0.35">
      <c r="A184" s="2" t="s">
        <v>133</v>
      </c>
      <c r="B184" s="2" t="s">
        <v>29</v>
      </c>
      <c r="C184" s="2" t="s">
        <v>30</v>
      </c>
      <c r="D184" s="2" t="s">
        <v>14</v>
      </c>
      <c r="E184" s="2" t="s">
        <v>15</v>
      </c>
      <c r="F184" s="2" t="s">
        <v>31</v>
      </c>
      <c r="G184" s="2" t="s">
        <v>24</v>
      </c>
      <c r="H184" s="2">
        <v>60000</v>
      </c>
      <c r="I184" s="2">
        <v>1</v>
      </c>
      <c r="J184" s="2" t="s">
        <v>54</v>
      </c>
      <c r="K184" s="2">
        <f t="shared" si="14"/>
        <v>48000</v>
      </c>
      <c r="L184" s="9">
        <f>Table_1[[#This Row],[Unit Price]]*Table_1[[#This Row],[Quantity]]</f>
        <v>60000</v>
      </c>
      <c r="M184" s="8">
        <f>Table_1[[#This Row],[Cost Price]]*Table_1[[#This Row],[Quantity]]</f>
        <v>48000</v>
      </c>
      <c r="N184">
        <f>Table_1[[#This Row],[Revenue]]-Table_1[[#This Row],[COGS]]</f>
        <v>12000</v>
      </c>
      <c r="O184" s="11">
        <f t="shared" si="15"/>
        <v>4656740000</v>
      </c>
      <c r="P184">
        <f t="shared" si="16"/>
        <v>3725392000</v>
      </c>
      <c r="Q184">
        <f t="shared" si="17"/>
        <v>931348000</v>
      </c>
      <c r="R184" s="7">
        <f t="shared" si="18"/>
        <v>2098</v>
      </c>
      <c r="S184" s="7">
        <f t="shared" si="19"/>
        <v>2</v>
      </c>
      <c r="T184" s="7">
        <f t="shared" si="20"/>
        <v>2098</v>
      </c>
    </row>
    <row r="185" spans="1:20" ht="14.25" customHeight="1" x14ac:dyDescent="0.35">
      <c r="A185" s="2" t="s">
        <v>91</v>
      </c>
      <c r="B185" s="2" t="s">
        <v>29</v>
      </c>
      <c r="C185" s="2" t="s">
        <v>38</v>
      </c>
      <c r="D185" s="2" t="s">
        <v>14</v>
      </c>
      <c r="E185" s="2" t="s">
        <v>15</v>
      </c>
      <c r="F185" s="2" t="s">
        <v>52</v>
      </c>
      <c r="G185" s="2" t="s">
        <v>36</v>
      </c>
      <c r="H185" s="2">
        <v>420000</v>
      </c>
      <c r="I185" s="2">
        <v>8</v>
      </c>
      <c r="J185" s="2" t="s">
        <v>54</v>
      </c>
      <c r="K185" s="2">
        <f t="shared" si="14"/>
        <v>336000</v>
      </c>
      <c r="L185" s="9">
        <f>Table_1[[#This Row],[Unit Price]]*Table_1[[#This Row],[Quantity]]</f>
        <v>3360000</v>
      </c>
      <c r="M185" s="8">
        <f>Table_1[[#This Row],[Cost Price]]*Table_1[[#This Row],[Quantity]]</f>
        <v>2688000</v>
      </c>
      <c r="N185">
        <f>Table_1[[#This Row],[Revenue]]-Table_1[[#This Row],[COGS]]</f>
        <v>672000</v>
      </c>
      <c r="O185" s="11">
        <f t="shared" si="15"/>
        <v>4656740000</v>
      </c>
      <c r="P185">
        <f t="shared" si="16"/>
        <v>3725392000</v>
      </c>
      <c r="Q185">
        <f t="shared" si="17"/>
        <v>931348000</v>
      </c>
      <c r="R185" s="7">
        <f t="shared" si="18"/>
        <v>2098</v>
      </c>
      <c r="S185" s="7">
        <f t="shared" si="19"/>
        <v>4</v>
      </c>
      <c r="T185" s="7">
        <f t="shared" si="20"/>
        <v>2098</v>
      </c>
    </row>
    <row r="186" spans="1:20" ht="14.25" customHeight="1" x14ac:dyDescent="0.35">
      <c r="A186" s="2" t="s">
        <v>73</v>
      </c>
      <c r="B186" s="2" t="s">
        <v>29</v>
      </c>
      <c r="C186" s="2" t="s">
        <v>13</v>
      </c>
      <c r="D186" s="2" t="s">
        <v>26</v>
      </c>
      <c r="E186" s="2" t="s">
        <v>22</v>
      </c>
      <c r="F186" s="2" t="s">
        <v>39</v>
      </c>
      <c r="G186" s="2" t="s">
        <v>24</v>
      </c>
      <c r="H186" s="2">
        <v>180000</v>
      </c>
      <c r="I186" s="2">
        <v>4</v>
      </c>
      <c r="J186" s="2" t="s">
        <v>54</v>
      </c>
      <c r="K186" s="2">
        <f t="shared" si="14"/>
        <v>144000</v>
      </c>
      <c r="L186" s="9">
        <f>Table_1[[#This Row],[Unit Price]]*Table_1[[#This Row],[Quantity]]</f>
        <v>720000</v>
      </c>
      <c r="M186" s="8">
        <f>Table_1[[#This Row],[Cost Price]]*Table_1[[#This Row],[Quantity]]</f>
        <v>576000</v>
      </c>
      <c r="N186">
        <f>Table_1[[#This Row],[Revenue]]-Table_1[[#This Row],[COGS]]</f>
        <v>144000</v>
      </c>
      <c r="O186" s="11">
        <f t="shared" si="15"/>
        <v>4656740000</v>
      </c>
      <c r="P186">
        <f t="shared" si="16"/>
        <v>3725392000</v>
      </c>
      <c r="Q186">
        <f t="shared" si="17"/>
        <v>931348000</v>
      </c>
      <c r="R186" s="7">
        <f t="shared" si="18"/>
        <v>2098</v>
      </c>
      <c r="S186" s="7">
        <f t="shared" si="19"/>
        <v>2</v>
      </c>
      <c r="T186" s="7">
        <f t="shared" si="20"/>
        <v>2098</v>
      </c>
    </row>
    <row r="187" spans="1:20" ht="14.25" customHeight="1" x14ac:dyDescent="0.35">
      <c r="A187" s="2" t="s">
        <v>53</v>
      </c>
      <c r="B187" s="2" t="s">
        <v>20</v>
      </c>
      <c r="C187" s="2" t="s">
        <v>30</v>
      </c>
      <c r="D187" s="2" t="s">
        <v>14</v>
      </c>
      <c r="E187" s="2" t="s">
        <v>22</v>
      </c>
      <c r="F187" s="2" t="s">
        <v>39</v>
      </c>
      <c r="G187" s="2" t="s">
        <v>24</v>
      </c>
      <c r="H187" s="2">
        <v>180000</v>
      </c>
      <c r="I187" s="2">
        <v>7</v>
      </c>
      <c r="J187" s="2" t="s">
        <v>54</v>
      </c>
      <c r="K187" s="2">
        <f t="shared" si="14"/>
        <v>144000</v>
      </c>
      <c r="L187" s="9">
        <f>Table_1[[#This Row],[Unit Price]]*Table_1[[#This Row],[Quantity]]</f>
        <v>1260000</v>
      </c>
      <c r="M187" s="8">
        <f>Table_1[[#This Row],[Cost Price]]*Table_1[[#This Row],[Quantity]]</f>
        <v>1008000</v>
      </c>
      <c r="N187">
        <f>Table_1[[#This Row],[Revenue]]-Table_1[[#This Row],[COGS]]</f>
        <v>252000</v>
      </c>
      <c r="O187" s="11">
        <f t="shared" si="15"/>
        <v>4656740000</v>
      </c>
      <c r="P187">
        <f t="shared" si="16"/>
        <v>3725392000</v>
      </c>
      <c r="Q187">
        <f t="shared" si="17"/>
        <v>931348000</v>
      </c>
      <c r="R187" s="7">
        <f t="shared" si="18"/>
        <v>2098</v>
      </c>
      <c r="S187" s="7">
        <f t="shared" si="19"/>
        <v>3</v>
      </c>
      <c r="T187" s="7">
        <f t="shared" si="20"/>
        <v>2098</v>
      </c>
    </row>
    <row r="188" spans="1:20" ht="14.25" customHeight="1" x14ac:dyDescent="0.35">
      <c r="A188" s="2" t="s">
        <v>79</v>
      </c>
      <c r="B188" s="2" t="s">
        <v>34</v>
      </c>
      <c r="C188" s="2" t="s">
        <v>30</v>
      </c>
      <c r="D188" s="2" t="s">
        <v>14</v>
      </c>
      <c r="E188" s="2" t="s">
        <v>15</v>
      </c>
      <c r="F188" s="2" t="s">
        <v>23</v>
      </c>
      <c r="G188" s="2" t="s">
        <v>24</v>
      </c>
      <c r="H188" s="2">
        <v>30000</v>
      </c>
      <c r="I188" s="2">
        <v>6</v>
      </c>
      <c r="J188" s="2" t="s">
        <v>50</v>
      </c>
      <c r="K188" s="2">
        <f t="shared" si="14"/>
        <v>24000</v>
      </c>
      <c r="L188" s="9">
        <f>Table_1[[#This Row],[Unit Price]]*Table_1[[#This Row],[Quantity]]</f>
        <v>180000</v>
      </c>
      <c r="M188" s="8">
        <f>Table_1[[#This Row],[Cost Price]]*Table_1[[#This Row],[Quantity]]</f>
        <v>144000</v>
      </c>
      <c r="N188">
        <f>Table_1[[#This Row],[Revenue]]-Table_1[[#This Row],[COGS]]</f>
        <v>36000</v>
      </c>
      <c r="O188" s="11">
        <f t="shared" si="15"/>
        <v>4656740000</v>
      </c>
      <c r="P188">
        <f t="shared" si="16"/>
        <v>3725392000</v>
      </c>
      <c r="Q188">
        <f t="shared" si="17"/>
        <v>931348000</v>
      </c>
      <c r="R188" s="7">
        <f t="shared" si="18"/>
        <v>2098</v>
      </c>
      <c r="S188" s="7">
        <f t="shared" si="19"/>
        <v>1</v>
      </c>
      <c r="T188" s="7">
        <f t="shared" si="20"/>
        <v>2098</v>
      </c>
    </row>
    <row r="189" spans="1:20" ht="14.25" customHeight="1" x14ac:dyDescent="0.35">
      <c r="A189" s="2" t="s">
        <v>70</v>
      </c>
      <c r="B189" s="2" t="s">
        <v>20</v>
      </c>
      <c r="C189" s="2" t="s">
        <v>13</v>
      </c>
      <c r="D189" s="2" t="s">
        <v>14</v>
      </c>
      <c r="E189" s="2" t="s">
        <v>15</v>
      </c>
      <c r="F189" s="2" t="s">
        <v>39</v>
      </c>
      <c r="G189" s="2" t="s">
        <v>24</v>
      </c>
      <c r="H189" s="2">
        <v>180000</v>
      </c>
      <c r="I189" s="2">
        <v>4</v>
      </c>
      <c r="J189" s="2" t="s">
        <v>27</v>
      </c>
      <c r="K189" s="2">
        <f t="shared" si="14"/>
        <v>144000</v>
      </c>
      <c r="L189" s="9">
        <f>Table_1[[#This Row],[Unit Price]]*Table_1[[#This Row],[Quantity]]</f>
        <v>720000</v>
      </c>
      <c r="M189" s="8">
        <f>Table_1[[#This Row],[Cost Price]]*Table_1[[#This Row],[Quantity]]</f>
        <v>576000</v>
      </c>
      <c r="N189">
        <f>Table_1[[#This Row],[Revenue]]-Table_1[[#This Row],[COGS]]</f>
        <v>144000</v>
      </c>
      <c r="O189" s="11">
        <f t="shared" si="15"/>
        <v>4656740000</v>
      </c>
      <c r="P189">
        <f t="shared" si="16"/>
        <v>3725392000</v>
      </c>
      <c r="Q189">
        <f t="shared" si="17"/>
        <v>931348000</v>
      </c>
      <c r="R189" s="7">
        <f t="shared" si="18"/>
        <v>2098</v>
      </c>
      <c r="S189" s="7">
        <f t="shared" si="19"/>
        <v>2</v>
      </c>
      <c r="T189" s="7">
        <f t="shared" si="20"/>
        <v>2098</v>
      </c>
    </row>
    <row r="190" spans="1:20" ht="14.25" customHeight="1" x14ac:dyDescent="0.35">
      <c r="A190" s="2" t="s">
        <v>28</v>
      </c>
      <c r="B190" s="2" t="s">
        <v>20</v>
      </c>
      <c r="C190" s="2" t="s">
        <v>38</v>
      </c>
      <c r="D190" s="2" t="s">
        <v>26</v>
      </c>
      <c r="E190" s="2" t="s">
        <v>22</v>
      </c>
      <c r="F190" s="2" t="s">
        <v>35</v>
      </c>
      <c r="G190" s="2" t="s">
        <v>36</v>
      </c>
      <c r="H190" s="2">
        <v>300000</v>
      </c>
      <c r="I190" s="2">
        <v>3</v>
      </c>
      <c r="J190" s="2" t="s">
        <v>32</v>
      </c>
      <c r="K190" s="2">
        <f t="shared" si="14"/>
        <v>240000</v>
      </c>
      <c r="L190" s="9">
        <f>Table_1[[#This Row],[Unit Price]]*Table_1[[#This Row],[Quantity]]</f>
        <v>900000</v>
      </c>
      <c r="M190" s="8">
        <f>Table_1[[#This Row],[Cost Price]]*Table_1[[#This Row],[Quantity]]</f>
        <v>720000</v>
      </c>
      <c r="N190">
        <f>Table_1[[#This Row],[Revenue]]-Table_1[[#This Row],[COGS]]</f>
        <v>180000</v>
      </c>
      <c r="O190" s="11">
        <f t="shared" si="15"/>
        <v>4656740000</v>
      </c>
      <c r="P190">
        <f t="shared" si="16"/>
        <v>3725392000</v>
      </c>
      <c r="Q190">
        <f t="shared" si="17"/>
        <v>931348000</v>
      </c>
      <c r="R190" s="7">
        <f t="shared" si="18"/>
        <v>2098</v>
      </c>
      <c r="S190" s="7">
        <f t="shared" si="19"/>
        <v>4</v>
      </c>
      <c r="T190" s="7">
        <f t="shared" si="20"/>
        <v>2098</v>
      </c>
    </row>
    <row r="191" spans="1:20" ht="14.25" customHeight="1" x14ac:dyDescent="0.35">
      <c r="A191" s="2" t="s">
        <v>112</v>
      </c>
      <c r="B191" s="2" t="s">
        <v>12</v>
      </c>
      <c r="C191" s="2" t="s">
        <v>21</v>
      </c>
      <c r="D191" s="2" t="s">
        <v>14</v>
      </c>
      <c r="E191" s="2" t="s">
        <v>15</v>
      </c>
      <c r="F191" s="2" t="s">
        <v>31</v>
      </c>
      <c r="G191" s="2" t="s">
        <v>24</v>
      </c>
      <c r="H191" s="2">
        <v>60000</v>
      </c>
      <c r="I191" s="2">
        <v>3</v>
      </c>
      <c r="J191" s="2" t="s">
        <v>18</v>
      </c>
      <c r="K191" s="2">
        <f t="shared" si="14"/>
        <v>48000</v>
      </c>
      <c r="L191" s="9">
        <f>Table_1[[#This Row],[Unit Price]]*Table_1[[#This Row],[Quantity]]</f>
        <v>180000</v>
      </c>
      <c r="M191" s="8">
        <f>Table_1[[#This Row],[Cost Price]]*Table_1[[#This Row],[Quantity]]</f>
        <v>144000</v>
      </c>
      <c r="N191">
        <f>Table_1[[#This Row],[Revenue]]-Table_1[[#This Row],[COGS]]</f>
        <v>36000</v>
      </c>
      <c r="O191" s="11">
        <f t="shared" si="15"/>
        <v>4656740000</v>
      </c>
      <c r="P191">
        <f t="shared" si="16"/>
        <v>3725392000</v>
      </c>
      <c r="Q191">
        <f t="shared" si="17"/>
        <v>931348000</v>
      </c>
      <c r="R191" s="7">
        <f t="shared" si="18"/>
        <v>2098</v>
      </c>
      <c r="S191" s="7">
        <f t="shared" si="19"/>
        <v>1</v>
      </c>
      <c r="T191" s="7">
        <f t="shared" si="20"/>
        <v>2098</v>
      </c>
    </row>
    <row r="192" spans="1:20" ht="14.25" customHeight="1" x14ac:dyDescent="0.35">
      <c r="A192" s="2" t="s">
        <v>70</v>
      </c>
      <c r="B192" s="2" t="s">
        <v>20</v>
      </c>
      <c r="C192" s="2" t="s">
        <v>13</v>
      </c>
      <c r="D192" s="2" t="s">
        <v>26</v>
      </c>
      <c r="E192" s="2" t="s">
        <v>15</v>
      </c>
      <c r="F192" s="2" t="s">
        <v>58</v>
      </c>
      <c r="G192" s="2" t="s">
        <v>24</v>
      </c>
      <c r="H192" s="2">
        <v>220000</v>
      </c>
      <c r="I192" s="2">
        <v>1</v>
      </c>
      <c r="J192" s="2" t="s">
        <v>32</v>
      </c>
      <c r="K192" s="2">
        <f t="shared" si="14"/>
        <v>176000</v>
      </c>
      <c r="L192" s="9">
        <f>Table_1[[#This Row],[Unit Price]]*Table_1[[#This Row],[Quantity]]</f>
        <v>220000</v>
      </c>
      <c r="M192" s="8">
        <f>Table_1[[#This Row],[Cost Price]]*Table_1[[#This Row],[Quantity]]</f>
        <v>176000</v>
      </c>
      <c r="N192">
        <f>Table_1[[#This Row],[Revenue]]-Table_1[[#This Row],[COGS]]</f>
        <v>44000</v>
      </c>
      <c r="O192" s="11">
        <f t="shared" si="15"/>
        <v>4656740000</v>
      </c>
      <c r="P192">
        <f t="shared" si="16"/>
        <v>3725392000</v>
      </c>
      <c r="Q192">
        <f t="shared" si="17"/>
        <v>931348000</v>
      </c>
      <c r="R192" s="7">
        <f t="shared" si="18"/>
        <v>2098</v>
      </c>
      <c r="S192" s="7">
        <f t="shared" si="19"/>
        <v>2</v>
      </c>
      <c r="T192" s="7">
        <f t="shared" si="20"/>
        <v>2098</v>
      </c>
    </row>
    <row r="193" spans="1:20" ht="14.25" customHeight="1" x14ac:dyDescent="0.35">
      <c r="A193" s="2" t="s">
        <v>92</v>
      </c>
      <c r="B193" s="2" t="s">
        <v>34</v>
      </c>
      <c r="C193" s="2" t="s">
        <v>21</v>
      </c>
      <c r="D193" s="2" t="s">
        <v>14</v>
      </c>
      <c r="E193" s="2" t="s">
        <v>15</v>
      </c>
      <c r="F193" s="2" t="s">
        <v>35</v>
      </c>
      <c r="G193" s="2" t="s">
        <v>36</v>
      </c>
      <c r="H193" s="2">
        <v>300000</v>
      </c>
      <c r="I193" s="2">
        <v>2</v>
      </c>
      <c r="J193" s="2" t="s">
        <v>27</v>
      </c>
      <c r="K193" s="2">
        <f t="shared" si="14"/>
        <v>240000</v>
      </c>
      <c r="L193" s="9">
        <f>Table_1[[#This Row],[Unit Price]]*Table_1[[#This Row],[Quantity]]</f>
        <v>600000</v>
      </c>
      <c r="M193" s="8">
        <f>Table_1[[#This Row],[Cost Price]]*Table_1[[#This Row],[Quantity]]</f>
        <v>480000</v>
      </c>
      <c r="N193">
        <f>Table_1[[#This Row],[Revenue]]-Table_1[[#This Row],[COGS]]</f>
        <v>120000</v>
      </c>
      <c r="O193" s="11">
        <f t="shared" si="15"/>
        <v>4656740000</v>
      </c>
      <c r="P193">
        <f t="shared" si="16"/>
        <v>3725392000</v>
      </c>
      <c r="Q193">
        <f t="shared" si="17"/>
        <v>931348000</v>
      </c>
      <c r="R193" s="7">
        <f t="shared" si="18"/>
        <v>2098</v>
      </c>
      <c r="S193" s="7">
        <f t="shared" si="19"/>
        <v>2</v>
      </c>
      <c r="T193" s="7">
        <f t="shared" si="20"/>
        <v>2098</v>
      </c>
    </row>
    <row r="194" spans="1:20" ht="14.25" customHeight="1" x14ac:dyDescent="0.35">
      <c r="A194" s="2" t="s">
        <v>88</v>
      </c>
      <c r="B194" s="2" t="s">
        <v>29</v>
      </c>
      <c r="C194" s="2" t="s">
        <v>30</v>
      </c>
      <c r="D194" s="2" t="s">
        <v>14</v>
      </c>
      <c r="E194" s="2" t="s">
        <v>15</v>
      </c>
      <c r="F194" s="2" t="s">
        <v>47</v>
      </c>
      <c r="G194" s="2" t="s">
        <v>36</v>
      </c>
      <c r="H194" s="2">
        <v>150000</v>
      </c>
      <c r="I194" s="2">
        <v>3</v>
      </c>
      <c r="J194" s="2" t="s">
        <v>27</v>
      </c>
      <c r="K194" s="2">
        <f t="shared" ref="K194:K257" si="21">H194-H194*0.2</f>
        <v>120000</v>
      </c>
      <c r="L194" s="9">
        <f>Table_1[[#This Row],[Unit Price]]*Table_1[[#This Row],[Quantity]]</f>
        <v>450000</v>
      </c>
      <c r="M194" s="8">
        <f>Table_1[[#This Row],[Cost Price]]*Table_1[[#This Row],[Quantity]]</f>
        <v>360000</v>
      </c>
      <c r="N194">
        <f>Table_1[[#This Row],[Revenue]]-Table_1[[#This Row],[COGS]]</f>
        <v>90000</v>
      </c>
      <c r="O194" s="11">
        <f t="shared" ref="O194:O257" si="22">SUM(L$2:L$1048576)</f>
        <v>4656740000</v>
      </c>
      <c r="P194">
        <f t="shared" ref="P194:P257" si="23">SUM(M:M)</f>
        <v>3725392000</v>
      </c>
      <c r="Q194">
        <f t="shared" ref="Q194:Q257" si="24">SUM(N:N)</f>
        <v>931348000</v>
      </c>
      <c r="R194" s="7">
        <f t="shared" ref="R194:R257" si="25">COUNTA(A$2:A$1048576)</f>
        <v>2098</v>
      </c>
      <c r="S194" s="7">
        <f t="shared" ref="S194:S257" si="26">MONTH(A194:A1682)</f>
        <v>3</v>
      </c>
      <c r="T194" s="7">
        <f t="shared" ref="T194:T257" si="27">COUNTA(A:A)-1</f>
        <v>2098</v>
      </c>
    </row>
    <row r="195" spans="1:20" ht="14.25" customHeight="1" x14ac:dyDescent="0.35">
      <c r="A195" s="2" t="s">
        <v>74</v>
      </c>
      <c r="B195" s="2" t="s">
        <v>34</v>
      </c>
      <c r="C195" s="2" t="s">
        <v>21</v>
      </c>
      <c r="D195" s="2" t="s">
        <v>26</v>
      </c>
      <c r="E195" s="2" t="s">
        <v>15</v>
      </c>
      <c r="F195" s="2" t="s">
        <v>16</v>
      </c>
      <c r="G195" s="2" t="s">
        <v>17</v>
      </c>
      <c r="H195" s="2">
        <v>85000</v>
      </c>
      <c r="I195" s="2">
        <v>1</v>
      </c>
      <c r="J195" s="2" t="s">
        <v>27</v>
      </c>
      <c r="K195" s="2">
        <f t="shared" si="21"/>
        <v>68000</v>
      </c>
      <c r="L195" s="9">
        <f>Table_1[[#This Row],[Unit Price]]*Table_1[[#This Row],[Quantity]]</f>
        <v>85000</v>
      </c>
      <c r="M195" s="8">
        <f>Table_1[[#This Row],[Cost Price]]*Table_1[[#This Row],[Quantity]]</f>
        <v>68000</v>
      </c>
      <c r="N195">
        <f>Table_1[[#This Row],[Revenue]]-Table_1[[#This Row],[COGS]]</f>
        <v>17000</v>
      </c>
      <c r="O195" s="11">
        <f t="shared" si="22"/>
        <v>4656740000</v>
      </c>
      <c r="P195">
        <f t="shared" si="23"/>
        <v>3725392000</v>
      </c>
      <c r="Q195">
        <f t="shared" si="24"/>
        <v>931348000</v>
      </c>
      <c r="R195" s="7">
        <f t="shared" si="25"/>
        <v>2098</v>
      </c>
      <c r="S195" s="7">
        <f t="shared" si="26"/>
        <v>2</v>
      </c>
      <c r="T195" s="7">
        <f t="shared" si="27"/>
        <v>2098</v>
      </c>
    </row>
    <row r="196" spans="1:20" ht="14.25" customHeight="1" x14ac:dyDescent="0.35">
      <c r="A196" s="2" t="s">
        <v>86</v>
      </c>
      <c r="B196" s="2" t="s">
        <v>29</v>
      </c>
      <c r="C196" s="2" t="s">
        <v>21</v>
      </c>
      <c r="D196" s="2" t="s">
        <v>14</v>
      </c>
      <c r="E196" s="2" t="s">
        <v>22</v>
      </c>
      <c r="F196" s="2" t="s">
        <v>23</v>
      </c>
      <c r="G196" s="2" t="s">
        <v>24</v>
      </c>
      <c r="H196" s="2">
        <v>30000</v>
      </c>
      <c r="I196" s="2">
        <v>6</v>
      </c>
      <c r="J196" s="2" t="s">
        <v>18</v>
      </c>
      <c r="K196" s="2">
        <f t="shared" si="21"/>
        <v>24000</v>
      </c>
      <c r="L196" s="9">
        <f>Table_1[[#This Row],[Unit Price]]*Table_1[[#This Row],[Quantity]]</f>
        <v>180000</v>
      </c>
      <c r="M196" s="8">
        <f>Table_1[[#This Row],[Cost Price]]*Table_1[[#This Row],[Quantity]]</f>
        <v>144000</v>
      </c>
      <c r="N196">
        <f>Table_1[[#This Row],[Revenue]]-Table_1[[#This Row],[COGS]]</f>
        <v>36000</v>
      </c>
      <c r="O196" s="11">
        <f t="shared" si="22"/>
        <v>4656740000</v>
      </c>
      <c r="P196">
        <f t="shared" si="23"/>
        <v>3725392000</v>
      </c>
      <c r="Q196">
        <f t="shared" si="24"/>
        <v>931348000</v>
      </c>
      <c r="R196" s="7">
        <f t="shared" si="25"/>
        <v>2098</v>
      </c>
      <c r="S196" s="7">
        <f t="shared" si="26"/>
        <v>1</v>
      </c>
      <c r="T196" s="7">
        <f t="shared" si="27"/>
        <v>2098</v>
      </c>
    </row>
    <row r="197" spans="1:20" ht="14.25" customHeight="1" x14ac:dyDescent="0.35">
      <c r="A197" s="2" t="s">
        <v>126</v>
      </c>
      <c r="B197" s="2" t="s">
        <v>12</v>
      </c>
      <c r="C197" s="2" t="s">
        <v>30</v>
      </c>
      <c r="D197" s="2" t="s">
        <v>26</v>
      </c>
      <c r="E197" s="2" t="s">
        <v>15</v>
      </c>
      <c r="F197" s="2" t="s">
        <v>47</v>
      </c>
      <c r="G197" s="2" t="s">
        <v>36</v>
      </c>
      <c r="H197" s="2">
        <v>150000</v>
      </c>
      <c r="I197" s="2">
        <v>5</v>
      </c>
      <c r="J197" s="2" t="s">
        <v>32</v>
      </c>
      <c r="K197" s="2">
        <f t="shared" si="21"/>
        <v>120000</v>
      </c>
      <c r="L197" s="9">
        <f>Table_1[[#This Row],[Unit Price]]*Table_1[[#This Row],[Quantity]]</f>
        <v>750000</v>
      </c>
      <c r="M197" s="8">
        <f>Table_1[[#This Row],[Cost Price]]*Table_1[[#This Row],[Quantity]]</f>
        <v>600000</v>
      </c>
      <c r="N197">
        <f>Table_1[[#This Row],[Revenue]]-Table_1[[#This Row],[COGS]]</f>
        <v>150000</v>
      </c>
      <c r="O197" s="11">
        <f t="shared" si="22"/>
        <v>4656740000</v>
      </c>
      <c r="P197">
        <f t="shared" si="23"/>
        <v>3725392000</v>
      </c>
      <c r="Q197">
        <f t="shared" si="24"/>
        <v>931348000</v>
      </c>
      <c r="R197" s="7">
        <f t="shared" si="25"/>
        <v>2098</v>
      </c>
      <c r="S197" s="7">
        <f t="shared" si="26"/>
        <v>3</v>
      </c>
      <c r="T197" s="7">
        <f t="shared" si="27"/>
        <v>2098</v>
      </c>
    </row>
    <row r="198" spans="1:20" ht="14.25" customHeight="1" x14ac:dyDescent="0.35">
      <c r="A198" s="2" t="s">
        <v>101</v>
      </c>
      <c r="B198" s="2" t="s">
        <v>12</v>
      </c>
      <c r="C198" s="2" t="s">
        <v>21</v>
      </c>
      <c r="D198" s="2" t="s">
        <v>14</v>
      </c>
      <c r="E198" s="2" t="s">
        <v>22</v>
      </c>
      <c r="F198" s="2" t="s">
        <v>23</v>
      </c>
      <c r="G198" s="2" t="s">
        <v>24</v>
      </c>
      <c r="H198" s="2">
        <v>30000</v>
      </c>
      <c r="I198" s="2">
        <v>5</v>
      </c>
      <c r="J198" s="2" t="s">
        <v>50</v>
      </c>
      <c r="K198" s="2">
        <f t="shared" si="21"/>
        <v>24000</v>
      </c>
      <c r="L198" s="9">
        <f>Table_1[[#This Row],[Unit Price]]*Table_1[[#This Row],[Quantity]]</f>
        <v>150000</v>
      </c>
      <c r="M198" s="8">
        <f>Table_1[[#This Row],[Cost Price]]*Table_1[[#This Row],[Quantity]]</f>
        <v>120000</v>
      </c>
      <c r="N198">
        <f>Table_1[[#This Row],[Revenue]]-Table_1[[#This Row],[COGS]]</f>
        <v>30000</v>
      </c>
      <c r="O198" s="11">
        <f t="shared" si="22"/>
        <v>4656740000</v>
      </c>
      <c r="P198">
        <f t="shared" si="23"/>
        <v>3725392000</v>
      </c>
      <c r="Q198">
        <f t="shared" si="24"/>
        <v>931348000</v>
      </c>
      <c r="R198" s="7">
        <f t="shared" si="25"/>
        <v>2098</v>
      </c>
      <c r="S198" s="7">
        <f t="shared" si="26"/>
        <v>4</v>
      </c>
      <c r="T198" s="7">
        <f t="shared" si="27"/>
        <v>2098</v>
      </c>
    </row>
    <row r="199" spans="1:20" ht="14.25" customHeight="1" x14ac:dyDescent="0.35">
      <c r="A199" s="2" t="s">
        <v>134</v>
      </c>
      <c r="B199" s="2" t="s">
        <v>20</v>
      </c>
      <c r="C199" s="2" t="s">
        <v>21</v>
      </c>
      <c r="D199" s="2" t="s">
        <v>14</v>
      </c>
      <c r="E199" s="2" t="s">
        <v>22</v>
      </c>
      <c r="F199" s="2" t="s">
        <v>39</v>
      </c>
      <c r="G199" s="2" t="s">
        <v>24</v>
      </c>
      <c r="H199" s="2">
        <v>180000</v>
      </c>
      <c r="I199" s="2">
        <v>9</v>
      </c>
      <c r="J199" s="2" t="s">
        <v>54</v>
      </c>
      <c r="K199" s="2">
        <f t="shared" si="21"/>
        <v>144000</v>
      </c>
      <c r="L199" s="9">
        <f>Table_1[[#This Row],[Unit Price]]*Table_1[[#This Row],[Quantity]]</f>
        <v>1620000</v>
      </c>
      <c r="M199" s="8">
        <f>Table_1[[#This Row],[Cost Price]]*Table_1[[#This Row],[Quantity]]</f>
        <v>1296000</v>
      </c>
      <c r="N199">
        <f>Table_1[[#This Row],[Revenue]]-Table_1[[#This Row],[COGS]]</f>
        <v>324000</v>
      </c>
      <c r="O199" s="11">
        <f t="shared" si="22"/>
        <v>4656740000</v>
      </c>
      <c r="P199">
        <f t="shared" si="23"/>
        <v>3725392000</v>
      </c>
      <c r="Q199">
        <f t="shared" si="24"/>
        <v>931348000</v>
      </c>
      <c r="R199" s="7">
        <f t="shared" si="25"/>
        <v>2098</v>
      </c>
      <c r="S199" s="7">
        <f t="shared" si="26"/>
        <v>4</v>
      </c>
      <c r="T199" s="7">
        <f t="shared" si="27"/>
        <v>2098</v>
      </c>
    </row>
    <row r="200" spans="1:20" ht="14.25" customHeight="1" x14ac:dyDescent="0.35">
      <c r="A200" s="2" t="s">
        <v>92</v>
      </c>
      <c r="B200" s="2" t="s">
        <v>34</v>
      </c>
      <c r="C200" s="2" t="s">
        <v>30</v>
      </c>
      <c r="D200" s="2" t="s">
        <v>26</v>
      </c>
      <c r="E200" s="2" t="s">
        <v>22</v>
      </c>
      <c r="F200" s="2" t="s">
        <v>31</v>
      </c>
      <c r="G200" s="2" t="s">
        <v>24</v>
      </c>
      <c r="H200" s="2">
        <v>60000</v>
      </c>
      <c r="I200" s="2">
        <v>6</v>
      </c>
      <c r="J200" s="2" t="s">
        <v>32</v>
      </c>
      <c r="K200" s="2">
        <f t="shared" si="21"/>
        <v>48000</v>
      </c>
      <c r="L200" s="9">
        <f>Table_1[[#This Row],[Unit Price]]*Table_1[[#This Row],[Quantity]]</f>
        <v>360000</v>
      </c>
      <c r="M200" s="8">
        <f>Table_1[[#This Row],[Cost Price]]*Table_1[[#This Row],[Quantity]]</f>
        <v>288000</v>
      </c>
      <c r="N200">
        <f>Table_1[[#This Row],[Revenue]]-Table_1[[#This Row],[COGS]]</f>
        <v>72000</v>
      </c>
      <c r="O200" s="11">
        <f t="shared" si="22"/>
        <v>4656740000</v>
      </c>
      <c r="P200">
        <f t="shared" si="23"/>
        <v>3725392000</v>
      </c>
      <c r="Q200">
        <f t="shared" si="24"/>
        <v>931348000</v>
      </c>
      <c r="R200" s="7">
        <f t="shared" si="25"/>
        <v>2098</v>
      </c>
      <c r="S200" s="7">
        <f t="shared" si="26"/>
        <v>2</v>
      </c>
      <c r="T200" s="7">
        <f t="shared" si="27"/>
        <v>2098</v>
      </c>
    </row>
    <row r="201" spans="1:20" ht="14.25" customHeight="1" x14ac:dyDescent="0.35">
      <c r="A201" s="2" t="s">
        <v>87</v>
      </c>
      <c r="B201" s="2" t="s">
        <v>34</v>
      </c>
      <c r="C201" s="2" t="s">
        <v>21</v>
      </c>
      <c r="D201" s="2" t="s">
        <v>14</v>
      </c>
      <c r="E201" s="2" t="s">
        <v>22</v>
      </c>
      <c r="F201" s="2" t="s">
        <v>56</v>
      </c>
      <c r="G201" s="2" t="s">
        <v>36</v>
      </c>
      <c r="H201" s="2">
        <v>250000</v>
      </c>
      <c r="I201" s="2">
        <v>10</v>
      </c>
      <c r="J201" s="2" t="s">
        <v>27</v>
      </c>
      <c r="K201" s="2">
        <f t="shared" si="21"/>
        <v>200000</v>
      </c>
      <c r="L201" s="9">
        <f>Table_1[[#This Row],[Unit Price]]*Table_1[[#This Row],[Quantity]]</f>
        <v>2500000</v>
      </c>
      <c r="M201" s="8">
        <f>Table_1[[#This Row],[Cost Price]]*Table_1[[#This Row],[Quantity]]</f>
        <v>2000000</v>
      </c>
      <c r="N201">
        <f>Table_1[[#This Row],[Revenue]]-Table_1[[#This Row],[COGS]]</f>
        <v>500000</v>
      </c>
      <c r="O201" s="11">
        <f t="shared" si="22"/>
        <v>4656740000</v>
      </c>
      <c r="P201">
        <f t="shared" si="23"/>
        <v>3725392000</v>
      </c>
      <c r="Q201">
        <f t="shared" si="24"/>
        <v>931348000</v>
      </c>
      <c r="R201" s="7">
        <f t="shared" si="25"/>
        <v>2098</v>
      </c>
      <c r="S201" s="7">
        <f t="shared" si="26"/>
        <v>3</v>
      </c>
      <c r="T201" s="7">
        <f t="shared" si="27"/>
        <v>2098</v>
      </c>
    </row>
    <row r="202" spans="1:20" ht="14.25" customHeight="1" x14ac:dyDescent="0.35">
      <c r="A202" s="2" t="s">
        <v>74</v>
      </c>
      <c r="B202" s="2" t="s">
        <v>29</v>
      </c>
      <c r="C202" s="2" t="s">
        <v>30</v>
      </c>
      <c r="D202" s="2" t="s">
        <v>14</v>
      </c>
      <c r="E202" s="2" t="s">
        <v>22</v>
      </c>
      <c r="F202" s="2" t="s">
        <v>52</v>
      </c>
      <c r="G202" s="2" t="s">
        <v>36</v>
      </c>
      <c r="H202" s="2">
        <v>420000</v>
      </c>
      <c r="I202" s="2">
        <v>3</v>
      </c>
      <c r="J202" s="2" t="s">
        <v>27</v>
      </c>
      <c r="K202" s="2">
        <f t="shared" si="21"/>
        <v>336000</v>
      </c>
      <c r="L202" s="9">
        <f>Table_1[[#This Row],[Unit Price]]*Table_1[[#This Row],[Quantity]]</f>
        <v>1260000</v>
      </c>
      <c r="M202" s="8">
        <f>Table_1[[#This Row],[Cost Price]]*Table_1[[#This Row],[Quantity]]</f>
        <v>1008000</v>
      </c>
      <c r="N202">
        <f>Table_1[[#This Row],[Revenue]]-Table_1[[#This Row],[COGS]]</f>
        <v>252000</v>
      </c>
      <c r="O202" s="11">
        <f t="shared" si="22"/>
        <v>4656740000</v>
      </c>
      <c r="P202">
        <f t="shared" si="23"/>
        <v>3725392000</v>
      </c>
      <c r="Q202">
        <f t="shared" si="24"/>
        <v>931348000</v>
      </c>
      <c r="R202" s="7">
        <f t="shared" si="25"/>
        <v>2098</v>
      </c>
      <c r="S202" s="7">
        <f t="shared" si="26"/>
        <v>2</v>
      </c>
      <c r="T202" s="7">
        <f t="shared" si="27"/>
        <v>2098</v>
      </c>
    </row>
    <row r="203" spans="1:20" ht="14.25" customHeight="1" x14ac:dyDescent="0.35">
      <c r="A203" s="2" t="s">
        <v>135</v>
      </c>
      <c r="B203" s="2" t="s">
        <v>34</v>
      </c>
      <c r="C203" s="2" t="s">
        <v>13</v>
      </c>
      <c r="D203" s="2" t="s">
        <v>26</v>
      </c>
      <c r="E203" s="2" t="s">
        <v>22</v>
      </c>
      <c r="F203" s="2" t="s">
        <v>47</v>
      </c>
      <c r="G203" s="2" t="s">
        <v>36</v>
      </c>
      <c r="H203" s="2">
        <v>150000</v>
      </c>
      <c r="I203" s="2">
        <v>3</v>
      </c>
      <c r="J203" s="2" t="s">
        <v>27</v>
      </c>
      <c r="K203" s="2">
        <f t="shared" si="21"/>
        <v>120000</v>
      </c>
      <c r="L203" s="9">
        <f>Table_1[[#This Row],[Unit Price]]*Table_1[[#This Row],[Quantity]]</f>
        <v>450000</v>
      </c>
      <c r="M203" s="8">
        <f>Table_1[[#This Row],[Cost Price]]*Table_1[[#This Row],[Quantity]]</f>
        <v>360000</v>
      </c>
      <c r="N203">
        <f>Table_1[[#This Row],[Revenue]]-Table_1[[#This Row],[COGS]]</f>
        <v>90000</v>
      </c>
      <c r="O203" s="11">
        <f t="shared" si="22"/>
        <v>4656740000</v>
      </c>
      <c r="P203">
        <f t="shared" si="23"/>
        <v>3725392000</v>
      </c>
      <c r="Q203">
        <f t="shared" si="24"/>
        <v>931348000</v>
      </c>
      <c r="R203" s="7">
        <f t="shared" si="25"/>
        <v>2098</v>
      </c>
      <c r="S203" s="7">
        <f t="shared" si="26"/>
        <v>1</v>
      </c>
      <c r="T203" s="7">
        <f t="shared" si="27"/>
        <v>2098</v>
      </c>
    </row>
    <row r="204" spans="1:20" ht="14.25" customHeight="1" x14ac:dyDescent="0.35">
      <c r="A204" s="2" t="s">
        <v>94</v>
      </c>
      <c r="B204" s="2" t="s">
        <v>29</v>
      </c>
      <c r="C204" s="2" t="s">
        <v>38</v>
      </c>
      <c r="D204" s="2" t="s">
        <v>26</v>
      </c>
      <c r="E204" s="2" t="s">
        <v>22</v>
      </c>
      <c r="F204" s="2" t="s">
        <v>58</v>
      </c>
      <c r="G204" s="2" t="s">
        <v>24</v>
      </c>
      <c r="H204" s="2">
        <v>220000</v>
      </c>
      <c r="I204" s="2">
        <v>4</v>
      </c>
      <c r="J204" s="2" t="s">
        <v>27</v>
      </c>
      <c r="K204" s="2">
        <f t="shared" si="21"/>
        <v>176000</v>
      </c>
      <c r="L204" s="9">
        <f>Table_1[[#This Row],[Unit Price]]*Table_1[[#This Row],[Quantity]]</f>
        <v>880000</v>
      </c>
      <c r="M204" s="8">
        <f>Table_1[[#This Row],[Cost Price]]*Table_1[[#This Row],[Quantity]]</f>
        <v>704000</v>
      </c>
      <c r="N204">
        <f>Table_1[[#This Row],[Revenue]]-Table_1[[#This Row],[COGS]]</f>
        <v>176000</v>
      </c>
      <c r="O204" s="11">
        <f t="shared" si="22"/>
        <v>4656740000</v>
      </c>
      <c r="P204">
        <f t="shared" si="23"/>
        <v>3725392000</v>
      </c>
      <c r="Q204">
        <f t="shared" si="24"/>
        <v>931348000</v>
      </c>
      <c r="R204" s="7">
        <f t="shared" si="25"/>
        <v>2098</v>
      </c>
      <c r="S204" s="7">
        <f t="shared" si="26"/>
        <v>3</v>
      </c>
      <c r="T204" s="7">
        <f t="shared" si="27"/>
        <v>2098</v>
      </c>
    </row>
    <row r="205" spans="1:20" ht="14.25" customHeight="1" x14ac:dyDescent="0.35">
      <c r="A205" s="2" t="s">
        <v>69</v>
      </c>
      <c r="B205" s="2" t="s">
        <v>29</v>
      </c>
      <c r="C205" s="2" t="s">
        <v>21</v>
      </c>
      <c r="D205" s="2" t="s">
        <v>26</v>
      </c>
      <c r="E205" s="2" t="s">
        <v>22</v>
      </c>
      <c r="F205" s="2" t="s">
        <v>16</v>
      </c>
      <c r="G205" s="2" t="s">
        <v>17</v>
      </c>
      <c r="H205" s="2">
        <v>85000</v>
      </c>
      <c r="I205" s="2">
        <v>10</v>
      </c>
      <c r="J205" s="2" t="s">
        <v>27</v>
      </c>
      <c r="K205" s="2">
        <f t="shared" si="21"/>
        <v>68000</v>
      </c>
      <c r="L205" s="9">
        <f>Table_1[[#This Row],[Unit Price]]*Table_1[[#This Row],[Quantity]]</f>
        <v>850000</v>
      </c>
      <c r="M205" s="8">
        <f>Table_1[[#This Row],[Cost Price]]*Table_1[[#This Row],[Quantity]]</f>
        <v>680000</v>
      </c>
      <c r="N205">
        <f>Table_1[[#This Row],[Revenue]]-Table_1[[#This Row],[COGS]]</f>
        <v>170000</v>
      </c>
      <c r="O205" s="11">
        <f t="shared" si="22"/>
        <v>4656740000</v>
      </c>
      <c r="P205">
        <f t="shared" si="23"/>
        <v>3725392000</v>
      </c>
      <c r="Q205">
        <f t="shared" si="24"/>
        <v>931348000</v>
      </c>
      <c r="R205" s="7">
        <f t="shared" si="25"/>
        <v>2098</v>
      </c>
      <c r="S205" s="7">
        <f t="shared" si="26"/>
        <v>1</v>
      </c>
      <c r="T205" s="7">
        <f t="shared" si="27"/>
        <v>2098</v>
      </c>
    </row>
    <row r="206" spans="1:20" ht="14.25" customHeight="1" x14ac:dyDescent="0.35">
      <c r="A206" s="2" t="s">
        <v>107</v>
      </c>
      <c r="B206" s="2" t="s">
        <v>34</v>
      </c>
      <c r="C206" s="2" t="s">
        <v>30</v>
      </c>
      <c r="D206" s="2" t="s">
        <v>14</v>
      </c>
      <c r="E206" s="2" t="s">
        <v>22</v>
      </c>
      <c r="F206" s="2" t="s">
        <v>35</v>
      </c>
      <c r="G206" s="2" t="s">
        <v>36</v>
      </c>
      <c r="H206" s="2">
        <v>300000</v>
      </c>
      <c r="I206" s="2">
        <v>6</v>
      </c>
      <c r="J206" s="2" t="s">
        <v>54</v>
      </c>
      <c r="K206" s="2">
        <f t="shared" si="21"/>
        <v>240000</v>
      </c>
      <c r="L206" s="9">
        <f>Table_1[[#This Row],[Unit Price]]*Table_1[[#This Row],[Quantity]]</f>
        <v>1800000</v>
      </c>
      <c r="M206" s="8">
        <f>Table_1[[#This Row],[Cost Price]]*Table_1[[#This Row],[Quantity]]</f>
        <v>1440000</v>
      </c>
      <c r="N206">
        <f>Table_1[[#This Row],[Revenue]]-Table_1[[#This Row],[COGS]]</f>
        <v>360000</v>
      </c>
      <c r="O206" s="11">
        <f t="shared" si="22"/>
        <v>4656740000</v>
      </c>
      <c r="P206">
        <f t="shared" si="23"/>
        <v>3725392000</v>
      </c>
      <c r="Q206">
        <f t="shared" si="24"/>
        <v>931348000</v>
      </c>
      <c r="R206" s="7">
        <f t="shared" si="25"/>
        <v>2098</v>
      </c>
      <c r="S206" s="7">
        <f t="shared" si="26"/>
        <v>3</v>
      </c>
      <c r="T206" s="7">
        <f t="shared" si="27"/>
        <v>2098</v>
      </c>
    </row>
    <row r="207" spans="1:20" ht="14.25" customHeight="1" x14ac:dyDescent="0.35">
      <c r="A207" s="2" t="s">
        <v>136</v>
      </c>
      <c r="B207" s="2" t="s">
        <v>12</v>
      </c>
      <c r="C207" s="2" t="s">
        <v>13</v>
      </c>
      <c r="D207" s="2" t="s">
        <v>14</v>
      </c>
      <c r="E207" s="2" t="s">
        <v>15</v>
      </c>
      <c r="F207" s="2" t="s">
        <v>35</v>
      </c>
      <c r="G207" s="2" t="s">
        <v>36</v>
      </c>
      <c r="H207" s="2">
        <v>300000</v>
      </c>
      <c r="I207" s="2">
        <v>8</v>
      </c>
      <c r="J207" s="2" t="s">
        <v>50</v>
      </c>
      <c r="K207" s="2">
        <f t="shared" si="21"/>
        <v>240000</v>
      </c>
      <c r="L207" s="9">
        <f>Table_1[[#This Row],[Unit Price]]*Table_1[[#This Row],[Quantity]]</f>
        <v>2400000</v>
      </c>
      <c r="M207" s="8">
        <f>Table_1[[#This Row],[Cost Price]]*Table_1[[#This Row],[Quantity]]</f>
        <v>1920000</v>
      </c>
      <c r="N207">
        <f>Table_1[[#This Row],[Revenue]]-Table_1[[#This Row],[COGS]]</f>
        <v>480000</v>
      </c>
      <c r="O207" s="11">
        <f t="shared" si="22"/>
        <v>4656740000</v>
      </c>
      <c r="P207">
        <f t="shared" si="23"/>
        <v>3725392000</v>
      </c>
      <c r="Q207">
        <f t="shared" si="24"/>
        <v>931348000</v>
      </c>
      <c r="R207" s="7">
        <f t="shared" si="25"/>
        <v>2098</v>
      </c>
      <c r="S207" s="7">
        <f t="shared" si="26"/>
        <v>2</v>
      </c>
      <c r="T207" s="7">
        <f t="shared" si="27"/>
        <v>2098</v>
      </c>
    </row>
    <row r="208" spans="1:20" ht="14.25" customHeight="1" x14ac:dyDescent="0.35">
      <c r="A208" s="2" t="s">
        <v>73</v>
      </c>
      <c r="B208" s="2" t="s">
        <v>29</v>
      </c>
      <c r="C208" s="2" t="s">
        <v>38</v>
      </c>
      <c r="D208" s="2" t="s">
        <v>26</v>
      </c>
      <c r="E208" s="2" t="s">
        <v>22</v>
      </c>
      <c r="F208" s="2" t="s">
        <v>41</v>
      </c>
      <c r="G208" s="2" t="s">
        <v>17</v>
      </c>
      <c r="H208" s="2">
        <v>320000</v>
      </c>
      <c r="I208" s="2">
        <v>4</v>
      </c>
      <c r="J208" s="2" t="s">
        <v>32</v>
      </c>
      <c r="K208" s="2">
        <f t="shared" si="21"/>
        <v>256000</v>
      </c>
      <c r="L208" s="9">
        <f>Table_1[[#This Row],[Unit Price]]*Table_1[[#This Row],[Quantity]]</f>
        <v>1280000</v>
      </c>
      <c r="M208" s="8">
        <f>Table_1[[#This Row],[Cost Price]]*Table_1[[#This Row],[Quantity]]</f>
        <v>1024000</v>
      </c>
      <c r="N208">
        <f>Table_1[[#This Row],[Revenue]]-Table_1[[#This Row],[COGS]]</f>
        <v>256000</v>
      </c>
      <c r="O208" s="11">
        <f t="shared" si="22"/>
        <v>4656740000</v>
      </c>
      <c r="P208">
        <f t="shared" si="23"/>
        <v>3725392000</v>
      </c>
      <c r="Q208">
        <f t="shared" si="24"/>
        <v>931348000</v>
      </c>
      <c r="R208" s="7">
        <f t="shared" si="25"/>
        <v>2098</v>
      </c>
      <c r="S208" s="7">
        <f t="shared" si="26"/>
        <v>2</v>
      </c>
      <c r="T208" s="7">
        <f t="shared" si="27"/>
        <v>2098</v>
      </c>
    </row>
    <row r="209" spans="1:20" ht="14.25" customHeight="1" x14ac:dyDescent="0.35">
      <c r="A209" s="2" t="s">
        <v>84</v>
      </c>
      <c r="B209" s="2" t="s">
        <v>29</v>
      </c>
      <c r="C209" s="2" t="s">
        <v>21</v>
      </c>
      <c r="D209" s="2" t="s">
        <v>26</v>
      </c>
      <c r="E209" s="2" t="s">
        <v>15</v>
      </c>
      <c r="F209" s="2" t="s">
        <v>39</v>
      </c>
      <c r="G209" s="2" t="s">
        <v>24</v>
      </c>
      <c r="H209" s="2">
        <v>180000</v>
      </c>
      <c r="I209" s="2">
        <v>5</v>
      </c>
      <c r="J209" s="2" t="s">
        <v>54</v>
      </c>
      <c r="K209" s="2">
        <f t="shared" si="21"/>
        <v>144000</v>
      </c>
      <c r="L209" s="9">
        <f>Table_1[[#This Row],[Unit Price]]*Table_1[[#This Row],[Quantity]]</f>
        <v>900000</v>
      </c>
      <c r="M209" s="8">
        <f>Table_1[[#This Row],[Cost Price]]*Table_1[[#This Row],[Quantity]]</f>
        <v>720000</v>
      </c>
      <c r="N209">
        <f>Table_1[[#This Row],[Revenue]]-Table_1[[#This Row],[COGS]]</f>
        <v>180000</v>
      </c>
      <c r="O209" s="11">
        <f t="shared" si="22"/>
        <v>4656740000</v>
      </c>
      <c r="P209">
        <f t="shared" si="23"/>
        <v>3725392000</v>
      </c>
      <c r="Q209">
        <f t="shared" si="24"/>
        <v>931348000</v>
      </c>
      <c r="R209" s="7">
        <f t="shared" si="25"/>
        <v>2098</v>
      </c>
      <c r="S209" s="7">
        <f t="shared" si="26"/>
        <v>4</v>
      </c>
      <c r="T209" s="7">
        <f t="shared" si="27"/>
        <v>2098</v>
      </c>
    </row>
    <row r="210" spans="1:20" ht="14.25" customHeight="1" x14ac:dyDescent="0.35">
      <c r="A210" s="2" t="s">
        <v>69</v>
      </c>
      <c r="B210" s="2" t="s">
        <v>12</v>
      </c>
      <c r="C210" s="2" t="s">
        <v>13</v>
      </c>
      <c r="D210" s="2" t="s">
        <v>14</v>
      </c>
      <c r="E210" s="2" t="s">
        <v>22</v>
      </c>
      <c r="F210" s="2" t="s">
        <v>39</v>
      </c>
      <c r="G210" s="2" t="s">
        <v>24</v>
      </c>
      <c r="H210" s="2">
        <v>180000</v>
      </c>
      <c r="I210" s="2">
        <v>6</v>
      </c>
      <c r="J210" s="2" t="s">
        <v>43</v>
      </c>
      <c r="K210" s="2">
        <f t="shared" si="21"/>
        <v>144000</v>
      </c>
      <c r="L210" s="9">
        <f>Table_1[[#This Row],[Unit Price]]*Table_1[[#This Row],[Quantity]]</f>
        <v>1080000</v>
      </c>
      <c r="M210" s="8">
        <f>Table_1[[#This Row],[Cost Price]]*Table_1[[#This Row],[Quantity]]</f>
        <v>864000</v>
      </c>
      <c r="N210">
        <f>Table_1[[#This Row],[Revenue]]-Table_1[[#This Row],[COGS]]</f>
        <v>216000</v>
      </c>
      <c r="O210" s="11">
        <f t="shared" si="22"/>
        <v>4656740000</v>
      </c>
      <c r="P210">
        <f t="shared" si="23"/>
        <v>3725392000</v>
      </c>
      <c r="Q210">
        <f t="shared" si="24"/>
        <v>931348000</v>
      </c>
      <c r="R210" s="7">
        <f t="shared" si="25"/>
        <v>2098</v>
      </c>
      <c r="S210" s="7">
        <f t="shared" si="26"/>
        <v>1</v>
      </c>
      <c r="T210" s="7">
        <f t="shared" si="27"/>
        <v>2098</v>
      </c>
    </row>
    <row r="211" spans="1:20" ht="14.25" customHeight="1" x14ac:dyDescent="0.35">
      <c r="A211" s="2" t="s">
        <v>51</v>
      </c>
      <c r="B211" s="2" t="s">
        <v>20</v>
      </c>
      <c r="C211" s="2" t="s">
        <v>30</v>
      </c>
      <c r="D211" s="2" t="s">
        <v>26</v>
      </c>
      <c r="E211" s="2" t="s">
        <v>22</v>
      </c>
      <c r="F211" s="2" t="s">
        <v>47</v>
      </c>
      <c r="G211" s="2" t="s">
        <v>36</v>
      </c>
      <c r="H211" s="2">
        <v>150000</v>
      </c>
      <c r="I211" s="2">
        <v>9</v>
      </c>
      <c r="J211" s="2" t="s">
        <v>32</v>
      </c>
      <c r="K211" s="2">
        <f t="shared" si="21"/>
        <v>120000</v>
      </c>
      <c r="L211" s="9">
        <f>Table_1[[#This Row],[Unit Price]]*Table_1[[#This Row],[Quantity]]</f>
        <v>1350000</v>
      </c>
      <c r="M211" s="8">
        <f>Table_1[[#This Row],[Cost Price]]*Table_1[[#This Row],[Quantity]]</f>
        <v>1080000</v>
      </c>
      <c r="N211">
        <f>Table_1[[#This Row],[Revenue]]-Table_1[[#This Row],[COGS]]</f>
        <v>270000</v>
      </c>
      <c r="O211" s="11">
        <f t="shared" si="22"/>
        <v>4656740000</v>
      </c>
      <c r="P211">
        <f t="shared" si="23"/>
        <v>3725392000</v>
      </c>
      <c r="Q211">
        <f t="shared" si="24"/>
        <v>931348000</v>
      </c>
      <c r="R211" s="7">
        <f t="shared" si="25"/>
        <v>2098</v>
      </c>
      <c r="S211" s="7">
        <f t="shared" si="26"/>
        <v>3</v>
      </c>
      <c r="T211" s="7">
        <f t="shared" si="27"/>
        <v>2098</v>
      </c>
    </row>
    <row r="212" spans="1:20" ht="14.25" customHeight="1" x14ac:dyDescent="0.35">
      <c r="A212" s="2" t="s">
        <v>137</v>
      </c>
      <c r="B212" s="2" t="s">
        <v>12</v>
      </c>
      <c r="C212" s="2" t="s">
        <v>13</v>
      </c>
      <c r="D212" s="2" t="s">
        <v>14</v>
      </c>
      <c r="E212" s="2" t="s">
        <v>15</v>
      </c>
      <c r="F212" s="2" t="s">
        <v>47</v>
      </c>
      <c r="G212" s="2" t="s">
        <v>36</v>
      </c>
      <c r="H212" s="2">
        <v>150000</v>
      </c>
      <c r="I212" s="2">
        <v>1</v>
      </c>
      <c r="J212" s="2" t="s">
        <v>43</v>
      </c>
      <c r="K212" s="2">
        <f t="shared" si="21"/>
        <v>120000</v>
      </c>
      <c r="L212" s="9">
        <f>Table_1[[#This Row],[Unit Price]]*Table_1[[#This Row],[Quantity]]</f>
        <v>150000</v>
      </c>
      <c r="M212" s="8">
        <f>Table_1[[#This Row],[Cost Price]]*Table_1[[#This Row],[Quantity]]</f>
        <v>120000</v>
      </c>
      <c r="N212">
        <f>Table_1[[#This Row],[Revenue]]-Table_1[[#This Row],[COGS]]</f>
        <v>30000</v>
      </c>
      <c r="O212" s="11">
        <f t="shared" si="22"/>
        <v>4656740000</v>
      </c>
      <c r="P212">
        <f t="shared" si="23"/>
        <v>3725392000</v>
      </c>
      <c r="Q212">
        <f t="shared" si="24"/>
        <v>931348000</v>
      </c>
      <c r="R212" s="7">
        <f t="shared" si="25"/>
        <v>2098</v>
      </c>
      <c r="S212" s="7">
        <f t="shared" si="26"/>
        <v>1</v>
      </c>
      <c r="T212" s="7">
        <f t="shared" si="27"/>
        <v>2098</v>
      </c>
    </row>
    <row r="213" spans="1:20" ht="14.25" customHeight="1" x14ac:dyDescent="0.35">
      <c r="A213" s="2" t="s">
        <v>135</v>
      </c>
      <c r="B213" s="2" t="s">
        <v>20</v>
      </c>
      <c r="C213" s="2" t="s">
        <v>30</v>
      </c>
      <c r="D213" s="2" t="s">
        <v>14</v>
      </c>
      <c r="E213" s="2" t="s">
        <v>15</v>
      </c>
      <c r="F213" s="2" t="s">
        <v>39</v>
      </c>
      <c r="G213" s="2" t="s">
        <v>24</v>
      </c>
      <c r="H213" s="2">
        <v>180000</v>
      </c>
      <c r="I213" s="2">
        <v>8</v>
      </c>
      <c r="J213" s="2" t="s">
        <v>43</v>
      </c>
      <c r="K213" s="2">
        <f t="shared" si="21"/>
        <v>144000</v>
      </c>
      <c r="L213" s="9">
        <f>Table_1[[#This Row],[Unit Price]]*Table_1[[#This Row],[Quantity]]</f>
        <v>1440000</v>
      </c>
      <c r="M213" s="8">
        <f>Table_1[[#This Row],[Cost Price]]*Table_1[[#This Row],[Quantity]]</f>
        <v>1152000</v>
      </c>
      <c r="N213">
        <f>Table_1[[#This Row],[Revenue]]-Table_1[[#This Row],[COGS]]</f>
        <v>288000</v>
      </c>
      <c r="O213" s="11">
        <f t="shared" si="22"/>
        <v>4656740000</v>
      </c>
      <c r="P213">
        <f t="shared" si="23"/>
        <v>3725392000</v>
      </c>
      <c r="Q213">
        <f t="shared" si="24"/>
        <v>931348000</v>
      </c>
      <c r="R213" s="7">
        <f t="shared" si="25"/>
        <v>2098</v>
      </c>
      <c r="S213" s="7">
        <f t="shared" si="26"/>
        <v>1</v>
      </c>
      <c r="T213" s="7">
        <f t="shared" si="27"/>
        <v>2098</v>
      </c>
    </row>
    <row r="214" spans="1:20" ht="14.25" customHeight="1" x14ac:dyDescent="0.35">
      <c r="A214" s="2" t="s">
        <v>138</v>
      </c>
      <c r="B214" s="2" t="s">
        <v>12</v>
      </c>
      <c r="C214" s="2" t="s">
        <v>13</v>
      </c>
      <c r="D214" s="2" t="s">
        <v>14</v>
      </c>
      <c r="E214" s="2" t="s">
        <v>22</v>
      </c>
      <c r="F214" s="2" t="s">
        <v>39</v>
      </c>
      <c r="G214" s="2" t="s">
        <v>24</v>
      </c>
      <c r="H214" s="2">
        <v>180000</v>
      </c>
      <c r="I214" s="2">
        <v>6</v>
      </c>
      <c r="J214" s="2" t="s">
        <v>32</v>
      </c>
      <c r="K214" s="2">
        <f t="shared" si="21"/>
        <v>144000</v>
      </c>
      <c r="L214" s="9">
        <f>Table_1[[#This Row],[Unit Price]]*Table_1[[#This Row],[Quantity]]</f>
        <v>1080000</v>
      </c>
      <c r="M214" s="8">
        <f>Table_1[[#This Row],[Cost Price]]*Table_1[[#This Row],[Quantity]]</f>
        <v>864000</v>
      </c>
      <c r="N214">
        <f>Table_1[[#This Row],[Revenue]]-Table_1[[#This Row],[COGS]]</f>
        <v>216000</v>
      </c>
      <c r="O214" s="11">
        <f t="shared" si="22"/>
        <v>4656740000</v>
      </c>
      <c r="P214">
        <f t="shared" si="23"/>
        <v>3725392000</v>
      </c>
      <c r="Q214">
        <f t="shared" si="24"/>
        <v>931348000</v>
      </c>
      <c r="R214" s="7">
        <f t="shared" si="25"/>
        <v>2098</v>
      </c>
      <c r="S214" s="7">
        <f t="shared" si="26"/>
        <v>3</v>
      </c>
      <c r="T214" s="7">
        <f t="shared" si="27"/>
        <v>2098</v>
      </c>
    </row>
    <row r="215" spans="1:20" ht="14.25" customHeight="1" x14ac:dyDescent="0.35">
      <c r="A215" s="2" t="s">
        <v>55</v>
      </c>
      <c r="B215" s="2" t="s">
        <v>34</v>
      </c>
      <c r="C215" s="2" t="s">
        <v>38</v>
      </c>
      <c r="D215" s="2" t="s">
        <v>26</v>
      </c>
      <c r="E215" s="2" t="s">
        <v>15</v>
      </c>
      <c r="F215" s="2" t="s">
        <v>39</v>
      </c>
      <c r="G215" s="2" t="s">
        <v>24</v>
      </c>
      <c r="H215" s="2">
        <v>180000</v>
      </c>
      <c r="I215" s="2">
        <v>3</v>
      </c>
      <c r="J215" s="2" t="s">
        <v>50</v>
      </c>
      <c r="K215" s="2">
        <f t="shared" si="21"/>
        <v>144000</v>
      </c>
      <c r="L215" s="9">
        <f>Table_1[[#This Row],[Unit Price]]*Table_1[[#This Row],[Quantity]]</f>
        <v>540000</v>
      </c>
      <c r="M215" s="8">
        <f>Table_1[[#This Row],[Cost Price]]*Table_1[[#This Row],[Quantity]]</f>
        <v>432000</v>
      </c>
      <c r="N215">
        <f>Table_1[[#This Row],[Revenue]]-Table_1[[#This Row],[COGS]]</f>
        <v>108000</v>
      </c>
      <c r="O215" s="11">
        <f t="shared" si="22"/>
        <v>4656740000</v>
      </c>
      <c r="P215">
        <f t="shared" si="23"/>
        <v>3725392000</v>
      </c>
      <c r="Q215">
        <f t="shared" si="24"/>
        <v>931348000</v>
      </c>
      <c r="R215" s="7">
        <f t="shared" si="25"/>
        <v>2098</v>
      </c>
      <c r="S215" s="7">
        <f t="shared" si="26"/>
        <v>4</v>
      </c>
      <c r="T215" s="7">
        <f t="shared" si="27"/>
        <v>2098</v>
      </c>
    </row>
    <row r="216" spans="1:20" ht="14.25" customHeight="1" x14ac:dyDescent="0.35">
      <c r="A216" s="2" t="s">
        <v>113</v>
      </c>
      <c r="B216" s="2" t="s">
        <v>34</v>
      </c>
      <c r="C216" s="2" t="s">
        <v>30</v>
      </c>
      <c r="D216" s="2" t="s">
        <v>14</v>
      </c>
      <c r="E216" s="2" t="s">
        <v>15</v>
      </c>
      <c r="F216" s="2" t="s">
        <v>47</v>
      </c>
      <c r="G216" s="2" t="s">
        <v>36</v>
      </c>
      <c r="H216" s="2">
        <v>150000</v>
      </c>
      <c r="I216" s="2">
        <v>10</v>
      </c>
      <c r="J216" s="2" t="s">
        <v>18</v>
      </c>
      <c r="K216" s="2">
        <f t="shared" si="21"/>
        <v>120000</v>
      </c>
      <c r="L216" s="9">
        <f>Table_1[[#This Row],[Unit Price]]*Table_1[[#This Row],[Quantity]]</f>
        <v>1500000</v>
      </c>
      <c r="M216" s="8">
        <f>Table_1[[#This Row],[Cost Price]]*Table_1[[#This Row],[Quantity]]</f>
        <v>1200000</v>
      </c>
      <c r="N216">
        <f>Table_1[[#This Row],[Revenue]]-Table_1[[#This Row],[COGS]]</f>
        <v>300000</v>
      </c>
      <c r="O216" s="11">
        <f t="shared" si="22"/>
        <v>4656740000</v>
      </c>
      <c r="P216">
        <f t="shared" si="23"/>
        <v>3725392000</v>
      </c>
      <c r="Q216">
        <f t="shared" si="24"/>
        <v>931348000</v>
      </c>
      <c r="R216" s="7">
        <f t="shared" si="25"/>
        <v>2098</v>
      </c>
      <c r="S216" s="7">
        <f t="shared" si="26"/>
        <v>3</v>
      </c>
      <c r="T216" s="7">
        <f t="shared" si="27"/>
        <v>2098</v>
      </c>
    </row>
    <row r="217" spans="1:20" ht="14.25" customHeight="1" x14ac:dyDescent="0.35">
      <c r="A217" s="2" t="s">
        <v>134</v>
      </c>
      <c r="B217" s="2" t="s">
        <v>29</v>
      </c>
      <c r="C217" s="2" t="s">
        <v>30</v>
      </c>
      <c r="D217" s="2" t="s">
        <v>14</v>
      </c>
      <c r="E217" s="2" t="s">
        <v>22</v>
      </c>
      <c r="F217" s="2" t="s">
        <v>39</v>
      </c>
      <c r="G217" s="2" t="s">
        <v>24</v>
      </c>
      <c r="H217" s="2">
        <v>180000</v>
      </c>
      <c r="I217" s="2">
        <v>8</v>
      </c>
      <c r="J217" s="2" t="s">
        <v>50</v>
      </c>
      <c r="K217" s="2">
        <f t="shared" si="21"/>
        <v>144000</v>
      </c>
      <c r="L217" s="9">
        <f>Table_1[[#This Row],[Unit Price]]*Table_1[[#This Row],[Quantity]]</f>
        <v>1440000</v>
      </c>
      <c r="M217" s="8">
        <f>Table_1[[#This Row],[Cost Price]]*Table_1[[#This Row],[Quantity]]</f>
        <v>1152000</v>
      </c>
      <c r="N217">
        <f>Table_1[[#This Row],[Revenue]]-Table_1[[#This Row],[COGS]]</f>
        <v>288000</v>
      </c>
      <c r="O217" s="11">
        <f t="shared" si="22"/>
        <v>4656740000</v>
      </c>
      <c r="P217">
        <f t="shared" si="23"/>
        <v>3725392000</v>
      </c>
      <c r="Q217">
        <f t="shared" si="24"/>
        <v>931348000</v>
      </c>
      <c r="R217" s="7">
        <f t="shared" si="25"/>
        <v>2098</v>
      </c>
      <c r="S217" s="7">
        <f t="shared" si="26"/>
        <v>4</v>
      </c>
      <c r="T217" s="7">
        <f t="shared" si="27"/>
        <v>2098</v>
      </c>
    </row>
    <row r="218" spans="1:20" ht="14.25" customHeight="1" x14ac:dyDescent="0.35">
      <c r="A218" s="2" t="s">
        <v>70</v>
      </c>
      <c r="B218" s="2" t="s">
        <v>12</v>
      </c>
      <c r="C218" s="2" t="s">
        <v>30</v>
      </c>
      <c r="D218" s="2" t="s">
        <v>14</v>
      </c>
      <c r="E218" s="2" t="s">
        <v>22</v>
      </c>
      <c r="F218" s="2" t="s">
        <v>35</v>
      </c>
      <c r="G218" s="2" t="s">
        <v>36</v>
      </c>
      <c r="H218" s="2">
        <v>300000</v>
      </c>
      <c r="I218" s="2">
        <v>8</v>
      </c>
      <c r="J218" s="2" t="s">
        <v>32</v>
      </c>
      <c r="K218" s="2">
        <f t="shared" si="21"/>
        <v>240000</v>
      </c>
      <c r="L218" s="9">
        <f>Table_1[[#This Row],[Unit Price]]*Table_1[[#This Row],[Quantity]]</f>
        <v>2400000</v>
      </c>
      <c r="M218" s="8">
        <f>Table_1[[#This Row],[Cost Price]]*Table_1[[#This Row],[Quantity]]</f>
        <v>1920000</v>
      </c>
      <c r="N218">
        <f>Table_1[[#This Row],[Revenue]]-Table_1[[#This Row],[COGS]]</f>
        <v>480000</v>
      </c>
      <c r="O218" s="11">
        <f t="shared" si="22"/>
        <v>4656740000</v>
      </c>
      <c r="P218">
        <f t="shared" si="23"/>
        <v>3725392000</v>
      </c>
      <c r="Q218">
        <f t="shared" si="24"/>
        <v>931348000</v>
      </c>
      <c r="R218" s="7">
        <f t="shared" si="25"/>
        <v>2098</v>
      </c>
      <c r="S218" s="7">
        <f t="shared" si="26"/>
        <v>2</v>
      </c>
      <c r="T218" s="7">
        <f t="shared" si="27"/>
        <v>2098</v>
      </c>
    </row>
    <row r="219" spans="1:20" ht="14.25" customHeight="1" x14ac:dyDescent="0.35">
      <c r="A219" s="2" t="s">
        <v>92</v>
      </c>
      <c r="B219" s="2" t="s">
        <v>12</v>
      </c>
      <c r="C219" s="2" t="s">
        <v>30</v>
      </c>
      <c r="D219" s="2" t="s">
        <v>14</v>
      </c>
      <c r="E219" s="2" t="s">
        <v>22</v>
      </c>
      <c r="F219" s="2" t="s">
        <v>41</v>
      </c>
      <c r="G219" s="2" t="s">
        <v>17</v>
      </c>
      <c r="H219" s="2">
        <v>320000</v>
      </c>
      <c r="I219" s="2">
        <v>9</v>
      </c>
      <c r="J219" s="2" t="s">
        <v>43</v>
      </c>
      <c r="K219" s="2">
        <f t="shared" si="21"/>
        <v>256000</v>
      </c>
      <c r="L219" s="9">
        <f>Table_1[[#This Row],[Unit Price]]*Table_1[[#This Row],[Quantity]]</f>
        <v>2880000</v>
      </c>
      <c r="M219" s="8">
        <f>Table_1[[#This Row],[Cost Price]]*Table_1[[#This Row],[Quantity]]</f>
        <v>2304000</v>
      </c>
      <c r="N219">
        <f>Table_1[[#This Row],[Revenue]]-Table_1[[#This Row],[COGS]]</f>
        <v>576000</v>
      </c>
      <c r="O219" s="11">
        <f t="shared" si="22"/>
        <v>4656740000</v>
      </c>
      <c r="P219">
        <f t="shared" si="23"/>
        <v>3725392000</v>
      </c>
      <c r="Q219">
        <f t="shared" si="24"/>
        <v>931348000</v>
      </c>
      <c r="R219" s="7">
        <f t="shared" si="25"/>
        <v>2098</v>
      </c>
      <c r="S219" s="7">
        <f t="shared" si="26"/>
        <v>2</v>
      </c>
      <c r="T219" s="7">
        <f t="shared" si="27"/>
        <v>2098</v>
      </c>
    </row>
    <row r="220" spans="1:20" ht="14.25" customHeight="1" x14ac:dyDescent="0.35">
      <c r="A220" s="2" t="s">
        <v>132</v>
      </c>
      <c r="B220" s="2" t="s">
        <v>29</v>
      </c>
      <c r="C220" s="2" t="s">
        <v>30</v>
      </c>
      <c r="D220" s="2" t="s">
        <v>14</v>
      </c>
      <c r="E220" s="2" t="s">
        <v>15</v>
      </c>
      <c r="F220" s="2" t="s">
        <v>41</v>
      </c>
      <c r="G220" s="2" t="s">
        <v>17</v>
      </c>
      <c r="H220" s="2">
        <v>320000</v>
      </c>
      <c r="I220" s="2">
        <v>7</v>
      </c>
      <c r="J220" s="2" t="s">
        <v>54</v>
      </c>
      <c r="K220" s="2">
        <f t="shared" si="21"/>
        <v>256000</v>
      </c>
      <c r="L220" s="9">
        <f>Table_1[[#This Row],[Unit Price]]*Table_1[[#This Row],[Quantity]]</f>
        <v>2240000</v>
      </c>
      <c r="M220" s="8">
        <f>Table_1[[#This Row],[Cost Price]]*Table_1[[#This Row],[Quantity]]</f>
        <v>1792000</v>
      </c>
      <c r="N220">
        <f>Table_1[[#This Row],[Revenue]]-Table_1[[#This Row],[COGS]]</f>
        <v>448000</v>
      </c>
      <c r="O220" s="11">
        <f t="shared" si="22"/>
        <v>4656740000</v>
      </c>
      <c r="P220">
        <f t="shared" si="23"/>
        <v>3725392000</v>
      </c>
      <c r="Q220">
        <f t="shared" si="24"/>
        <v>931348000</v>
      </c>
      <c r="R220" s="7">
        <f t="shared" si="25"/>
        <v>2098</v>
      </c>
      <c r="S220" s="7">
        <f t="shared" si="26"/>
        <v>1</v>
      </c>
      <c r="T220" s="7">
        <f t="shared" si="27"/>
        <v>2098</v>
      </c>
    </row>
    <row r="221" spans="1:20" ht="14.25" customHeight="1" x14ac:dyDescent="0.35">
      <c r="A221" s="2" t="s">
        <v>49</v>
      </c>
      <c r="B221" s="2" t="s">
        <v>20</v>
      </c>
      <c r="C221" s="2" t="s">
        <v>38</v>
      </c>
      <c r="D221" s="2" t="s">
        <v>14</v>
      </c>
      <c r="E221" s="2" t="s">
        <v>15</v>
      </c>
      <c r="F221" s="2" t="s">
        <v>47</v>
      </c>
      <c r="G221" s="2" t="s">
        <v>36</v>
      </c>
      <c r="H221" s="2">
        <v>150000</v>
      </c>
      <c r="I221" s="2">
        <v>7</v>
      </c>
      <c r="J221" s="2" t="s">
        <v>27</v>
      </c>
      <c r="K221" s="2">
        <f t="shared" si="21"/>
        <v>120000</v>
      </c>
      <c r="L221" s="9">
        <f>Table_1[[#This Row],[Unit Price]]*Table_1[[#This Row],[Quantity]]</f>
        <v>1050000</v>
      </c>
      <c r="M221" s="8">
        <f>Table_1[[#This Row],[Cost Price]]*Table_1[[#This Row],[Quantity]]</f>
        <v>840000</v>
      </c>
      <c r="N221">
        <f>Table_1[[#This Row],[Revenue]]-Table_1[[#This Row],[COGS]]</f>
        <v>210000</v>
      </c>
      <c r="O221" s="11">
        <f t="shared" si="22"/>
        <v>4656740000</v>
      </c>
      <c r="P221">
        <f t="shared" si="23"/>
        <v>3725392000</v>
      </c>
      <c r="Q221">
        <f t="shared" si="24"/>
        <v>931348000</v>
      </c>
      <c r="R221" s="7">
        <f t="shared" si="25"/>
        <v>2098</v>
      </c>
      <c r="S221" s="7">
        <f t="shared" si="26"/>
        <v>4</v>
      </c>
      <c r="T221" s="7">
        <f t="shared" si="27"/>
        <v>2098</v>
      </c>
    </row>
    <row r="222" spans="1:20" ht="14.25" customHeight="1" x14ac:dyDescent="0.35">
      <c r="A222" s="2" t="s">
        <v>112</v>
      </c>
      <c r="B222" s="2" t="s">
        <v>20</v>
      </c>
      <c r="C222" s="2" t="s">
        <v>38</v>
      </c>
      <c r="D222" s="2" t="s">
        <v>14</v>
      </c>
      <c r="E222" s="2" t="s">
        <v>22</v>
      </c>
      <c r="F222" s="2" t="s">
        <v>58</v>
      </c>
      <c r="G222" s="2" t="s">
        <v>24</v>
      </c>
      <c r="H222" s="2">
        <v>220000</v>
      </c>
      <c r="I222" s="2">
        <v>6</v>
      </c>
      <c r="J222" s="2" t="s">
        <v>54</v>
      </c>
      <c r="K222" s="2">
        <f t="shared" si="21"/>
        <v>176000</v>
      </c>
      <c r="L222" s="9">
        <f>Table_1[[#This Row],[Unit Price]]*Table_1[[#This Row],[Quantity]]</f>
        <v>1320000</v>
      </c>
      <c r="M222" s="8">
        <f>Table_1[[#This Row],[Cost Price]]*Table_1[[#This Row],[Quantity]]</f>
        <v>1056000</v>
      </c>
      <c r="N222">
        <f>Table_1[[#This Row],[Revenue]]-Table_1[[#This Row],[COGS]]</f>
        <v>264000</v>
      </c>
      <c r="O222" s="11">
        <f t="shared" si="22"/>
        <v>4656740000</v>
      </c>
      <c r="P222">
        <f t="shared" si="23"/>
        <v>3725392000</v>
      </c>
      <c r="Q222">
        <f t="shared" si="24"/>
        <v>931348000</v>
      </c>
      <c r="R222" s="7">
        <f t="shared" si="25"/>
        <v>2098</v>
      </c>
      <c r="S222" s="7">
        <f t="shared" si="26"/>
        <v>1</v>
      </c>
      <c r="T222" s="7">
        <f t="shared" si="27"/>
        <v>2098</v>
      </c>
    </row>
    <row r="223" spans="1:20" ht="14.25" customHeight="1" x14ac:dyDescent="0.35">
      <c r="A223" s="2" t="s">
        <v>81</v>
      </c>
      <c r="B223" s="2" t="s">
        <v>34</v>
      </c>
      <c r="C223" s="2" t="s">
        <v>21</v>
      </c>
      <c r="D223" s="2" t="s">
        <v>14</v>
      </c>
      <c r="E223" s="2" t="s">
        <v>15</v>
      </c>
      <c r="F223" s="2" t="s">
        <v>56</v>
      </c>
      <c r="G223" s="2" t="s">
        <v>36</v>
      </c>
      <c r="H223" s="2">
        <v>250000</v>
      </c>
      <c r="I223" s="2">
        <v>1</v>
      </c>
      <c r="J223" s="2" t="s">
        <v>43</v>
      </c>
      <c r="K223" s="2">
        <f t="shared" si="21"/>
        <v>200000</v>
      </c>
      <c r="L223" s="9">
        <f>Table_1[[#This Row],[Unit Price]]*Table_1[[#This Row],[Quantity]]</f>
        <v>250000</v>
      </c>
      <c r="M223" s="8">
        <f>Table_1[[#This Row],[Cost Price]]*Table_1[[#This Row],[Quantity]]</f>
        <v>200000</v>
      </c>
      <c r="N223">
        <f>Table_1[[#This Row],[Revenue]]-Table_1[[#This Row],[COGS]]</f>
        <v>50000</v>
      </c>
      <c r="O223" s="11">
        <f t="shared" si="22"/>
        <v>4656740000</v>
      </c>
      <c r="P223">
        <f t="shared" si="23"/>
        <v>3725392000</v>
      </c>
      <c r="Q223">
        <f t="shared" si="24"/>
        <v>931348000</v>
      </c>
      <c r="R223" s="7">
        <f t="shared" si="25"/>
        <v>2098</v>
      </c>
      <c r="S223" s="7">
        <f t="shared" si="26"/>
        <v>3</v>
      </c>
      <c r="T223" s="7">
        <f t="shared" si="27"/>
        <v>2098</v>
      </c>
    </row>
    <row r="224" spans="1:20" ht="14.25" customHeight="1" x14ac:dyDescent="0.35">
      <c r="A224" s="2" t="s">
        <v>114</v>
      </c>
      <c r="B224" s="2" t="s">
        <v>12</v>
      </c>
      <c r="C224" s="2" t="s">
        <v>21</v>
      </c>
      <c r="D224" s="2" t="s">
        <v>14</v>
      </c>
      <c r="E224" s="2" t="s">
        <v>15</v>
      </c>
      <c r="F224" s="2" t="s">
        <v>31</v>
      </c>
      <c r="G224" s="2" t="s">
        <v>24</v>
      </c>
      <c r="H224" s="2">
        <v>60000</v>
      </c>
      <c r="I224" s="2">
        <v>4</v>
      </c>
      <c r="J224" s="2" t="s">
        <v>27</v>
      </c>
      <c r="K224" s="2">
        <f t="shared" si="21"/>
        <v>48000</v>
      </c>
      <c r="L224" s="9">
        <f>Table_1[[#This Row],[Unit Price]]*Table_1[[#This Row],[Quantity]]</f>
        <v>240000</v>
      </c>
      <c r="M224" s="8">
        <f>Table_1[[#This Row],[Cost Price]]*Table_1[[#This Row],[Quantity]]</f>
        <v>192000</v>
      </c>
      <c r="N224">
        <f>Table_1[[#This Row],[Revenue]]-Table_1[[#This Row],[COGS]]</f>
        <v>48000</v>
      </c>
      <c r="O224" s="11">
        <f t="shared" si="22"/>
        <v>4656740000</v>
      </c>
      <c r="P224">
        <f t="shared" si="23"/>
        <v>3725392000</v>
      </c>
      <c r="Q224">
        <f t="shared" si="24"/>
        <v>931348000</v>
      </c>
      <c r="R224" s="7">
        <f t="shared" si="25"/>
        <v>2098</v>
      </c>
      <c r="S224" s="7">
        <f t="shared" si="26"/>
        <v>3</v>
      </c>
      <c r="T224" s="7">
        <f t="shared" si="27"/>
        <v>2098</v>
      </c>
    </row>
    <row r="225" spans="1:20" ht="14.25" customHeight="1" x14ac:dyDescent="0.35">
      <c r="A225" s="2" t="s">
        <v>86</v>
      </c>
      <c r="B225" s="2" t="s">
        <v>34</v>
      </c>
      <c r="C225" s="2" t="s">
        <v>21</v>
      </c>
      <c r="D225" s="2" t="s">
        <v>14</v>
      </c>
      <c r="E225" s="2" t="s">
        <v>15</v>
      </c>
      <c r="F225" s="2" t="s">
        <v>16</v>
      </c>
      <c r="G225" s="2" t="s">
        <v>17</v>
      </c>
      <c r="H225" s="2">
        <v>85000</v>
      </c>
      <c r="I225" s="2">
        <v>9</v>
      </c>
      <c r="J225" s="2" t="s">
        <v>27</v>
      </c>
      <c r="K225" s="2">
        <f t="shared" si="21"/>
        <v>68000</v>
      </c>
      <c r="L225" s="9">
        <f>Table_1[[#This Row],[Unit Price]]*Table_1[[#This Row],[Quantity]]</f>
        <v>765000</v>
      </c>
      <c r="M225" s="8">
        <f>Table_1[[#This Row],[Cost Price]]*Table_1[[#This Row],[Quantity]]</f>
        <v>612000</v>
      </c>
      <c r="N225">
        <f>Table_1[[#This Row],[Revenue]]-Table_1[[#This Row],[COGS]]</f>
        <v>153000</v>
      </c>
      <c r="O225" s="11">
        <f t="shared" si="22"/>
        <v>4656740000</v>
      </c>
      <c r="P225">
        <f t="shared" si="23"/>
        <v>3725392000</v>
      </c>
      <c r="Q225">
        <f t="shared" si="24"/>
        <v>931348000</v>
      </c>
      <c r="R225" s="7">
        <f t="shared" si="25"/>
        <v>2098</v>
      </c>
      <c r="S225" s="7">
        <f t="shared" si="26"/>
        <v>1</v>
      </c>
      <c r="T225" s="7">
        <f t="shared" si="27"/>
        <v>2098</v>
      </c>
    </row>
    <row r="226" spans="1:20" ht="14.25" customHeight="1" x14ac:dyDescent="0.35">
      <c r="A226" s="2" t="s">
        <v>126</v>
      </c>
      <c r="B226" s="2" t="s">
        <v>12</v>
      </c>
      <c r="C226" s="2" t="s">
        <v>13</v>
      </c>
      <c r="D226" s="2" t="s">
        <v>14</v>
      </c>
      <c r="E226" s="2" t="s">
        <v>15</v>
      </c>
      <c r="F226" s="2" t="s">
        <v>39</v>
      </c>
      <c r="G226" s="2" t="s">
        <v>24</v>
      </c>
      <c r="H226" s="2">
        <v>180000</v>
      </c>
      <c r="I226" s="2">
        <v>5</v>
      </c>
      <c r="J226" s="2" t="s">
        <v>18</v>
      </c>
      <c r="K226" s="2">
        <f t="shared" si="21"/>
        <v>144000</v>
      </c>
      <c r="L226" s="9">
        <f>Table_1[[#This Row],[Unit Price]]*Table_1[[#This Row],[Quantity]]</f>
        <v>900000</v>
      </c>
      <c r="M226" s="8">
        <f>Table_1[[#This Row],[Cost Price]]*Table_1[[#This Row],[Quantity]]</f>
        <v>720000</v>
      </c>
      <c r="N226">
        <f>Table_1[[#This Row],[Revenue]]-Table_1[[#This Row],[COGS]]</f>
        <v>180000</v>
      </c>
      <c r="O226" s="11">
        <f t="shared" si="22"/>
        <v>4656740000</v>
      </c>
      <c r="P226">
        <f t="shared" si="23"/>
        <v>3725392000</v>
      </c>
      <c r="Q226">
        <f t="shared" si="24"/>
        <v>931348000</v>
      </c>
      <c r="R226" s="7">
        <f t="shared" si="25"/>
        <v>2098</v>
      </c>
      <c r="S226" s="7">
        <f t="shared" si="26"/>
        <v>3</v>
      </c>
      <c r="T226" s="7">
        <f t="shared" si="27"/>
        <v>2098</v>
      </c>
    </row>
    <row r="227" spans="1:20" ht="14.25" customHeight="1" x14ac:dyDescent="0.35">
      <c r="A227" s="2" t="s">
        <v>46</v>
      </c>
      <c r="B227" s="2" t="s">
        <v>12</v>
      </c>
      <c r="C227" s="2" t="s">
        <v>21</v>
      </c>
      <c r="D227" s="2" t="s">
        <v>14</v>
      </c>
      <c r="E227" s="2" t="s">
        <v>22</v>
      </c>
      <c r="F227" s="2" t="s">
        <v>47</v>
      </c>
      <c r="G227" s="2" t="s">
        <v>36</v>
      </c>
      <c r="H227" s="2">
        <v>150000</v>
      </c>
      <c r="I227" s="2">
        <v>4</v>
      </c>
      <c r="J227" s="2" t="s">
        <v>18</v>
      </c>
      <c r="K227" s="2">
        <f t="shared" si="21"/>
        <v>120000</v>
      </c>
      <c r="L227" s="9">
        <f>Table_1[[#This Row],[Unit Price]]*Table_1[[#This Row],[Quantity]]</f>
        <v>600000</v>
      </c>
      <c r="M227" s="8">
        <f>Table_1[[#This Row],[Cost Price]]*Table_1[[#This Row],[Quantity]]</f>
        <v>480000</v>
      </c>
      <c r="N227">
        <f>Table_1[[#This Row],[Revenue]]-Table_1[[#This Row],[COGS]]</f>
        <v>120000</v>
      </c>
      <c r="O227" s="11">
        <f t="shared" si="22"/>
        <v>4656740000</v>
      </c>
      <c r="P227">
        <f t="shared" si="23"/>
        <v>3725392000</v>
      </c>
      <c r="Q227">
        <f t="shared" si="24"/>
        <v>931348000</v>
      </c>
      <c r="R227" s="7">
        <f t="shared" si="25"/>
        <v>2098</v>
      </c>
      <c r="S227" s="7">
        <f t="shared" si="26"/>
        <v>1</v>
      </c>
      <c r="T227" s="7">
        <f t="shared" si="27"/>
        <v>2098</v>
      </c>
    </row>
    <row r="228" spans="1:20" ht="14.25" customHeight="1" x14ac:dyDescent="0.35">
      <c r="A228" s="2" t="s">
        <v>139</v>
      </c>
      <c r="B228" s="2" t="s">
        <v>34</v>
      </c>
      <c r="C228" s="2" t="s">
        <v>21</v>
      </c>
      <c r="D228" s="2" t="s">
        <v>14</v>
      </c>
      <c r="E228" s="2" t="s">
        <v>15</v>
      </c>
      <c r="F228" s="2" t="s">
        <v>47</v>
      </c>
      <c r="G228" s="2" t="s">
        <v>36</v>
      </c>
      <c r="H228" s="2">
        <v>150000</v>
      </c>
      <c r="I228" s="2">
        <v>4</v>
      </c>
      <c r="J228" s="2" t="s">
        <v>32</v>
      </c>
      <c r="K228" s="2">
        <f t="shared" si="21"/>
        <v>120000</v>
      </c>
      <c r="L228" s="9">
        <f>Table_1[[#This Row],[Unit Price]]*Table_1[[#This Row],[Quantity]]</f>
        <v>600000</v>
      </c>
      <c r="M228" s="8">
        <f>Table_1[[#This Row],[Cost Price]]*Table_1[[#This Row],[Quantity]]</f>
        <v>480000</v>
      </c>
      <c r="N228">
        <f>Table_1[[#This Row],[Revenue]]-Table_1[[#This Row],[COGS]]</f>
        <v>120000</v>
      </c>
      <c r="O228" s="11">
        <f t="shared" si="22"/>
        <v>4656740000</v>
      </c>
      <c r="P228">
        <f t="shared" si="23"/>
        <v>3725392000</v>
      </c>
      <c r="Q228">
        <f t="shared" si="24"/>
        <v>931348000</v>
      </c>
      <c r="R228" s="7">
        <f t="shared" si="25"/>
        <v>2098</v>
      </c>
      <c r="S228" s="7">
        <f t="shared" si="26"/>
        <v>2</v>
      </c>
      <c r="T228" s="7">
        <f t="shared" si="27"/>
        <v>2098</v>
      </c>
    </row>
    <row r="229" spans="1:20" ht="14.25" customHeight="1" x14ac:dyDescent="0.35">
      <c r="A229" s="2" t="s">
        <v>91</v>
      </c>
      <c r="B229" s="2" t="s">
        <v>20</v>
      </c>
      <c r="C229" s="2" t="s">
        <v>21</v>
      </c>
      <c r="D229" s="2" t="s">
        <v>26</v>
      </c>
      <c r="E229" s="2" t="s">
        <v>15</v>
      </c>
      <c r="F229" s="2" t="s">
        <v>23</v>
      </c>
      <c r="G229" s="2" t="s">
        <v>24</v>
      </c>
      <c r="H229" s="2">
        <v>30000</v>
      </c>
      <c r="I229" s="2">
        <v>2</v>
      </c>
      <c r="J229" s="2" t="s">
        <v>32</v>
      </c>
      <c r="K229" s="2">
        <f t="shared" si="21"/>
        <v>24000</v>
      </c>
      <c r="L229" s="9">
        <f>Table_1[[#This Row],[Unit Price]]*Table_1[[#This Row],[Quantity]]</f>
        <v>60000</v>
      </c>
      <c r="M229" s="8">
        <f>Table_1[[#This Row],[Cost Price]]*Table_1[[#This Row],[Quantity]]</f>
        <v>48000</v>
      </c>
      <c r="N229">
        <f>Table_1[[#This Row],[Revenue]]-Table_1[[#This Row],[COGS]]</f>
        <v>12000</v>
      </c>
      <c r="O229" s="11">
        <f t="shared" si="22"/>
        <v>4656740000</v>
      </c>
      <c r="P229">
        <f t="shared" si="23"/>
        <v>3725392000</v>
      </c>
      <c r="Q229">
        <f t="shared" si="24"/>
        <v>931348000</v>
      </c>
      <c r="R229" s="7">
        <f t="shared" si="25"/>
        <v>2098</v>
      </c>
      <c r="S229" s="7">
        <f t="shared" si="26"/>
        <v>4</v>
      </c>
      <c r="T229" s="7">
        <f t="shared" si="27"/>
        <v>2098</v>
      </c>
    </row>
    <row r="230" spans="1:20" ht="14.25" customHeight="1" x14ac:dyDescent="0.35">
      <c r="A230" s="2" t="s">
        <v>140</v>
      </c>
      <c r="B230" s="2" t="s">
        <v>29</v>
      </c>
      <c r="C230" s="2" t="s">
        <v>38</v>
      </c>
      <c r="D230" s="2" t="s">
        <v>26</v>
      </c>
      <c r="E230" s="2" t="s">
        <v>15</v>
      </c>
      <c r="F230" s="2" t="s">
        <v>39</v>
      </c>
      <c r="G230" s="2" t="s">
        <v>24</v>
      </c>
      <c r="H230" s="2">
        <v>180000</v>
      </c>
      <c r="I230" s="2">
        <v>6</v>
      </c>
      <c r="J230" s="2" t="s">
        <v>50</v>
      </c>
      <c r="K230" s="2">
        <f t="shared" si="21"/>
        <v>144000</v>
      </c>
      <c r="L230" s="9">
        <f>Table_1[[#This Row],[Unit Price]]*Table_1[[#This Row],[Quantity]]</f>
        <v>1080000</v>
      </c>
      <c r="M230" s="8">
        <f>Table_1[[#This Row],[Cost Price]]*Table_1[[#This Row],[Quantity]]</f>
        <v>864000</v>
      </c>
      <c r="N230">
        <f>Table_1[[#This Row],[Revenue]]-Table_1[[#This Row],[COGS]]</f>
        <v>216000</v>
      </c>
      <c r="O230" s="11">
        <f t="shared" si="22"/>
        <v>4656740000</v>
      </c>
      <c r="P230">
        <f t="shared" si="23"/>
        <v>3725392000</v>
      </c>
      <c r="Q230">
        <f t="shared" si="24"/>
        <v>931348000</v>
      </c>
      <c r="R230" s="7">
        <f t="shared" si="25"/>
        <v>2098</v>
      </c>
      <c r="S230" s="7">
        <f t="shared" si="26"/>
        <v>4</v>
      </c>
      <c r="T230" s="7">
        <f t="shared" si="27"/>
        <v>2098</v>
      </c>
    </row>
    <row r="231" spans="1:20" ht="14.25" customHeight="1" x14ac:dyDescent="0.35">
      <c r="A231" s="2" t="s">
        <v>93</v>
      </c>
      <c r="B231" s="2" t="s">
        <v>34</v>
      </c>
      <c r="C231" s="2" t="s">
        <v>30</v>
      </c>
      <c r="D231" s="2" t="s">
        <v>26</v>
      </c>
      <c r="E231" s="2" t="s">
        <v>22</v>
      </c>
      <c r="F231" s="2" t="s">
        <v>31</v>
      </c>
      <c r="G231" s="2" t="s">
        <v>24</v>
      </c>
      <c r="H231" s="2">
        <v>60000</v>
      </c>
      <c r="I231" s="2">
        <v>9</v>
      </c>
      <c r="J231" s="2" t="s">
        <v>54</v>
      </c>
      <c r="K231" s="2">
        <f t="shared" si="21"/>
        <v>48000</v>
      </c>
      <c r="L231" s="9">
        <f>Table_1[[#This Row],[Unit Price]]*Table_1[[#This Row],[Quantity]]</f>
        <v>540000</v>
      </c>
      <c r="M231" s="8">
        <f>Table_1[[#This Row],[Cost Price]]*Table_1[[#This Row],[Quantity]]</f>
        <v>432000</v>
      </c>
      <c r="N231">
        <f>Table_1[[#This Row],[Revenue]]-Table_1[[#This Row],[COGS]]</f>
        <v>108000</v>
      </c>
      <c r="O231" s="11">
        <f t="shared" si="22"/>
        <v>4656740000</v>
      </c>
      <c r="P231">
        <f t="shared" si="23"/>
        <v>3725392000</v>
      </c>
      <c r="Q231">
        <f t="shared" si="24"/>
        <v>931348000</v>
      </c>
      <c r="R231" s="7">
        <f t="shared" si="25"/>
        <v>2098</v>
      </c>
      <c r="S231" s="7">
        <f t="shared" si="26"/>
        <v>4</v>
      </c>
      <c r="T231" s="7">
        <f t="shared" si="27"/>
        <v>2098</v>
      </c>
    </row>
    <row r="232" spans="1:20" ht="14.25" customHeight="1" x14ac:dyDescent="0.35">
      <c r="A232" s="2" t="s">
        <v>60</v>
      </c>
      <c r="B232" s="2" t="s">
        <v>29</v>
      </c>
      <c r="C232" s="2" t="s">
        <v>13</v>
      </c>
      <c r="D232" s="2" t="s">
        <v>14</v>
      </c>
      <c r="E232" s="2" t="s">
        <v>15</v>
      </c>
      <c r="F232" s="2" t="s">
        <v>47</v>
      </c>
      <c r="G232" s="2" t="s">
        <v>36</v>
      </c>
      <c r="H232" s="2">
        <v>150000</v>
      </c>
      <c r="I232" s="2">
        <v>3</v>
      </c>
      <c r="J232" s="2" t="s">
        <v>27</v>
      </c>
      <c r="K232" s="2">
        <f t="shared" si="21"/>
        <v>120000</v>
      </c>
      <c r="L232" s="9">
        <f>Table_1[[#This Row],[Unit Price]]*Table_1[[#This Row],[Quantity]]</f>
        <v>450000</v>
      </c>
      <c r="M232" s="8">
        <f>Table_1[[#This Row],[Cost Price]]*Table_1[[#This Row],[Quantity]]</f>
        <v>360000</v>
      </c>
      <c r="N232">
        <f>Table_1[[#This Row],[Revenue]]-Table_1[[#This Row],[COGS]]</f>
        <v>90000</v>
      </c>
      <c r="O232" s="11">
        <f t="shared" si="22"/>
        <v>4656740000</v>
      </c>
      <c r="P232">
        <f t="shared" si="23"/>
        <v>3725392000</v>
      </c>
      <c r="Q232">
        <f t="shared" si="24"/>
        <v>931348000</v>
      </c>
      <c r="R232" s="7">
        <f t="shared" si="25"/>
        <v>2098</v>
      </c>
      <c r="S232" s="7">
        <f t="shared" si="26"/>
        <v>3</v>
      </c>
      <c r="T232" s="7">
        <f t="shared" si="27"/>
        <v>2098</v>
      </c>
    </row>
    <row r="233" spans="1:20" ht="14.25" customHeight="1" x14ac:dyDescent="0.35">
      <c r="A233" s="2" t="s">
        <v>78</v>
      </c>
      <c r="B233" s="2" t="s">
        <v>34</v>
      </c>
      <c r="C233" s="2" t="s">
        <v>21</v>
      </c>
      <c r="D233" s="2" t="s">
        <v>14</v>
      </c>
      <c r="E233" s="2" t="s">
        <v>15</v>
      </c>
      <c r="F233" s="2" t="s">
        <v>16</v>
      </c>
      <c r="G233" s="2" t="s">
        <v>17</v>
      </c>
      <c r="H233" s="2">
        <v>85000</v>
      </c>
      <c r="I233" s="2">
        <v>3</v>
      </c>
      <c r="J233" s="2" t="s">
        <v>32</v>
      </c>
      <c r="K233" s="2">
        <f t="shared" si="21"/>
        <v>68000</v>
      </c>
      <c r="L233" s="9">
        <f>Table_1[[#This Row],[Unit Price]]*Table_1[[#This Row],[Quantity]]</f>
        <v>255000</v>
      </c>
      <c r="M233" s="8">
        <f>Table_1[[#This Row],[Cost Price]]*Table_1[[#This Row],[Quantity]]</f>
        <v>204000</v>
      </c>
      <c r="N233">
        <f>Table_1[[#This Row],[Revenue]]-Table_1[[#This Row],[COGS]]</f>
        <v>51000</v>
      </c>
      <c r="O233" s="11">
        <f t="shared" si="22"/>
        <v>4656740000</v>
      </c>
      <c r="P233">
        <f t="shared" si="23"/>
        <v>3725392000</v>
      </c>
      <c r="Q233">
        <f t="shared" si="24"/>
        <v>931348000</v>
      </c>
      <c r="R233" s="7">
        <f t="shared" si="25"/>
        <v>2098</v>
      </c>
      <c r="S233" s="7">
        <f t="shared" si="26"/>
        <v>4</v>
      </c>
      <c r="T233" s="7">
        <f t="shared" si="27"/>
        <v>2098</v>
      </c>
    </row>
    <row r="234" spans="1:20" ht="14.25" customHeight="1" x14ac:dyDescent="0.35">
      <c r="A234" s="2" t="s">
        <v>128</v>
      </c>
      <c r="B234" s="2" t="s">
        <v>20</v>
      </c>
      <c r="C234" s="2" t="s">
        <v>13</v>
      </c>
      <c r="D234" s="2" t="s">
        <v>26</v>
      </c>
      <c r="E234" s="2" t="s">
        <v>22</v>
      </c>
      <c r="F234" s="2" t="s">
        <v>23</v>
      </c>
      <c r="G234" s="2" t="s">
        <v>24</v>
      </c>
      <c r="H234" s="2">
        <v>30000</v>
      </c>
      <c r="I234" s="2">
        <v>3</v>
      </c>
      <c r="J234" s="2" t="s">
        <v>43</v>
      </c>
      <c r="K234" s="2">
        <f t="shared" si="21"/>
        <v>24000</v>
      </c>
      <c r="L234" s="9">
        <f>Table_1[[#This Row],[Unit Price]]*Table_1[[#This Row],[Quantity]]</f>
        <v>90000</v>
      </c>
      <c r="M234" s="8">
        <f>Table_1[[#This Row],[Cost Price]]*Table_1[[#This Row],[Quantity]]</f>
        <v>72000</v>
      </c>
      <c r="N234">
        <f>Table_1[[#This Row],[Revenue]]-Table_1[[#This Row],[COGS]]</f>
        <v>18000</v>
      </c>
      <c r="O234" s="11">
        <f t="shared" si="22"/>
        <v>4656740000</v>
      </c>
      <c r="P234">
        <f t="shared" si="23"/>
        <v>3725392000</v>
      </c>
      <c r="Q234">
        <f t="shared" si="24"/>
        <v>931348000</v>
      </c>
      <c r="R234" s="7">
        <f t="shared" si="25"/>
        <v>2098</v>
      </c>
      <c r="S234" s="7">
        <f t="shared" si="26"/>
        <v>4</v>
      </c>
      <c r="T234" s="7">
        <f t="shared" si="27"/>
        <v>2098</v>
      </c>
    </row>
    <row r="235" spans="1:20" ht="14.25" customHeight="1" x14ac:dyDescent="0.35">
      <c r="A235" s="2" t="s">
        <v>37</v>
      </c>
      <c r="B235" s="2" t="s">
        <v>20</v>
      </c>
      <c r="C235" s="2" t="s">
        <v>30</v>
      </c>
      <c r="D235" s="2" t="s">
        <v>26</v>
      </c>
      <c r="E235" s="2" t="s">
        <v>15</v>
      </c>
      <c r="F235" s="2" t="s">
        <v>16</v>
      </c>
      <c r="G235" s="2" t="s">
        <v>17</v>
      </c>
      <c r="H235" s="2">
        <v>85000</v>
      </c>
      <c r="I235" s="2">
        <v>2</v>
      </c>
      <c r="J235" s="2" t="s">
        <v>18</v>
      </c>
      <c r="K235" s="2">
        <f t="shared" si="21"/>
        <v>68000</v>
      </c>
      <c r="L235" s="9">
        <f>Table_1[[#This Row],[Unit Price]]*Table_1[[#This Row],[Quantity]]</f>
        <v>170000</v>
      </c>
      <c r="M235" s="8">
        <f>Table_1[[#This Row],[Cost Price]]*Table_1[[#This Row],[Quantity]]</f>
        <v>136000</v>
      </c>
      <c r="N235">
        <f>Table_1[[#This Row],[Revenue]]-Table_1[[#This Row],[COGS]]</f>
        <v>34000</v>
      </c>
      <c r="O235" s="11">
        <f t="shared" si="22"/>
        <v>4656740000</v>
      </c>
      <c r="P235">
        <f t="shared" si="23"/>
        <v>3725392000</v>
      </c>
      <c r="Q235">
        <f t="shared" si="24"/>
        <v>931348000</v>
      </c>
      <c r="R235" s="7">
        <f t="shared" si="25"/>
        <v>2098</v>
      </c>
      <c r="S235" s="7">
        <f t="shared" si="26"/>
        <v>3</v>
      </c>
      <c r="T235" s="7">
        <f t="shared" si="27"/>
        <v>2098</v>
      </c>
    </row>
    <row r="236" spans="1:20" ht="14.25" customHeight="1" x14ac:dyDescent="0.35">
      <c r="A236" s="2" t="s">
        <v>130</v>
      </c>
      <c r="B236" s="2" t="s">
        <v>12</v>
      </c>
      <c r="C236" s="2" t="s">
        <v>38</v>
      </c>
      <c r="D236" s="2" t="s">
        <v>26</v>
      </c>
      <c r="E236" s="2" t="s">
        <v>15</v>
      </c>
      <c r="F236" s="2" t="s">
        <v>23</v>
      </c>
      <c r="G236" s="2" t="s">
        <v>24</v>
      </c>
      <c r="H236" s="2">
        <v>30000</v>
      </c>
      <c r="I236" s="2">
        <v>6</v>
      </c>
      <c r="J236" s="2" t="s">
        <v>18</v>
      </c>
      <c r="K236" s="2">
        <f t="shared" si="21"/>
        <v>24000</v>
      </c>
      <c r="L236" s="9">
        <f>Table_1[[#This Row],[Unit Price]]*Table_1[[#This Row],[Quantity]]</f>
        <v>180000</v>
      </c>
      <c r="M236" s="8">
        <f>Table_1[[#This Row],[Cost Price]]*Table_1[[#This Row],[Quantity]]</f>
        <v>144000</v>
      </c>
      <c r="N236">
        <f>Table_1[[#This Row],[Revenue]]-Table_1[[#This Row],[COGS]]</f>
        <v>36000</v>
      </c>
      <c r="O236" s="11">
        <f t="shared" si="22"/>
        <v>4656740000</v>
      </c>
      <c r="P236">
        <f t="shared" si="23"/>
        <v>3725392000</v>
      </c>
      <c r="Q236">
        <f t="shared" si="24"/>
        <v>931348000</v>
      </c>
      <c r="R236" s="7">
        <f t="shared" si="25"/>
        <v>2098</v>
      </c>
      <c r="S236" s="7">
        <f t="shared" si="26"/>
        <v>1</v>
      </c>
      <c r="T236" s="7">
        <f t="shared" si="27"/>
        <v>2098</v>
      </c>
    </row>
    <row r="237" spans="1:20" ht="14.25" customHeight="1" x14ac:dyDescent="0.35">
      <c r="A237" s="2" t="s">
        <v>108</v>
      </c>
      <c r="B237" s="2" t="s">
        <v>12</v>
      </c>
      <c r="C237" s="2" t="s">
        <v>38</v>
      </c>
      <c r="D237" s="2" t="s">
        <v>26</v>
      </c>
      <c r="E237" s="2" t="s">
        <v>15</v>
      </c>
      <c r="F237" s="2" t="s">
        <v>41</v>
      </c>
      <c r="G237" s="2" t="s">
        <v>17</v>
      </c>
      <c r="H237" s="2">
        <v>320000</v>
      </c>
      <c r="I237" s="2">
        <v>1</v>
      </c>
      <c r="J237" s="2" t="s">
        <v>18</v>
      </c>
      <c r="K237" s="2">
        <f t="shared" si="21"/>
        <v>256000</v>
      </c>
      <c r="L237" s="9">
        <f>Table_1[[#This Row],[Unit Price]]*Table_1[[#This Row],[Quantity]]</f>
        <v>320000</v>
      </c>
      <c r="M237" s="8">
        <f>Table_1[[#This Row],[Cost Price]]*Table_1[[#This Row],[Quantity]]</f>
        <v>256000</v>
      </c>
      <c r="N237">
        <f>Table_1[[#This Row],[Revenue]]-Table_1[[#This Row],[COGS]]</f>
        <v>64000</v>
      </c>
      <c r="O237" s="11">
        <f t="shared" si="22"/>
        <v>4656740000</v>
      </c>
      <c r="P237">
        <f t="shared" si="23"/>
        <v>3725392000</v>
      </c>
      <c r="Q237">
        <f t="shared" si="24"/>
        <v>931348000</v>
      </c>
      <c r="R237" s="7">
        <f t="shared" si="25"/>
        <v>2098</v>
      </c>
      <c r="S237" s="7">
        <f t="shared" si="26"/>
        <v>4</v>
      </c>
      <c r="T237" s="7">
        <f t="shared" si="27"/>
        <v>2098</v>
      </c>
    </row>
    <row r="238" spans="1:20" ht="14.25" customHeight="1" x14ac:dyDescent="0.35">
      <c r="A238" s="2" t="s">
        <v>101</v>
      </c>
      <c r="B238" s="2" t="s">
        <v>29</v>
      </c>
      <c r="C238" s="2" t="s">
        <v>21</v>
      </c>
      <c r="D238" s="2" t="s">
        <v>14</v>
      </c>
      <c r="E238" s="2" t="s">
        <v>22</v>
      </c>
      <c r="F238" s="2" t="s">
        <v>52</v>
      </c>
      <c r="G238" s="2" t="s">
        <v>36</v>
      </c>
      <c r="H238" s="2">
        <v>420000</v>
      </c>
      <c r="I238" s="2">
        <v>5</v>
      </c>
      <c r="J238" s="2" t="s">
        <v>50</v>
      </c>
      <c r="K238" s="2">
        <f t="shared" si="21"/>
        <v>336000</v>
      </c>
      <c r="L238" s="9">
        <f>Table_1[[#This Row],[Unit Price]]*Table_1[[#This Row],[Quantity]]</f>
        <v>2100000</v>
      </c>
      <c r="M238" s="8">
        <f>Table_1[[#This Row],[Cost Price]]*Table_1[[#This Row],[Quantity]]</f>
        <v>1680000</v>
      </c>
      <c r="N238">
        <f>Table_1[[#This Row],[Revenue]]-Table_1[[#This Row],[COGS]]</f>
        <v>420000</v>
      </c>
      <c r="O238" s="11">
        <f t="shared" si="22"/>
        <v>4656740000</v>
      </c>
      <c r="P238">
        <f t="shared" si="23"/>
        <v>3725392000</v>
      </c>
      <c r="Q238">
        <f t="shared" si="24"/>
        <v>931348000</v>
      </c>
      <c r="R238" s="7">
        <f t="shared" si="25"/>
        <v>2098</v>
      </c>
      <c r="S238" s="7">
        <f t="shared" si="26"/>
        <v>4</v>
      </c>
      <c r="T238" s="7">
        <f t="shared" si="27"/>
        <v>2098</v>
      </c>
    </row>
    <row r="239" spans="1:20" ht="14.25" customHeight="1" x14ac:dyDescent="0.35">
      <c r="A239" s="2" t="s">
        <v>122</v>
      </c>
      <c r="B239" s="2" t="s">
        <v>12</v>
      </c>
      <c r="C239" s="2" t="s">
        <v>38</v>
      </c>
      <c r="D239" s="2" t="s">
        <v>14</v>
      </c>
      <c r="E239" s="2" t="s">
        <v>22</v>
      </c>
      <c r="F239" s="2" t="s">
        <v>23</v>
      </c>
      <c r="G239" s="2" t="s">
        <v>24</v>
      </c>
      <c r="H239" s="2">
        <v>30000</v>
      </c>
      <c r="I239" s="2">
        <v>9</v>
      </c>
      <c r="J239" s="2" t="s">
        <v>54</v>
      </c>
      <c r="K239" s="2">
        <f t="shared" si="21"/>
        <v>24000</v>
      </c>
      <c r="L239" s="9">
        <f>Table_1[[#This Row],[Unit Price]]*Table_1[[#This Row],[Quantity]]</f>
        <v>270000</v>
      </c>
      <c r="M239" s="8">
        <f>Table_1[[#This Row],[Cost Price]]*Table_1[[#This Row],[Quantity]]</f>
        <v>216000</v>
      </c>
      <c r="N239">
        <f>Table_1[[#This Row],[Revenue]]-Table_1[[#This Row],[COGS]]</f>
        <v>54000</v>
      </c>
      <c r="O239" s="11">
        <f t="shared" si="22"/>
        <v>4656740000</v>
      </c>
      <c r="P239">
        <f t="shared" si="23"/>
        <v>3725392000</v>
      </c>
      <c r="Q239">
        <f t="shared" si="24"/>
        <v>931348000</v>
      </c>
      <c r="R239" s="7">
        <f t="shared" si="25"/>
        <v>2098</v>
      </c>
      <c r="S239" s="7">
        <f t="shared" si="26"/>
        <v>4</v>
      </c>
      <c r="T239" s="7">
        <f t="shared" si="27"/>
        <v>2098</v>
      </c>
    </row>
    <row r="240" spans="1:20" ht="14.25" customHeight="1" x14ac:dyDescent="0.35">
      <c r="A240" s="2" t="s">
        <v>132</v>
      </c>
      <c r="B240" s="2" t="s">
        <v>29</v>
      </c>
      <c r="C240" s="2" t="s">
        <v>38</v>
      </c>
      <c r="D240" s="2" t="s">
        <v>14</v>
      </c>
      <c r="E240" s="2" t="s">
        <v>15</v>
      </c>
      <c r="F240" s="2" t="s">
        <v>31</v>
      </c>
      <c r="G240" s="2" t="s">
        <v>24</v>
      </c>
      <c r="H240" s="2">
        <v>60000</v>
      </c>
      <c r="I240" s="2">
        <v>8</v>
      </c>
      <c r="J240" s="2" t="s">
        <v>50</v>
      </c>
      <c r="K240" s="2">
        <f t="shared" si="21"/>
        <v>48000</v>
      </c>
      <c r="L240" s="9">
        <f>Table_1[[#This Row],[Unit Price]]*Table_1[[#This Row],[Quantity]]</f>
        <v>480000</v>
      </c>
      <c r="M240" s="8">
        <f>Table_1[[#This Row],[Cost Price]]*Table_1[[#This Row],[Quantity]]</f>
        <v>384000</v>
      </c>
      <c r="N240">
        <f>Table_1[[#This Row],[Revenue]]-Table_1[[#This Row],[COGS]]</f>
        <v>96000</v>
      </c>
      <c r="O240" s="11">
        <f t="shared" si="22"/>
        <v>4656740000</v>
      </c>
      <c r="P240">
        <f t="shared" si="23"/>
        <v>3725392000</v>
      </c>
      <c r="Q240">
        <f t="shared" si="24"/>
        <v>931348000</v>
      </c>
      <c r="R240" s="7">
        <f t="shared" si="25"/>
        <v>2098</v>
      </c>
      <c r="S240" s="7">
        <f t="shared" si="26"/>
        <v>1</v>
      </c>
      <c r="T240" s="7">
        <f t="shared" si="27"/>
        <v>2098</v>
      </c>
    </row>
    <row r="241" spans="1:20" ht="14.25" customHeight="1" x14ac:dyDescent="0.35">
      <c r="A241" s="2" t="s">
        <v>130</v>
      </c>
      <c r="B241" s="2" t="s">
        <v>12</v>
      </c>
      <c r="C241" s="2" t="s">
        <v>30</v>
      </c>
      <c r="D241" s="2" t="s">
        <v>14</v>
      </c>
      <c r="E241" s="2" t="s">
        <v>15</v>
      </c>
      <c r="F241" s="2" t="s">
        <v>35</v>
      </c>
      <c r="G241" s="2" t="s">
        <v>36</v>
      </c>
      <c r="H241" s="2">
        <v>300000</v>
      </c>
      <c r="I241" s="2">
        <v>2</v>
      </c>
      <c r="J241" s="2" t="s">
        <v>32</v>
      </c>
      <c r="K241" s="2">
        <f t="shared" si="21"/>
        <v>240000</v>
      </c>
      <c r="L241" s="9">
        <f>Table_1[[#This Row],[Unit Price]]*Table_1[[#This Row],[Quantity]]</f>
        <v>600000</v>
      </c>
      <c r="M241" s="8">
        <f>Table_1[[#This Row],[Cost Price]]*Table_1[[#This Row],[Quantity]]</f>
        <v>480000</v>
      </c>
      <c r="N241">
        <f>Table_1[[#This Row],[Revenue]]-Table_1[[#This Row],[COGS]]</f>
        <v>120000</v>
      </c>
      <c r="O241" s="11">
        <f t="shared" si="22"/>
        <v>4656740000</v>
      </c>
      <c r="P241">
        <f t="shared" si="23"/>
        <v>3725392000</v>
      </c>
      <c r="Q241">
        <f t="shared" si="24"/>
        <v>931348000</v>
      </c>
      <c r="R241" s="7">
        <f t="shared" si="25"/>
        <v>2098</v>
      </c>
      <c r="S241" s="7">
        <f t="shared" si="26"/>
        <v>1</v>
      </c>
      <c r="T241" s="7">
        <f t="shared" si="27"/>
        <v>2098</v>
      </c>
    </row>
    <row r="242" spans="1:20" ht="14.25" customHeight="1" x14ac:dyDescent="0.35">
      <c r="A242" s="2" t="s">
        <v>81</v>
      </c>
      <c r="B242" s="2" t="s">
        <v>29</v>
      </c>
      <c r="C242" s="2" t="s">
        <v>13</v>
      </c>
      <c r="D242" s="2" t="s">
        <v>14</v>
      </c>
      <c r="E242" s="2" t="s">
        <v>15</v>
      </c>
      <c r="F242" s="2" t="s">
        <v>58</v>
      </c>
      <c r="G242" s="2" t="s">
        <v>24</v>
      </c>
      <c r="H242" s="2">
        <v>220000</v>
      </c>
      <c r="I242" s="2">
        <v>7</v>
      </c>
      <c r="J242" s="2" t="s">
        <v>32</v>
      </c>
      <c r="K242" s="2">
        <f t="shared" si="21"/>
        <v>176000</v>
      </c>
      <c r="L242" s="9">
        <f>Table_1[[#This Row],[Unit Price]]*Table_1[[#This Row],[Quantity]]</f>
        <v>1540000</v>
      </c>
      <c r="M242" s="8">
        <f>Table_1[[#This Row],[Cost Price]]*Table_1[[#This Row],[Quantity]]</f>
        <v>1232000</v>
      </c>
      <c r="N242">
        <f>Table_1[[#This Row],[Revenue]]-Table_1[[#This Row],[COGS]]</f>
        <v>308000</v>
      </c>
      <c r="O242" s="11">
        <f t="shared" si="22"/>
        <v>4656740000</v>
      </c>
      <c r="P242">
        <f t="shared" si="23"/>
        <v>3725392000</v>
      </c>
      <c r="Q242">
        <f t="shared" si="24"/>
        <v>931348000</v>
      </c>
      <c r="R242" s="7">
        <f t="shared" si="25"/>
        <v>2098</v>
      </c>
      <c r="S242" s="7">
        <f t="shared" si="26"/>
        <v>3</v>
      </c>
      <c r="T242" s="7">
        <f t="shared" si="27"/>
        <v>2098</v>
      </c>
    </row>
    <row r="243" spans="1:20" ht="14.25" customHeight="1" x14ac:dyDescent="0.35">
      <c r="A243" s="2" t="s">
        <v>80</v>
      </c>
      <c r="B243" s="2" t="s">
        <v>34</v>
      </c>
      <c r="C243" s="2" t="s">
        <v>21</v>
      </c>
      <c r="D243" s="2" t="s">
        <v>26</v>
      </c>
      <c r="E243" s="2" t="s">
        <v>22</v>
      </c>
      <c r="F243" s="2" t="s">
        <v>35</v>
      </c>
      <c r="G243" s="2" t="s">
        <v>36</v>
      </c>
      <c r="H243" s="2">
        <v>300000</v>
      </c>
      <c r="I243" s="2">
        <v>8</v>
      </c>
      <c r="J243" s="2" t="s">
        <v>18</v>
      </c>
      <c r="K243" s="2">
        <f t="shared" si="21"/>
        <v>240000</v>
      </c>
      <c r="L243" s="9">
        <f>Table_1[[#This Row],[Unit Price]]*Table_1[[#This Row],[Quantity]]</f>
        <v>2400000</v>
      </c>
      <c r="M243" s="8">
        <f>Table_1[[#This Row],[Cost Price]]*Table_1[[#This Row],[Quantity]]</f>
        <v>1920000</v>
      </c>
      <c r="N243">
        <f>Table_1[[#This Row],[Revenue]]-Table_1[[#This Row],[COGS]]</f>
        <v>480000</v>
      </c>
      <c r="O243" s="11">
        <f t="shared" si="22"/>
        <v>4656740000</v>
      </c>
      <c r="P243">
        <f t="shared" si="23"/>
        <v>3725392000</v>
      </c>
      <c r="Q243">
        <f t="shared" si="24"/>
        <v>931348000</v>
      </c>
      <c r="R243" s="7">
        <f t="shared" si="25"/>
        <v>2098</v>
      </c>
      <c r="S243" s="7">
        <f t="shared" si="26"/>
        <v>2</v>
      </c>
      <c r="T243" s="7">
        <f t="shared" si="27"/>
        <v>2098</v>
      </c>
    </row>
    <row r="244" spans="1:20" ht="14.25" customHeight="1" x14ac:dyDescent="0.35">
      <c r="A244" s="2" t="s">
        <v>57</v>
      </c>
      <c r="B244" s="2" t="s">
        <v>20</v>
      </c>
      <c r="C244" s="2" t="s">
        <v>21</v>
      </c>
      <c r="D244" s="2" t="s">
        <v>26</v>
      </c>
      <c r="E244" s="2" t="s">
        <v>22</v>
      </c>
      <c r="F244" s="2" t="s">
        <v>52</v>
      </c>
      <c r="G244" s="2" t="s">
        <v>36</v>
      </c>
      <c r="H244" s="2">
        <v>420000</v>
      </c>
      <c r="I244" s="2">
        <v>10</v>
      </c>
      <c r="J244" s="2" t="s">
        <v>43</v>
      </c>
      <c r="K244" s="2">
        <f t="shared" si="21"/>
        <v>336000</v>
      </c>
      <c r="L244" s="9">
        <f>Table_1[[#This Row],[Unit Price]]*Table_1[[#This Row],[Quantity]]</f>
        <v>4200000</v>
      </c>
      <c r="M244" s="8">
        <f>Table_1[[#This Row],[Cost Price]]*Table_1[[#This Row],[Quantity]]</f>
        <v>3360000</v>
      </c>
      <c r="N244">
        <f>Table_1[[#This Row],[Revenue]]-Table_1[[#This Row],[COGS]]</f>
        <v>840000</v>
      </c>
      <c r="O244" s="11">
        <f t="shared" si="22"/>
        <v>4656740000</v>
      </c>
      <c r="P244">
        <f t="shared" si="23"/>
        <v>3725392000</v>
      </c>
      <c r="Q244">
        <f t="shared" si="24"/>
        <v>931348000</v>
      </c>
      <c r="R244" s="7">
        <f t="shared" si="25"/>
        <v>2098</v>
      </c>
      <c r="S244" s="7">
        <f t="shared" si="26"/>
        <v>2</v>
      </c>
      <c r="T244" s="7">
        <f t="shared" si="27"/>
        <v>2098</v>
      </c>
    </row>
    <row r="245" spans="1:20" ht="14.25" customHeight="1" x14ac:dyDescent="0.35">
      <c r="A245" s="2" t="s">
        <v>93</v>
      </c>
      <c r="B245" s="2" t="s">
        <v>20</v>
      </c>
      <c r="C245" s="2" t="s">
        <v>38</v>
      </c>
      <c r="D245" s="2" t="s">
        <v>26</v>
      </c>
      <c r="E245" s="2" t="s">
        <v>15</v>
      </c>
      <c r="F245" s="2" t="s">
        <v>35</v>
      </c>
      <c r="G245" s="2" t="s">
        <v>36</v>
      </c>
      <c r="H245" s="2">
        <v>300000</v>
      </c>
      <c r="I245" s="2">
        <v>2</v>
      </c>
      <c r="J245" s="2" t="s">
        <v>43</v>
      </c>
      <c r="K245" s="2">
        <f t="shared" si="21"/>
        <v>240000</v>
      </c>
      <c r="L245" s="9">
        <f>Table_1[[#This Row],[Unit Price]]*Table_1[[#This Row],[Quantity]]</f>
        <v>600000</v>
      </c>
      <c r="M245" s="8">
        <f>Table_1[[#This Row],[Cost Price]]*Table_1[[#This Row],[Quantity]]</f>
        <v>480000</v>
      </c>
      <c r="N245">
        <f>Table_1[[#This Row],[Revenue]]-Table_1[[#This Row],[COGS]]</f>
        <v>120000</v>
      </c>
      <c r="O245" s="11">
        <f t="shared" si="22"/>
        <v>4656740000</v>
      </c>
      <c r="P245">
        <f t="shared" si="23"/>
        <v>3725392000</v>
      </c>
      <c r="Q245">
        <f t="shared" si="24"/>
        <v>931348000</v>
      </c>
      <c r="R245" s="7">
        <f t="shared" si="25"/>
        <v>2098</v>
      </c>
      <c r="S245" s="7">
        <f t="shared" si="26"/>
        <v>4</v>
      </c>
      <c r="T245" s="7">
        <f t="shared" si="27"/>
        <v>2098</v>
      </c>
    </row>
    <row r="246" spans="1:20" ht="14.25" customHeight="1" x14ac:dyDescent="0.35">
      <c r="A246" s="2" t="s">
        <v>129</v>
      </c>
      <c r="B246" s="2" t="s">
        <v>20</v>
      </c>
      <c r="C246" s="2" t="s">
        <v>21</v>
      </c>
      <c r="D246" s="2" t="s">
        <v>26</v>
      </c>
      <c r="E246" s="2" t="s">
        <v>15</v>
      </c>
      <c r="F246" s="2" t="s">
        <v>58</v>
      </c>
      <c r="G246" s="2" t="s">
        <v>24</v>
      </c>
      <c r="H246" s="2">
        <v>220000</v>
      </c>
      <c r="I246" s="2">
        <v>3</v>
      </c>
      <c r="J246" s="2" t="s">
        <v>32</v>
      </c>
      <c r="K246" s="2">
        <f t="shared" si="21"/>
        <v>176000</v>
      </c>
      <c r="L246" s="9">
        <f>Table_1[[#This Row],[Unit Price]]*Table_1[[#This Row],[Quantity]]</f>
        <v>660000</v>
      </c>
      <c r="M246" s="8">
        <f>Table_1[[#This Row],[Cost Price]]*Table_1[[#This Row],[Quantity]]</f>
        <v>528000</v>
      </c>
      <c r="N246">
        <f>Table_1[[#This Row],[Revenue]]-Table_1[[#This Row],[COGS]]</f>
        <v>132000</v>
      </c>
      <c r="O246" s="11">
        <f t="shared" si="22"/>
        <v>4656740000</v>
      </c>
      <c r="P246">
        <f t="shared" si="23"/>
        <v>3725392000</v>
      </c>
      <c r="Q246">
        <f t="shared" si="24"/>
        <v>931348000</v>
      </c>
      <c r="R246" s="7">
        <f t="shared" si="25"/>
        <v>2098</v>
      </c>
      <c r="S246" s="7">
        <f t="shared" si="26"/>
        <v>2</v>
      </c>
      <c r="T246" s="7">
        <f t="shared" si="27"/>
        <v>2098</v>
      </c>
    </row>
    <row r="247" spans="1:20" ht="14.25" customHeight="1" x14ac:dyDescent="0.35">
      <c r="A247" s="2" t="s">
        <v>73</v>
      </c>
      <c r="B247" s="2" t="s">
        <v>20</v>
      </c>
      <c r="C247" s="2" t="s">
        <v>30</v>
      </c>
      <c r="D247" s="2" t="s">
        <v>26</v>
      </c>
      <c r="E247" s="2" t="s">
        <v>22</v>
      </c>
      <c r="F247" s="2" t="s">
        <v>16</v>
      </c>
      <c r="G247" s="2" t="s">
        <v>17</v>
      </c>
      <c r="H247" s="2">
        <v>85000</v>
      </c>
      <c r="I247" s="2">
        <v>6</v>
      </c>
      <c r="J247" s="2" t="s">
        <v>27</v>
      </c>
      <c r="K247" s="2">
        <f t="shared" si="21"/>
        <v>68000</v>
      </c>
      <c r="L247" s="9">
        <f>Table_1[[#This Row],[Unit Price]]*Table_1[[#This Row],[Quantity]]</f>
        <v>510000</v>
      </c>
      <c r="M247" s="8">
        <f>Table_1[[#This Row],[Cost Price]]*Table_1[[#This Row],[Quantity]]</f>
        <v>408000</v>
      </c>
      <c r="N247">
        <f>Table_1[[#This Row],[Revenue]]-Table_1[[#This Row],[COGS]]</f>
        <v>102000</v>
      </c>
      <c r="O247" s="11">
        <f t="shared" si="22"/>
        <v>4656740000</v>
      </c>
      <c r="P247">
        <f t="shared" si="23"/>
        <v>3725392000</v>
      </c>
      <c r="Q247">
        <f t="shared" si="24"/>
        <v>931348000</v>
      </c>
      <c r="R247" s="7">
        <f t="shared" si="25"/>
        <v>2098</v>
      </c>
      <c r="S247" s="7">
        <f t="shared" si="26"/>
        <v>2</v>
      </c>
      <c r="T247" s="7">
        <f t="shared" si="27"/>
        <v>2098</v>
      </c>
    </row>
    <row r="248" spans="1:20" ht="14.25" customHeight="1" x14ac:dyDescent="0.35">
      <c r="A248" s="2" t="s">
        <v>109</v>
      </c>
      <c r="B248" s="2" t="s">
        <v>34</v>
      </c>
      <c r="C248" s="2" t="s">
        <v>38</v>
      </c>
      <c r="D248" s="2" t="s">
        <v>26</v>
      </c>
      <c r="E248" s="2" t="s">
        <v>15</v>
      </c>
      <c r="F248" s="2" t="s">
        <v>41</v>
      </c>
      <c r="G248" s="2" t="s">
        <v>17</v>
      </c>
      <c r="H248" s="2">
        <v>320000</v>
      </c>
      <c r="I248" s="2">
        <v>10</v>
      </c>
      <c r="J248" s="2" t="s">
        <v>54</v>
      </c>
      <c r="K248" s="2">
        <f t="shared" si="21"/>
        <v>256000</v>
      </c>
      <c r="L248" s="9">
        <f>Table_1[[#This Row],[Unit Price]]*Table_1[[#This Row],[Quantity]]</f>
        <v>3200000</v>
      </c>
      <c r="M248" s="8">
        <f>Table_1[[#This Row],[Cost Price]]*Table_1[[#This Row],[Quantity]]</f>
        <v>2560000</v>
      </c>
      <c r="N248">
        <f>Table_1[[#This Row],[Revenue]]-Table_1[[#This Row],[COGS]]</f>
        <v>640000</v>
      </c>
      <c r="O248" s="11">
        <f t="shared" si="22"/>
        <v>4656740000</v>
      </c>
      <c r="P248">
        <f t="shared" si="23"/>
        <v>3725392000</v>
      </c>
      <c r="Q248">
        <f t="shared" si="24"/>
        <v>931348000</v>
      </c>
      <c r="R248" s="7">
        <f t="shared" si="25"/>
        <v>2098</v>
      </c>
      <c r="S248" s="7">
        <f t="shared" si="26"/>
        <v>2</v>
      </c>
      <c r="T248" s="7">
        <f t="shared" si="27"/>
        <v>2098</v>
      </c>
    </row>
    <row r="249" spans="1:20" ht="14.25" customHeight="1" x14ac:dyDescent="0.35">
      <c r="A249" s="2" t="s">
        <v>79</v>
      </c>
      <c r="B249" s="2" t="s">
        <v>20</v>
      </c>
      <c r="C249" s="2" t="s">
        <v>13</v>
      </c>
      <c r="D249" s="2" t="s">
        <v>26</v>
      </c>
      <c r="E249" s="2" t="s">
        <v>15</v>
      </c>
      <c r="F249" s="2" t="s">
        <v>35</v>
      </c>
      <c r="G249" s="2" t="s">
        <v>36</v>
      </c>
      <c r="H249" s="2">
        <v>300000</v>
      </c>
      <c r="I249" s="2">
        <v>2</v>
      </c>
      <c r="J249" s="2" t="s">
        <v>27</v>
      </c>
      <c r="K249" s="2">
        <f t="shared" si="21"/>
        <v>240000</v>
      </c>
      <c r="L249" s="9">
        <f>Table_1[[#This Row],[Unit Price]]*Table_1[[#This Row],[Quantity]]</f>
        <v>600000</v>
      </c>
      <c r="M249" s="8">
        <f>Table_1[[#This Row],[Cost Price]]*Table_1[[#This Row],[Quantity]]</f>
        <v>480000</v>
      </c>
      <c r="N249">
        <f>Table_1[[#This Row],[Revenue]]-Table_1[[#This Row],[COGS]]</f>
        <v>120000</v>
      </c>
      <c r="O249" s="11">
        <f t="shared" si="22"/>
        <v>4656740000</v>
      </c>
      <c r="P249">
        <f t="shared" si="23"/>
        <v>3725392000</v>
      </c>
      <c r="Q249">
        <f t="shared" si="24"/>
        <v>931348000</v>
      </c>
      <c r="R249" s="7">
        <f t="shared" si="25"/>
        <v>2098</v>
      </c>
      <c r="S249" s="7">
        <f t="shared" si="26"/>
        <v>1</v>
      </c>
      <c r="T249" s="7">
        <f t="shared" si="27"/>
        <v>2098</v>
      </c>
    </row>
    <row r="250" spans="1:20" ht="14.25" customHeight="1" x14ac:dyDescent="0.35">
      <c r="A250" s="2" t="s">
        <v>87</v>
      </c>
      <c r="B250" s="2" t="s">
        <v>29</v>
      </c>
      <c r="C250" s="2" t="s">
        <v>13</v>
      </c>
      <c r="D250" s="2" t="s">
        <v>26</v>
      </c>
      <c r="E250" s="2" t="s">
        <v>22</v>
      </c>
      <c r="F250" s="2" t="s">
        <v>23</v>
      </c>
      <c r="G250" s="2" t="s">
        <v>24</v>
      </c>
      <c r="H250" s="2">
        <v>30000</v>
      </c>
      <c r="I250" s="2">
        <v>6</v>
      </c>
      <c r="J250" s="2" t="s">
        <v>54</v>
      </c>
      <c r="K250" s="2">
        <f t="shared" si="21"/>
        <v>24000</v>
      </c>
      <c r="L250" s="9">
        <f>Table_1[[#This Row],[Unit Price]]*Table_1[[#This Row],[Quantity]]</f>
        <v>180000</v>
      </c>
      <c r="M250" s="8">
        <f>Table_1[[#This Row],[Cost Price]]*Table_1[[#This Row],[Quantity]]</f>
        <v>144000</v>
      </c>
      <c r="N250">
        <f>Table_1[[#This Row],[Revenue]]-Table_1[[#This Row],[COGS]]</f>
        <v>36000</v>
      </c>
      <c r="O250" s="11">
        <f t="shared" si="22"/>
        <v>4656740000</v>
      </c>
      <c r="P250">
        <f t="shared" si="23"/>
        <v>3725392000</v>
      </c>
      <c r="Q250">
        <f t="shared" si="24"/>
        <v>931348000</v>
      </c>
      <c r="R250" s="7">
        <f t="shared" si="25"/>
        <v>2098</v>
      </c>
      <c r="S250" s="7">
        <f t="shared" si="26"/>
        <v>3</v>
      </c>
      <c r="T250" s="7">
        <f t="shared" si="27"/>
        <v>2098</v>
      </c>
    </row>
    <row r="251" spans="1:20" ht="14.25" customHeight="1" x14ac:dyDescent="0.35">
      <c r="A251" s="2" t="s">
        <v>141</v>
      </c>
      <c r="B251" s="2" t="s">
        <v>29</v>
      </c>
      <c r="C251" s="2" t="s">
        <v>13</v>
      </c>
      <c r="D251" s="2" t="s">
        <v>26</v>
      </c>
      <c r="E251" s="2" t="s">
        <v>22</v>
      </c>
      <c r="F251" s="2" t="s">
        <v>31</v>
      </c>
      <c r="G251" s="2" t="s">
        <v>24</v>
      </c>
      <c r="H251" s="2">
        <v>60000</v>
      </c>
      <c r="I251" s="2">
        <v>2</v>
      </c>
      <c r="J251" s="2" t="s">
        <v>32</v>
      </c>
      <c r="K251" s="2">
        <f t="shared" si="21"/>
        <v>48000</v>
      </c>
      <c r="L251" s="9">
        <f>Table_1[[#This Row],[Unit Price]]*Table_1[[#This Row],[Quantity]]</f>
        <v>120000</v>
      </c>
      <c r="M251" s="8">
        <f>Table_1[[#This Row],[Cost Price]]*Table_1[[#This Row],[Quantity]]</f>
        <v>96000</v>
      </c>
      <c r="N251">
        <f>Table_1[[#This Row],[Revenue]]-Table_1[[#This Row],[COGS]]</f>
        <v>24000</v>
      </c>
      <c r="O251" s="11">
        <f t="shared" si="22"/>
        <v>4656740000</v>
      </c>
      <c r="P251">
        <f t="shared" si="23"/>
        <v>3725392000</v>
      </c>
      <c r="Q251">
        <f t="shared" si="24"/>
        <v>931348000</v>
      </c>
      <c r="R251" s="7">
        <f t="shared" si="25"/>
        <v>2098</v>
      </c>
      <c r="S251" s="7">
        <f t="shared" si="26"/>
        <v>2</v>
      </c>
      <c r="T251" s="7">
        <f t="shared" si="27"/>
        <v>2098</v>
      </c>
    </row>
    <row r="252" spans="1:20" ht="14.25" customHeight="1" x14ac:dyDescent="0.35">
      <c r="A252" s="2" t="s">
        <v>79</v>
      </c>
      <c r="B252" s="2" t="s">
        <v>34</v>
      </c>
      <c r="C252" s="2" t="s">
        <v>30</v>
      </c>
      <c r="D252" s="2" t="s">
        <v>14</v>
      </c>
      <c r="E252" s="2" t="s">
        <v>15</v>
      </c>
      <c r="F252" s="2" t="s">
        <v>58</v>
      </c>
      <c r="G252" s="2" t="s">
        <v>24</v>
      </c>
      <c r="H252" s="2">
        <v>220000</v>
      </c>
      <c r="I252" s="2">
        <v>5</v>
      </c>
      <c r="J252" s="2" t="s">
        <v>18</v>
      </c>
      <c r="K252" s="2">
        <f t="shared" si="21"/>
        <v>176000</v>
      </c>
      <c r="L252" s="9">
        <f>Table_1[[#This Row],[Unit Price]]*Table_1[[#This Row],[Quantity]]</f>
        <v>1100000</v>
      </c>
      <c r="M252" s="8">
        <f>Table_1[[#This Row],[Cost Price]]*Table_1[[#This Row],[Quantity]]</f>
        <v>880000</v>
      </c>
      <c r="N252">
        <f>Table_1[[#This Row],[Revenue]]-Table_1[[#This Row],[COGS]]</f>
        <v>220000</v>
      </c>
      <c r="O252" s="11">
        <f t="shared" si="22"/>
        <v>4656740000</v>
      </c>
      <c r="P252">
        <f t="shared" si="23"/>
        <v>3725392000</v>
      </c>
      <c r="Q252">
        <f t="shared" si="24"/>
        <v>931348000</v>
      </c>
      <c r="R252" s="7">
        <f t="shared" si="25"/>
        <v>2098</v>
      </c>
      <c r="S252" s="7">
        <f t="shared" si="26"/>
        <v>1</v>
      </c>
      <c r="T252" s="7">
        <f t="shared" si="27"/>
        <v>2098</v>
      </c>
    </row>
    <row r="253" spans="1:20" ht="14.25" customHeight="1" x14ac:dyDescent="0.35">
      <c r="A253" s="2" t="s">
        <v>92</v>
      </c>
      <c r="B253" s="2" t="s">
        <v>12</v>
      </c>
      <c r="C253" s="2" t="s">
        <v>38</v>
      </c>
      <c r="D253" s="2" t="s">
        <v>14</v>
      </c>
      <c r="E253" s="2" t="s">
        <v>22</v>
      </c>
      <c r="F253" s="2" t="s">
        <v>39</v>
      </c>
      <c r="G253" s="2" t="s">
        <v>24</v>
      </c>
      <c r="H253" s="2">
        <v>180000</v>
      </c>
      <c r="I253" s="2">
        <v>6</v>
      </c>
      <c r="J253" s="2" t="s">
        <v>54</v>
      </c>
      <c r="K253" s="2">
        <f t="shared" si="21"/>
        <v>144000</v>
      </c>
      <c r="L253" s="9">
        <f>Table_1[[#This Row],[Unit Price]]*Table_1[[#This Row],[Quantity]]</f>
        <v>1080000</v>
      </c>
      <c r="M253" s="8">
        <f>Table_1[[#This Row],[Cost Price]]*Table_1[[#This Row],[Quantity]]</f>
        <v>864000</v>
      </c>
      <c r="N253">
        <f>Table_1[[#This Row],[Revenue]]-Table_1[[#This Row],[COGS]]</f>
        <v>216000</v>
      </c>
      <c r="O253" s="11">
        <f t="shared" si="22"/>
        <v>4656740000</v>
      </c>
      <c r="P253">
        <f t="shared" si="23"/>
        <v>3725392000</v>
      </c>
      <c r="Q253">
        <f t="shared" si="24"/>
        <v>931348000</v>
      </c>
      <c r="R253" s="7">
        <f t="shared" si="25"/>
        <v>2098</v>
      </c>
      <c r="S253" s="7">
        <f t="shared" si="26"/>
        <v>2</v>
      </c>
      <c r="T253" s="7">
        <f t="shared" si="27"/>
        <v>2098</v>
      </c>
    </row>
    <row r="254" spans="1:20" ht="14.25" customHeight="1" x14ac:dyDescent="0.35">
      <c r="A254" s="2" t="s">
        <v>63</v>
      </c>
      <c r="B254" s="2" t="s">
        <v>34</v>
      </c>
      <c r="C254" s="2" t="s">
        <v>13</v>
      </c>
      <c r="D254" s="2" t="s">
        <v>14</v>
      </c>
      <c r="E254" s="2" t="s">
        <v>15</v>
      </c>
      <c r="F254" s="2" t="s">
        <v>56</v>
      </c>
      <c r="G254" s="2" t="s">
        <v>36</v>
      </c>
      <c r="H254" s="2">
        <v>250000</v>
      </c>
      <c r="I254" s="2">
        <v>4</v>
      </c>
      <c r="J254" s="2" t="s">
        <v>43</v>
      </c>
      <c r="K254" s="2">
        <f t="shared" si="21"/>
        <v>200000</v>
      </c>
      <c r="L254" s="9">
        <f>Table_1[[#This Row],[Unit Price]]*Table_1[[#This Row],[Quantity]]</f>
        <v>1000000</v>
      </c>
      <c r="M254" s="8">
        <f>Table_1[[#This Row],[Cost Price]]*Table_1[[#This Row],[Quantity]]</f>
        <v>800000</v>
      </c>
      <c r="N254">
        <f>Table_1[[#This Row],[Revenue]]-Table_1[[#This Row],[COGS]]</f>
        <v>200000</v>
      </c>
      <c r="O254" s="11">
        <f t="shared" si="22"/>
        <v>4656740000</v>
      </c>
      <c r="P254">
        <f t="shared" si="23"/>
        <v>3725392000</v>
      </c>
      <c r="Q254">
        <f t="shared" si="24"/>
        <v>931348000</v>
      </c>
      <c r="R254" s="7">
        <f t="shared" si="25"/>
        <v>2098</v>
      </c>
      <c r="S254" s="7">
        <f t="shared" si="26"/>
        <v>4</v>
      </c>
      <c r="T254" s="7">
        <f t="shared" si="27"/>
        <v>2098</v>
      </c>
    </row>
    <row r="255" spans="1:20" ht="14.25" customHeight="1" x14ac:dyDescent="0.35">
      <c r="A255" s="2" t="s">
        <v>40</v>
      </c>
      <c r="B255" s="2" t="s">
        <v>34</v>
      </c>
      <c r="C255" s="2" t="s">
        <v>30</v>
      </c>
      <c r="D255" s="2" t="s">
        <v>26</v>
      </c>
      <c r="E255" s="2" t="s">
        <v>15</v>
      </c>
      <c r="F255" s="2" t="s">
        <v>16</v>
      </c>
      <c r="G255" s="2" t="s">
        <v>17</v>
      </c>
      <c r="H255" s="2">
        <v>85000</v>
      </c>
      <c r="I255" s="2">
        <v>10</v>
      </c>
      <c r="J255" s="2" t="s">
        <v>27</v>
      </c>
      <c r="K255" s="2">
        <f t="shared" si="21"/>
        <v>68000</v>
      </c>
      <c r="L255" s="9">
        <f>Table_1[[#This Row],[Unit Price]]*Table_1[[#This Row],[Quantity]]</f>
        <v>850000</v>
      </c>
      <c r="M255" s="8">
        <f>Table_1[[#This Row],[Cost Price]]*Table_1[[#This Row],[Quantity]]</f>
        <v>680000</v>
      </c>
      <c r="N255">
        <f>Table_1[[#This Row],[Revenue]]-Table_1[[#This Row],[COGS]]</f>
        <v>170000</v>
      </c>
      <c r="O255" s="11">
        <f t="shared" si="22"/>
        <v>4656740000</v>
      </c>
      <c r="P255">
        <f t="shared" si="23"/>
        <v>3725392000</v>
      </c>
      <c r="Q255">
        <f t="shared" si="24"/>
        <v>931348000</v>
      </c>
      <c r="R255" s="7">
        <f t="shared" si="25"/>
        <v>2098</v>
      </c>
      <c r="S255" s="7">
        <f t="shared" si="26"/>
        <v>3</v>
      </c>
      <c r="T255" s="7">
        <f t="shared" si="27"/>
        <v>2098</v>
      </c>
    </row>
    <row r="256" spans="1:20" ht="14.25" customHeight="1" x14ac:dyDescent="0.35">
      <c r="A256" s="2" t="s">
        <v>114</v>
      </c>
      <c r="B256" s="2" t="s">
        <v>12</v>
      </c>
      <c r="C256" s="2" t="s">
        <v>21</v>
      </c>
      <c r="D256" s="2" t="s">
        <v>14</v>
      </c>
      <c r="E256" s="2" t="s">
        <v>15</v>
      </c>
      <c r="F256" s="2" t="s">
        <v>35</v>
      </c>
      <c r="G256" s="2" t="s">
        <v>36</v>
      </c>
      <c r="H256" s="2">
        <v>300000</v>
      </c>
      <c r="I256" s="2">
        <v>6</v>
      </c>
      <c r="J256" s="2" t="s">
        <v>27</v>
      </c>
      <c r="K256" s="2">
        <f t="shared" si="21"/>
        <v>240000</v>
      </c>
      <c r="L256" s="9">
        <f>Table_1[[#This Row],[Unit Price]]*Table_1[[#This Row],[Quantity]]</f>
        <v>1800000</v>
      </c>
      <c r="M256" s="8">
        <f>Table_1[[#This Row],[Cost Price]]*Table_1[[#This Row],[Quantity]]</f>
        <v>1440000</v>
      </c>
      <c r="N256">
        <f>Table_1[[#This Row],[Revenue]]-Table_1[[#This Row],[COGS]]</f>
        <v>360000</v>
      </c>
      <c r="O256" s="11">
        <f t="shared" si="22"/>
        <v>4656740000</v>
      </c>
      <c r="P256">
        <f t="shared" si="23"/>
        <v>3725392000</v>
      </c>
      <c r="Q256">
        <f t="shared" si="24"/>
        <v>931348000</v>
      </c>
      <c r="R256" s="7">
        <f t="shared" si="25"/>
        <v>2098</v>
      </c>
      <c r="S256" s="7">
        <f t="shared" si="26"/>
        <v>3</v>
      </c>
      <c r="T256" s="7">
        <f t="shared" si="27"/>
        <v>2098</v>
      </c>
    </row>
    <row r="257" spans="1:20" ht="14.25" customHeight="1" x14ac:dyDescent="0.35">
      <c r="A257" s="2" t="s">
        <v>102</v>
      </c>
      <c r="B257" s="2" t="s">
        <v>34</v>
      </c>
      <c r="C257" s="2" t="s">
        <v>21</v>
      </c>
      <c r="D257" s="2" t="s">
        <v>26</v>
      </c>
      <c r="E257" s="2" t="s">
        <v>22</v>
      </c>
      <c r="F257" s="2" t="s">
        <v>58</v>
      </c>
      <c r="G257" s="2" t="s">
        <v>24</v>
      </c>
      <c r="H257" s="2">
        <v>220000</v>
      </c>
      <c r="I257" s="2">
        <v>3</v>
      </c>
      <c r="J257" s="2" t="s">
        <v>18</v>
      </c>
      <c r="K257" s="2">
        <f t="shared" si="21"/>
        <v>176000</v>
      </c>
      <c r="L257" s="9">
        <f>Table_1[[#This Row],[Unit Price]]*Table_1[[#This Row],[Quantity]]</f>
        <v>660000</v>
      </c>
      <c r="M257" s="8">
        <f>Table_1[[#This Row],[Cost Price]]*Table_1[[#This Row],[Quantity]]</f>
        <v>528000</v>
      </c>
      <c r="N257">
        <f>Table_1[[#This Row],[Revenue]]-Table_1[[#This Row],[COGS]]</f>
        <v>132000</v>
      </c>
      <c r="O257" s="11">
        <f t="shared" si="22"/>
        <v>4656740000</v>
      </c>
      <c r="P257">
        <f t="shared" si="23"/>
        <v>3725392000</v>
      </c>
      <c r="Q257">
        <f t="shared" si="24"/>
        <v>931348000</v>
      </c>
      <c r="R257" s="7">
        <f t="shared" si="25"/>
        <v>2098</v>
      </c>
      <c r="S257" s="7">
        <f t="shared" si="26"/>
        <v>1</v>
      </c>
      <c r="T257" s="7">
        <f t="shared" si="27"/>
        <v>2098</v>
      </c>
    </row>
    <row r="258" spans="1:20" ht="14.25" customHeight="1" x14ac:dyDescent="0.35">
      <c r="A258" s="2" t="s">
        <v>85</v>
      </c>
      <c r="B258" s="2" t="s">
        <v>34</v>
      </c>
      <c r="C258" s="2" t="s">
        <v>30</v>
      </c>
      <c r="D258" s="2" t="s">
        <v>14</v>
      </c>
      <c r="E258" s="2" t="s">
        <v>22</v>
      </c>
      <c r="F258" s="2" t="s">
        <v>23</v>
      </c>
      <c r="G258" s="2" t="s">
        <v>24</v>
      </c>
      <c r="H258" s="2">
        <v>30000</v>
      </c>
      <c r="I258" s="2">
        <v>8</v>
      </c>
      <c r="J258" s="2" t="s">
        <v>54</v>
      </c>
      <c r="K258" s="2">
        <f t="shared" ref="K258:K321" si="28">H258-H258*0.2</f>
        <v>24000</v>
      </c>
      <c r="L258" s="9">
        <f>Table_1[[#This Row],[Unit Price]]*Table_1[[#This Row],[Quantity]]</f>
        <v>240000</v>
      </c>
      <c r="M258" s="8">
        <f>Table_1[[#This Row],[Cost Price]]*Table_1[[#This Row],[Quantity]]</f>
        <v>192000</v>
      </c>
      <c r="N258">
        <f>Table_1[[#This Row],[Revenue]]-Table_1[[#This Row],[COGS]]</f>
        <v>48000</v>
      </c>
      <c r="O258" s="11">
        <f t="shared" ref="O258:O321" si="29">SUM(L$2:L$1048576)</f>
        <v>4656740000</v>
      </c>
      <c r="P258">
        <f t="shared" ref="P258:P321" si="30">SUM(M:M)</f>
        <v>3725392000</v>
      </c>
      <c r="Q258">
        <f t="shared" ref="Q258:Q321" si="31">SUM(N:N)</f>
        <v>931348000</v>
      </c>
      <c r="R258" s="7">
        <f t="shared" ref="R258:R321" si="32">COUNTA(A$2:A$1048576)</f>
        <v>2098</v>
      </c>
      <c r="S258" s="7">
        <f t="shared" ref="S258:S321" si="33">MONTH(A258:A1746)</f>
        <v>1</v>
      </c>
      <c r="T258" s="7">
        <f t="shared" ref="T258:T321" si="34">COUNTA(A:A)-1</f>
        <v>2098</v>
      </c>
    </row>
    <row r="259" spans="1:20" ht="14.25" customHeight="1" x14ac:dyDescent="0.35">
      <c r="A259" s="2" t="s">
        <v>138</v>
      </c>
      <c r="B259" s="2" t="s">
        <v>34</v>
      </c>
      <c r="C259" s="2" t="s">
        <v>13</v>
      </c>
      <c r="D259" s="2" t="s">
        <v>26</v>
      </c>
      <c r="E259" s="2" t="s">
        <v>15</v>
      </c>
      <c r="F259" s="2" t="s">
        <v>16</v>
      </c>
      <c r="G259" s="2" t="s">
        <v>17</v>
      </c>
      <c r="H259" s="2">
        <v>85000</v>
      </c>
      <c r="I259" s="2">
        <v>2</v>
      </c>
      <c r="J259" s="2" t="s">
        <v>18</v>
      </c>
      <c r="K259" s="2">
        <f t="shared" si="28"/>
        <v>68000</v>
      </c>
      <c r="L259" s="9">
        <f>Table_1[[#This Row],[Unit Price]]*Table_1[[#This Row],[Quantity]]</f>
        <v>170000</v>
      </c>
      <c r="M259" s="8">
        <f>Table_1[[#This Row],[Cost Price]]*Table_1[[#This Row],[Quantity]]</f>
        <v>136000</v>
      </c>
      <c r="N259">
        <f>Table_1[[#This Row],[Revenue]]-Table_1[[#This Row],[COGS]]</f>
        <v>34000</v>
      </c>
      <c r="O259" s="11">
        <f t="shared" si="29"/>
        <v>4656740000</v>
      </c>
      <c r="P259">
        <f t="shared" si="30"/>
        <v>3725392000</v>
      </c>
      <c r="Q259">
        <f t="shared" si="31"/>
        <v>931348000</v>
      </c>
      <c r="R259" s="7">
        <f t="shared" si="32"/>
        <v>2098</v>
      </c>
      <c r="S259" s="7">
        <f t="shared" si="33"/>
        <v>3</v>
      </c>
      <c r="T259" s="7">
        <f t="shared" si="34"/>
        <v>2098</v>
      </c>
    </row>
    <row r="260" spans="1:20" ht="14.25" customHeight="1" x14ac:dyDescent="0.35">
      <c r="A260" s="2" t="s">
        <v>121</v>
      </c>
      <c r="B260" s="2" t="s">
        <v>29</v>
      </c>
      <c r="C260" s="2" t="s">
        <v>38</v>
      </c>
      <c r="D260" s="2" t="s">
        <v>14</v>
      </c>
      <c r="E260" s="2" t="s">
        <v>22</v>
      </c>
      <c r="F260" s="2" t="s">
        <v>47</v>
      </c>
      <c r="G260" s="2" t="s">
        <v>36</v>
      </c>
      <c r="H260" s="2">
        <v>150000</v>
      </c>
      <c r="I260" s="2">
        <v>3</v>
      </c>
      <c r="J260" s="2" t="s">
        <v>43</v>
      </c>
      <c r="K260" s="2">
        <f t="shared" si="28"/>
        <v>120000</v>
      </c>
      <c r="L260" s="9">
        <f>Table_1[[#This Row],[Unit Price]]*Table_1[[#This Row],[Quantity]]</f>
        <v>450000</v>
      </c>
      <c r="M260" s="8">
        <f>Table_1[[#This Row],[Cost Price]]*Table_1[[#This Row],[Quantity]]</f>
        <v>360000</v>
      </c>
      <c r="N260">
        <f>Table_1[[#This Row],[Revenue]]-Table_1[[#This Row],[COGS]]</f>
        <v>90000</v>
      </c>
      <c r="O260" s="11">
        <f t="shared" si="29"/>
        <v>4656740000</v>
      </c>
      <c r="P260">
        <f t="shared" si="30"/>
        <v>3725392000</v>
      </c>
      <c r="Q260">
        <f t="shared" si="31"/>
        <v>931348000</v>
      </c>
      <c r="R260" s="7">
        <f t="shared" si="32"/>
        <v>2098</v>
      </c>
      <c r="S260" s="7">
        <f t="shared" si="33"/>
        <v>2</v>
      </c>
      <c r="T260" s="7">
        <f t="shared" si="34"/>
        <v>2098</v>
      </c>
    </row>
    <row r="261" spans="1:20" ht="14.25" customHeight="1" x14ac:dyDescent="0.35">
      <c r="A261" s="2" t="s">
        <v>45</v>
      </c>
      <c r="B261" s="2" t="s">
        <v>20</v>
      </c>
      <c r="C261" s="2" t="s">
        <v>38</v>
      </c>
      <c r="D261" s="2" t="s">
        <v>14</v>
      </c>
      <c r="E261" s="2" t="s">
        <v>22</v>
      </c>
      <c r="F261" s="2" t="s">
        <v>16</v>
      </c>
      <c r="G261" s="2" t="s">
        <v>17</v>
      </c>
      <c r="H261" s="2">
        <v>85000</v>
      </c>
      <c r="I261" s="2">
        <v>1</v>
      </c>
      <c r="J261" s="2" t="s">
        <v>50</v>
      </c>
      <c r="K261" s="2">
        <f t="shared" si="28"/>
        <v>68000</v>
      </c>
      <c r="L261" s="9">
        <f>Table_1[[#This Row],[Unit Price]]*Table_1[[#This Row],[Quantity]]</f>
        <v>85000</v>
      </c>
      <c r="M261" s="8">
        <f>Table_1[[#This Row],[Cost Price]]*Table_1[[#This Row],[Quantity]]</f>
        <v>68000</v>
      </c>
      <c r="N261">
        <f>Table_1[[#This Row],[Revenue]]-Table_1[[#This Row],[COGS]]</f>
        <v>17000</v>
      </c>
      <c r="O261" s="11">
        <f t="shared" si="29"/>
        <v>4656740000</v>
      </c>
      <c r="P261">
        <f t="shared" si="30"/>
        <v>3725392000</v>
      </c>
      <c r="Q261">
        <f t="shared" si="31"/>
        <v>931348000</v>
      </c>
      <c r="R261" s="7">
        <f t="shared" si="32"/>
        <v>2098</v>
      </c>
      <c r="S261" s="7">
        <f t="shared" si="33"/>
        <v>3</v>
      </c>
      <c r="T261" s="7">
        <f t="shared" si="34"/>
        <v>2098</v>
      </c>
    </row>
    <row r="262" spans="1:20" ht="14.25" customHeight="1" x14ac:dyDescent="0.35">
      <c r="A262" s="2" t="s">
        <v>109</v>
      </c>
      <c r="B262" s="2" t="s">
        <v>29</v>
      </c>
      <c r="C262" s="2" t="s">
        <v>13</v>
      </c>
      <c r="D262" s="2" t="s">
        <v>26</v>
      </c>
      <c r="E262" s="2" t="s">
        <v>22</v>
      </c>
      <c r="F262" s="2" t="s">
        <v>56</v>
      </c>
      <c r="G262" s="2" t="s">
        <v>36</v>
      </c>
      <c r="H262" s="2">
        <v>250000</v>
      </c>
      <c r="I262" s="2">
        <v>3</v>
      </c>
      <c r="J262" s="2" t="s">
        <v>54</v>
      </c>
      <c r="K262" s="2">
        <f t="shared" si="28"/>
        <v>200000</v>
      </c>
      <c r="L262" s="9">
        <f>Table_1[[#This Row],[Unit Price]]*Table_1[[#This Row],[Quantity]]</f>
        <v>750000</v>
      </c>
      <c r="M262" s="8">
        <f>Table_1[[#This Row],[Cost Price]]*Table_1[[#This Row],[Quantity]]</f>
        <v>600000</v>
      </c>
      <c r="N262">
        <f>Table_1[[#This Row],[Revenue]]-Table_1[[#This Row],[COGS]]</f>
        <v>150000</v>
      </c>
      <c r="O262" s="11">
        <f t="shared" si="29"/>
        <v>4656740000</v>
      </c>
      <c r="P262">
        <f t="shared" si="30"/>
        <v>3725392000</v>
      </c>
      <c r="Q262">
        <f t="shared" si="31"/>
        <v>931348000</v>
      </c>
      <c r="R262" s="7">
        <f t="shared" si="32"/>
        <v>2098</v>
      </c>
      <c r="S262" s="7">
        <f t="shared" si="33"/>
        <v>2</v>
      </c>
      <c r="T262" s="7">
        <f t="shared" si="34"/>
        <v>2098</v>
      </c>
    </row>
    <row r="263" spans="1:20" ht="14.25" customHeight="1" x14ac:dyDescent="0.35">
      <c r="A263" s="2" t="s">
        <v>142</v>
      </c>
      <c r="B263" s="2" t="s">
        <v>20</v>
      </c>
      <c r="C263" s="2" t="s">
        <v>13</v>
      </c>
      <c r="D263" s="2" t="s">
        <v>26</v>
      </c>
      <c r="E263" s="2" t="s">
        <v>22</v>
      </c>
      <c r="F263" s="2" t="s">
        <v>52</v>
      </c>
      <c r="G263" s="2" t="s">
        <v>36</v>
      </c>
      <c r="H263" s="2">
        <v>420000</v>
      </c>
      <c r="I263" s="2">
        <v>2</v>
      </c>
      <c r="J263" s="2" t="s">
        <v>18</v>
      </c>
      <c r="K263" s="2">
        <f t="shared" si="28"/>
        <v>336000</v>
      </c>
      <c r="L263" s="9">
        <f>Table_1[[#This Row],[Unit Price]]*Table_1[[#This Row],[Quantity]]</f>
        <v>840000</v>
      </c>
      <c r="M263" s="8">
        <f>Table_1[[#This Row],[Cost Price]]*Table_1[[#This Row],[Quantity]]</f>
        <v>672000</v>
      </c>
      <c r="N263">
        <f>Table_1[[#This Row],[Revenue]]-Table_1[[#This Row],[COGS]]</f>
        <v>168000</v>
      </c>
      <c r="O263" s="11">
        <f t="shared" si="29"/>
        <v>4656740000</v>
      </c>
      <c r="P263">
        <f t="shared" si="30"/>
        <v>3725392000</v>
      </c>
      <c r="Q263">
        <f t="shared" si="31"/>
        <v>931348000</v>
      </c>
      <c r="R263" s="7">
        <f t="shared" si="32"/>
        <v>2098</v>
      </c>
      <c r="S263" s="7">
        <f t="shared" si="33"/>
        <v>4</v>
      </c>
      <c r="T263" s="7">
        <f t="shared" si="34"/>
        <v>2098</v>
      </c>
    </row>
    <row r="264" spans="1:20" ht="14.25" customHeight="1" x14ac:dyDescent="0.35">
      <c r="A264" s="2" t="s">
        <v>37</v>
      </c>
      <c r="B264" s="2" t="s">
        <v>12</v>
      </c>
      <c r="C264" s="2" t="s">
        <v>30</v>
      </c>
      <c r="D264" s="2" t="s">
        <v>14</v>
      </c>
      <c r="E264" s="2" t="s">
        <v>15</v>
      </c>
      <c r="F264" s="2" t="s">
        <v>47</v>
      </c>
      <c r="G264" s="2" t="s">
        <v>36</v>
      </c>
      <c r="H264" s="2">
        <v>150000</v>
      </c>
      <c r="I264" s="2">
        <v>9</v>
      </c>
      <c r="J264" s="2" t="s">
        <v>32</v>
      </c>
      <c r="K264" s="2">
        <f t="shared" si="28"/>
        <v>120000</v>
      </c>
      <c r="L264" s="9">
        <f>Table_1[[#This Row],[Unit Price]]*Table_1[[#This Row],[Quantity]]</f>
        <v>1350000</v>
      </c>
      <c r="M264" s="8">
        <f>Table_1[[#This Row],[Cost Price]]*Table_1[[#This Row],[Quantity]]</f>
        <v>1080000</v>
      </c>
      <c r="N264">
        <f>Table_1[[#This Row],[Revenue]]-Table_1[[#This Row],[COGS]]</f>
        <v>270000</v>
      </c>
      <c r="O264" s="11">
        <f t="shared" si="29"/>
        <v>4656740000</v>
      </c>
      <c r="P264">
        <f t="shared" si="30"/>
        <v>3725392000</v>
      </c>
      <c r="Q264">
        <f t="shared" si="31"/>
        <v>931348000</v>
      </c>
      <c r="R264" s="7">
        <f t="shared" si="32"/>
        <v>2098</v>
      </c>
      <c r="S264" s="7">
        <f t="shared" si="33"/>
        <v>3</v>
      </c>
      <c r="T264" s="7">
        <f t="shared" si="34"/>
        <v>2098</v>
      </c>
    </row>
    <row r="265" spans="1:20" ht="14.25" customHeight="1" x14ac:dyDescent="0.35">
      <c r="A265" s="2" t="s">
        <v>111</v>
      </c>
      <c r="B265" s="2" t="s">
        <v>34</v>
      </c>
      <c r="C265" s="2" t="s">
        <v>38</v>
      </c>
      <c r="D265" s="2" t="s">
        <v>14</v>
      </c>
      <c r="E265" s="2" t="s">
        <v>22</v>
      </c>
      <c r="F265" s="2" t="s">
        <v>23</v>
      </c>
      <c r="G265" s="2" t="s">
        <v>24</v>
      </c>
      <c r="H265" s="2">
        <v>30000</v>
      </c>
      <c r="I265" s="2">
        <v>9</v>
      </c>
      <c r="J265" s="2" t="s">
        <v>27</v>
      </c>
      <c r="K265" s="2">
        <f t="shared" si="28"/>
        <v>24000</v>
      </c>
      <c r="L265" s="9">
        <f>Table_1[[#This Row],[Unit Price]]*Table_1[[#This Row],[Quantity]]</f>
        <v>270000</v>
      </c>
      <c r="M265" s="8">
        <f>Table_1[[#This Row],[Cost Price]]*Table_1[[#This Row],[Quantity]]</f>
        <v>216000</v>
      </c>
      <c r="N265">
        <f>Table_1[[#This Row],[Revenue]]-Table_1[[#This Row],[COGS]]</f>
        <v>54000</v>
      </c>
      <c r="O265" s="11">
        <f t="shared" si="29"/>
        <v>4656740000</v>
      </c>
      <c r="P265">
        <f t="shared" si="30"/>
        <v>3725392000</v>
      </c>
      <c r="Q265">
        <f t="shared" si="31"/>
        <v>931348000</v>
      </c>
      <c r="R265" s="7">
        <f t="shared" si="32"/>
        <v>2098</v>
      </c>
      <c r="S265" s="7">
        <f t="shared" si="33"/>
        <v>1</v>
      </c>
      <c r="T265" s="7">
        <f t="shared" si="34"/>
        <v>2098</v>
      </c>
    </row>
    <row r="266" spans="1:20" ht="14.25" customHeight="1" x14ac:dyDescent="0.35">
      <c r="A266" s="2" t="s">
        <v>128</v>
      </c>
      <c r="B266" s="2" t="s">
        <v>20</v>
      </c>
      <c r="C266" s="2" t="s">
        <v>21</v>
      </c>
      <c r="D266" s="2" t="s">
        <v>26</v>
      </c>
      <c r="E266" s="2" t="s">
        <v>22</v>
      </c>
      <c r="F266" s="2" t="s">
        <v>58</v>
      </c>
      <c r="G266" s="2" t="s">
        <v>24</v>
      </c>
      <c r="H266" s="2">
        <v>220000</v>
      </c>
      <c r="I266" s="2">
        <v>6</v>
      </c>
      <c r="J266" s="2" t="s">
        <v>54</v>
      </c>
      <c r="K266" s="2">
        <f t="shared" si="28"/>
        <v>176000</v>
      </c>
      <c r="L266" s="9">
        <f>Table_1[[#This Row],[Unit Price]]*Table_1[[#This Row],[Quantity]]</f>
        <v>1320000</v>
      </c>
      <c r="M266" s="8">
        <f>Table_1[[#This Row],[Cost Price]]*Table_1[[#This Row],[Quantity]]</f>
        <v>1056000</v>
      </c>
      <c r="N266">
        <f>Table_1[[#This Row],[Revenue]]-Table_1[[#This Row],[COGS]]</f>
        <v>264000</v>
      </c>
      <c r="O266" s="11">
        <f t="shared" si="29"/>
        <v>4656740000</v>
      </c>
      <c r="P266">
        <f t="shared" si="30"/>
        <v>3725392000</v>
      </c>
      <c r="Q266">
        <f t="shared" si="31"/>
        <v>931348000</v>
      </c>
      <c r="R266" s="7">
        <f t="shared" si="32"/>
        <v>2098</v>
      </c>
      <c r="S266" s="7">
        <f t="shared" si="33"/>
        <v>4</v>
      </c>
      <c r="T266" s="7">
        <f t="shared" si="34"/>
        <v>2098</v>
      </c>
    </row>
    <row r="267" spans="1:20" ht="14.25" customHeight="1" x14ac:dyDescent="0.35">
      <c r="A267" s="2" t="s">
        <v>122</v>
      </c>
      <c r="B267" s="2" t="s">
        <v>34</v>
      </c>
      <c r="C267" s="2" t="s">
        <v>30</v>
      </c>
      <c r="D267" s="2" t="s">
        <v>26</v>
      </c>
      <c r="E267" s="2" t="s">
        <v>22</v>
      </c>
      <c r="F267" s="2" t="s">
        <v>23</v>
      </c>
      <c r="G267" s="2" t="s">
        <v>24</v>
      </c>
      <c r="H267" s="2">
        <v>30000</v>
      </c>
      <c r="I267" s="2">
        <v>3</v>
      </c>
      <c r="J267" s="2" t="s">
        <v>54</v>
      </c>
      <c r="K267" s="2">
        <f t="shared" si="28"/>
        <v>24000</v>
      </c>
      <c r="L267" s="9">
        <f>Table_1[[#This Row],[Unit Price]]*Table_1[[#This Row],[Quantity]]</f>
        <v>90000</v>
      </c>
      <c r="M267" s="8">
        <f>Table_1[[#This Row],[Cost Price]]*Table_1[[#This Row],[Quantity]]</f>
        <v>72000</v>
      </c>
      <c r="N267">
        <f>Table_1[[#This Row],[Revenue]]-Table_1[[#This Row],[COGS]]</f>
        <v>18000</v>
      </c>
      <c r="O267" s="11">
        <f t="shared" si="29"/>
        <v>4656740000</v>
      </c>
      <c r="P267">
        <f t="shared" si="30"/>
        <v>3725392000</v>
      </c>
      <c r="Q267">
        <f t="shared" si="31"/>
        <v>931348000</v>
      </c>
      <c r="R267" s="7">
        <f t="shared" si="32"/>
        <v>2098</v>
      </c>
      <c r="S267" s="7">
        <f t="shared" si="33"/>
        <v>4</v>
      </c>
      <c r="T267" s="7">
        <f t="shared" si="34"/>
        <v>2098</v>
      </c>
    </row>
    <row r="268" spans="1:20" ht="14.25" customHeight="1" x14ac:dyDescent="0.35">
      <c r="A268" s="2" t="s">
        <v>121</v>
      </c>
      <c r="B268" s="2" t="s">
        <v>12</v>
      </c>
      <c r="C268" s="2" t="s">
        <v>30</v>
      </c>
      <c r="D268" s="2" t="s">
        <v>14</v>
      </c>
      <c r="E268" s="2" t="s">
        <v>15</v>
      </c>
      <c r="F268" s="2" t="s">
        <v>52</v>
      </c>
      <c r="G268" s="2" t="s">
        <v>36</v>
      </c>
      <c r="H268" s="2">
        <v>420000</v>
      </c>
      <c r="I268" s="2">
        <v>10</v>
      </c>
      <c r="J268" s="2" t="s">
        <v>27</v>
      </c>
      <c r="K268" s="2">
        <f t="shared" si="28"/>
        <v>336000</v>
      </c>
      <c r="L268" s="9">
        <f>Table_1[[#This Row],[Unit Price]]*Table_1[[#This Row],[Quantity]]</f>
        <v>4200000</v>
      </c>
      <c r="M268" s="8">
        <f>Table_1[[#This Row],[Cost Price]]*Table_1[[#This Row],[Quantity]]</f>
        <v>3360000</v>
      </c>
      <c r="N268">
        <f>Table_1[[#This Row],[Revenue]]-Table_1[[#This Row],[COGS]]</f>
        <v>840000</v>
      </c>
      <c r="O268" s="11">
        <f t="shared" si="29"/>
        <v>4656740000</v>
      </c>
      <c r="P268">
        <f t="shared" si="30"/>
        <v>3725392000</v>
      </c>
      <c r="Q268">
        <f t="shared" si="31"/>
        <v>931348000</v>
      </c>
      <c r="R268" s="7">
        <f t="shared" si="32"/>
        <v>2098</v>
      </c>
      <c r="S268" s="7">
        <f t="shared" si="33"/>
        <v>2</v>
      </c>
      <c r="T268" s="7">
        <f t="shared" si="34"/>
        <v>2098</v>
      </c>
    </row>
    <row r="269" spans="1:20" ht="14.25" customHeight="1" x14ac:dyDescent="0.35">
      <c r="A269" s="2" t="s">
        <v>134</v>
      </c>
      <c r="B269" s="2" t="s">
        <v>34</v>
      </c>
      <c r="C269" s="2" t="s">
        <v>38</v>
      </c>
      <c r="D269" s="2" t="s">
        <v>26</v>
      </c>
      <c r="E269" s="2" t="s">
        <v>15</v>
      </c>
      <c r="F269" s="2" t="s">
        <v>23</v>
      </c>
      <c r="G269" s="2" t="s">
        <v>24</v>
      </c>
      <c r="H269" s="2">
        <v>30000</v>
      </c>
      <c r="I269" s="2">
        <v>2</v>
      </c>
      <c r="J269" s="2" t="s">
        <v>50</v>
      </c>
      <c r="K269" s="2">
        <f t="shared" si="28"/>
        <v>24000</v>
      </c>
      <c r="L269" s="9">
        <f>Table_1[[#This Row],[Unit Price]]*Table_1[[#This Row],[Quantity]]</f>
        <v>60000</v>
      </c>
      <c r="M269" s="8">
        <f>Table_1[[#This Row],[Cost Price]]*Table_1[[#This Row],[Quantity]]</f>
        <v>48000</v>
      </c>
      <c r="N269">
        <f>Table_1[[#This Row],[Revenue]]-Table_1[[#This Row],[COGS]]</f>
        <v>12000</v>
      </c>
      <c r="O269" s="11">
        <f t="shared" si="29"/>
        <v>4656740000</v>
      </c>
      <c r="P269">
        <f t="shared" si="30"/>
        <v>3725392000</v>
      </c>
      <c r="Q269">
        <f t="shared" si="31"/>
        <v>931348000</v>
      </c>
      <c r="R269" s="7">
        <f t="shared" si="32"/>
        <v>2098</v>
      </c>
      <c r="S269" s="7">
        <f t="shared" si="33"/>
        <v>4</v>
      </c>
      <c r="T269" s="7">
        <f t="shared" si="34"/>
        <v>2098</v>
      </c>
    </row>
    <row r="270" spans="1:20" ht="14.25" customHeight="1" x14ac:dyDescent="0.35">
      <c r="A270" s="2" t="s">
        <v>73</v>
      </c>
      <c r="B270" s="2" t="s">
        <v>20</v>
      </c>
      <c r="C270" s="2" t="s">
        <v>13</v>
      </c>
      <c r="D270" s="2" t="s">
        <v>26</v>
      </c>
      <c r="E270" s="2" t="s">
        <v>22</v>
      </c>
      <c r="F270" s="2" t="s">
        <v>47</v>
      </c>
      <c r="G270" s="2" t="s">
        <v>36</v>
      </c>
      <c r="H270" s="2">
        <v>150000</v>
      </c>
      <c r="I270" s="2">
        <v>5</v>
      </c>
      <c r="J270" s="2" t="s">
        <v>27</v>
      </c>
      <c r="K270" s="2">
        <f t="shared" si="28"/>
        <v>120000</v>
      </c>
      <c r="L270" s="9">
        <f>Table_1[[#This Row],[Unit Price]]*Table_1[[#This Row],[Quantity]]</f>
        <v>750000</v>
      </c>
      <c r="M270" s="8">
        <f>Table_1[[#This Row],[Cost Price]]*Table_1[[#This Row],[Quantity]]</f>
        <v>600000</v>
      </c>
      <c r="N270">
        <f>Table_1[[#This Row],[Revenue]]-Table_1[[#This Row],[COGS]]</f>
        <v>150000</v>
      </c>
      <c r="O270" s="11">
        <f t="shared" si="29"/>
        <v>4656740000</v>
      </c>
      <c r="P270">
        <f t="shared" si="30"/>
        <v>3725392000</v>
      </c>
      <c r="Q270">
        <f t="shared" si="31"/>
        <v>931348000</v>
      </c>
      <c r="R270" s="7">
        <f t="shared" si="32"/>
        <v>2098</v>
      </c>
      <c r="S270" s="7">
        <f t="shared" si="33"/>
        <v>2</v>
      </c>
      <c r="T270" s="7">
        <f t="shared" si="34"/>
        <v>2098</v>
      </c>
    </row>
    <row r="271" spans="1:20" ht="14.25" customHeight="1" x14ac:dyDescent="0.35">
      <c r="A271" s="2" t="s">
        <v>91</v>
      </c>
      <c r="B271" s="2" t="s">
        <v>29</v>
      </c>
      <c r="C271" s="2" t="s">
        <v>38</v>
      </c>
      <c r="D271" s="2" t="s">
        <v>14</v>
      </c>
      <c r="E271" s="2" t="s">
        <v>22</v>
      </c>
      <c r="F271" s="2" t="s">
        <v>47</v>
      </c>
      <c r="G271" s="2" t="s">
        <v>36</v>
      </c>
      <c r="H271" s="2">
        <v>150000</v>
      </c>
      <c r="I271" s="2">
        <v>10</v>
      </c>
      <c r="J271" s="2" t="s">
        <v>50</v>
      </c>
      <c r="K271" s="2">
        <f t="shared" si="28"/>
        <v>120000</v>
      </c>
      <c r="L271" s="9">
        <f>Table_1[[#This Row],[Unit Price]]*Table_1[[#This Row],[Quantity]]</f>
        <v>1500000</v>
      </c>
      <c r="M271" s="8">
        <f>Table_1[[#This Row],[Cost Price]]*Table_1[[#This Row],[Quantity]]</f>
        <v>1200000</v>
      </c>
      <c r="N271">
        <f>Table_1[[#This Row],[Revenue]]-Table_1[[#This Row],[COGS]]</f>
        <v>300000</v>
      </c>
      <c r="O271" s="11">
        <f t="shared" si="29"/>
        <v>4656740000</v>
      </c>
      <c r="P271">
        <f t="shared" si="30"/>
        <v>3725392000</v>
      </c>
      <c r="Q271">
        <f t="shared" si="31"/>
        <v>931348000</v>
      </c>
      <c r="R271" s="7">
        <f t="shared" si="32"/>
        <v>2098</v>
      </c>
      <c r="S271" s="7">
        <f t="shared" si="33"/>
        <v>4</v>
      </c>
      <c r="T271" s="7">
        <f t="shared" si="34"/>
        <v>2098</v>
      </c>
    </row>
    <row r="272" spans="1:20" ht="14.25" customHeight="1" x14ac:dyDescent="0.35">
      <c r="A272" s="2" t="s">
        <v>143</v>
      </c>
      <c r="B272" s="2" t="s">
        <v>12</v>
      </c>
      <c r="C272" s="2" t="s">
        <v>38</v>
      </c>
      <c r="D272" s="2" t="s">
        <v>26</v>
      </c>
      <c r="E272" s="2" t="s">
        <v>15</v>
      </c>
      <c r="F272" s="2" t="s">
        <v>39</v>
      </c>
      <c r="G272" s="2" t="s">
        <v>24</v>
      </c>
      <c r="H272" s="2">
        <v>180000</v>
      </c>
      <c r="I272" s="2">
        <v>3</v>
      </c>
      <c r="J272" s="2" t="s">
        <v>27</v>
      </c>
      <c r="K272" s="2">
        <f t="shared" si="28"/>
        <v>144000</v>
      </c>
      <c r="L272" s="9">
        <f>Table_1[[#This Row],[Unit Price]]*Table_1[[#This Row],[Quantity]]</f>
        <v>540000</v>
      </c>
      <c r="M272" s="8">
        <f>Table_1[[#This Row],[Cost Price]]*Table_1[[#This Row],[Quantity]]</f>
        <v>432000</v>
      </c>
      <c r="N272">
        <f>Table_1[[#This Row],[Revenue]]-Table_1[[#This Row],[COGS]]</f>
        <v>108000</v>
      </c>
      <c r="O272" s="11">
        <f t="shared" si="29"/>
        <v>4656740000</v>
      </c>
      <c r="P272">
        <f t="shared" si="30"/>
        <v>3725392000</v>
      </c>
      <c r="Q272">
        <f t="shared" si="31"/>
        <v>931348000</v>
      </c>
      <c r="R272" s="7">
        <f t="shared" si="32"/>
        <v>2098</v>
      </c>
      <c r="S272" s="7">
        <f t="shared" si="33"/>
        <v>1</v>
      </c>
      <c r="T272" s="7">
        <f t="shared" si="34"/>
        <v>2098</v>
      </c>
    </row>
    <row r="273" spans="1:20" ht="14.25" customHeight="1" x14ac:dyDescent="0.35">
      <c r="A273" s="2" t="s">
        <v>144</v>
      </c>
      <c r="B273" s="2" t="s">
        <v>20</v>
      </c>
      <c r="C273" s="2" t="s">
        <v>30</v>
      </c>
      <c r="D273" s="2" t="s">
        <v>26</v>
      </c>
      <c r="E273" s="2" t="s">
        <v>15</v>
      </c>
      <c r="F273" s="2" t="s">
        <v>23</v>
      </c>
      <c r="G273" s="2" t="s">
        <v>24</v>
      </c>
      <c r="H273" s="2">
        <v>30000</v>
      </c>
      <c r="I273" s="2">
        <v>10</v>
      </c>
      <c r="J273" s="2" t="s">
        <v>32</v>
      </c>
      <c r="K273" s="2">
        <f t="shared" si="28"/>
        <v>24000</v>
      </c>
      <c r="L273" s="9">
        <f>Table_1[[#This Row],[Unit Price]]*Table_1[[#This Row],[Quantity]]</f>
        <v>300000</v>
      </c>
      <c r="M273" s="8">
        <f>Table_1[[#This Row],[Cost Price]]*Table_1[[#This Row],[Quantity]]</f>
        <v>240000</v>
      </c>
      <c r="N273">
        <f>Table_1[[#This Row],[Revenue]]-Table_1[[#This Row],[COGS]]</f>
        <v>60000</v>
      </c>
      <c r="O273" s="11">
        <f t="shared" si="29"/>
        <v>4656740000</v>
      </c>
      <c r="P273">
        <f t="shared" si="30"/>
        <v>3725392000</v>
      </c>
      <c r="Q273">
        <f t="shared" si="31"/>
        <v>931348000</v>
      </c>
      <c r="R273" s="7">
        <f t="shared" si="32"/>
        <v>2098</v>
      </c>
      <c r="S273" s="7">
        <f t="shared" si="33"/>
        <v>2</v>
      </c>
      <c r="T273" s="7">
        <f t="shared" si="34"/>
        <v>2098</v>
      </c>
    </row>
    <row r="274" spans="1:20" ht="14.25" customHeight="1" x14ac:dyDescent="0.35">
      <c r="A274" s="2" t="s">
        <v>145</v>
      </c>
      <c r="B274" s="2" t="s">
        <v>20</v>
      </c>
      <c r="C274" s="2" t="s">
        <v>13</v>
      </c>
      <c r="D274" s="2" t="s">
        <v>14</v>
      </c>
      <c r="E274" s="2" t="s">
        <v>15</v>
      </c>
      <c r="F274" s="2" t="s">
        <v>52</v>
      </c>
      <c r="G274" s="2" t="s">
        <v>36</v>
      </c>
      <c r="H274" s="2">
        <v>420000</v>
      </c>
      <c r="I274" s="2">
        <v>2</v>
      </c>
      <c r="J274" s="2" t="s">
        <v>32</v>
      </c>
      <c r="K274" s="2">
        <f t="shared" si="28"/>
        <v>336000</v>
      </c>
      <c r="L274" s="9">
        <f>Table_1[[#This Row],[Unit Price]]*Table_1[[#This Row],[Quantity]]</f>
        <v>840000</v>
      </c>
      <c r="M274" s="8">
        <f>Table_1[[#This Row],[Cost Price]]*Table_1[[#This Row],[Quantity]]</f>
        <v>672000</v>
      </c>
      <c r="N274">
        <f>Table_1[[#This Row],[Revenue]]-Table_1[[#This Row],[COGS]]</f>
        <v>168000</v>
      </c>
      <c r="O274" s="11">
        <f t="shared" si="29"/>
        <v>4656740000</v>
      </c>
      <c r="P274">
        <f t="shared" si="30"/>
        <v>3725392000</v>
      </c>
      <c r="Q274">
        <f t="shared" si="31"/>
        <v>931348000</v>
      </c>
      <c r="R274" s="7">
        <f t="shared" si="32"/>
        <v>2098</v>
      </c>
      <c r="S274" s="7">
        <f t="shared" si="33"/>
        <v>1</v>
      </c>
      <c r="T274" s="7">
        <f t="shared" si="34"/>
        <v>2098</v>
      </c>
    </row>
    <row r="275" spans="1:20" ht="14.25" customHeight="1" x14ac:dyDescent="0.35">
      <c r="A275" s="2" t="s">
        <v>113</v>
      </c>
      <c r="B275" s="2" t="s">
        <v>29</v>
      </c>
      <c r="C275" s="2" t="s">
        <v>13</v>
      </c>
      <c r="D275" s="2" t="s">
        <v>26</v>
      </c>
      <c r="E275" s="2" t="s">
        <v>15</v>
      </c>
      <c r="F275" s="2" t="s">
        <v>41</v>
      </c>
      <c r="G275" s="2" t="s">
        <v>17</v>
      </c>
      <c r="H275" s="2">
        <v>320000</v>
      </c>
      <c r="I275" s="2">
        <v>1</v>
      </c>
      <c r="J275" s="2" t="s">
        <v>43</v>
      </c>
      <c r="K275" s="2">
        <f t="shared" si="28"/>
        <v>256000</v>
      </c>
      <c r="L275" s="9">
        <f>Table_1[[#This Row],[Unit Price]]*Table_1[[#This Row],[Quantity]]</f>
        <v>320000</v>
      </c>
      <c r="M275" s="8">
        <f>Table_1[[#This Row],[Cost Price]]*Table_1[[#This Row],[Quantity]]</f>
        <v>256000</v>
      </c>
      <c r="N275">
        <f>Table_1[[#This Row],[Revenue]]-Table_1[[#This Row],[COGS]]</f>
        <v>64000</v>
      </c>
      <c r="O275" s="11">
        <f t="shared" si="29"/>
        <v>4656740000</v>
      </c>
      <c r="P275">
        <f t="shared" si="30"/>
        <v>3725392000</v>
      </c>
      <c r="Q275">
        <f t="shared" si="31"/>
        <v>931348000</v>
      </c>
      <c r="R275" s="7">
        <f t="shared" si="32"/>
        <v>2098</v>
      </c>
      <c r="S275" s="7">
        <f t="shared" si="33"/>
        <v>3</v>
      </c>
      <c r="T275" s="7">
        <f t="shared" si="34"/>
        <v>2098</v>
      </c>
    </row>
    <row r="276" spans="1:20" ht="14.25" customHeight="1" x14ac:dyDescent="0.35">
      <c r="A276" s="2" t="s">
        <v>146</v>
      </c>
      <c r="B276" s="2" t="s">
        <v>34</v>
      </c>
      <c r="C276" s="2" t="s">
        <v>21</v>
      </c>
      <c r="D276" s="2" t="s">
        <v>14</v>
      </c>
      <c r="E276" s="2" t="s">
        <v>15</v>
      </c>
      <c r="F276" s="2" t="s">
        <v>47</v>
      </c>
      <c r="G276" s="2" t="s">
        <v>36</v>
      </c>
      <c r="H276" s="2">
        <v>150000</v>
      </c>
      <c r="I276" s="2">
        <v>2</v>
      </c>
      <c r="J276" s="2" t="s">
        <v>32</v>
      </c>
      <c r="K276" s="2">
        <f t="shared" si="28"/>
        <v>120000</v>
      </c>
      <c r="L276" s="9">
        <f>Table_1[[#This Row],[Unit Price]]*Table_1[[#This Row],[Quantity]]</f>
        <v>300000</v>
      </c>
      <c r="M276" s="8">
        <f>Table_1[[#This Row],[Cost Price]]*Table_1[[#This Row],[Quantity]]</f>
        <v>240000</v>
      </c>
      <c r="N276">
        <f>Table_1[[#This Row],[Revenue]]-Table_1[[#This Row],[COGS]]</f>
        <v>60000</v>
      </c>
      <c r="O276" s="11">
        <f t="shared" si="29"/>
        <v>4656740000</v>
      </c>
      <c r="P276">
        <f t="shared" si="30"/>
        <v>3725392000</v>
      </c>
      <c r="Q276">
        <f t="shared" si="31"/>
        <v>931348000</v>
      </c>
      <c r="R276" s="7">
        <f t="shared" si="32"/>
        <v>2098</v>
      </c>
      <c r="S276" s="7">
        <f t="shared" si="33"/>
        <v>3</v>
      </c>
      <c r="T276" s="7">
        <f t="shared" si="34"/>
        <v>2098</v>
      </c>
    </row>
    <row r="277" spans="1:20" ht="14.25" customHeight="1" x14ac:dyDescent="0.35">
      <c r="A277" s="2" t="s">
        <v>28</v>
      </c>
      <c r="B277" s="2" t="s">
        <v>20</v>
      </c>
      <c r="C277" s="2" t="s">
        <v>21</v>
      </c>
      <c r="D277" s="2" t="s">
        <v>26</v>
      </c>
      <c r="E277" s="2" t="s">
        <v>22</v>
      </c>
      <c r="F277" s="2" t="s">
        <v>23</v>
      </c>
      <c r="G277" s="2" t="s">
        <v>24</v>
      </c>
      <c r="H277" s="2">
        <v>30000</v>
      </c>
      <c r="I277" s="2">
        <v>9</v>
      </c>
      <c r="J277" s="2" t="s">
        <v>54</v>
      </c>
      <c r="K277" s="2">
        <f t="shared" si="28"/>
        <v>24000</v>
      </c>
      <c r="L277" s="9">
        <f>Table_1[[#This Row],[Unit Price]]*Table_1[[#This Row],[Quantity]]</f>
        <v>270000</v>
      </c>
      <c r="M277" s="8">
        <f>Table_1[[#This Row],[Cost Price]]*Table_1[[#This Row],[Quantity]]</f>
        <v>216000</v>
      </c>
      <c r="N277">
        <f>Table_1[[#This Row],[Revenue]]-Table_1[[#This Row],[COGS]]</f>
        <v>54000</v>
      </c>
      <c r="O277" s="11">
        <f t="shared" si="29"/>
        <v>4656740000</v>
      </c>
      <c r="P277">
        <f t="shared" si="30"/>
        <v>3725392000</v>
      </c>
      <c r="Q277">
        <f t="shared" si="31"/>
        <v>931348000</v>
      </c>
      <c r="R277" s="7">
        <f t="shared" si="32"/>
        <v>2098</v>
      </c>
      <c r="S277" s="7">
        <f t="shared" si="33"/>
        <v>4</v>
      </c>
      <c r="T277" s="7">
        <f t="shared" si="34"/>
        <v>2098</v>
      </c>
    </row>
    <row r="278" spans="1:20" ht="14.25" customHeight="1" x14ac:dyDescent="0.35">
      <c r="A278" s="2" t="s">
        <v>64</v>
      </c>
      <c r="B278" s="2" t="s">
        <v>12</v>
      </c>
      <c r="C278" s="2" t="s">
        <v>21</v>
      </c>
      <c r="D278" s="2" t="s">
        <v>14</v>
      </c>
      <c r="E278" s="2" t="s">
        <v>15</v>
      </c>
      <c r="F278" s="2" t="s">
        <v>16</v>
      </c>
      <c r="G278" s="2" t="s">
        <v>17</v>
      </c>
      <c r="H278" s="2">
        <v>85000</v>
      </c>
      <c r="I278" s="2">
        <v>7</v>
      </c>
      <c r="J278" s="2" t="s">
        <v>43</v>
      </c>
      <c r="K278" s="2">
        <f t="shared" si="28"/>
        <v>68000</v>
      </c>
      <c r="L278" s="9">
        <f>Table_1[[#This Row],[Unit Price]]*Table_1[[#This Row],[Quantity]]</f>
        <v>595000</v>
      </c>
      <c r="M278" s="8">
        <f>Table_1[[#This Row],[Cost Price]]*Table_1[[#This Row],[Quantity]]</f>
        <v>476000</v>
      </c>
      <c r="N278">
        <f>Table_1[[#This Row],[Revenue]]-Table_1[[#This Row],[COGS]]</f>
        <v>119000</v>
      </c>
      <c r="O278" s="11">
        <f t="shared" si="29"/>
        <v>4656740000</v>
      </c>
      <c r="P278">
        <f t="shared" si="30"/>
        <v>3725392000</v>
      </c>
      <c r="Q278">
        <f t="shared" si="31"/>
        <v>931348000</v>
      </c>
      <c r="R278" s="7">
        <f t="shared" si="32"/>
        <v>2098</v>
      </c>
      <c r="S278" s="7">
        <f t="shared" si="33"/>
        <v>2</v>
      </c>
      <c r="T278" s="7">
        <f t="shared" si="34"/>
        <v>2098</v>
      </c>
    </row>
    <row r="279" spans="1:20" ht="14.25" customHeight="1" x14ac:dyDescent="0.35">
      <c r="A279" s="2" t="s">
        <v>144</v>
      </c>
      <c r="B279" s="2" t="s">
        <v>34</v>
      </c>
      <c r="C279" s="2" t="s">
        <v>13</v>
      </c>
      <c r="D279" s="2" t="s">
        <v>26</v>
      </c>
      <c r="E279" s="2" t="s">
        <v>15</v>
      </c>
      <c r="F279" s="2" t="s">
        <v>47</v>
      </c>
      <c r="G279" s="2" t="s">
        <v>36</v>
      </c>
      <c r="H279" s="2">
        <v>150000</v>
      </c>
      <c r="I279" s="2">
        <v>5</v>
      </c>
      <c r="J279" s="2" t="s">
        <v>27</v>
      </c>
      <c r="K279" s="2">
        <f t="shared" si="28"/>
        <v>120000</v>
      </c>
      <c r="L279" s="9">
        <f>Table_1[[#This Row],[Unit Price]]*Table_1[[#This Row],[Quantity]]</f>
        <v>750000</v>
      </c>
      <c r="M279" s="8">
        <f>Table_1[[#This Row],[Cost Price]]*Table_1[[#This Row],[Quantity]]</f>
        <v>600000</v>
      </c>
      <c r="N279">
        <f>Table_1[[#This Row],[Revenue]]-Table_1[[#This Row],[COGS]]</f>
        <v>150000</v>
      </c>
      <c r="O279" s="11">
        <f t="shared" si="29"/>
        <v>4656740000</v>
      </c>
      <c r="P279">
        <f t="shared" si="30"/>
        <v>3725392000</v>
      </c>
      <c r="Q279">
        <f t="shared" si="31"/>
        <v>931348000</v>
      </c>
      <c r="R279" s="7">
        <f t="shared" si="32"/>
        <v>2098</v>
      </c>
      <c r="S279" s="7">
        <f t="shared" si="33"/>
        <v>2</v>
      </c>
      <c r="T279" s="7">
        <f t="shared" si="34"/>
        <v>2098</v>
      </c>
    </row>
    <row r="280" spans="1:20" ht="14.25" customHeight="1" x14ac:dyDescent="0.35">
      <c r="A280" s="2" t="s">
        <v>69</v>
      </c>
      <c r="B280" s="2" t="s">
        <v>12</v>
      </c>
      <c r="C280" s="2" t="s">
        <v>30</v>
      </c>
      <c r="D280" s="2" t="s">
        <v>14</v>
      </c>
      <c r="E280" s="2" t="s">
        <v>22</v>
      </c>
      <c r="F280" s="2" t="s">
        <v>41</v>
      </c>
      <c r="G280" s="2" t="s">
        <v>17</v>
      </c>
      <c r="H280" s="2">
        <v>320000</v>
      </c>
      <c r="I280" s="2">
        <v>9</v>
      </c>
      <c r="J280" s="2" t="s">
        <v>18</v>
      </c>
      <c r="K280" s="2">
        <f t="shared" si="28"/>
        <v>256000</v>
      </c>
      <c r="L280" s="9">
        <f>Table_1[[#This Row],[Unit Price]]*Table_1[[#This Row],[Quantity]]</f>
        <v>2880000</v>
      </c>
      <c r="M280" s="8">
        <f>Table_1[[#This Row],[Cost Price]]*Table_1[[#This Row],[Quantity]]</f>
        <v>2304000</v>
      </c>
      <c r="N280">
        <f>Table_1[[#This Row],[Revenue]]-Table_1[[#This Row],[COGS]]</f>
        <v>576000</v>
      </c>
      <c r="O280" s="11">
        <f t="shared" si="29"/>
        <v>4656740000</v>
      </c>
      <c r="P280">
        <f t="shared" si="30"/>
        <v>3725392000</v>
      </c>
      <c r="Q280">
        <f t="shared" si="31"/>
        <v>931348000</v>
      </c>
      <c r="R280" s="7">
        <f t="shared" si="32"/>
        <v>2098</v>
      </c>
      <c r="S280" s="7">
        <f t="shared" si="33"/>
        <v>1</v>
      </c>
      <c r="T280" s="7">
        <f t="shared" si="34"/>
        <v>2098</v>
      </c>
    </row>
    <row r="281" spans="1:20" ht="14.25" customHeight="1" x14ac:dyDescent="0.35">
      <c r="A281" s="2" t="s">
        <v>105</v>
      </c>
      <c r="B281" s="2" t="s">
        <v>34</v>
      </c>
      <c r="C281" s="2" t="s">
        <v>21</v>
      </c>
      <c r="D281" s="2" t="s">
        <v>14</v>
      </c>
      <c r="E281" s="2" t="s">
        <v>15</v>
      </c>
      <c r="F281" s="2" t="s">
        <v>41</v>
      </c>
      <c r="G281" s="2" t="s">
        <v>17</v>
      </c>
      <c r="H281" s="2">
        <v>320000</v>
      </c>
      <c r="I281" s="2">
        <v>10</v>
      </c>
      <c r="J281" s="2" t="s">
        <v>43</v>
      </c>
      <c r="K281" s="2">
        <f t="shared" si="28"/>
        <v>256000</v>
      </c>
      <c r="L281" s="9">
        <f>Table_1[[#This Row],[Unit Price]]*Table_1[[#This Row],[Quantity]]</f>
        <v>3200000</v>
      </c>
      <c r="M281" s="8">
        <f>Table_1[[#This Row],[Cost Price]]*Table_1[[#This Row],[Quantity]]</f>
        <v>2560000</v>
      </c>
      <c r="N281">
        <f>Table_1[[#This Row],[Revenue]]-Table_1[[#This Row],[COGS]]</f>
        <v>640000</v>
      </c>
      <c r="O281" s="11">
        <f t="shared" si="29"/>
        <v>4656740000</v>
      </c>
      <c r="P281">
        <f t="shared" si="30"/>
        <v>3725392000</v>
      </c>
      <c r="Q281">
        <f t="shared" si="31"/>
        <v>931348000</v>
      </c>
      <c r="R281" s="7">
        <f t="shared" si="32"/>
        <v>2098</v>
      </c>
      <c r="S281" s="7">
        <f t="shared" si="33"/>
        <v>3</v>
      </c>
      <c r="T281" s="7">
        <f t="shared" si="34"/>
        <v>2098</v>
      </c>
    </row>
    <row r="282" spans="1:20" ht="14.25" customHeight="1" x14ac:dyDescent="0.35">
      <c r="A282" s="2" t="s">
        <v>79</v>
      </c>
      <c r="B282" s="2" t="s">
        <v>34</v>
      </c>
      <c r="C282" s="2" t="s">
        <v>30</v>
      </c>
      <c r="D282" s="2" t="s">
        <v>26</v>
      </c>
      <c r="E282" s="2" t="s">
        <v>15</v>
      </c>
      <c r="F282" s="2" t="s">
        <v>16</v>
      </c>
      <c r="G282" s="2" t="s">
        <v>17</v>
      </c>
      <c r="H282" s="2">
        <v>85000</v>
      </c>
      <c r="I282" s="2">
        <v>7</v>
      </c>
      <c r="J282" s="2" t="s">
        <v>43</v>
      </c>
      <c r="K282" s="2">
        <f t="shared" si="28"/>
        <v>68000</v>
      </c>
      <c r="L282" s="9">
        <f>Table_1[[#This Row],[Unit Price]]*Table_1[[#This Row],[Quantity]]</f>
        <v>595000</v>
      </c>
      <c r="M282" s="8">
        <f>Table_1[[#This Row],[Cost Price]]*Table_1[[#This Row],[Quantity]]</f>
        <v>476000</v>
      </c>
      <c r="N282">
        <f>Table_1[[#This Row],[Revenue]]-Table_1[[#This Row],[COGS]]</f>
        <v>119000</v>
      </c>
      <c r="O282" s="11">
        <f t="shared" si="29"/>
        <v>4656740000</v>
      </c>
      <c r="P282">
        <f t="shared" si="30"/>
        <v>3725392000</v>
      </c>
      <c r="Q282">
        <f t="shared" si="31"/>
        <v>931348000</v>
      </c>
      <c r="R282" s="7">
        <f t="shared" si="32"/>
        <v>2098</v>
      </c>
      <c r="S282" s="7">
        <f t="shared" si="33"/>
        <v>1</v>
      </c>
      <c r="T282" s="7">
        <f t="shared" si="34"/>
        <v>2098</v>
      </c>
    </row>
    <row r="283" spans="1:20" ht="14.25" customHeight="1" x14ac:dyDescent="0.35">
      <c r="A283" s="2" t="s">
        <v>98</v>
      </c>
      <c r="B283" s="2" t="s">
        <v>29</v>
      </c>
      <c r="C283" s="2" t="s">
        <v>30</v>
      </c>
      <c r="D283" s="2" t="s">
        <v>14</v>
      </c>
      <c r="E283" s="2" t="s">
        <v>15</v>
      </c>
      <c r="F283" s="2" t="s">
        <v>31</v>
      </c>
      <c r="G283" s="2" t="s">
        <v>24</v>
      </c>
      <c r="H283" s="2">
        <v>60000</v>
      </c>
      <c r="I283" s="2">
        <v>4</v>
      </c>
      <c r="J283" s="2" t="s">
        <v>43</v>
      </c>
      <c r="K283" s="2">
        <f t="shared" si="28"/>
        <v>48000</v>
      </c>
      <c r="L283" s="9">
        <f>Table_1[[#This Row],[Unit Price]]*Table_1[[#This Row],[Quantity]]</f>
        <v>240000</v>
      </c>
      <c r="M283" s="8">
        <f>Table_1[[#This Row],[Cost Price]]*Table_1[[#This Row],[Quantity]]</f>
        <v>192000</v>
      </c>
      <c r="N283">
        <f>Table_1[[#This Row],[Revenue]]-Table_1[[#This Row],[COGS]]</f>
        <v>48000</v>
      </c>
      <c r="O283" s="11">
        <f t="shared" si="29"/>
        <v>4656740000</v>
      </c>
      <c r="P283">
        <f t="shared" si="30"/>
        <v>3725392000</v>
      </c>
      <c r="Q283">
        <f t="shared" si="31"/>
        <v>931348000</v>
      </c>
      <c r="R283" s="7">
        <f t="shared" si="32"/>
        <v>2098</v>
      </c>
      <c r="S283" s="7">
        <f t="shared" si="33"/>
        <v>4</v>
      </c>
      <c r="T283" s="7">
        <f t="shared" si="34"/>
        <v>2098</v>
      </c>
    </row>
    <row r="284" spans="1:20" ht="14.25" customHeight="1" x14ac:dyDescent="0.35">
      <c r="A284" s="2" t="s">
        <v>62</v>
      </c>
      <c r="B284" s="2" t="s">
        <v>20</v>
      </c>
      <c r="C284" s="2" t="s">
        <v>30</v>
      </c>
      <c r="D284" s="2" t="s">
        <v>14</v>
      </c>
      <c r="E284" s="2" t="s">
        <v>22</v>
      </c>
      <c r="F284" s="2" t="s">
        <v>31</v>
      </c>
      <c r="G284" s="2" t="s">
        <v>24</v>
      </c>
      <c r="H284" s="2">
        <v>60000</v>
      </c>
      <c r="I284" s="2">
        <v>7</v>
      </c>
      <c r="J284" s="2" t="s">
        <v>27</v>
      </c>
      <c r="K284" s="2">
        <f t="shared" si="28"/>
        <v>48000</v>
      </c>
      <c r="L284" s="9">
        <f>Table_1[[#This Row],[Unit Price]]*Table_1[[#This Row],[Quantity]]</f>
        <v>420000</v>
      </c>
      <c r="M284" s="8">
        <f>Table_1[[#This Row],[Cost Price]]*Table_1[[#This Row],[Quantity]]</f>
        <v>336000</v>
      </c>
      <c r="N284">
        <f>Table_1[[#This Row],[Revenue]]-Table_1[[#This Row],[COGS]]</f>
        <v>84000</v>
      </c>
      <c r="O284" s="11">
        <f t="shared" si="29"/>
        <v>4656740000</v>
      </c>
      <c r="P284">
        <f t="shared" si="30"/>
        <v>3725392000</v>
      </c>
      <c r="Q284">
        <f t="shared" si="31"/>
        <v>931348000</v>
      </c>
      <c r="R284" s="7">
        <f t="shared" si="32"/>
        <v>2098</v>
      </c>
      <c r="S284" s="7">
        <f t="shared" si="33"/>
        <v>4</v>
      </c>
      <c r="T284" s="7">
        <f t="shared" si="34"/>
        <v>2098</v>
      </c>
    </row>
    <row r="285" spans="1:20" ht="14.25" customHeight="1" x14ac:dyDescent="0.35">
      <c r="A285" s="2" t="s">
        <v>147</v>
      </c>
      <c r="B285" s="2" t="s">
        <v>29</v>
      </c>
      <c r="C285" s="2" t="s">
        <v>21</v>
      </c>
      <c r="D285" s="2" t="s">
        <v>26</v>
      </c>
      <c r="E285" s="2" t="s">
        <v>15</v>
      </c>
      <c r="F285" s="2" t="s">
        <v>47</v>
      </c>
      <c r="G285" s="2" t="s">
        <v>36</v>
      </c>
      <c r="H285" s="2">
        <v>150000</v>
      </c>
      <c r="I285" s="2">
        <v>7</v>
      </c>
      <c r="J285" s="2" t="s">
        <v>54</v>
      </c>
      <c r="K285" s="2">
        <f t="shared" si="28"/>
        <v>120000</v>
      </c>
      <c r="L285" s="9">
        <f>Table_1[[#This Row],[Unit Price]]*Table_1[[#This Row],[Quantity]]</f>
        <v>1050000</v>
      </c>
      <c r="M285" s="8">
        <f>Table_1[[#This Row],[Cost Price]]*Table_1[[#This Row],[Quantity]]</f>
        <v>840000</v>
      </c>
      <c r="N285">
        <f>Table_1[[#This Row],[Revenue]]-Table_1[[#This Row],[COGS]]</f>
        <v>210000</v>
      </c>
      <c r="O285" s="11">
        <f t="shared" si="29"/>
        <v>4656740000</v>
      </c>
      <c r="P285">
        <f t="shared" si="30"/>
        <v>3725392000</v>
      </c>
      <c r="Q285">
        <f t="shared" si="31"/>
        <v>931348000</v>
      </c>
      <c r="R285" s="7">
        <f t="shared" si="32"/>
        <v>2098</v>
      </c>
      <c r="S285" s="7">
        <f t="shared" si="33"/>
        <v>4</v>
      </c>
      <c r="T285" s="7">
        <f t="shared" si="34"/>
        <v>2098</v>
      </c>
    </row>
    <row r="286" spans="1:20" ht="14.25" customHeight="1" x14ac:dyDescent="0.35">
      <c r="A286" s="2" t="s">
        <v>148</v>
      </c>
      <c r="B286" s="2" t="s">
        <v>12</v>
      </c>
      <c r="C286" s="2" t="s">
        <v>21</v>
      </c>
      <c r="D286" s="2" t="s">
        <v>14</v>
      </c>
      <c r="E286" s="2" t="s">
        <v>15</v>
      </c>
      <c r="F286" s="2" t="s">
        <v>16</v>
      </c>
      <c r="G286" s="2" t="s">
        <v>17</v>
      </c>
      <c r="H286" s="2">
        <v>85000</v>
      </c>
      <c r="I286" s="2">
        <v>3</v>
      </c>
      <c r="J286" s="2" t="s">
        <v>27</v>
      </c>
      <c r="K286" s="2">
        <f t="shared" si="28"/>
        <v>68000</v>
      </c>
      <c r="L286" s="9">
        <f>Table_1[[#This Row],[Unit Price]]*Table_1[[#This Row],[Quantity]]</f>
        <v>255000</v>
      </c>
      <c r="M286" s="8">
        <f>Table_1[[#This Row],[Cost Price]]*Table_1[[#This Row],[Quantity]]</f>
        <v>204000</v>
      </c>
      <c r="N286">
        <f>Table_1[[#This Row],[Revenue]]-Table_1[[#This Row],[COGS]]</f>
        <v>51000</v>
      </c>
      <c r="O286" s="11">
        <f t="shared" si="29"/>
        <v>4656740000</v>
      </c>
      <c r="P286">
        <f t="shared" si="30"/>
        <v>3725392000</v>
      </c>
      <c r="Q286">
        <f t="shared" si="31"/>
        <v>931348000</v>
      </c>
      <c r="R286" s="7">
        <f t="shared" si="32"/>
        <v>2098</v>
      </c>
      <c r="S286" s="7">
        <f t="shared" si="33"/>
        <v>4</v>
      </c>
      <c r="T286" s="7">
        <f t="shared" si="34"/>
        <v>2098</v>
      </c>
    </row>
    <row r="287" spans="1:20" ht="14.25" customHeight="1" x14ac:dyDescent="0.35">
      <c r="A287" s="2" t="s">
        <v>87</v>
      </c>
      <c r="B287" s="2" t="s">
        <v>29</v>
      </c>
      <c r="C287" s="2" t="s">
        <v>38</v>
      </c>
      <c r="D287" s="2" t="s">
        <v>14</v>
      </c>
      <c r="E287" s="2" t="s">
        <v>15</v>
      </c>
      <c r="F287" s="2" t="s">
        <v>16</v>
      </c>
      <c r="G287" s="2" t="s">
        <v>17</v>
      </c>
      <c r="H287" s="2">
        <v>85000</v>
      </c>
      <c r="I287" s="2">
        <v>10</v>
      </c>
      <c r="J287" s="2" t="s">
        <v>32</v>
      </c>
      <c r="K287" s="2">
        <f t="shared" si="28"/>
        <v>68000</v>
      </c>
      <c r="L287" s="9">
        <f>Table_1[[#This Row],[Unit Price]]*Table_1[[#This Row],[Quantity]]</f>
        <v>850000</v>
      </c>
      <c r="M287" s="8">
        <f>Table_1[[#This Row],[Cost Price]]*Table_1[[#This Row],[Quantity]]</f>
        <v>680000</v>
      </c>
      <c r="N287">
        <f>Table_1[[#This Row],[Revenue]]-Table_1[[#This Row],[COGS]]</f>
        <v>170000</v>
      </c>
      <c r="O287" s="11">
        <f t="shared" si="29"/>
        <v>4656740000</v>
      </c>
      <c r="P287">
        <f t="shared" si="30"/>
        <v>3725392000</v>
      </c>
      <c r="Q287">
        <f t="shared" si="31"/>
        <v>931348000</v>
      </c>
      <c r="R287" s="7">
        <f t="shared" si="32"/>
        <v>2098</v>
      </c>
      <c r="S287" s="7">
        <f t="shared" si="33"/>
        <v>3</v>
      </c>
      <c r="T287" s="7">
        <f t="shared" si="34"/>
        <v>2098</v>
      </c>
    </row>
    <row r="288" spans="1:20" ht="14.25" customHeight="1" x14ac:dyDescent="0.35">
      <c r="A288" s="2" t="s">
        <v>148</v>
      </c>
      <c r="B288" s="2" t="s">
        <v>20</v>
      </c>
      <c r="C288" s="2" t="s">
        <v>21</v>
      </c>
      <c r="D288" s="2" t="s">
        <v>26</v>
      </c>
      <c r="E288" s="2" t="s">
        <v>22</v>
      </c>
      <c r="F288" s="2" t="s">
        <v>35</v>
      </c>
      <c r="G288" s="2" t="s">
        <v>36</v>
      </c>
      <c r="H288" s="2">
        <v>300000</v>
      </c>
      <c r="I288" s="2">
        <v>10</v>
      </c>
      <c r="J288" s="2" t="s">
        <v>27</v>
      </c>
      <c r="K288" s="2">
        <f t="shared" si="28"/>
        <v>240000</v>
      </c>
      <c r="L288" s="9">
        <f>Table_1[[#This Row],[Unit Price]]*Table_1[[#This Row],[Quantity]]</f>
        <v>3000000</v>
      </c>
      <c r="M288" s="8">
        <f>Table_1[[#This Row],[Cost Price]]*Table_1[[#This Row],[Quantity]]</f>
        <v>2400000</v>
      </c>
      <c r="N288">
        <f>Table_1[[#This Row],[Revenue]]-Table_1[[#This Row],[COGS]]</f>
        <v>600000</v>
      </c>
      <c r="O288" s="11">
        <f t="shared" si="29"/>
        <v>4656740000</v>
      </c>
      <c r="P288">
        <f t="shared" si="30"/>
        <v>3725392000</v>
      </c>
      <c r="Q288">
        <f t="shared" si="31"/>
        <v>931348000</v>
      </c>
      <c r="R288" s="7">
        <f t="shared" si="32"/>
        <v>2098</v>
      </c>
      <c r="S288" s="7">
        <f t="shared" si="33"/>
        <v>4</v>
      </c>
      <c r="T288" s="7">
        <f t="shared" si="34"/>
        <v>2098</v>
      </c>
    </row>
    <row r="289" spans="1:20" ht="14.25" customHeight="1" x14ac:dyDescent="0.35">
      <c r="A289" s="2" t="s">
        <v>107</v>
      </c>
      <c r="B289" s="2" t="s">
        <v>29</v>
      </c>
      <c r="C289" s="2" t="s">
        <v>38</v>
      </c>
      <c r="D289" s="2" t="s">
        <v>14</v>
      </c>
      <c r="E289" s="2" t="s">
        <v>22</v>
      </c>
      <c r="F289" s="2" t="s">
        <v>31</v>
      </c>
      <c r="G289" s="2" t="s">
        <v>24</v>
      </c>
      <c r="H289" s="2">
        <v>60000</v>
      </c>
      <c r="I289" s="2">
        <v>3</v>
      </c>
      <c r="J289" s="2" t="s">
        <v>18</v>
      </c>
      <c r="K289" s="2">
        <f t="shared" si="28"/>
        <v>48000</v>
      </c>
      <c r="L289" s="9">
        <f>Table_1[[#This Row],[Unit Price]]*Table_1[[#This Row],[Quantity]]</f>
        <v>180000</v>
      </c>
      <c r="M289" s="8">
        <f>Table_1[[#This Row],[Cost Price]]*Table_1[[#This Row],[Quantity]]</f>
        <v>144000</v>
      </c>
      <c r="N289">
        <f>Table_1[[#This Row],[Revenue]]-Table_1[[#This Row],[COGS]]</f>
        <v>36000</v>
      </c>
      <c r="O289" s="11">
        <f t="shared" si="29"/>
        <v>4656740000</v>
      </c>
      <c r="P289">
        <f t="shared" si="30"/>
        <v>3725392000</v>
      </c>
      <c r="Q289">
        <f t="shared" si="31"/>
        <v>931348000</v>
      </c>
      <c r="R289" s="7">
        <f t="shared" si="32"/>
        <v>2098</v>
      </c>
      <c r="S289" s="7">
        <f t="shared" si="33"/>
        <v>3</v>
      </c>
      <c r="T289" s="7">
        <f t="shared" si="34"/>
        <v>2098</v>
      </c>
    </row>
    <row r="290" spans="1:20" ht="14.25" customHeight="1" x14ac:dyDescent="0.35">
      <c r="A290" s="2" t="s">
        <v>25</v>
      </c>
      <c r="B290" s="2" t="s">
        <v>20</v>
      </c>
      <c r="C290" s="2" t="s">
        <v>13</v>
      </c>
      <c r="D290" s="2" t="s">
        <v>26</v>
      </c>
      <c r="E290" s="2" t="s">
        <v>15</v>
      </c>
      <c r="F290" s="2" t="s">
        <v>31</v>
      </c>
      <c r="G290" s="2" t="s">
        <v>24</v>
      </c>
      <c r="H290" s="2">
        <v>60000</v>
      </c>
      <c r="I290" s="2">
        <v>3</v>
      </c>
      <c r="J290" s="2" t="s">
        <v>27</v>
      </c>
      <c r="K290" s="2">
        <f t="shared" si="28"/>
        <v>48000</v>
      </c>
      <c r="L290" s="9">
        <f>Table_1[[#This Row],[Unit Price]]*Table_1[[#This Row],[Quantity]]</f>
        <v>180000</v>
      </c>
      <c r="M290" s="8">
        <f>Table_1[[#This Row],[Cost Price]]*Table_1[[#This Row],[Quantity]]</f>
        <v>144000</v>
      </c>
      <c r="N290">
        <f>Table_1[[#This Row],[Revenue]]-Table_1[[#This Row],[COGS]]</f>
        <v>36000</v>
      </c>
      <c r="O290" s="11">
        <f t="shared" si="29"/>
        <v>4656740000</v>
      </c>
      <c r="P290">
        <f t="shared" si="30"/>
        <v>3725392000</v>
      </c>
      <c r="Q290">
        <f t="shared" si="31"/>
        <v>931348000</v>
      </c>
      <c r="R290" s="7">
        <f t="shared" si="32"/>
        <v>2098</v>
      </c>
      <c r="S290" s="7">
        <f t="shared" si="33"/>
        <v>2</v>
      </c>
      <c r="T290" s="7">
        <f t="shared" si="34"/>
        <v>2098</v>
      </c>
    </row>
    <row r="291" spans="1:20" ht="14.25" customHeight="1" x14ac:dyDescent="0.35">
      <c r="A291" s="2" t="s">
        <v>48</v>
      </c>
      <c r="B291" s="2" t="s">
        <v>12</v>
      </c>
      <c r="C291" s="2" t="s">
        <v>21</v>
      </c>
      <c r="D291" s="2" t="s">
        <v>14</v>
      </c>
      <c r="E291" s="2" t="s">
        <v>15</v>
      </c>
      <c r="F291" s="2" t="s">
        <v>16</v>
      </c>
      <c r="G291" s="2" t="s">
        <v>17</v>
      </c>
      <c r="H291" s="2">
        <v>85000</v>
      </c>
      <c r="I291" s="2">
        <v>6</v>
      </c>
      <c r="J291" s="2" t="s">
        <v>27</v>
      </c>
      <c r="K291" s="2">
        <f t="shared" si="28"/>
        <v>68000</v>
      </c>
      <c r="L291" s="9">
        <f>Table_1[[#This Row],[Unit Price]]*Table_1[[#This Row],[Quantity]]</f>
        <v>510000</v>
      </c>
      <c r="M291" s="8">
        <f>Table_1[[#This Row],[Cost Price]]*Table_1[[#This Row],[Quantity]]</f>
        <v>408000</v>
      </c>
      <c r="N291">
        <f>Table_1[[#This Row],[Revenue]]-Table_1[[#This Row],[COGS]]</f>
        <v>102000</v>
      </c>
      <c r="O291" s="11">
        <f t="shared" si="29"/>
        <v>4656740000</v>
      </c>
      <c r="P291">
        <f t="shared" si="30"/>
        <v>3725392000</v>
      </c>
      <c r="Q291">
        <f t="shared" si="31"/>
        <v>931348000</v>
      </c>
      <c r="R291" s="7">
        <f t="shared" si="32"/>
        <v>2098</v>
      </c>
      <c r="S291" s="7">
        <f t="shared" si="33"/>
        <v>1</v>
      </c>
      <c r="T291" s="7">
        <f t="shared" si="34"/>
        <v>2098</v>
      </c>
    </row>
    <row r="292" spans="1:20" ht="14.25" customHeight="1" x14ac:dyDescent="0.35">
      <c r="A292" s="2" t="s">
        <v>140</v>
      </c>
      <c r="B292" s="2" t="s">
        <v>20</v>
      </c>
      <c r="C292" s="2" t="s">
        <v>30</v>
      </c>
      <c r="D292" s="2" t="s">
        <v>26</v>
      </c>
      <c r="E292" s="2" t="s">
        <v>22</v>
      </c>
      <c r="F292" s="2" t="s">
        <v>52</v>
      </c>
      <c r="G292" s="2" t="s">
        <v>36</v>
      </c>
      <c r="H292" s="2">
        <v>420000</v>
      </c>
      <c r="I292" s="2">
        <v>2</v>
      </c>
      <c r="J292" s="2" t="s">
        <v>50</v>
      </c>
      <c r="K292" s="2">
        <f t="shared" si="28"/>
        <v>336000</v>
      </c>
      <c r="L292" s="9">
        <f>Table_1[[#This Row],[Unit Price]]*Table_1[[#This Row],[Quantity]]</f>
        <v>840000</v>
      </c>
      <c r="M292" s="8">
        <f>Table_1[[#This Row],[Cost Price]]*Table_1[[#This Row],[Quantity]]</f>
        <v>672000</v>
      </c>
      <c r="N292">
        <f>Table_1[[#This Row],[Revenue]]-Table_1[[#This Row],[COGS]]</f>
        <v>168000</v>
      </c>
      <c r="O292" s="11">
        <f t="shared" si="29"/>
        <v>4656740000</v>
      </c>
      <c r="P292">
        <f t="shared" si="30"/>
        <v>3725392000</v>
      </c>
      <c r="Q292">
        <f t="shared" si="31"/>
        <v>931348000</v>
      </c>
      <c r="R292" s="7">
        <f t="shared" si="32"/>
        <v>2098</v>
      </c>
      <c r="S292" s="7">
        <f t="shared" si="33"/>
        <v>4</v>
      </c>
      <c r="T292" s="7">
        <f t="shared" si="34"/>
        <v>2098</v>
      </c>
    </row>
    <row r="293" spans="1:20" ht="14.25" customHeight="1" x14ac:dyDescent="0.35">
      <c r="A293" s="2" t="s">
        <v>139</v>
      </c>
      <c r="B293" s="2" t="s">
        <v>34</v>
      </c>
      <c r="C293" s="2" t="s">
        <v>38</v>
      </c>
      <c r="D293" s="2" t="s">
        <v>14</v>
      </c>
      <c r="E293" s="2" t="s">
        <v>22</v>
      </c>
      <c r="F293" s="2" t="s">
        <v>56</v>
      </c>
      <c r="G293" s="2" t="s">
        <v>36</v>
      </c>
      <c r="H293" s="2">
        <v>250000</v>
      </c>
      <c r="I293" s="2">
        <v>6</v>
      </c>
      <c r="J293" s="2" t="s">
        <v>54</v>
      </c>
      <c r="K293" s="2">
        <f t="shared" si="28"/>
        <v>200000</v>
      </c>
      <c r="L293" s="9">
        <f>Table_1[[#This Row],[Unit Price]]*Table_1[[#This Row],[Quantity]]</f>
        <v>1500000</v>
      </c>
      <c r="M293" s="8">
        <f>Table_1[[#This Row],[Cost Price]]*Table_1[[#This Row],[Quantity]]</f>
        <v>1200000</v>
      </c>
      <c r="N293">
        <f>Table_1[[#This Row],[Revenue]]-Table_1[[#This Row],[COGS]]</f>
        <v>300000</v>
      </c>
      <c r="O293" s="11">
        <f t="shared" si="29"/>
        <v>4656740000</v>
      </c>
      <c r="P293">
        <f t="shared" si="30"/>
        <v>3725392000</v>
      </c>
      <c r="Q293">
        <f t="shared" si="31"/>
        <v>931348000</v>
      </c>
      <c r="R293" s="7">
        <f t="shared" si="32"/>
        <v>2098</v>
      </c>
      <c r="S293" s="7">
        <f t="shared" si="33"/>
        <v>2</v>
      </c>
      <c r="T293" s="7">
        <f t="shared" si="34"/>
        <v>2098</v>
      </c>
    </row>
    <row r="294" spans="1:20" ht="14.25" customHeight="1" x14ac:dyDescent="0.35">
      <c r="A294" s="2" t="s">
        <v>138</v>
      </c>
      <c r="B294" s="2" t="s">
        <v>34</v>
      </c>
      <c r="C294" s="2" t="s">
        <v>13</v>
      </c>
      <c r="D294" s="2" t="s">
        <v>14</v>
      </c>
      <c r="E294" s="2" t="s">
        <v>15</v>
      </c>
      <c r="F294" s="2" t="s">
        <v>47</v>
      </c>
      <c r="G294" s="2" t="s">
        <v>36</v>
      </c>
      <c r="H294" s="2">
        <v>150000</v>
      </c>
      <c r="I294" s="2">
        <v>8</v>
      </c>
      <c r="J294" s="2" t="s">
        <v>27</v>
      </c>
      <c r="K294" s="2">
        <f t="shared" si="28"/>
        <v>120000</v>
      </c>
      <c r="L294" s="9">
        <f>Table_1[[#This Row],[Unit Price]]*Table_1[[#This Row],[Quantity]]</f>
        <v>1200000</v>
      </c>
      <c r="M294" s="8">
        <f>Table_1[[#This Row],[Cost Price]]*Table_1[[#This Row],[Quantity]]</f>
        <v>960000</v>
      </c>
      <c r="N294">
        <f>Table_1[[#This Row],[Revenue]]-Table_1[[#This Row],[COGS]]</f>
        <v>240000</v>
      </c>
      <c r="O294" s="11">
        <f t="shared" si="29"/>
        <v>4656740000</v>
      </c>
      <c r="P294">
        <f t="shared" si="30"/>
        <v>3725392000</v>
      </c>
      <c r="Q294">
        <f t="shared" si="31"/>
        <v>931348000</v>
      </c>
      <c r="R294" s="7">
        <f t="shared" si="32"/>
        <v>2098</v>
      </c>
      <c r="S294" s="7">
        <f t="shared" si="33"/>
        <v>3</v>
      </c>
      <c r="T294" s="7">
        <f t="shared" si="34"/>
        <v>2098</v>
      </c>
    </row>
    <row r="295" spans="1:20" ht="14.25" customHeight="1" x14ac:dyDescent="0.35">
      <c r="A295" s="2" t="s">
        <v>108</v>
      </c>
      <c r="B295" s="2" t="s">
        <v>20</v>
      </c>
      <c r="C295" s="2" t="s">
        <v>30</v>
      </c>
      <c r="D295" s="2" t="s">
        <v>26</v>
      </c>
      <c r="E295" s="2" t="s">
        <v>15</v>
      </c>
      <c r="F295" s="2" t="s">
        <v>47</v>
      </c>
      <c r="G295" s="2" t="s">
        <v>36</v>
      </c>
      <c r="H295" s="2">
        <v>150000</v>
      </c>
      <c r="I295" s="2">
        <v>10</v>
      </c>
      <c r="J295" s="2" t="s">
        <v>27</v>
      </c>
      <c r="K295" s="2">
        <f t="shared" si="28"/>
        <v>120000</v>
      </c>
      <c r="L295" s="9">
        <f>Table_1[[#This Row],[Unit Price]]*Table_1[[#This Row],[Quantity]]</f>
        <v>1500000</v>
      </c>
      <c r="M295" s="8">
        <f>Table_1[[#This Row],[Cost Price]]*Table_1[[#This Row],[Quantity]]</f>
        <v>1200000</v>
      </c>
      <c r="N295">
        <f>Table_1[[#This Row],[Revenue]]-Table_1[[#This Row],[COGS]]</f>
        <v>300000</v>
      </c>
      <c r="O295" s="11">
        <f t="shared" si="29"/>
        <v>4656740000</v>
      </c>
      <c r="P295">
        <f t="shared" si="30"/>
        <v>3725392000</v>
      </c>
      <c r="Q295">
        <f t="shared" si="31"/>
        <v>931348000</v>
      </c>
      <c r="R295" s="7">
        <f t="shared" si="32"/>
        <v>2098</v>
      </c>
      <c r="S295" s="7">
        <f t="shared" si="33"/>
        <v>4</v>
      </c>
      <c r="T295" s="7">
        <f t="shared" si="34"/>
        <v>2098</v>
      </c>
    </row>
    <row r="296" spans="1:20" ht="14.25" customHeight="1" x14ac:dyDescent="0.35">
      <c r="A296" s="2" t="s">
        <v>148</v>
      </c>
      <c r="B296" s="2" t="s">
        <v>20</v>
      </c>
      <c r="C296" s="2" t="s">
        <v>30</v>
      </c>
      <c r="D296" s="2" t="s">
        <v>14</v>
      </c>
      <c r="E296" s="2" t="s">
        <v>15</v>
      </c>
      <c r="F296" s="2" t="s">
        <v>56</v>
      </c>
      <c r="G296" s="2" t="s">
        <v>36</v>
      </c>
      <c r="H296" s="2">
        <v>250000</v>
      </c>
      <c r="I296" s="2">
        <v>5</v>
      </c>
      <c r="J296" s="2" t="s">
        <v>54</v>
      </c>
      <c r="K296" s="2">
        <f t="shared" si="28"/>
        <v>200000</v>
      </c>
      <c r="L296" s="9">
        <f>Table_1[[#This Row],[Unit Price]]*Table_1[[#This Row],[Quantity]]</f>
        <v>1250000</v>
      </c>
      <c r="M296" s="8">
        <f>Table_1[[#This Row],[Cost Price]]*Table_1[[#This Row],[Quantity]]</f>
        <v>1000000</v>
      </c>
      <c r="N296">
        <f>Table_1[[#This Row],[Revenue]]-Table_1[[#This Row],[COGS]]</f>
        <v>250000</v>
      </c>
      <c r="O296" s="11">
        <f t="shared" si="29"/>
        <v>4656740000</v>
      </c>
      <c r="P296">
        <f t="shared" si="30"/>
        <v>3725392000</v>
      </c>
      <c r="Q296">
        <f t="shared" si="31"/>
        <v>931348000</v>
      </c>
      <c r="R296" s="7">
        <f t="shared" si="32"/>
        <v>2098</v>
      </c>
      <c r="S296" s="7">
        <f t="shared" si="33"/>
        <v>4</v>
      </c>
      <c r="T296" s="7">
        <f t="shared" si="34"/>
        <v>2098</v>
      </c>
    </row>
    <row r="297" spans="1:20" ht="14.25" customHeight="1" x14ac:dyDescent="0.35">
      <c r="A297" s="2" t="s">
        <v>104</v>
      </c>
      <c r="B297" s="2" t="s">
        <v>12</v>
      </c>
      <c r="C297" s="2" t="s">
        <v>30</v>
      </c>
      <c r="D297" s="2" t="s">
        <v>14</v>
      </c>
      <c r="E297" s="2" t="s">
        <v>22</v>
      </c>
      <c r="F297" s="2" t="s">
        <v>41</v>
      </c>
      <c r="G297" s="2" t="s">
        <v>17</v>
      </c>
      <c r="H297" s="2">
        <v>320000</v>
      </c>
      <c r="I297" s="2">
        <v>9</v>
      </c>
      <c r="J297" s="2" t="s">
        <v>18</v>
      </c>
      <c r="K297" s="2">
        <f t="shared" si="28"/>
        <v>256000</v>
      </c>
      <c r="L297" s="9">
        <f>Table_1[[#This Row],[Unit Price]]*Table_1[[#This Row],[Quantity]]</f>
        <v>2880000</v>
      </c>
      <c r="M297" s="8">
        <f>Table_1[[#This Row],[Cost Price]]*Table_1[[#This Row],[Quantity]]</f>
        <v>2304000</v>
      </c>
      <c r="N297">
        <f>Table_1[[#This Row],[Revenue]]-Table_1[[#This Row],[COGS]]</f>
        <v>576000</v>
      </c>
      <c r="O297" s="11">
        <f t="shared" si="29"/>
        <v>4656740000</v>
      </c>
      <c r="P297">
        <f t="shared" si="30"/>
        <v>3725392000</v>
      </c>
      <c r="Q297">
        <f t="shared" si="31"/>
        <v>931348000</v>
      </c>
      <c r="R297" s="7">
        <f t="shared" si="32"/>
        <v>2098</v>
      </c>
      <c r="S297" s="7">
        <f t="shared" si="33"/>
        <v>2</v>
      </c>
      <c r="T297" s="7">
        <f t="shared" si="34"/>
        <v>2098</v>
      </c>
    </row>
    <row r="298" spans="1:20" ht="14.25" customHeight="1" x14ac:dyDescent="0.35">
      <c r="A298" s="2" t="s">
        <v>87</v>
      </c>
      <c r="B298" s="2" t="s">
        <v>12</v>
      </c>
      <c r="C298" s="2" t="s">
        <v>13</v>
      </c>
      <c r="D298" s="2" t="s">
        <v>26</v>
      </c>
      <c r="E298" s="2" t="s">
        <v>22</v>
      </c>
      <c r="F298" s="2" t="s">
        <v>39</v>
      </c>
      <c r="G298" s="2" t="s">
        <v>24</v>
      </c>
      <c r="H298" s="2">
        <v>180000</v>
      </c>
      <c r="I298" s="2">
        <v>10</v>
      </c>
      <c r="J298" s="2" t="s">
        <v>54</v>
      </c>
      <c r="K298" s="2">
        <f t="shared" si="28"/>
        <v>144000</v>
      </c>
      <c r="L298" s="9">
        <f>Table_1[[#This Row],[Unit Price]]*Table_1[[#This Row],[Quantity]]</f>
        <v>1800000</v>
      </c>
      <c r="M298" s="8">
        <f>Table_1[[#This Row],[Cost Price]]*Table_1[[#This Row],[Quantity]]</f>
        <v>1440000</v>
      </c>
      <c r="N298">
        <f>Table_1[[#This Row],[Revenue]]-Table_1[[#This Row],[COGS]]</f>
        <v>360000</v>
      </c>
      <c r="O298" s="11">
        <f t="shared" si="29"/>
        <v>4656740000</v>
      </c>
      <c r="P298">
        <f t="shared" si="30"/>
        <v>3725392000</v>
      </c>
      <c r="Q298">
        <f t="shared" si="31"/>
        <v>931348000</v>
      </c>
      <c r="R298" s="7">
        <f t="shared" si="32"/>
        <v>2098</v>
      </c>
      <c r="S298" s="7">
        <f t="shared" si="33"/>
        <v>3</v>
      </c>
      <c r="T298" s="7">
        <f t="shared" si="34"/>
        <v>2098</v>
      </c>
    </row>
    <row r="299" spans="1:20" ht="14.25" customHeight="1" x14ac:dyDescent="0.35">
      <c r="A299" s="2" t="s">
        <v>129</v>
      </c>
      <c r="B299" s="2" t="s">
        <v>12</v>
      </c>
      <c r="C299" s="2" t="s">
        <v>30</v>
      </c>
      <c r="D299" s="2" t="s">
        <v>26</v>
      </c>
      <c r="E299" s="2" t="s">
        <v>22</v>
      </c>
      <c r="F299" s="2" t="s">
        <v>31</v>
      </c>
      <c r="G299" s="2" t="s">
        <v>24</v>
      </c>
      <c r="H299" s="2">
        <v>60000</v>
      </c>
      <c r="I299" s="2">
        <v>6</v>
      </c>
      <c r="J299" s="2" t="s">
        <v>50</v>
      </c>
      <c r="K299" s="2">
        <f t="shared" si="28"/>
        <v>48000</v>
      </c>
      <c r="L299" s="9">
        <f>Table_1[[#This Row],[Unit Price]]*Table_1[[#This Row],[Quantity]]</f>
        <v>360000</v>
      </c>
      <c r="M299" s="8">
        <f>Table_1[[#This Row],[Cost Price]]*Table_1[[#This Row],[Quantity]]</f>
        <v>288000</v>
      </c>
      <c r="N299">
        <f>Table_1[[#This Row],[Revenue]]-Table_1[[#This Row],[COGS]]</f>
        <v>72000</v>
      </c>
      <c r="O299" s="11">
        <f t="shared" si="29"/>
        <v>4656740000</v>
      </c>
      <c r="P299">
        <f t="shared" si="30"/>
        <v>3725392000</v>
      </c>
      <c r="Q299">
        <f t="shared" si="31"/>
        <v>931348000</v>
      </c>
      <c r="R299" s="7">
        <f t="shared" si="32"/>
        <v>2098</v>
      </c>
      <c r="S299" s="7">
        <f t="shared" si="33"/>
        <v>2</v>
      </c>
      <c r="T299" s="7">
        <f t="shared" si="34"/>
        <v>2098</v>
      </c>
    </row>
    <row r="300" spans="1:20" ht="14.25" customHeight="1" x14ac:dyDescent="0.35">
      <c r="A300" s="2" t="s">
        <v>111</v>
      </c>
      <c r="B300" s="2" t="s">
        <v>12</v>
      </c>
      <c r="C300" s="2" t="s">
        <v>30</v>
      </c>
      <c r="D300" s="2" t="s">
        <v>26</v>
      </c>
      <c r="E300" s="2" t="s">
        <v>15</v>
      </c>
      <c r="F300" s="2" t="s">
        <v>47</v>
      </c>
      <c r="G300" s="2" t="s">
        <v>36</v>
      </c>
      <c r="H300" s="2">
        <v>150000</v>
      </c>
      <c r="I300" s="2">
        <v>10</v>
      </c>
      <c r="J300" s="2" t="s">
        <v>32</v>
      </c>
      <c r="K300" s="2">
        <f t="shared" si="28"/>
        <v>120000</v>
      </c>
      <c r="L300" s="9">
        <f>Table_1[[#This Row],[Unit Price]]*Table_1[[#This Row],[Quantity]]</f>
        <v>1500000</v>
      </c>
      <c r="M300" s="8">
        <f>Table_1[[#This Row],[Cost Price]]*Table_1[[#This Row],[Quantity]]</f>
        <v>1200000</v>
      </c>
      <c r="N300">
        <f>Table_1[[#This Row],[Revenue]]-Table_1[[#This Row],[COGS]]</f>
        <v>300000</v>
      </c>
      <c r="O300" s="11">
        <f t="shared" si="29"/>
        <v>4656740000</v>
      </c>
      <c r="P300">
        <f t="shared" si="30"/>
        <v>3725392000</v>
      </c>
      <c r="Q300">
        <f t="shared" si="31"/>
        <v>931348000</v>
      </c>
      <c r="R300" s="7">
        <f t="shared" si="32"/>
        <v>2098</v>
      </c>
      <c r="S300" s="7">
        <f t="shared" si="33"/>
        <v>1</v>
      </c>
      <c r="T300" s="7">
        <f t="shared" si="34"/>
        <v>2098</v>
      </c>
    </row>
    <row r="301" spans="1:20" ht="14.25" customHeight="1" x14ac:dyDescent="0.35">
      <c r="A301" s="2" t="s">
        <v>64</v>
      </c>
      <c r="B301" s="2" t="s">
        <v>20</v>
      </c>
      <c r="C301" s="2" t="s">
        <v>13</v>
      </c>
      <c r="D301" s="2" t="s">
        <v>14</v>
      </c>
      <c r="E301" s="2" t="s">
        <v>15</v>
      </c>
      <c r="F301" s="2" t="s">
        <v>56</v>
      </c>
      <c r="G301" s="2" t="s">
        <v>36</v>
      </c>
      <c r="H301" s="2">
        <v>250000</v>
      </c>
      <c r="I301" s="2">
        <v>5</v>
      </c>
      <c r="J301" s="2" t="s">
        <v>50</v>
      </c>
      <c r="K301" s="2">
        <f t="shared" si="28"/>
        <v>200000</v>
      </c>
      <c r="L301" s="9">
        <f>Table_1[[#This Row],[Unit Price]]*Table_1[[#This Row],[Quantity]]</f>
        <v>1250000</v>
      </c>
      <c r="M301" s="8">
        <f>Table_1[[#This Row],[Cost Price]]*Table_1[[#This Row],[Quantity]]</f>
        <v>1000000</v>
      </c>
      <c r="N301">
        <f>Table_1[[#This Row],[Revenue]]-Table_1[[#This Row],[COGS]]</f>
        <v>250000</v>
      </c>
      <c r="O301" s="11">
        <f t="shared" si="29"/>
        <v>4656740000</v>
      </c>
      <c r="P301">
        <f t="shared" si="30"/>
        <v>3725392000</v>
      </c>
      <c r="Q301">
        <f t="shared" si="31"/>
        <v>931348000</v>
      </c>
      <c r="R301" s="7">
        <f t="shared" si="32"/>
        <v>2098</v>
      </c>
      <c r="S301" s="7">
        <f t="shared" si="33"/>
        <v>2</v>
      </c>
      <c r="T301" s="7">
        <f t="shared" si="34"/>
        <v>2098</v>
      </c>
    </row>
    <row r="302" spans="1:20" ht="14.25" customHeight="1" x14ac:dyDescent="0.35">
      <c r="A302" s="2" t="s">
        <v>119</v>
      </c>
      <c r="B302" s="2" t="s">
        <v>12</v>
      </c>
      <c r="C302" s="2" t="s">
        <v>30</v>
      </c>
      <c r="D302" s="2" t="s">
        <v>14</v>
      </c>
      <c r="E302" s="2" t="s">
        <v>15</v>
      </c>
      <c r="F302" s="2" t="s">
        <v>39</v>
      </c>
      <c r="G302" s="2" t="s">
        <v>24</v>
      </c>
      <c r="H302" s="2">
        <v>180000</v>
      </c>
      <c r="I302" s="2">
        <v>3</v>
      </c>
      <c r="J302" s="2" t="s">
        <v>18</v>
      </c>
      <c r="K302" s="2">
        <f t="shared" si="28"/>
        <v>144000</v>
      </c>
      <c r="L302" s="9">
        <f>Table_1[[#This Row],[Unit Price]]*Table_1[[#This Row],[Quantity]]</f>
        <v>540000</v>
      </c>
      <c r="M302" s="8">
        <f>Table_1[[#This Row],[Cost Price]]*Table_1[[#This Row],[Quantity]]</f>
        <v>432000</v>
      </c>
      <c r="N302">
        <f>Table_1[[#This Row],[Revenue]]-Table_1[[#This Row],[COGS]]</f>
        <v>108000</v>
      </c>
      <c r="O302" s="11">
        <f t="shared" si="29"/>
        <v>4656740000</v>
      </c>
      <c r="P302">
        <f t="shared" si="30"/>
        <v>3725392000</v>
      </c>
      <c r="Q302">
        <f t="shared" si="31"/>
        <v>931348000</v>
      </c>
      <c r="R302" s="7">
        <f t="shared" si="32"/>
        <v>2098</v>
      </c>
      <c r="S302" s="7">
        <f t="shared" si="33"/>
        <v>1</v>
      </c>
      <c r="T302" s="7">
        <f t="shared" si="34"/>
        <v>2098</v>
      </c>
    </row>
    <row r="303" spans="1:20" ht="14.25" customHeight="1" x14ac:dyDescent="0.35">
      <c r="A303" s="2" t="s">
        <v>141</v>
      </c>
      <c r="B303" s="2" t="s">
        <v>12</v>
      </c>
      <c r="C303" s="2" t="s">
        <v>30</v>
      </c>
      <c r="D303" s="2" t="s">
        <v>26</v>
      </c>
      <c r="E303" s="2" t="s">
        <v>22</v>
      </c>
      <c r="F303" s="2" t="s">
        <v>41</v>
      </c>
      <c r="G303" s="2" t="s">
        <v>17</v>
      </c>
      <c r="H303" s="2">
        <v>320000</v>
      </c>
      <c r="I303" s="2">
        <v>5</v>
      </c>
      <c r="J303" s="2" t="s">
        <v>50</v>
      </c>
      <c r="K303" s="2">
        <f t="shared" si="28"/>
        <v>256000</v>
      </c>
      <c r="L303" s="9">
        <f>Table_1[[#This Row],[Unit Price]]*Table_1[[#This Row],[Quantity]]</f>
        <v>1600000</v>
      </c>
      <c r="M303" s="8">
        <f>Table_1[[#This Row],[Cost Price]]*Table_1[[#This Row],[Quantity]]</f>
        <v>1280000</v>
      </c>
      <c r="N303">
        <f>Table_1[[#This Row],[Revenue]]-Table_1[[#This Row],[COGS]]</f>
        <v>320000</v>
      </c>
      <c r="O303" s="11">
        <f t="shared" si="29"/>
        <v>4656740000</v>
      </c>
      <c r="P303">
        <f t="shared" si="30"/>
        <v>3725392000</v>
      </c>
      <c r="Q303">
        <f t="shared" si="31"/>
        <v>931348000</v>
      </c>
      <c r="R303" s="7">
        <f t="shared" si="32"/>
        <v>2098</v>
      </c>
      <c r="S303" s="7">
        <f t="shared" si="33"/>
        <v>2</v>
      </c>
      <c r="T303" s="7">
        <f t="shared" si="34"/>
        <v>2098</v>
      </c>
    </row>
    <row r="304" spans="1:20" ht="14.25" customHeight="1" x14ac:dyDescent="0.35">
      <c r="A304" s="2" t="s">
        <v>92</v>
      </c>
      <c r="B304" s="2" t="s">
        <v>29</v>
      </c>
      <c r="C304" s="2" t="s">
        <v>13</v>
      </c>
      <c r="D304" s="2" t="s">
        <v>14</v>
      </c>
      <c r="E304" s="2" t="s">
        <v>22</v>
      </c>
      <c r="F304" s="2" t="s">
        <v>41</v>
      </c>
      <c r="G304" s="2" t="s">
        <v>17</v>
      </c>
      <c r="H304" s="2">
        <v>320000</v>
      </c>
      <c r="I304" s="2">
        <v>10</v>
      </c>
      <c r="J304" s="2" t="s">
        <v>27</v>
      </c>
      <c r="K304" s="2">
        <f t="shared" si="28"/>
        <v>256000</v>
      </c>
      <c r="L304" s="9">
        <f>Table_1[[#This Row],[Unit Price]]*Table_1[[#This Row],[Quantity]]</f>
        <v>3200000</v>
      </c>
      <c r="M304" s="8">
        <f>Table_1[[#This Row],[Cost Price]]*Table_1[[#This Row],[Quantity]]</f>
        <v>2560000</v>
      </c>
      <c r="N304">
        <f>Table_1[[#This Row],[Revenue]]-Table_1[[#This Row],[COGS]]</f>
        <v>640000</v>
      </c>
      <c r="O304" s="11">
        <f t="shared" si="29"/>
        <v>4656740000</v>
      </c>
      <c r="P304">
        <f t="shared" si="30"/>
        <v>3725392000</v>
      </c>
      <c r="Q304">
        <f t="shared" si="31"/>
        <v>931348000</v>
      </c>
      <c r="R304" s="7">
        <f t="shared" si="32"/>
        <v>2098</v>
      </c>
      <c r="S304" s="7">
        <f t="shared" si="33"/>
        <v>2</v>
      </c>
      <c r="T304" s="7">
        <f t="shared" si="34"/>
        <v>2098</v>
      </c>
    </row>
    <row r="305" spans="1:20" ht="14.25" customHeight="1" x14ac:dyDescent="0.35">
      <c r="A305" s="2" t="s">
        <v>64</v>
      </c>
      <c r="B305" s="2" t="s">
        <v>20</v>
      </c>
      <c r="C305" s="2" t="s">
        <v>13</v>
      </c>
      <c r="D305" s="2" t="s">
        <v>26</v>
      </c>
      <c r="E305" s="2" t="s">
        <v>15</v>
      </c>
      <c r="F305" s="2" t="s">
        <v>23</v>
      </c>
      <c r="G305" s="2" t="s">
        <v>24</v>
      </c>
      <c r="H305" s="2">
        <v>30000</v>
      </c>
      <c r="I305" s="2">
        <v>5</v>
      </c>
      <c r="J305" s="2" t="s">
        <v>18</v>
      </c>
      <c r="K305" s="2">
        <f t="shared" si="28"/>
        <v>24000</v>
      </c>
      <c r="L305" s="9">
        <f>Table_1[[#This Row],[Unit Price]]*Table_1[[#This Row],[Quantity]]</f>
        <v>150000</v>
      </c>
      <c r="M305" s="8">
        <f>Table_1[[#This Row],[Cost Price]]*Table_1[[#This Row],[Quantity]]</f>
        <v>120000</v>
      </c>
      <c r="N305">
        <f>Table_1[[#This Row],[Revenue]]-Table_1[[#This Row],[COGS]]</f>
        <v>30000</v>
      </c>
      <c r="O305" s="11">
        <f t="shared" si="29"/>
        <v>4656740000</v>
      </c>
      <c r="P305">
        <f t="shared" si="30"/>
        <v>3725392000</v>
      </c>
      <c r="Q305">
        <f t="shared" si="31"/>
        <v>931348000</v>
      </c>
      <c r="R305" s="7">
        <f t="shared" si="32"/>
        <v>2098</v>
      </c>
      <c r="S305" s="7">
        <f t="shared" si="33"/>
        <v>2</v>
      </c>
      <c r="T305" s="7">
        <f t="shared" si="34"/>
        <v>2098</v>
      </c>
    </row>
    <row r="306" spans="1:20" ht="14.25" customHeight="1" x14ac:dyDescent="0.35">
      <c r="A306" s="2" t="s">
        <v>96</v>
      </c>
      <c r="B306" s="2" t="s">
        <v>34</v>
      </c>
      <c r="C306" s="2" t="s">
        <v>13</v>
      </c>
      <c r="D306" s="2" t="s">
        <v>26</v>
      </c>
      <c r="E306" s="2" t="s">
        <v>22</v>
      </c>
      <c r="F306" s="2" t="s">
        <v>52</v>
      </c>
      <c r="G306" s="2" t="s">
        <v>36</v>
      </c>
      <c r="H306" s="2">
        <v>420000</v>
      </c>
      <c r="I306" s="2">
        <v>3</v>
      </c>
      <c r="J306" s="2" t="s">
        <v>18</v>
      </c>
      <c r="K306" s="2">
        <f t="shared" si="28"/>
        <v>336000</v>
      </c>
      <c r="L306" s="9">
        <f>Table_1[[#This Row],[Unit Price]]*Table_1[[#This Row],[Quantity]]</f>
        <v>1260000</v>
      </c>
      <c r="M306" s="8">
        <f>Table_1[[#This Row],[Cost Price]]*Table_1[[#This Row],[Quantity]]</f>
        <v>1008000</v>
      </c>
      <c r="N306">
        <f>Table_1[[#This Row],[Revenue]]-Table_1[[#This Row],[COGS]]</f>
        <v>252000</v>
      </c>
      <c r="O306" s="11">
        <f t="shared" si="29"/>
        <v>4656740000</v>
      </c>
      <c r="P306">
        <f t="shared" si="30"/>
        <v>3725392000</v>
      </c>
      <c r="Q306">
        <f t="shared" si="31"/>
        <v>931348000</v>
      </c>
      <c r="R306" s="7">
        <f t="shared" si="32"/>
        <v>2098</v>
      </c>
      <c r="S306" s="7">
        <f t="shared" si="33"/>
        <v>2</v>
      </c>
      <c r="T306" s="7">
        <f t="shared" si="34"/>
        <v>2098</v>
      </c>
    </row>
    <row r="307" spans="1:20" ht="14.25" customHeight="1" x14ac:dyDescent="0.35">
      <c r="A307" s="2" t="s">
        <v>37</v>
      </c>
      <c r="B307" s="2" t="s">
        <v>20</v>
      </c>
      <c r="C307" s="2" t="s">
        <v>30</v>
      </c>
      <c r="D307" s="2" t="s">
        <v>14</v>
      </c>
      <c r="E307" s="2" t="s">
        <v>15</v>
      </c>
      <c r="F307" s="2" t="s">
        <v>23</v>
      </c>
      <c r="G307" s="2" t="s">
        <v>24</v>
      </c>
      <c r="H307" s="2">
        <v>30000</v>
      </c>
      <c r="I307" s="2">
        <v>4</v>
      </c>
      <c r="J307" s="2" t="s">
        <v>43</v>
      </c>
      <c r="K307" s="2">
        <f t="shared" si="28"/>
        <v>24000</v>
      </c>
      <c r="L307" s="9">
        <f>Table_1[[#This Row],[Unit Price]]*Table_1[[#This Row],[Quantity]]</f>
        <v>120000</v>
      </c>
      <c r="M307" s="8">
        <f>Table_1[[#This Row],[Cost Price]]*Table_1[[#This Row],[Quantity]]</f>
        <v>96000</v>
      </c>
      <c r="N307">
        <f>Table_1[[#This Row],[Revenue]]-Table_1[[#This Row],[COGS]]</f>
        <v>24000</v>
      </c>
      <c r="O307" s="11">
        <f t="shared" si="29"/>
        <v>4656740000</v>
      </c>
      <c r="P307">
        <f t="shared" si="30"/>
        <v>3725392000</v>
      </c>
      <c r="Q307">
        <f t="shared" si="31"/>
        <v>931348000</v>
      </c>
      <c r="R307" s="7">
        <f t="shared" si="32"/>
        <v>2098</v>
      </c>
      <c r="S307" s="7">
        <f t="shared" si="33"/>
        <v>3</v>
      </c>
      <c r="T307" s="7">
        <f t="shared" si="34"/>
        <v>2098</v>
      </c>
    </row>
    <row r="308" spans="1:20" ht="14.25" customHeight="1" x14ac:dyDescent="0.35">
      <c r="A308" s="2" t="s">
        <v>147</v>
      </c>
      <c r="B308" s="2" t="s">
        <v>20</v>
      </c>
      <c r="C308" s="2" t="s">
        <v>13</v>
      </c>
      <c r="D308" s="2" t="s">
        <v>14</v>
      </c>
      <c r="E308" s="2" t="s">
        <v>15</v>
      </c>
      <c r="F308" s="2" t="s">
        <v>39</v>
      </c>
      <c r="G308" s="2" t="s">
        <v>24</v>
      </c>
      <c r="H308" s="2">
        <v>180000</v>
      </c>
      <c r="I308" s="2">
        <v>4</v>
      </c>
      <c r="J308" s="2" t="s">
        <v>18</v>
      </c>
      <c r="K308" s="2">
        <f t="shared" si="28"/>
        <v>144000</v>
      </c>
      <c r="L308" s="9">
        <f>Table_1[[#This Row],[Unit Price]]*Table_1[[#This Row],[Quantity]]</f>
        <v>720000</v>
      </c>
      <c r="M308" s="8">
        <f>Table_1[[#This Row],[Cost Price]]*Table_1[[#This Row],[Quantity]]</f>
        <v>576000</v>
      </c>
      <c r="N308">
        <f>Table_1[[#This Row],[Revenue]]-Table_1[[#This Row],[COGS]]</f>
        <v>144000</v>
      </c>
      <c r="O308" s="11">
        <f t="shared" si="29"/>
        <v>4656740000</v>
      </c>
      <c r="P308">
        <f t="shared" si="30"/>
        <v>3725392000</v>
      </c>
      <c r="Q308">
        <f t="shared" si="31"/>
        <v>931348000</v>
      </c>
      <c r="R308" s="7">
        <f t="shared" si="32"/>
        <v>2098</v>
      </c>
      <c r="S308" s="7">
        <f t="shared" si="33"/>
        <v>4</v>
      </c>
      <c r="T308" s="7">
        <f t="shared" si="34"/>
        <v>2098</v>
      </c>
    </row>
    <row r="309" spans="1:20" ht="14.25" customHeight="1" x14ac:dyDescent="0.35">
      <c r="A309" s="2" t="s">
        <v>133</v>
      </c>
      <c r="B309" s="2" t="s">
        <v>20</v>
      </c>
      <c r="C309" s="2" t="s">
        <v>21</v>
      </c>
      <c r="D309" s="2" t="s">
        <v>14</v>
      </c>
      <c r="E309" s="2" t="s">
        <v>15</v>
      </c>
      <c r="F309" s="2" t="s">
        <v>56</v>
      </c>
      <c r="G309" s="2" t="s">
        <v>36</v>
      </c>
      <c r="H309" s="2">
        <v>250000</v>
      </c>
      <c r="I309" s="2">
        <v>5</v>
      </c>
      <c r="J309" s="2" t="s">
        <v>54</v>
      </c>
      <c r="K309" s="2">
        <f t="shared" si="28"/>
        <v>200000</v>
      </c>
      <c r="L309" s="9">
        <f>Table_1[[#This Row],[Unit Price]]*Table_1[[#This Row],[Quantity]]</f>
        <v>1250000</v>
      </c>
      <c r="M309" s="8">
        <f>Table_1[[#This Row],[Cost Price]]*Table_1[[#This Row],[Quantity]]</f>
        <v>1000000</v>
      </c>
      <c r="N309">
        <f>Table_1[[#This Row],[Revenue]]-Table_1[[#This Row],[COGS]]</f>
        <v>250000</v>
      </c>
      <c r="O309" s="11">
        <f t="shared" si="29"/>
        <v>4656740000</v>
      </c>
      <c r="P309">
        <f t="shared" si="30"/>
        <v>3725392000</v>
      </c>
      <c r="Q309">
        <f t="shared" si="31"/>
        <v>931348000</v>
      </c>
      <c r="R309" s="7">
        <f t="shared" si="32"/>
        <v>2098</v>
      </c>
      <c r="S309" s="7">
        <f t="shared" si="33"/>
        <v>2</v>
      </c>
      <c r="T309" s="7">
        <f t="shared" si="34"/>
        <v>2098</v>
      </c>
    </row>
    <row r="310" spans="1:20" ht="14.25" customHeight="1" x14ac:dyDescent="0.35">
      <c r="A310" s="2" t="s">
        <v>149</v>
      </c>
      <c r="B310" s="2" t="s">
        <v>12</v>
      </c>
      <c r="C310" s="2" t="s">
        <v>38</v>
      </c>
      <c r="D310" s="2" t="s">
        <v>26</v>
      </c>
      <c r="E310" s="2" t="s">
        <v>22</v>
      </c>
      <c r="F310" s="2" t="s">
        <v>39</v>
      </c>
      <c r="G310" s="2" t="s">
        <v>24</v>
      </c>
      <c r="H310" s="2">
        <v>180000</v>
      </c>
      <c r="I310" s="2">
        <v>3</v>
      </c>
      <c r="J310" s="2" t="s">
        <v>43</v>
      </c>
      <c r="K310" s="2">
        <f t="shared" si="28"/>
        <v>144000</v>
      </c>
      <c r="L310" s="9">
        <f>Table_1[[#This Row],[Unit Price]]*Table_1[[#This Row],[Quantity]]</f>
        <v>540000</v>
      </c>
      <c r="M310" s="8">
        <f>Table_1[[#This Row],[Cost Price]]*Table_1[[#This Row],[Quantity]]</f>
        <v>432000</v>
      </c>
      <c r="N310">
        <f>Table_1[[#This Row],[Revenue]]-Table_1[[#This Row],[COGS]]</f>
        <v>108000</v>
      </c>
      <c r="O310" s="11">
        <f t="shared" si="29"/>
        <v>4656740000</v>
      </c>
      <c r="P310">
        <f t="shared" si="30"/>
        <v>3725392000</v>
      </c>
      <c r="Q310">
        <f t="shared" si="31"/>
        <v>931348000</v>
      </c>
      <c r="R310" s="7">
        <f t="shared" si="32"/>
        <v>2098</v>
      </c>
      <c r="S310" s="7">
        <f t="shared" si="33"/>
        <v>3</v>
      </c>
      <c r="T310" s="7">
        <f t="shared" si="34"/>
        <v>2098</v>
      </c>
    </row>
    <row r="311" spans="1:20" ht="14.25" customHeight="1" x14ac:dyDescent="0.35">
      <c r="A311" s="2" t="s">
        <v>107</v>
      </c>
      <c r="B311" s="2" t="s">
        <v>20</v>
      </c>
      <c r="C311" s="2" t="s">
        <v>13</v>
      </c>
      <c r="D311" s="2" t="s">
        <v>14</v>
      </c>
      <c r="E311" s="2" t="s">
        <v>15</v>
      </c>
      <c r="F311" s="2" t="s">
        <v>35</v>
      </c>
      <c r="G311" s="2" t="s">
        <v>36</v>
      </c>
      <c r="H311" s="2">
        <v>300000</v>
      </c>
      <c r="I311" s="2">
        <v>5</v>
      </c>
      <c r="J311" s="2" t="s">
        <v>54</v>
      </c>
      <c r="K311" s="2">
        <f t="shared" si="28"/>
        <v>240000</v>
      </c>
      <c r="L311" s="9">
        <f>Table_1[[#This Row],[Unit Price]]*Table_1[[#This Row],[Quantity]]</f>
        <v>1500000</v>
      </c>
      <c r="M311" s="8">
        <f>Table_1[[#This Row],[Cost Price]]*Table_1[[#This Row],[Quantity]]</f>
        <v>1200000</v>
      </c>
      <c r="N311">
        <f>Table_1[[#This Row],[Revenue]]-Table_1[[#This Row],[COGS]]</f>
        <v>300000</v>
      </c>
      <c r="O311" s="11">
        <f t="shared" si="29"/>
        <v>4656740000</v>
      </c>
      <c r="P311">
        <f t="shared" si="30"/>
        <v>3725392000</v>
      </c>
      <c r="Q311">
        <f t="shared" si="31"/>
        <v>931348000</v>
      </c>
      <c r="R311" s="7">
        <f t="shared" si="32"/>
        <v>2098</v>
      </c>
      <c r="S311" s="7">
        <f t="shared" si="33"/>
        <v>3</v>
      </c>
      <c r="T311" s="7">
        <f t="shared" si="34"/>
        <v>2098</v>
      </c>
    </row>
    <row r="312" spans="1:20" ht="14.25" customHeight="1" x14ac:dyDescent="0.35">
      <c r="A312" s="2" t="s">
        <v>11</v>
      </c>
      <c r="B312" s="2" t="s">
        <v>12</v>
      </c>
      <c r="C312" s="2" t="s">
        <v>30</v>
      </c>
      <c r="D312" s="2" t="s">
        <v>14</v>
      </c>
      <c r="E312" s="2" t="s">
        <v>22</v>
      </c>
      <c r="F312" s="2" t="s">
        <v>16</v>
      </c>
      <c r="G312" s="2" t="s">
        <v>17</v>
      </c>
      <c r="H312" s="2">
        <v>85000</v>
      </c>
      <c r="I312" s="2">
        <v>8</v>
      </c>
      <c r="J312" s="2" t="s">
        <v>43</v>
      </c>
      <c r="K312" s="2">
        <f t="shared" si="28"/>
        <v>68000</v>
      </c>
      <c r="L312" s="9">
        <f>Table_1[[#This Row],[Unit Price]]*Table_1[[#This Row],[Quantity]]</f>
        <v>680000</v>
      </c>
      <c r="M312" s="8">
        <f>Table_1[[#This Row],[Cost Price]]*Table_1[[#This Row],[Quantity]]</f>
        <v>544000</v>
      </c>
      <c r="N312">
        <f>Table_1[[#This Row],[Revenue]]-Table_1[[#This Row],[COGS]]</f>
        <v>136000</v>
      </c>
      <c r="O312" s="11">
        <f t="shared" si="29"/>
        <v>4656740000</v>
      </c>
      <c r="P312">
        <f t="shared" si="30"/>
        <v>3725392000</v>
      </c>
      <c r="Q312">
        <f t="shared" si="31"/>
        <v>931348000</v>
      </c>
      <c r="R312" s="7">
        <f t="shared" si="32"/>
        <v>2098</v>
      </c>
      <c r="S312" s="7">
        <f t="shared" si="33"/>
        <v>1</v>
      </c>
      <c r="T312" s="7">
        <f t="shared" si="34"/>
        <v>2098</v>
      </c>
    </row>
    <row r="313" spans="1:20" ht="14.25" customHeight="1" x14ac:dyDescent="0.35">
      <c r="A313" s="2" t="s">
        <v>150</v>
      </c>
      <c r="B313" s="2" t="s">
        <v>20</v>
      </c>
      <c r="C313" s="2" t="s">
        <v>21</v>
      </c>
      <c r="D313" s="2" t="s">
        <v>26</v>
      </c>
      <c r="E313" s="2" t="s">
        <v>15</v>
      </c>
      <c r="F313" s="2" t="s">
        <v>39</v>
      </c>
      <c r="G313" s="2" t="s">
        <v>24</v>
      </c>
      <c r="H313" s="2">
        <v>180000</v>
      </c>
      <c r="I313" s="2">
        <v>6</v>
      </c>
      <c r="J313" s="2" t="s">
        <v>54</v>
      </c>
      <c r="K313" s="2">
        <f t="shared" si="28"/>
        <v>144000</v>
      </c>
      <c r="L313" s="9">
        <f>Table_1[[#This Row],[Unit Price]]*Table_1[[#This Row],[Quantity]]</f>
        <v>1080000</v>
      </c>
      <c r="M313" s="8">
        <f>Table_1[[#This Row],[Cost Price]]*Table_1[[#This Row],[Quantity]]</f>
        <v>864000</v>
      </c>
      <c r="N313">
        <f>Table_1[[#This Row],[Revenue]]-Table_1[[#This Row],[COGS]]</f>
        <v>216000</v>
      </c>
      <c r="O313" s="11">
        <f t="shared" si="29"/>
        <v>4656740000</v>
      </c>
      <c r="P313">
        <f t="shared" si="30"/>
        <v>3725392000</v>
      </c>
      <c r="Q313">
        <f t="shared" si="31"/>
        <v>931348000</v>
      </c>
      <c r="R313" s="7">
        <f t="shared" si="32"/>
        <v>2098</v>
      </c>
      <c r="S313" s="7">
        <f t="shared" si="33"/>
        <v>4</v>
      </c>
      <c r="T313" s="7">
        <f t="shared" si="34"/>
        <v>2098</v>
      </c>
    </row>
    <row r="314" spans="1:20" ht="14.25" customHeight="1" x14ac:dyDescent="0.35">
      <c r="A314" s="2" t="s">
        <v>100</v>
      </c>
      <c r="B314" s="2" t="s">
        <v>20</v>
      </c>
      <c r="C314" s="2" t="s">
        <v>21</v>
      </c>
      <c r="D314" s="2" t="s">
        <v>26</v>
      </c>
      <c r="E314" s="2" t="s">
        <v>15</v>
      </c>
      <c r="F314" s="2" t="s">
        <v>52</v>
      </c>
      <c r="G314" s="2" t="s">
        <v>36</v>
      </c>
      <c r="H314" s="2">
        <v>420000</v>
      </c>
      <c r="I314" s="2">
        <v>7</v>
      </c>
      <c r="J314" s="2" t="s">
        <v>50</v>
      </c>
      <c r="K314" s="2">
        <f t="shared" si="28"/>
        <v>336000</v>
      </c>
      <c r="L314" s="9">
        <f>Table_1[[#This Row],[Unit Price]]*Table_1[[#This Row],[Quantity]]</f>
        <v>2940000</v>
      </c>
      <c r="M314" s="8">
        <f>Table_1[[#This Row],[Cost Price]]*Table_1[[#This Row],[Quantity]]</f>
        <v>2352000</v>
      </c>
      <c r="N314">
        <f>Table_1[[#This Row],[Revenue]]-Table_1[[#This Row],[COGS]]</f>
        <v>588000</v>
      </c>
      <c r="O314" s="11">
        <f t="shared" si="29"/>
        <v>4656740000</v>
      </c>
      <c r="P314">
        <f t="shared" si="30"/>
        <v>3725392000</v>
      </c>
      <c r="Q314">
        <f t="shared" si="31"/>
        <v>931348000</v>
      </c>
      <c r="R314" s="7">
        <f t="shared" si="32"/>
        <v>2098</v>
      </c>
      <c r="S314" s="7">
        <f t="shared" si="33"/>
        <v>1</v>
      </c>
      <c r="T314" s="7">
        <f t="shared" si="34"/>
        <v>2098</v>
      </c>
    </row>
    <row r="315" spans="1:20" ht="14.25" customHeight="1" x14ac:dyDescent="0.35">
      <c r="A315" s="2" t="s">
        <v>105</v>
      </c>
      <c r="B315" s="2" t="s">
        <v>29</v>
      </c>
      <c r="C315" s="2" t="s">
        <v>30</v>
      </c>
      <c r="D315" s="2" t="s">
        <v>26</v>
      </c>
      <c r="E315" s="2" t="s">
        <v>15</v>
      </c>
      <c r="F315" s="2" t="s">
        <v>47</v>
      </c>
      <c r="G315" s="2" t="s">
        <v>36</v>
      </c>
      <c r="H315" s="2">
        <v>150000</v>
      </c>
      <c r="I315" s="2">
        <v>8</v>
      </c>
      <c r="J315" s="2" t="s">
        <v>18</v>
      </c>
      <c r="K315" s="2">
        <f t="shared" si="28"/>
        <v>120000</v>
      </c>
      <c r="L315" s="9">
        <f>Table_1[[#This Row],[Unit Price]]*Table_1[[#This Row],[Quantity]]</f>
        <v>1200000</v>
      </c>
      <c r="M315" s="8">
        <f>Table_1[[#This Row],[Cost Price]]*Table_1[[#This Row],[Quantity]]</f>
        <v>960000</v>
      </c>
      <c r="N315">
        <f>Table_1[[#This Row],[Revenue]]-Table_1[[#This Row],[COGS]]</f>
        <v>240000</v>
      </c>
      <c r="O315" s="11">
        <f t="shared" si="29"/>
        <v>4656740000</v>
      </c>
      <c r="P315">
        <f t="shared" si="30"/>
        <v>3725392000</v>
      </c>
      <c r="Q315">
        <f t="shared" si="31"/>
        <v>931348000</v>
      </c>
      <c r="R315" s="7">
        <f t="shared" si="32"/>
        <v>2098</v>
      </c>
      <c r="S315" s="7">
        <f t="shared" si="33"/>
        <v>3</v>
      </c>
      <c r="T315" s="7">
        <f t="shared" si="34"/>
        <v>2098</v>
      </c>
    </row>
    <row r="316" spans="1:20" ht="14.25" customHeight="1" x14ac:dyDescent="0.35">
      <c r="A316" s="2" t="s">
        <v>134</v>
      </c>
      <c r="B316" s="2" t="s">
        <v>20</v>
      </c>
      <c r="C316" s="2" t="s">
        <v>30</v>
      </c>
      <c r="D316" s="2" t="s">
        <v>14</v>
      </c>
      <c r="E316" s="2" t="s">
        <v>15</v>
      </c>
      <c r="F316" s="2" t="s">
        <v>16</v>
      </c>
      <c r="G316" s="2" t="s">
        <v>17</v>
      </c>
      <c r="H316" s="2">
        <v>85000</v>
      </c>
      <c r="I316" s="2">
        <v>6</v>
      </c>
      <c r="J316" s="2" t="s">
        <v>50</v>
      </c>
      <c r="K316" s="2">
        <f t="shared" si="28"/>
        <v>68000</v>
      </c>
      <c r="L316" s="9">
        <f>Table_1[[#This Row],[Unit Price]]*Table_1[[#This Row],[Quantity]]</f>
        <v>510000</v>
      </c>
      <c r="M316" s="8">
        <f>Table_1[[#This Row],[Cost Price]]*Table_1[[#This Row],[Quantity]]</f>
        <v>408000</v>
      </c>
      <c r="N316">
        <f>Table_1[[#This Row],[Revenue]]-Table_1[[#This Row],[COGS]]</f>
        <v>102000</v>
      </c>
      <c r="O316" s="11">
        <f t="shared" si="29"/>
        <v>4656740000</v>
      </c>
      <c r="P316">
        <f t="shared" si="30"/>
        <v>3725392000</v>
      </c>
      <c r="Q316">
        <f t="shared" si="31"/>
        <v>931348000</v>
      </c>
      <c r="R316" s="7">
        <f t="shared" si="32"/>
        <v>2098</v>
      </c>
      <c r="S316" s="7">
        <f t="shared" si="33"/>
        <v>4</v>
      </c>
      <c r="T316" s="7">
        <f t="shared" si="34"/>
        <v>2098</v>
      </c>
    </row>
    <row r="317" spans="1:20" ht="14.25" customHeight="1" x14ac:dyDescent="0.35">
      <c r="A317" s="2" t="s">
        <v>98</v>
      </c>
      <c r="B317" s="2" t="s">
        <v>29</v>
      </c>
      <c r="C317" s="2" t="s">
        <v>13</v>
      </c>
      <c r="D317" s="2" t="s">
        <v>14</v>
      </c>
      <c r="E317" s="2" t="s">
        <v>22</v>
      </c>
      <c r="F317" s="2" t="s">
        <v>39</v>
      </c>
      <c r="G317" s="2" t="s">
        <v>24</v>
      </c>
      <c r="H317" s="2">
        <v>180000</v>
      </c>
      <c r="I317" s="2">
        <v>9</v>
      </c>
      <c r="J317" s="2" t="s">
        <v>32</v>
      </c>
      <c r="K317" s="2">
        <f t="shared" si="28"/>
        <v>144000</v>
      </c>
      <c r="L317" s="9">
        <f>Table_1[[#This Row],[Unit Price]]*Table_1[[#This Row],[Quantity]]</f>
        <v>1620000</v>
      </c>
      <c r="M317" s="8">
        <f>Table_1[[#This Row],[Cost Price]]*Table_1[[#This Row],[Quantity]]</f>
        <v>1296000</v>
      </c>
      <c r="N317">
        <f>Table_1[[#This Row],[Revenue]]-Table_1[[#This Row],[COGS]]</f>
        <v>324000</v>
      </c>
      <c r="O317" s="11">
        <f t="shared" si="29"/>
        <v>4656740000</v>
      </c>
      <c r="P317">
        <f t="shared" si="30"/>
        <v>3725392000</v>
      </c>
      <c r="Q317">
        <f t="shared" si="31"/>
        <v>931348000</v>
      </c>
      <c r="R317" s="7">
        <f t="shared" si="32"/>
        <v>2098</v>
      </c>
      <c r="S317" s="7">
        <f t="shared" si="33"/>
        <v>4</v>
      </c>
      <c r="T317" s="7">
        <f t="shared" si="34"/>
        <v>2098</v>
      </c>
    </row>
    <row r="318" spans="1:20" ht="14.25" customHeight="1" x14ac:dyDescent="0.35">
      <c r="A318" s="2" t="s">
        <v>138</v>
      </c>
      <c r="B318" s="2" t="s">
        <v>12</v>
      </c>
      <c r="C318" s="2" t="s">
        <v>30</v>
      </c>
      <c r="D318" s="2" t="s">
        <v>26</v>
      </c>
      <c r="E318" s="2" t="s">
        <v>15</v>
      </c>
      <c r="F318" s="2" t="s">
        <v>56</v>
      </c>
      <c r="G318" s="2" t="s">
        <v>36</v>
      </c>
      <c r="H318" s="2">
        <v>250000</v>
      </c>
      <c r="I318" s="2">
        <v>5</v>
      </c>
      <c r="J318" s="2" t="s">
        <v>50</v>
      </c>
      <c r="K318" s="2">
        <f t="shared" si="28"/>
        <v>200000</v>
      </c>
      <c r="L318" s="9">
        <f>Table_1[[#This Row],[Unit Price]]*Table_1[[#This Row],[Quantity]]</f>
        <v>1250000</v>
      </c>
      <c r="M318" s="8">
        <f>Table_1[[#This Row],[Cost Price]]*Table_1[[#This Row],[Quantity]]</f>
        <v>1000000</v>
      </c>
      <c r="N318">
        <f>Table_1[[#This Row],[Revenue]]-Table_1[[#This Row],[COGS]]</f>
        <v>250000</v>
      </c>
      <c r="O318" s="11">
        <f t="shared" si="29"/>
        <v>4656740000</v>
      </c>
      <c r="P318">
        <f t="shared" si="30"/>
        <v>3725392000</v>
      </c>
      <c r="Q318">
        <f t="shared" si="31"/>
        <v>931348000</v>
      </c>
      <c r="R318" s="7">
        <f t="shared" si="32"/>
        <v>2098</v>
      </c>
      <c r="S318" s="7">
        <f t="shared" si="33"/>
        <v>3</v>
      </c>
      <c r="T318" s="7">
        <f t="shared" si="34"/>
        <v>2098</v>
      </c>
    </row>
    <row r="319" spans="1:20" ht="14.25" customHeight="1" x14ac:dyDescent="0.35">
      <c r="A319" s="2" t="s">
        <v>145</v>
      </c>
      <c r="B319" s="2" t="s">
        <v>34</v>
      </c>
      <c r="C319" s="2" t="s">
        <v>30</v>
      </c>
      <c r="D319" s="2" t="s">
        <v>14</v>
      </c>
      <c r="E319" s="2" t="s">
        <v>22</v>
      </c>
      <c r="F319" s="2" t="s">
        <v>41</v>
      </c>
      <c r="G319" s="2" t="s">
        <v>17</v>
      </c>
      <c r="H319" s="2">
        <v>320000</v>
      </c>
      <c r="I319" s="2">
        <v>9</v>
      </c>
      <c r="J319" s="2" t="s">
        <v>32</v>
      </c>
      <c r="K319" s="2">
        <f t="shared" si="28"/>
        <v>256000</v>
      </c>
      <c r="L319" s="9">
        <f>Table_1[[#This Row],[Unit Price]]*Table_1[[#This Row],[Quantity]]</f>
        <v>2880000</v>
      </c>
      <c r="M319" s="8">
        <f>Table_1[[#This Row],[Cost Price]]*Table_1[[#This Row],[Quantity]]</f>
        <v>2304000</v>
      </c>
      <c r="N319">
        <f>Table_1[[#This Row],[Revenue]]-Table_1[[#This Row],[COGS]]</f>
        <v>576000</v>
      </c>
      <c r="O319" s="11">
        <f t="shared" si="29"/>
        <v>4656740000</v>
      </c>
      <c r="P319">
        <f t="shared" si="30"/>
        <v>3725392000</v>
      </c>
      <c r="Q319">
        <f t="shared" si="31"/>
        <v>931348000</v>
      </c>
      <c r="R319" s="7">
        <f t="shared" si="32"/>
        <v>2098</v>
      </c>
      <c r="S319" s="7">
        <f t="shared" si="33"/>
        <v>1</v>
      </c>
      <c r="T319" s="7">
        <f t="shared" si="34"/>
        <v>2098</v>
      </c>
    </row>
    <row r="320" spans="1:20" ht="14.25" customHeight="1" x14ac:dyDescent="0.35">
      <c r="A320" s="2" t="s">
        <v>11</v>
      </c>
      <c r="B320" s="2" t="s">
        <v>34</v>
      </c>
      <c r="C320" s="2" t="s">
        <v>21</v>
      </c>
      <c r="D320" s="2" t="s">
        <v>26</v>
      </c>
      <c r="E320" s="2" t="s">
        <v>22</v>
      </c>
      <c r="F320" s="2" t="s">
        <v>47</v>
      </c>
      <c r="G320" s="2" t="s">
        <v>36</v>
      </c>
      <c r="H320" s="2">
        <v>150000</v>
      </c>
      <c r="I320" s="2">
        <v>7</v>
      </c>
      <c r="J320" s="2" t="s">
        <v>27</v>
      </c>
      <c r="K320" s="2">
        <f t="shared" si="28"/>
        <v>120000</v>
      </c>
      <c r="L320" s="9">
        <f>Table_1[[#This Row],[Unit Price]]*Table_1[[#This Row],[Quantity]]</f>
        <v>1050000</v>
      </c>
      <c r="M320" s="8">
        <f>Table_1[[#This Row],[Cost Price]]*Table_1[[#This Row],[Quantity]]</f>
        <v>840000</v>
      </c>
      <c r="N320">
        <f>Table_1[[#This Row],[Revenue]]-Table_1[[#This Row],[COGS]]</f>
        <v>210000</v>
      </c>
      <c r="O320" s="11">
        <f t="shared" si="29"/>
        <v>4656740000</v>
      </c>
      <c r="P320">
        <f t="shared" si="30"/>
        <v>3725392000</v>
      </c>
      <c r="Q320">
        <f t="shared" si="31"/>
        <v>931348000</v>
      </c>
      <c r="R320" s="7">
        <f t="shared" si="32"/>
        <v>2098</v>
      </c>
      <c r="S320" s="7">
        <f t="shared" si="33"/>
        <v>1</v>
      </c>
      <c r="T320" s="7">
        <f t="shared" si="34"/>
        <v>2098</v>
      </c>
    </row>
    <row r="321" spans="1:20" ht="14.25" customHeight="1" x14ac:dyDescent="0.35">
      <c r="A321" s="2" t="s">
        <v>87</v>
      </c>
      <c r="B321" s="2" t="s">
        <v>20</v>
      </c>
      <c r="C321" s="2" t="s">
        <v>13</v>
      </c>
      <c r="D321" s="2" t="s">
        <v>14</v>
      </c>
      <c r="E321" s="2" t="s">
        <v>15</v>
      </c>
      <c r="F321" s="2" t="s">
        <v>52</v>
      </c>
      <c r="G321" s="2" t="s">
        <v>36</v>
      </c>
      <c r="H321" s="2">
        <v>420000</v>
      </c>
      <c r="I321" s="2">
        <v>9</v>
      </c>
      <c r="J321" s="2" t="s">
        <v>50</v>
      </c>
      <c r="K321" s="2">
        <f t="shared" si="28"/>
        <v>336000</v>
      </c>
      <c r="L321" s="9">
        <f>Table_1[[#This Row],[Unit Price]]*Table_1[[#This Row],[Quantity]]</f>
        <v>3780000</v>
      </c>
      <c r="M321" s="8">
        <f>Table_1[[#This Row],[Cost Price]]*Table_1[[#This Row],[Quantity]]</f>
        <v>3024000</v>
      </c>
      <c r="N321">
        <f>Table_1[[#This Row],[Revenue]]-Table_1[[#This Row],[COGS]]</f>
        <v>756000</v>
      </c>
      <c r="O321" s="11">
        <f t="shared" si="29"/>
        <v>4656740000</v>
      </c>
      <c r="P321">
        <f t="shared" si="30"/>
        <v>3725392000</v>
      </c>
      <c r="Q321">
        <f t="shared" si="31"/>
        <v>931348000</v>
      </c>
      <c r="R321" s="7">
        <f t="shared" si="32"/>
        <v>2098</v>
      </c>
      <c r="S321" s="7">
        <f t="shared" si="33"/>
        <v>3</v>
      </c>
      <c r="T321" s="7">
        <f t="shared" si="34"/>
        <v>2098</v>
      </c>
    </row>
    <row r="322" spans="1:20" ht="14.25" customHeight="1" x14ac:dyDescent="0.35">
      <c r="A322" s="2" t="s">
        <v>130</v>
      </c>
      <c r="B322" s="2" t="s">
        <v>29</v>
      </c>
      <c r="C322" s="2" t="s">
        <v>21</v>
      </c>
      <c r="D322" s="2" t="s">
        <v>26</v>
      </c>
      <c r="E322" s="2" t="s">
        <v>22</v>
      </c>
      <c r="F322" s="2" t="s">
        <v>31</v>
      </c>
      <c r="G322" s="2" t="s">
        <v>24</v>
      </c>
      <c r="H322" s="2">
        <v>60000</v>
      </c>
      <c r="I322" s="2">
        <v>4</v>
      </c>
      <c r="J322" s="2" t="s">
        <v>27</v>
      </c>
      <c r="K322" s="2">
        <f t="shared" ref="K322:K385" si="35">H322-H322*0.2</f>
        <v>48000</v>
      </c>
      <c r="L322" s="9">
        <f>Table_1[[#This Row],[Unit Price]]*Table_1[[#This Row],[Quantity]]</f>
        <v>240000</v>
      </c>
      <c r="M322" s="8">
        <f>Table_1[[#This Row],[Cost Price]]*Table_1[[#This Row],[Quantity]]</f>
        <v>192000</v>
      </c>
      <c r="N322">
        <f>Table_1[[#This Row],[Revenue]]-Table_1[[#This Row],[COGS]]</f>
        <v>48000</v>
      </c>
      <c r="O322" s="11">
        <f t="shared" ref="O322:O385" si="36">SUM(L$2:L$1048576)</f>
        <v>4656740000</v>
      </c>
      <c r="P322">
        <f t="shared" ref="P322:P385" si="37">SUM(M:M)</f>
        <v>3725392000</v>
      </c>
      <c r="Q322">
        <f t="shared" ref="Q322:Q385" si="38">SUM(N:N)</f>
        <v>931348000</v>
      </c>
      <c r="R322" s="7">
        <f t="shared" ref="R322:R385" si="39">COUNTA(A$2:A$1048576)</f>
        <v>2098</v>
      </c>
      <c r="S322" s="7">
        <f t="shared" ref="S322:S385" si="40">MONTH(A322:A1810)</f>
        <v>1</v>
      </c>
      <c r="T322" s="7">
        <f t="shared" ref="T322:T385" si="41">COUNTA(A:A)-1</f>
        <v>2098</v>
      </c>
    </row>
    <row r="323" spans="1:20" ht="14.25" customHeight="1" x14ac:dyDescent="0.35">
      <c r="A323" s="2" t="s">
        <v>108</v>
      </c>
      <c r="B323" s="2" t="s">
        <v>12</v>
      </c>
      <c r="C323" s="2" t="s">
        <v>30</v>
      </c>
      <c r="D323" s="2" t="s">
        <v>14</v>
      </c>
      <c r="E323" s="2" t="s">
        <v>22</v>
      </c>
      <c r="F323" s="2" t="s">
        <v>56</v>
      </c>
      <c r="G323" s="2" t="s">
        <v>36</v>
      </c>
      <c r="H323" s="2">
        <v>250000</v>
      </c>
      <c r="I323" s="2">
        <v>5</v>
      </c>
      <c r="J323" s="2" t="s">
        <v>27</v>
      </c>
      <c r="K323" s="2">
        <f t="shared" si="35"/>
        <v>200000</v>
      </c>
      <c r="L323" s="9">
        <f>Table_1[[#This Row],[Unit Price]]*Table_1[[#This Row],[Quantity]]</f>
        <v>1250000</v>
      </c>
      <c r="M323" s="8">
        <f>Table_1[[#This Row],[Cost Price]]*Table_1[[#This Row],[Quantity]]</f>
        <v>1000000</v>
      </c>
      <c r="N323">
        <f>Table_1[[#This Row],[Revenue]]-Table_1[[#This Row],[COGS]]</f>
        <v>250000</v>
      </c>
      <c r="O323" s="11">
        <f t="shared" si="36"/>
        <v>4656740000</v>
      </c>
      <c r="P323">
        <f t="shared" si="37"/>
        <v>3725392000</v>
      </c>
      <c r="Q323">
        <f t="shared" si="38"/>
        <v>931348000</v>
      </c>
      <c r="R323" s="7">
        <f t="shared" si="39"/>
        <v>2098</v>
      </c>
      <c r="S323" s="7">
        <f t="shared" si="40"/>
        <v>4</v>
      </c>
      <c r="T323" s="7">
        <f t="shared" si="41"/>
        <v>2098</v>
      </c>
    </row>
    <row r="324" spans="1:20" ht="14.25" customHeight="1" x14ac:dyDescent="0.35">
      <c r="A324" s="2" t="s">
        <v>95</v>
      </c>
      <c r="B324" s="2" t="s">
        <v>12</v>
      </c>
      <c r="C324" s="2" t="s">
        <v>30</v>
      </c>
      <c r="D324" s="2" t="s">
        <v>26</v>
      </c>
      <c r="E324" s="2" t="s">
        <v>15</v>
      </c>
      <c r="F324" s="2" t="s">
        <v>35</v>
      </c>
      <c r="G324" s="2" t="s">
        <v>36</v>
      </c>
      <c r="H324" s="2">
        <v>300000</v>
      </c>
      <c r="I324" s="2">
        <v>8</v>
      </c>
      <c r="J324" s="2" t="s">
        <v>43</v>
      </c>
      <c r="K324" s="2">
        <f t="shared" si="35"/>
        <v>240000</v>
      </c>
      <c r="L324" s="9">
        <f>Table_1[[#This Row],[Unit Price]]*Table_1[[#This Row],[Quantity]]</f>
        <v>2400000</v>
      </c>
      <c r="M324" s="8">
        <f>Table_1[[#This Row],[Cost Price]]*Table_1[[#This Row],[Quantity]]</f>
        <v>1920000</v>
      </c>
      <c r="N324">
        <f>Table_1[[#This Row],[Revenue]]-Table_1[[#This Row],[COGS]]</f>
        <v>480000</v>
      </c>
      <c r="O324" s="11">
        <f t="shared" si="36"/>
        <v>4656740000</v>
      </c>
      <c r="P324">
        <f t="shared" si="37"/>
        <v>3725392000</v>
      </c>
      <c r="Q324">
        <f t="shared" si="38"/>
        <v>931348000</v>
      </c>
      <c r="R324" s="7">
        <f t="shared" si="39"/>
        <v>2098</v>
      </c>
      <c r="S324" s="7">
        <f t="shared" si="40"/>
        <v>1</v>
      </c>
      <c r="T324" s="7">
        <f t="shared" si="41"/>
        <v>2098</v>
      </c>
    </row>
    <row r="325" spans="1:20" ht="14.25" customHeight="1" x14ac:dyDescent="0.35">
      <c r="A325" s="2" t="s">
        <v>151</v>
      </c>
      <c r="B325" s="2" t="s">
        <v>12</v>
      </c>
      <c r="C325" s="2" t="s">
        <v>30</v>
      </c>
      <c r="D325" s="2" t="s">
        <v>26</v>
      </c>
      <c r="E325" s="2" t="s">
        <v>15</v>
      </c>
      <c r="F325" s="2" t="s">
        <v>52</v>
      </c>
      <c r="G325" s="2" t="s">
        <v>36</v>
      </c>
      <c r="H325" s="2">
        <v>420000</v>
      </c>
      <c r="I325" s="2">
        <v>4</v>
      </c>
      <c r="J325" s="2" t="s">
        <v>54</v>
      </c>
      <c r="K325" s="2">
        <f t="shared" si="35"/>
        <v>336000</v>
      </c>
      <c r="L325" s="9">
        <f>Table_1[[#This Row],[Unit Price]]*Table_1[[#This Row],[Quantity]]</f>
        <v>1680000</v>
      </c>
      <c r="M325" s="8">
        <f>Table_1[[#This Row],[Cost Price]]*Table_1[[#This Row],[Quantity]]</f>
        <v>1344000</v>
      </c>
      <c r="N325">
        <f>Table_1[[#This Row],[Revenue]]-Table_1[[#This Row],[COGS]]</f>
        <v>336000</v>
      </c>
      <c r="O325" s="11">
        <f t="shared" si="36"/>
        <v>4656740000</v>
      </c>
      <c r="P325">
        <f t="shared" si="37"/>
        <v>3725392000</v>
      </c>
      <c r="Q325">
        <f t="shared" si="38"/>
        <v>931348000</v>
      </c>
      <c r="R325" s="7">
        <f t="shared" si="39"/>
        <v>2098</v>
      </c>
      <c r="S325" s="7">
        <f t="shared" si="40"/>
        <v>1</v>
      </c>
      <c r="T325" s="7">
        <f t="shared" si="41"/>
        <v>2098</v>
      </c>
    </row>
    <row r="326" spans="1:20" ht="14.25" customHeight="1" x14ac:dyDescent="0.35">
      <c r="A326" s="2" t="s">
        <v>53</v>
      </c>
      <c r="B326" s="2" t="s">
        <v>12</v>
      </c>
      <c r="C326" s="2" t="s">
        <v>30</v>
      </c>
      <c r="D326" s="2" t="s">
        <v>26</v>
      </c>
      <c r="E326" s="2" t="s">
        <v>22</v>
      </c>
      <c r="F326" s="2" t="s">
        <v>23</v>
      </c>
      <c r="G326" s="2" t="s">
        <v>24</v>
      </c>
      <c r="H326" s="2">
        <v>30000</v>
      </c>
      <c r="I326" s="2">
        <v>4</v>
      </c>
      <c r="J326" s="2" t="s">
        <v>27</v>
      </c>
      <c r="K326" s="2">
        <f t="shared" si="35"/>
        <v>24000</v>
      </c>
      <c r="L326" s="9">
        <f>Table_1[[#This Row],[Unit Price]]*Table_1[[#This Row],[Quantity]]</f>
        <v>120000</v>
      </c>
      <c r="M326" s="8">
        <f>Table_1[[#This Row],[Cost Price]]*Table_1[[#This Row],[Quantity]]</f>
        <v>96000</v>
      </c>
      <c r="N326">
        <f>Table_1[[#This Row],[Revenue]]-Table_1[[#This Row],[COGS]]</f>
        <v>24000</v>
      </c>
      <c r="O326" s="11">
        <f t="shared" si="36"/>
        <v>4656740000</v>
      </c>
      <c r="P326">
        <f t="shared" si="37"/>
        <v>3725392000</v>
      </c>
      <c r="Q326">
        <f t="shared" si="38"/>
        <v>931348000</v>
      </c>
      <c r="R326" s="7">
        <f t="shared" si="39"/>
        <v>2098</v>
      </c>
      <c r="S326" s="7">
        <f t="shared" si="40"/>
        <v>3</v>
      </c>
      <c r="T326" s="7">
        <f t="shared" si="41"/>
        <v>2098</v>
      </c>
    </row>
    <row r="327" spans="1:20" ht="14.25" customHeight="1" x14ac:dyDescent="0.35">
      <c r="A327" s="2" t="s">
        <v>130</v>
      </c>
      <c r="B327" s="2" t="s">
        <v>20</v>
      </c>
      <c r="C327" s="2" t="s">
        <v>38</v>
      </c>
      <c r="D327" s="2" t="s">
        <v>14</v>
      </c>
      <c r="E327" s="2" t="s">
        <v>15</v>
      </c>
      <c r="F327" s="2" t="s">
        <v>41</v>
      </c>
      <c r="G327" s="2" t="s">
        <v>17</v>
      </c>
      <c r="H327" s="2">
        <v>320000</v>
      </c>
      <c r="I327" s="2">
        <v>7</v>
      </c>
      <c r="J327" s="2" t="s">
        <v>27</v>
      </c>
      <c r="K327" s="2">
        <f t="shared" si="35"/>
        <v>256000</v>
      </c>
      <c r="L327" s="9">
        <f>Table_1[[#This Row],[Unit Price]]*Table_1[[#This Row],[Quantity]]</f>
        <v>2240000</v>
      </c>
      <c r="M327" s="8">
        <f>Table_1[[#This Row],[Cost Price]]*Table_1[[#This Row],[Quantity]]</f>
        <v>1792000</v>
      </c>
      <c r="N327">
        <f>Table_1[[#This Row],[Revenue]]-Table_1[[#This Row],[COGS]]</f>
        <v>448000</v>
      </c>
      <c r="O327" s="11">
        <f t="shared" si="36"/>
        <v>4656740000</v>
      </c>
      <c r="P327">
        <f t="shared" si="37"/>
        <v>3725392000</v>
      </c>
      <c r="Q327">
        <f t="shared" si="38"/>
        <v>931348000</v>
      </c>
      <c r="R327" s="7">
        <f t="shared" si="39"/>
        <v>2098</v>
      </c>
      <c r="S327" s="7">
        <f t="shared" si="40"/>
        <v>1</v>
      </c>
      <c r="T327" s="7">
        <f t="shared" si="41"/>
        <v>2098</v>
      </c>
    </row>
    <row r="328" spans="1:20" ht="14.25" customHeight="1" x14ac:dyDescent="0.35">
      <c r="A328" s="2" t="s">
        <v>86</v>
      </c>
      <c r="B328" s="2" t="s">
        <v>29</v>
      </c>
      <c r="C328" s="2" t="s">
        <v>21</v>
      </c>
      <c r="D328" s="2" t="s">
        <v>14</v>
      </c>
      <c r="E328" s="2" t="s">
        <v>15</v>
      </c>
      <c r="F328" s="2" t="s">
        <v>47</v>
      </c>
      <c r="G328" s="2" t="s">
        <v>36</v>
      </c>
      <c r="H328" s="2">
        <v>150000</v>
      </c>
      <c r="I328" s="2">
        <v>8</v>
      </c>
      <c r="J328" s="2" t="s">
        <v>50</v>
      </c>
      <c r="K328" s="2">
        <f t="shared" si="35"/>
        <v>120000</v>
      </c>
      <c r="L328" s="9">
        <f>Table_1[[#This Row],[Unit Price]]*Table_1[[#This Row],[Quantity]]</f>
        <v>1200000</v>
      </c>
      <c r="M328" s="8">
        <f>Table_1[[#This Row],[Cost Price]]*Table_1[[#This Row],[Quantity]]</f>
        <v>960000</v>
      </c>
      <c r="N328">
        <f>Table_1[[#This Row],[Revenue]]-Table_1[[#This Row],[COGS]]</f>
        <v>240000</v>
      </c>
      <c r="O328" s="11">
        <f t="shared" si="36"/>
        <v>4656740000</v>
      </c>
      <c r="P328">
        <f t="shared" si="37"/>
        <v>3725392000</v>
      </c>
      <c r="Q328">
        <f t="shared" si="38"/>
        <v>931348000</v>
      </c>
      <c r="R328" s="7">
        <f t="shared" si="39"/>
        <v>2098</v>
      </c>
      <c r="S328" s="7">
        <f t="shared" si="40"/>
        <v>1</v>
      </c>
      <c r="T328" s="7">
        <f t="shared" si="41"/>
        <v>2098</v>
      </c>
    </row>
    <row r="329" spans="1:20" ht="14.25" customHeight="1" x14ac:dyDescent="0.35">
      <c r="A329" s="2" t="s">
        <v>113</v>
      </c>
      <c r="B329" s="2" t="s">
        <v>12</v>
      </c>
      <c r="C329" s="2" t="s">
        <v>21</v>
      </c>
      <c r="D329" s="2" t="s">
        <v>14</v>
      </c>
      <c r="E329" s="2" t="s">
        <v>22</v>
      </c>
      <c r="F329" s="2" t="s">
        <v>31</v>
      </c>
      <c r="G329" s="2" t="s">
        <v>24</v>
      </c>
      <c r="H329" s="2">
        <v>60000</v>
      </c>
      <c r="I329" s="2">
        <v>7</v>
      </c>
      <c r="J329" s="2" t="s">
        <v>32</v>
      </c>
      <c r="K329" s="2">
        <f t="shared" si="35"/>
        <v>48000</v>
      </c>
      <c r="L329" s="9">
        <f>Table_1[[#This Row],[Unit Price]]*Table_1[[#This Row],[Quantity]]</f>
        <v>420000</v>
      </c>
      <c r="M329" s="8">
        <f>Table_1[[#This Row],[Cost Price]]*Table_1[[#This Row],[Quantity]]</f>
        <v>336000</v>
      </c>
      <c r="N329">
        <f>Table_1[[#This Row],[Revenue]]-Table_1[[#This Row],[COGS]]</f>
        <v>84000</v>
      </c>
      <c r="O329" s="11">
        <f t="shared" si="36"/>
        <v>4656740000</v>
      </c>
      <c r="P329">
        <f t="shared" si="37"/>
        <v>3725392000</v>
      </c>
      <c r="Q329">
        <f t="shared" si="38"/>
        <v>931348000</v>
      </c>
      <c r="R329" s="7">
        <f t="shared" si="39"/>
        <v>2098</v>
      </c>
      <c r="S329" s="7">
        <f t="shared" si="40"/>
        <v>3</v>
      </c>
      <c r="T329" s="7">
        <f t="shared" si="41"/>
        <v>2098</v>
      </c>
    </row>
    <row r="330" spans="1:20" ht="14.25" customHeight="1" x14ac:dyDescent="0.35">
      <c r="A330" s="2" t="s">
        <v>101</v>
      </c>
      <c r="B330" s="2" t="s">
        <v>29</v>
      </c>
      <c r="C330" s="2" t="s">
        <v>30</v>
      </c>
      <c r="D330" s="2" t="s">
        <v>14</v>
      </c>
      <c r="E330" s="2" t="s">
        <v>15</v>
      </c>
      <c r="F330" s="2" t="s">
        <v>39</v>
      </c>
      <c r="G330" s="2" t="s">
        <v>24</v>
      </c>
      <c r="H330" s="2">
        <v>180000</v>
      </c>
      <c r="I330" s="2">
        <v>4</v>
      </c>
      <c r="J330" s="2" t="s">
        <v>27</v>
      </c>
      <c r="K330" s="2">
        <f t="shared" si="35"/>
        <v>144000</v>
      </c>
      <c r="L330" s="9">
        <f>Table_1[[#This Row],[Unit Price]]*Table_1[[#This Row],[Quantity]]</f>
        <v>720000</v>
      </c>
      <c r="M330" s="8">
        <f>Table_1[[#This Row],[Cost Price]]*Table_1[[#This Row],[Quantity]]</f>
        <v>576000</v>
      </c>
      <c r="N330">
        <f>Table_1[[#This Row],[Revenue]]-Table_1[[#This Row],[COGS]]</f>
        <v>144000</v>
      </c>
      <c r="O330" s="11">
        <f t="shared" si="36"/>
        <v>4656740000</v>
      </c>
      <c r="P330">
        <f t="shared" si="37"/>
        <v>3725392000</v>
      </c>
      <c r="Q330">
        <f t="shared" si="38"/>
        <v>931348000</v>
      </c>
      <c r="R330" s="7">
        <f t="shared" si="39"/>
        <v>2098</v>
      </c>
      <c r="S330" s="7">
        <f t="shared" si="40"/>
        <v>4</v>
      </c>
      <c r="T330" s="7">
        <f t="shared" si="41"/>
        <v>2098</v>
      </c>
    </row>
    <row r="331" spans="1:20" ht="14.25" customHeight="1" x14ac:dyDescent="0.35">
      <c r="A331" s="2" t="s">
        <v>49</v>
      </c>
      <c r="B331" s="2" t="s">
        <v>12</v>
      </c>
      <c r="C331" s="2" t="s">
        <v>30</v>
      </c>
      <c r="D331" s="2" t="s">
        <v>26</v>
      </c>
      <c r="E331" s="2" t="s">
        <v>22</v>
      </c>
      <c r="F331" s="2" t="s">
        <v>52</v>
      </c>
      <c r="G331" s="2" t="s">
        <v>36</v>
      </c>
      <c r="H331" s="2">
        <v>420000</v>
      </c>
      <c r="I331" s="2">
        <v>8</v>
      </c>
      <c r="J331" s="2" t="s">
        <v>50</v>
      </c>
      <c r="K331" s="2">
        <f t="shared" si="35"/>
        <v>336000</v>
      </c>
      <c r="L331" s="9">
        <f>Table_1[[#This Row],[Unit Price]]*Table_1[[#This Row],[Quantity]]</f>
        <v>3360000</v>
      </c>
      <c r="M331" s="8">
        <f>Table_1[[#This Row],[Cost Price]]*Table_1[[#This Row],[Quantity]]</f>
        <v>2688000</v>
      </c>
      <c r="N331">
        <f>Table_1[[#This Row],[Revenue]]-Table_1[[#This Row],[COGS]]</f>
        <v>672000</v>
      </c>
      <c r="O331" s="11">
        <f t="shared" si="36"/>
        <v>4656740000</v>
      </c>
      <c r="P331">
        <f t="shared" si="37"/>
        <v>3725392000</v>
      </c>
      <c r="Q331">
        <f t="shared" si="38"/>
        <v>931348000</v>
      </c>
      <c r="R331" s="7">
        <f t="shared" si="39"/>
        <v>2098</v>
      </c>
      <c r="S331" s="7">
        <f t="shared" si="40"/>
        <v>4</v>
      </c>
      <c r="T331" s="7">
        <f t="shared" si="41"/>
        <v>2098</v>
      </c>
    </row>
    <row r="332" spans="1:20" ht="14.25" customHeight="1" x14ac:dyDescent="0.35">
      <c r="A332" s="2" t="s">
        <v>97</v>
      </c>
      <c r="B332" s="2" t="s">
        <v>12</v>
      </c>
      <c r="C332" s="2" t="s">
        <v>30</v>
      </c>
      <c r="D332" s="2" t="s">
        <v>14</v>
      </c>
      <c r="E332" s="2" t="s">
        <v>22</v>
      </c>
      <c r="F332" s="2" t="s">
        <v>35</v>
      </c>
      <c r="G332" s="2" t="s">
        <v>36</v>
      </c>
      <c r="H332" s="2">
        <v>300000</v>
      </c>
      <c r="I332" s="2">
        <v>2</v>
      </c>
      <c r="J332" s="2" t="s">
        <v>54</v>
      </c>
      <c r="K332" s="2">
        <f t="shared" si="35"/>
        <v>240000</v>
      </c>
      <c r="L332" s="9">
        <f>Table_1[[#This Row],[Unit Price]]*Table_1[[#This Row],[Quantity]]</f>
        <v>600000</v>
      </c>
      <c r="M332" s="8">
        <f>Table_1[[#This Row],[Cost Price]]*Table_1[[#This Row],[Quantity]]</f>
        <v>480000</v>
      </c>
      <c r="N332">
        <f>Table_1[[#This Row],[Revenue]]-Table_1[[#This Row],[COGS]]</f>
        <v>120000</v>
      </c>
      <c r="O332" s="11">
        <f t="shared" si="36"/>
        <v>4656740000</v>
      </c>
      <c r="P332">
        <f t="shared" si="37"/>
        <v>3725392000</v>
      </c>
      <c r="Q332">
        <f t="shared" si="38"/>
        <v>931348000</v>
      </c>
      <c r="R332" s="7">
        <f t="shared" si="39"/>
        <v>2098</v>
      </c>
      <c r="S332" s="7">
        <f t="shared" si="40"/>
        <v>2</v>
      </c>
      <c r="T332" s="7">
        <f t="shared" si="41"/>
        <v>2098</v>
      </c>
    </row>
    <row r="333" spans="1:20" ht="14.25" customHeight="1" x14ac:dyDescent="0.35">
      <c r="A333" s="2" t="s">
        <v>146</v>
      </c>
      <c r="B333" s="2" t="s">
        <v>29</v>
      </c>
      <c r="C333" s="2" t="s">
        <v>21</v>
      </c>
      <c r="D333" s="2" t="s">
        <v>26</v>
      </c>
      <c r="E333" s="2" t="s">
        <v>15</v>
      </c>
      <c r="F333" s="2" t="s">
        <v>52</v>
      </c>
      <c r="G333" s="2" t="s">
        <v>36</v>
      </c>
      <c r="H333" s="2">
        <v>420000</v>
      </c>
      <c r="I333" s="2">
        <v>3</v>
      </c>
      <c r="J333" s="2" t="s">
        <v>50</v>
      </c>
      <c r="K333" s="2">
        <f t="shared" si="35"/>
        <v>336000</v>
      </c>
      <c r="L333" s="9">
        <f>Table_1[[#This Row],[Unit Price]]*Table_1[[#This Row],[Quantity]]</f>
        <v>1260000</v>
      </c>
      <c r="M333" s="8">
        <f>Table_1[[#This Row],[Cost Price]]*Table_1[[#This Row],[Quantity]]</f>
        <v>1008000</v>
      </c>
      <c r="N333">
        <f>Table_1[[#This Row],[Revenue]]-Table_1[[#This Row],[COGS]]</f>
        <v>252000</v>
      </c>
      <c r="O333" s="11">
        <f t="shared" si="36"/>
        <v>4656740000</v>
      </c>
      <c r="P333">
        <f t="shared" si="37"/>
        <v>3725392000</v>
      </c>
      <c r="Q333">
        <f t="shared" si="38"/>
        <v>931348000</v>
      </c>
      <c r="R333" s="7">
        <f t="shared" si="39"/>
        <v>2098</v>
      </c>
      <c r="S333" s="7">
        <f t="shared" si="40"/>
        <v>3</v>
      </c>
      <c r="T333" s="7">
        <f t="shared" si="41"/>
        <v>2098</v>
      </c>
    </row>
    <row r="334" spans="1:20" ht="14.25" customHeight="1" x14ac:dyDescent="0.35">
      <c r="A334" s="2" t="s">
        <v>105</v>
      </c>
      <c r="B334" s="2" t="s">
        <v>34</v>
      </c>
      <c r="C334" s="2" t="s">
        <v>30</v>
      </c>
      <c r="D334" s="2" t="s">
        <v>14</v>
      </c>
      <c r="E334" s="2" t="s">
        <v>15</v>
      </c>
      <c r="F334" s="2" t="s">
        <v>16</v>
      </c>
      <c r="G334" s="2" t="s">
        <v>17</v>
      </c>
      <c r="H334" s="2">
        <v>85000</v>
      </c>
      <c r="I334" s="2">
        <v>3</v>
      </c>
      <c r="J334" s="2" t="s">
        <v>32</v>
      </c>
      <c r="K334" s="2">
        <f t="shared" si="35"/>
        <v>68000</v>
      </c>
      <c r="L334" s="9">
        <f>Table_1[[#This Row],[Unit Price]]*Table_1[[#This Row],[Quantity]]</f>
        <v>255000</v>
      </c>
      <c r="M334" s="8">
        <f>Table_1[[#This Row],[Cost Price]]*Table_1[[#This Row],[Quantity]]</f>
        <v>204000</v>
      </c>
      <c r="N334">
        <f>Table_1[[#This Row],[Revenue]]-Table_1[[#This Row],[COGS]]</f>
        <v>51000</v>
      </c>
      <c r="O334" s="11">
        <f t="shared" si="36"/>
        <v>4656740000</v>
      </c>
      <c r="P334">
        <f t="shared" si="37"/>
        <v>3725392000</v>
      </c>
      <c r="Q334">
        <f t="shared" si="38"/>
        <v>931348000</v>
      </c>
      <c r="R334" s="7">
        <f t="shared" si="39"/>
        <v>2098</v>
      </c>
      <c r="S334" s="7">
        <f t="shared" si="40"/>
        <v>3</v>
      </c>
      <c r="T334" s="7">
        <f t="shared" si="41"/>
        <v>2098</v>
      </c>
    </row>
    <row r="335" spans="1:20" ht="14.25" customHeight="1" x14ac:dyDescent="0.35">
      <c r="A335" s="2" t="s">
        <v>83</v>
      </c>
      <c r="B335" s="2" t="s">
        <v>12</v>
      </c>
      <c r="C335" s="2" t="s">
        <v>38</v>
      </c>
      <c r="D335" s="2" t="s">
        <v>26</v>
      </c>
      <c r="E335" s="2" t="s">
        <v>22</v>
      </c>
      <c r="F335" s="2" t="s">
        <v>31</v>
      </c>
      <c r="G335" s="2" t="s">
        <v>24</v>
      </c>
      <c r="H335" s="2">
        <v>60000</v>
      </c>
      <c r="I335" s="2">
        <v>8</v>
      </c>
      <c r="J335" s="2" t="s">
        <v>27</v>
      </c>
      <c r="K335" s="2">
        <f t="shared" si="35"/>
        <v>48000</v>
      </c>
      <c r="L335" s="9">
        <f>Table_1[[#This Row],[Unit Price]]*Table_1[[#This Row],[Quantity]]</f>
        <v>480000</v>
      </c>
      <c r="M335" s="8">
        <f>Table_1[[#This Row],[Cost Price]]*Table_1[[#This Row],[Quantity]]</f>
        <v>384000</v>
      </c>
      <c r="N335">
        <f>Table_1[[#This Row],[Revenue]]-Table_1[[#This Row],[COGS]]</f>
        <v>96000</v>
      </c>
      <c r="O335" s="11">
        <f t="shared" si="36"/>
        <v>4656740000</v>
      </c>
      <c r="P335">
        <f t="shared" si="37"/>
        <v>3725392000</v>
      </c>
      <c r="Q335">
        <f t="shared" si="38"/>
        <v>931348000</v>
      </c>
      <c r="R335" s="7">
        <f t="shared" si="39"/>
        <v>2098</v>
      </c>
      <c r="S335" s="7">
        <f t="shared" si="40"/>
        <v>1</v>
      </c>
      <c r="T335" s="7">
        <f t="shared" si="41"/>
        <v>2098</v>
      </c>
    </row>
    <row r="336" spans="1:20" ht="14.25" customHeight="1" x14ac:dyDescent="0.35">
      <c r="A336" s="2" t="s">
        <v>131</v>
      </c>
      <c r="B336" s="2" t="s">
        <v>12</v>
      </c>
      <c r="C336" s="2" t="s">
        <v>21</v>
      </c>
      <c r="D336" s="2" t="s">
        <v>26</v>
      </c>
      <c r="E336" s="2" t="s">
        <v>22</v>
      </c>
      <c r="F336" s="2" t="s">
        <v>39</v>
      </c>
      <c r="G336" s="2" t="s">
        <v>24</v>
      </c>
      <c r="H336" s="2">
        <v>180000</v>
      </c>
      <c r="I336" s="2">
        <v>10</v>
      </c>
      <c r="J336" s="2" t="s">
        <v>43</v>
      </c>
      <c r="K336" s="2">
        <f t="shared" si="35"/>
        <v>144000</v>
      </c>
      <c r="L336" s="9">
        <f>Table_1[[#This Row],[Unit Price]]*Table_1[[#This Row],[Quantity]]</f>
        <v>1800000</v>
      </c>
      <c r="M336" s="8">
        <f>Table_1[[#This Row],[Cost Price]]*Table_1[[#This Row],[Quantity]]</f>
        <v>1440000</v>
      </c>
      <c r="N336">
        <f>Table_1[[#This Row],[Revenue]]-Table_1[[#This Row],[COGS]]</f>
        <v>360000</v>
      </c>
      <c r="O336" s="11">
        <f t="shared" si="36"/>
        <v>4656740000</v>
      </c>
      <c r="P336">
        <f t="shared" si="37"/>
        <v>3725392000</v>
      </c>
      <c r="Q336">
        <f t="shared" si="38"/>
        <v>931348000</v>
      </c>
      <c r="R336" s="7">
        <f t="shared" si="39"/>
        <v>2098</v>
      </c>
      <c r="S336" s="7">
        <f t="shared" si="40"/>
        <v>1</v>
      </c>
      <c r="T336" s="7">
        <f t="shared" si="41"/>
        <v>2098</v>
      </c>
    </row>
    <row r="337" spans="1:20" ht="14.25" customHeight="1" x14ac:dyDescent="0.35">
      <c r="A337" s="2" t="s">
        <v>87</v>
      </c>
      <c r="B337" s="2" t="s">
        <v>20</v>
      </c>
      <c r="C337" s="2" t="s">
        <v>38</v>
      </c>
      <c r="D337" s="2" t="s">
        <v>26</v>
      </c>
      <c r="E337" s="2" t="s">
        <v>15</v>
      </c>
      <c r="F337" s="2" t="s">
        <v>39</v>
      </c>
      <c r="G337" s="2" t="s">
        <v>24</v>
      </c>
      <c r="H337" s="2">
        <v>180000</v>
      </c>
      <c r="I337" s="2">
        <v>7</v>
      </c>
      <c r="J337" s="2" t="s">
        <v>18</v>
      </c>
      <c r="K337" s="2">
        <f t="shared" si="35"/>
        <v>144000</v>
      </c>
      <c r="L337" s="9">
        <f>Table_1[[#This Row],[Unit Price]]*Table_1[[#This Row],[Quantity]]</f>
        <v>1260000</v>
      </c>
      <c r="M337" s="8">
        <f>Table_1[[#This Row],[Cost Price]]*Table_1[[#This Row],[Quantity]]</f>
        <v>1008000</v>
      </c>
      <c r="N337">
        <f>Table_1[[#This Row],[Revenue]]-Table_1[[#This Row],[COGS]]</f>
        <v>252000</v>
      </c>
      <c r="O337" s="11">
        <f t="shared" si="36"/>
        <v>4656740000</v>
      </c>
      <c r="P337">
        <f t="shared" si="37"/>
        <v>3725392000</v>
      </c>
      <c r="Q337">
        <f t="shared" si="38"/>
        <v>931348000</v>
      </c>
      <c r="R337" s="7">
        <f t="shared" si="39"/>
        <v>2098</v>
      </c>
      <c r="S337" s="7">
        <f t="shared" si="40"/>
        <v>3</v>
      </c>
      <c r="T337" s="7">
        <f t="shared" si="41"/>
        <v>2098</v>
      </c>
    </row>
    <row r="338" spans="1:20" ht="14.25" customHeight="1" x14ac:dyDescent="0.35">
      <c r="A338" s="2" t="s">
        <v>143</v>
      </c>
      <c r="B338" s="2" t="s">
        <v>20</v>
      </c>
      <c r="C338" s="2" t="s">
        <v>38</v>
      </c>
      <c r="D338" s="2" t="s">
        <v>14</v>
      </c>
      <c r="E338" s="2" t="s">
        <v>22</v>
      </c>
      <c r="F338" s="2" t="s">
        <v>23</v>
      </c>
      <c r="G338" s="2" t="s">
        <v>24</v>
      </c>
      <c r="H338" s="2">
        <v>30000</v>
      </c>
      <c r="I338" s="2">
        <v>3</v>
      </c>
      <c r="J338" s="2" t="s">
        <v>32</v>
      </c>
      <c r="K338" s="2">
        <f t="shared" si="35"/>
        <v>24000</v>
      </c>
      <c r="L338" s="9">
        <f>Table_1[[#This Row],[Unit Price]]*Table_1[[#This Row],[Quantity]]</f>
        <v>90000</v>
      </c>
      <c r="M338" s="8">
        <f>Table_1[[#This Row],[Cost Price]]*Table_1[[#This Row],[Quantity]]</f>
        <v>72000</v>
      </c>
      <c r="N338">
        <f>Table_1[[#This Row],[Revenue]]-Table_1[[#This Row],[COGS]]</f>
        <v>18000</v>
      </c>
      <c r="O338" s="11">
        <f t="shared" si="36"/>
        <v>4656740000</v>
      </c>
      <c r="P338">
        <f t="shared" si="37"/>
        <v>3725392000</v>
      </c>
      <c r="Q338">
        <f t="shared" si="38"/>
        <v>931348000</v>
      </c>
      <c r="R338" s="7">
        <f t="shared" si="39"/>
        <v>2098</v>
      </c>
      <c r="S338" s="7">
        <f t="shared" si="40"/>
        <v>1</v>
      </c>
      <c r="T338" s="7">
        <f t="shared" si="41"/>
        <v>2098</v>
      </c>
    </row>
    <row r="339" spans="1:20" ht="14.25" customHeight="1" x14ac:dyDescent="0.35">
      <c r="A339" s="2" t="s">
        <v>150</v>
      </c>
      <c r="B339" s="2" t="s">
        <v>34</v>
      </c>
      <c r="C339" s="2" t="s">
        <v>13</v>
      </c>
      <c r="D339" s="2" t="s">
        <v>26</v>
      </c>
      <c r="E339" s="2" t="s">
        <v>22</v>
      </c>
      <c r="F339" s="2" t="s">
        <v>23</v>
      </c>
      <c r="G339" s="2" t="s">
        <v>24</v>
      </c>
      <c r="H339" s="2">
        <v>30000</v>
      </c>
      <c r="I339" s="2">
        <v>6</v>
      </c>
      <c r="J339" s="2" t="s">
        <v>27</v>
      </c>
      <c r="K339" s="2">
        <f t="shared" si="35"/>
        <v>24000</v>
      </c>
      <c r="L339" s="9">
        <f>Table_1[[#This Row],[Unit Price]]*Table_1[[#This Row],[Quantity]]</f>
        <v>180000</v>
      </c>
      <c r="M339" s="8">
        <f>Table_1[[#This Row],[Cost Price]]*Table_1[[#This Row],[Quantity]]</f>
        <v>144000</v>
      </c>
      <c r="N339">
        <f>Table_1[[#This Row],[Revenue]]-Table_1[[#This Row],[COGS]]</f>
        <v>36000</v>
      </c>
      <c r="O339" s="11">
        <f t="shared" si="36"/>
        <v>4656740000</v>
      </c>
      <c r="P339">
        <f t="shared" si="37"/>
        <v>3725392000</v>
      </c>
      <c r="Q339">
        <f t="shared" si="38"/>
        <v>931348000</v>
      </c>
      <c r="R339" s="7">
        <f t="shared" si="39"/>
        <v>2098</v>
      </c>
      <c r="S339" s="7">
        <f t="shared" si="40"/>
        <v>4</v>
      </c>
      <c r="T339" s="7">
        <f t="shared" si="41"/>
        <v>2098</v>
      </c>
    </row>
    <row r="340" spans="1:20" ht="14.25" customHeight="1" x14ac:dyDescent="0.35">
      <c r="A340" s="2" t="s">
        <v>134</v>
      </c>
      <c r="B340" s="2" t="s">
        <v>34</v>
      </c>
      <c r="C340" s="2" t="s">
        <v>21</v>
      </c>
      <c r="D340" s="2" t="s">
        <v>26</v>
      </c>
      <c r="E340" s="2" t="s">
        <v>15</v>
      </c>
      <c r="F340" s="2" t="s">
        <v>52</v>
      </c>
      <c r="G340" s="2" t="s">
        <v>36</v>
      </c>
      <c r="H340" s="2">
        <v>420000</v>
      </c>
      <c r="I340" s="2">
        <v>4</v>
      </c>
      <c r="J340" s="2" t="s">
        <v>50</v>
      </c>
      <c r="K340" s="2">
        <f t="shared" si="35"/>
        <v>336000</v>
      </c>
      <c r="L340" s="9">
        <f>Table_1[[#This Row],[Unit Price]]*Table_1[[#This Row],[Quantity]]</f>
        <v>1680000</v>
      </c>
      <c r="M340" s="8">
        <f>Table_1[[#This Row],[Cost Price]]*Table_1[[#This Row],[Quantity]]</f>
        <v>1344000</v>
      </c>
      <c r="N340">
        <f>Table_1[[#This Row],[Revenue]]-Table_1[[#This Row],[COGS]]</f>
        <v>336000</v>
      </c>
      <c r="O340" s="11">
        <f t="shared" si="36"/>
        <v>4656740000</v>
      </c>
      <c r="P340">
        <f t="shared" si="37"/>
        <v>3725392000</v>
      </c>
      <c r="Q340">
        <f t="shared" si="38"/>
        <v>931348000</v>
      </c>
      <c r="R340" s="7">
        <f t="shared" si="39"/>
        <v>2098</v>
      </c>
      <c r="S340" s="7">
        <f t="shared" si="40"/>
        <v>4</v>
      </c>
      <c r="T340" s="7">
        <f t="shared" si="41"/>
        <v>2098</v>
      </c>
    </row>
    <row r="341" spans="1:20" ht="14.25" customHeight="1" x14ac:dyDescent="0.35">
      <c r="A341" s="2" t="s">
        <v>89</v>
      </c>
      <c r="B341" s="2" t="s">
        <v>20</v>
      </c>
      <c r="C341" s="2" t="s">
        <v>30</v>
      </c>
      <c r="D341" s="2" t="s">
        <v>14</v>
      </c>
      <c r="E341" s="2" t="s">
        <v>15</v>
      </c>
      <c r="F341" s="2" t="s">
        <v>58</v>
      </c>
      <c r="G341" s="2" t="s">
        <v>24</v>
      </c>
      <c r="H341" s="2">
        <v>220000</v>
      </c>
      <c r="I341" s="2">
        <v>8</v>
      </c>
      <c r="J341" s="2" t="s">
        <v>54</v>
      </c>
      <c r="K341" s="2">
        <f t="shared" si="35"/>
        <v>176000</v>
      </c>
      <c r="L341" s="9">
        <f>Table_1[[#This Row],[Unit Price]]*Table_1[[#This Row],[Quantity]]</f>
        <v>1760000</v>
      </c>
      <c r="M341" s="8">
        <f>Table_1[[#This Row],[Cost Price]]*Table_1[[#This Row],[Quantity]]</f>
        <v>1408000</v>
      </c>
      <c r="N341">
        <f>Table_1[[#This Row],[Revenue]]-Table_1[[#This Row],[COGS]]</f>
        <v>352000</v>
      </c>
      <c r="O341" s="11">
        <f t="shared" si="36"/>
        <v>4656740000</v>
      </c>
      <c r="P341">
        <f t="shared" si="37"/>
        <v>3725392000</v>
      </c>
      <c r="Q341">
        <f t="shared" si="38"/>
        <v>931348000</v>
      </c>
      <c r="R341" s="7">
        <f t="shared" si="39"/>
        <v>2098</v>
      </c>
      <c r="S341" s="7">
        <f t="shared" si="40"/>
        <v>3</v>
      </c>
      <c r="T341" s="7">
        <f t="shared" si="41"/>
        <v>2098</v>
      </c>
    </row>
    <row r="342" spans="1:20" ht="14.25" customHeight="1" x14ac:dyDescent="0.35">
      <c r="A342" s="2" t="s">
        <v>25</v>
      </c>
      <c r="B342" s="2" t="s">
        <v>34</v>
      </c>
      <c r="C342" s="2" t="s">
        <v>21</v>
      </c>
      <c r="D342" s="2" t="s">
        <v>26</v>
      </c>
      <c r="E342" s="2" t="s">
        <v>22</v>
      </c>
      <c r="F342" s="2" t="s">
        <v>16</v>
      </c>
      <c r="G342" s="2" t="s">
        <v>17</v>
      </c>
      <c r="H342" s="2">
        <v>85000</v>
      </c>
      <c r="I342" s="2">
        <v>5</v>
      </c>
      <c r="J342" s="2" t="s">
        <v>18</v>
      </c>
      <c r="K342" s="2">
        <f t="shared" si="35"/>
        <v>68000</v>
      </c>
      <c r="L342" s="9">
        <f>Table_1[[#This Row],[Unit Price]]*Table_1[[#This Row],[Quantity]]</f>
        <v>425000</v>
      </c>
      <c r="M342" s="8">
        <f>Table_1[[#This Row],[Cost Price]]*Table_1[[#This Row],[Quantity]]</f>
        <v>340000</v>
      </c>
      <c r="N342">
        <f>Table_1[[#This Row],[Revenue]]-Table_1[[#This Row],[COGS]]</f>
        <v>85000</v>
      </c>
      <c r="O342" s="11">
        <f t="shared" si="36"/>
        <v>4656740000</v>
      </c>
      <c r="P342">
        <f t="shared" si="37"/>
        <v>3725392000</v>
      </c>
      <c r="Q342">
        <f t="shared" si="38"/>
        <v>931348000</v>
      </c>
      <c r="R342" s="7">
        <f t="shared" si="39"/>
        <v>2098</v>
      </c>
      <c r="S342" s="7">
        <f t="shared" si="40"/>
        <v>2</v>
      </c>
      <c r="T342" s="7">
        <f t="shared" si="41"/>
        <v>2098</v>
      </c>
    </row>
    <row r="343" spans="1:20" ht="14.25" customHeight="1" x14ac:dyDescent="0.35">
      <c r="A343" s="2" t="s">
        <v>134</v>
      </c>
      <c r="B343" s="2" t="s">
        <v>12</v>
      </c>
      <c r="C343" s="2" t="s">
        <v>21</v>
      </c>
      <c r="D343" s="2" t="s">
        <v>14</v>
      </c>
      <c r="E343" s="2" t="s">
        <v>15</v>
      </c>
      <c r="F343" s="2" t="s">
        <v>41</v>
      </c>
      <c r="G343" s="2" t="s">
        <v>17</v>
      </c>
      <c r="H343" s="2">
        <v>320000</v>
      </c>
      <c r="I343" s="2">
        <v>7</v>
      </c>
      <c r="J343" s="2" t="s">
        <v>32</v>
      </c>
      <c r="K343" s="2">
        <f t="shared" si="35"/>
        <v>256000</v>
      </c>
      <c r="L343" s="9">
        <f>Table_1[[#This Row],[Unit Price]]*Table_1[[#This Row],[Quantity]]</f>
        <v>2240000</v>
      </c>
      <c r="M343" s="8">
        <f>Table_1[[#This Row],[Cost Price]]*Table_1[[#This Row],[Quantity]]</f>
        <v>1792000</v>
      </c>
      <c r="N343">
        <f>Table_1[[#This Row],[Revenue]]-Table_1[[#This Row],[COGS]]</f>
        <v>448000</v>
      </c>
      <c r="O343" s="11">
        <f t="shared" si="36"/>
        <v>4656740000</v>
      </c>
      <c r="P343">
        <f t="shared" si="37"/>
        <v>3725392000</v>
      </c>
      <c r="Q343">
        <f t="shared" si="38"/>
        <v>931348000</v>
      </c>
      <c r="R343" s="7">
        <f t="shared" si="39"/>
        <v>2098</v>
      </c>
      <c r="S343" s="7">
        <f t="shared" si="40"/>
        <v>4</v>
      </c>
      <c r="T343" s="7">
        <f t="shared" si="41"/>
        <v>2098</v>
      </c>
    </row>
    <row r="344" spans="1:20" ht="14.25" customHeight="1" x14ac:dyDescent="0.35">
      <c r="A344" s="2" t="s">
        <v>128</v>
      </c>
      <c r="B344" s="2" t="s">
        <v>29</v>
      </c>
      <c r="C344" s="2" t="s">
        <v>21</v>
      </c>
      <c r="D344" s="2" t="s">
        <v>26</v>
      </c>
      <c r="E344" s="2" t="s">
        <v>22</v>
      </c>
      <c r="F344" s="2" t="s">
        <v>39</v>
      </c>
      <c r="G344" s="2" t="s">
        <v>24</v>
      </c>
      <c r="H344" s="2">
        <v>180000</v>
      </c>
      <c r="I344" s="2">
        <v>6</v>
      </c>
      <c r="J344" s="2" t="s">
        <v>18</v>
      </c>
      <c r="K344" s="2">
        <f t="shared" si="35"/>
        <v>144000</v>
      </c>
      <c r="L344" s="9">
        <f>Table_1[[#This Row],[Unit Price]]*Table_1[[#This Row],[Quantity]]</f>
        <v>1080000</v>
      </c>
      <c r="M344" s="8">
        <f>Table_1[[#This Row],[Cost Price]]*Table_1[[#This Row],[Quantity]]</f>
        <v>864000</v>
      </c>
      <c r="N344">
        <f>Table_1[[#This Row],[Revenue]]-Table_1[[#This Row],[COGS]]</f>
        <v>216000</v>
      </c>
      <c r="O344" s="11">
        <f t="shared" si="36"/>
        <v>4656740000</v>
      </c>
      <c r="P344">
        <f t="shared" si="37"/>
        <v>3725392000</v>
      </c>
      <c r="Q344">
        <f t="shared" si="38"/>
        <v>931348000</v>
      </c>
      <c r="R344" s="7">
        <f t="shared" si="39"/>
        <v>2098</v>
      </c>
      <c r="S344" s="7">
        <f t="shared" si="40"/>
        <v>4</v>
      </c>
      <c r="T344" s="7">
        <f t="shared" si="41"/>
        <v>2098</v>
      </c>
    </row>
    <row r="345" spans="1:20" ht="14.25" customHeight="1" x14ac:dyDescent="0.35">
      <c r="A345" s="2" t="s">
        <v>11</v>
      </c>
      <c r="B345" s="2" t="s">
        <v>20</v>
      </c>
      <c r="C345" s="2" t="s">
        <v>38</v>
      </c>
      <c r="D345" s="2" t="s">
        <v>26</v>
      </c>
      <c r="E345" s="2" t="s">
        <v>15</v>
      </c>
      <c r="F345" s="2" t="s">
        <v>31</v>
      </c>
      <c r="G345" s="2" t="s">
        <v>24</v>
      </c>
      <c r="H345" s="2">
        <v>60000</v>
      </c>
      <c r="I345" s="2">
        <v>2</v>
      </c>
      <c r="J345" s="2" t="s">
        <v>50</v>
      </c>
      <c r="K345" s="2">
        <f t="shared" si="35"/>
        <v>48000</v>
      </c>
      <c r="L345" s="9">
        <f>Table_1[[#This Row],[Unit Price]]*Table_1[[#This Row],[Quantity]]</f>
        <v>120000</v>
      </c>
      <c r="M345" s="8">
        <f>Table_1[[#This Row],[Cost Price]]*Table_1[[#This Row],[Quantity]]</f>
        <v>96000</v>
      </c>
      <c r="N345">
        <f>Table_1[[#This Row],[Revenue]]-Table_1[[#This Row],[COGS]]</f>
        <v>24000</v>
      </c>
      <c r="O345" s="11">
        <f t="shared" si="36"/>
        <v>4656740000</v>
      </c>
      <c r="P345">
        <f t="shared" si="37"/>
        <v>3725392000</v>
      </c>
      <c r="Q345">
        <f t="shared" si="38"/>
        <v>931348000</v>
      </c>
      <c r="R345" s="7">
        <f t="shared" si="39"/>
        <v>2098</v>
      </c>
      <c r="S345" s="7">
        <f t="shared" si="40"/>
        <v>1</v>
      </c>
      <c r="T345" s="7">
        <f t="shared" si="41"/>
        <v>2098</v>
      </c>
    </row>
    <row r="346" spans="1:20" ht="14.25" customHeight="1" x14ac:dyDescent="0.35">
      <c r="A346" s="2" t="s">
        <v>109</v>
      </c>
      <c r="B346" s="2" t="s">
        <v>12</v>
      </c>
      <c r="C346" s="2" t="s">
        <v>38</v>
      </c>
      <c r="D346" s="2" t="s">
        <v>26</v>
      </c>
      <c r="E346" s="2" t="s">
        <v>22</v>
      </c>
      <c r="F346" s="2" t="s">
        <v>39</v>
      </c>
      <c r="G346" s="2" t="s">
        <v>24</v>
      </c>
      <c r="H346" s="2">
        <v>180000</v>
      </c>
      <c r="I346" s="2">
        <v>5</v>
      </c>
      <c r="J346" s="2" t="s">
        <v>27</v>
      </c>
      <c r="K346" s="2">
        <f t="shared" si="35"/>
        <v>144000</v>
      </c>
      <c r="L346" s="9">
        <f>Table_1[[#This Row],[Unit Price]]*Table_1[[#This Row],[Quantity]]</f>
        <v>900000</v>
      </c>
      <c r="M346" s="8">
        <f>Table_1[[#This Row],[Cost Price]]*Table_1[[#This Row],[Quantity]]</f>
        <v>720000</v>
      </c>
      <c r="N346">
        <f>Table_1[[#This Row],[Revenue]]-Table_1[[#This Row],[COGS]]</f>
        <v>180000</v>
      </c>
      <c r="O346" s="11">
        <f t="shared" si="36"/>
        <v>4656740000</v>
      </c>
      <c r="P346">
        <f t="shared" si="37"/>
        <v>3725392000</v>
      </c>
      <c r="Q346">
        <f t="shared" si="38"/>
        <v>931348000</v>
      </c>
      <c r="R346" s="7">
        <f t="shared" si="39"/>
        <v>2098</v>
      </c>
      <c r="S346" s="7">
        <f t="shared" si="40"/>
        <v>2</v>
      </c>
      <c r="T346" s="7">
        <f t="shared" si="41"/>
        <v>2098</v>
      </c>
    </row>
    <row r="347" spans="1:20" ht="14.25" customHeight="1" x14ac:dyDescent="0.35">
      <c r="A347" s="2" t="s">
        <v>108</v>
      </c>
      <c r="B347" s="2" t="s">
        <v>20</v>
      </c>
      <c r="C347" s="2" t="s">
        <v>38</v>
      </c>
      <c r="D347" s="2" t="s">
        <v>26</v>
      </c>
      <c r="E347" s="2" t="s">
        <v>22</v>
      </c>
      <c r="F347" s="2" t="s">
        <v>47</v>
      </c>
      <c r="G347" s="2" t="s">
        <v>36</v>
      </c>
      <c r="H347" s="2">
        <v>150000</v>
      </c>
      <c r="I347" s="2">
        <v>6</v>
      </c>
      <c r="J347" s="2" t="s">
        <v>50</v>
      </c>
      <c r="K347" s="2">
        <f t="shared" si="35"/>
        <v>120000</v>
      </c>
      <c r="L347" s="9">
        <f>Table_1[[#This Row],[Unit Price]]*Table_1[[#This Row],[Quantity]]</f>
        <v>900000</v>
      </c>
      <c r="M347" s="8">
        <f>Table_1[[#This Row],[Cost Price]]*Table_1[[#This Row],[Quantity]]</f>
        <v>720000</v>
      </c>
      <c r="N347">
        <f>Table_1[[#This Row],[Revenue]]-Table_1[[#This Row],[COGS]]</f>
        <v>180000</v>
      </c>
      <c r="O347" s="11">
        <f t="shared" si="36"/>
        <v>4656740000</v>
      </c>
      <c r="P347">
        <f t="shared" si="37"/>
        <v>3725392000</v>
      </c>
      <c r="Q347">
        <f t="shared" si="38"/>
        <v>931348000</v>
      </c>
      <c r="R347" s="7">
        <f t="shared" si="39"/>
        <v>2098</v>
      </c>
      <c r="S347" s="7">
        <f t="shared" si="40"/>
        <v>4</v>
      </c>
      <c r="T347" s="7">
        <f t="shared" si="41"/>
        <v>2098</v>
      </c>
    </row>
    <row r="348" spans="1:20" ht="14.25" customHeight="1" x14ac:dyDescent="0.35">
      <c r="A348" s="2" t="s">
        <v>124</v>
      </c>
      <c r="B348" s="2" t="s">
        <v>20</v>
      </c>
      <c r="C348" s="2" t="s">
        <v>13</v>
      </c>
      <c r="D348" s="2" t="s">
        <v>26</v>
      </c>
      <c r="E348" s="2" t="s">
        <v>22</v>
      </c>
      <c r="F348" s="2" t="s">
        <v>23</v>
      </c>
      <c r="G348" s="2" t="s">
        <v>24</v>
      </c>
      <c r="H348" s="2">
        <v>30000</v>
      </c>
      <c r="I348" s="2">
        <v>2</v>
      </c>
      <c r="J348" s="2" t="s">
        <v>50</v>
      </c>
      <c r="K348" s="2">
        <f t="shared" si="35"/>
        <v>24000</v>
      </c>
      <c r="L348" s="9">
        <f>Table_1[[#This Row],[Unit Price]]*Table_1[[#This Row],[Quantity]]</f>
        <v>60000</v>
      </c>
      <c r="M348" s="8">
        <f>Table_1[[#This Row],[Cost Price]]*Table_1[[#This Row],[Quantity]]</f>
        <v>48000</v>
      </c>
      <c r="N348">
        <f>Table_1[[#This Row],[Revenue]]-Table_1[[#This Row],[COGS]]</f>
        <v>12000</v>
      </c>
      <c r="O348" s="11">
        <f t="shared" si="36"/>
        <v>4656740000</v>
      </c>
      <c r="P348">
        <f t="shared" si="37"/>
        <v>3725392000</v>
      </c>
      <c r="Q348">
        <f t="shared" si="38"/>
        <v>931348000</v>
      </c>
      <c r="R348" s="7">
        <f t="shared" si="39"/>
        <v>2098</v>
      </c>
      <c r="S348" s="7">
        <f t="shared" si="40"/>
        <v>1</v>
      </c>
      <c r="T348" s="7">
        <f t="shared" si="41"/>
        <v>2098</v>
      </c>
    </row>
    <row r="349" spans="1:20" ht="14.25" customHeight="1" x14ac:dyDescent="0.35">
      <c r="A349" s="2" t="s">
        <v>152</v>
      </c>
      <c r="B349" s="2" t="s">
        <v>34</v>
      </c>
      <c r="C349" s="2" t="s">
        <v>13</v>
      </c>
      <c r="D349" s="2" t="s">
        <v>14</v>
      </c>
      <c r="E349" s="2" t="s">
        <v>15</v>
      </c>
      <c r="F349" s="2" t="s">
        <v>56</v>
      </c>
      <c r="G349" s="2" t="s">
        <v>36</v>
      </c>
      <c r="H349" s="2">
        <v>250000</v>
      </c>
      <c r="I349" s="2">
        <v>9</v>
      </c>
      <c r="J349" s="2" t="s">
        <v>50</v>
      </c>
      <c r="K349" s="2">
        <f t="shared" si="35"/>
        <v>200000</v>
      </c>
      <c r="L349" s="9">
        <f>Table_1[[#This Row],[Unit Price]]*Table_1[[#This Row],[Quantity]]</f>
        <v>2250000</v>
      </c>
      <c r="M349" s="8">
        <f>Table_1[[#This Row],[Cost Price]]*Table_1[[#This Row],[Quantity]]</f>
        <v>1800000</v>
      </c>
      <c r="N349">
        <f>Table_1[[#This Row],[Revenue]]-Table_1[[#This Row],[COGS]]</f>
        <v>450000</v>
      </c>
      <c r="O349" s="11">
        <f t="shared" si="36"/>
        <v>4656740000</v>
      </c>
      <c r="P349">
        <f t="shared" si="37"/>
        <v>3725392000</v>
      </c>
      <c r="Q349">
        <f t="shared" si="38"/>
        <v>931348000</v>
      </c>
      <c r="R349" s="7">
        <f t="shared" si="39"/>
        <v>2098</v>
      </c>
      <c r="S349" s="7">
        <f t="shared" si="40"/>
        <v>4</v>
      </c>
      <c r="T349" s="7">
        <f t="shared" si="41"/>
        <v>2098</v>
      </c>
    </row>
    <row r="350" spans="1:20" ht="14.25" customHeight="1" x14ac:dyDescent="0.35">
      <c r="A350" s="2" t="s">
        <v>112</v>
      </c>
      <c r="B350" s="2" t="s">
        <v>12</v>
      </c>
      <c r="C350" s="2" t="s">
        <v>30</v>
      </c>
      <c r="D350" s="2" t="s">
        <v>14</v>
      </c>
      <c r="E350" s="2" t="s">
        <v>22</v>
      </c>
      <c r="F350" s="2" t="s">
        <v>31</v>
      </c>
      <c r="G350" s="2" t="s">
        <v>24</v>
      </c>
      <c r="H350" s="2">
        <v>60000</v>
      </c>
      <c r="I350" s="2">
        <v>4</v>
      </c>
      <c r="J350" s="2" t="s">
        <v>27</v>
      </c>
      <c r="K350" s="2">
        <f t="shared" si="35"/>
        <v>48000</v>
      </c>
      <c r="L350" s="9">
        <f>Table_1[[#This Row],[Unit Price]]*Table_1[[#This Row],[Quantity]]</f>
        <v>240000</v>
      </c>
      <c r="M350" s="8">
        <f>Table_1[[#This Row],[Cost Price]]*Table_1[[#This Row],[Quantity]]</f>
        <v>192000</v>
      </c>
      <c r="N350">
        <f>Table_1[[#This Row],[Revenue]]-Table_1[[#This Row],[COGS]]</f>
        <v>48000</v>
      </c>
      <c r="O350" s="11">
        <f t="shared" si="36"/>
        <v>4656740000</v>
      </c>
      <c r="P350">
        <f t="shared" si="37"/>
        <v>3725392000</v>
      </c>
      <c r="Q350">
        <f t="shared" si="38"/>
        <v>931348000</v>
      </c>
      <c r="R350" s="7">
        <f t="shared" si="39"/>
        <v>2098</v>
      </c>
      <c r="S350" s="7">
        <f t="shared" si="40"/>
        <v>1</v>
      </c>
      <c r="T350" s="7">
        <f t="shared" si="41"/>
        <v>2098</v>
      </c>
    </row>
    <row r="351" spans="1:20" ht="14.25" customHeight="1" x14ac:dyDescent="0.35">
      <c r="A351" s="2" t="s">
        <v>146</v>
      </c>
      <c r="B351" s="2" t="s">
        <v>20</v>
      </c>
      <c r="C351" s="2" t="s">
        <v>13</v>
      </c>
      <c r="D351" s="2" t="s">
        <v>14</v>
      </c>
      <c r="E351" s="2" t="s">
        <v>15</v>
      </c>
      <c r="F351" s="2" t="s">
        <v>47</v>
      </c>
      <c r="G351" s="2" t="s">
        <v>36</v>
      </c>
      <c r="H351" s="2">
        <v>150000</v>
      </c>
      <c r="I351" s="2">
        <v>9</v>
      </c>
      <c r="J351" s="2" t="s">
        <v>50</v>
      </c>
      <c r="K351" s="2">
        <f t="shared" si="35"/>
        <v>120000</v>
      </c>
      <c r="L351" s="9">
        <f>Table_1[[#This Row],[Unit Price]]*Table_1[[#This Row],[Quantity]]</f>
        <v>1350000</v>
      </c>
      <c r="M351" s="8">
        <f>Table_1[[#This Row],[Cost Price]]*Table_1[[#This Row],[Quantity]]</f>
        <v>1080000</v>
      </c>
      <c r="N351">
        <f>Table_1[[#This Row],[Revenue]]-Table_1[[#This Row],[COGS]]</f>
        <v>270000</v>
      </c>
      <c r="O351" s="11">
        <f t="shared" si="36"/>
        <v>4656740000</v>
      </c>
      <c r="P351">
        <f t="shared" si="37"/>
        <v>3725392000</v>
      </c>
      <c r="Q351">
        <f t="shared" si="38"/>
        <v>931348000</v>
      </c>
      <c r="R351" s="7">
        <f t="shared" si="39"/>
        <v>2098</v>
      </c>
      <c r="S351" s="7">
        <f t="shared" si="40"/>
        <v>3</v>
      </c>
      <c r="T351" s="7">
        <f t="shared" si="41"/>
        <v>2098</v>
      </c>
    </row>
    <row r="352" spans="1:20" ht="14.25" customHeight="1" x14ac:dyDescent="0.35">
      <c r="A352" s="2" t="s">
        <v>132</v>
      </c>
      <c r="B352" s="2" t="s">
        <v>34</v>
      </c>
      <c r="C352" s="2" t="s">
        <v>21</v>
      </c>
      <c r="D352" s="2" t="s">
        <v>26</v>
      </c>
      <c r="E352" s="2" t="s">
        <v>22</v>
      </c>
      <c r="F352" s="2" t="s">
        <v>39</v>
      </c>
      <c r="G352" s="2" t="s">
        <v>24</v>
      </c>
      <c r="H352" s="2">
        <v>180000</v>
      </c>
      <c r="I352" s="2">
        <v>3</v>
      </c>
      <c r="J352" s="2" t="s">
        <v>18</v>
      </c>
      <c r="K352" s="2">
        <f t="shared" si="35"/>
        <v>144000</v>
      </c>
      <c r="L352" s="9">
        <f>Table_1[[#This Row],[Unit Price]]*Table_1[[#This Row],[Quantity]]</f>
        <v>540000</v>
      </c>
      <c r="M352" s="8">
        <f>Table_1[[#This Row],[Cost Price]]*Table_1[[#This Row],[Quantity]]</f>
        <v>432000</v>
      </c>
      <c r="N352">
        <f>Table_1[[#This Row],[Revenue]]-Table_1[[#This Row],[COGS]]</f>
        <v>108000</v>
      </c>
      <c r="O352" s="11">
        <f t="shared" si="36"/>
        <v>4656740000</v>
      </c>
      <c r="P352">
        <f t="shared" si="37"/>
        <v>3725392000</v>
      </c>
      <c r="Q352">
        <f t="shared" si="38"/>
        <v>931348000</v>
      </c>
      <c r="R352" s="7">
        <f t="shared" si="39"/>
        <v>2098</v>
      </c>
      <c r="S352" s="7">
        <f t="shared" si="40"/>
        <v>1</v>
      </c>
      <c r="T352" s="7">
        <f t="shared" si="41"/>
        <v>2098</v>
      </c>
    </row>
    <row r="353" spans="1:20" ht="14.25" customHeight="1" x14ac:dyDescent="0.35">
      <c r="A353" s="2" t="s">
        <v>45</v>
      </c>
      <c r="B353" s="2" t="s">
        <v>12</v>
      </c>
      <c r="C353" s="2" t="s">
        <v>13</v>
      </c>
      <c r="D353" s="2" t="s">
        <v>14</v>
      </c>
      <c r="E353" s="2" t="s">
        <v>15</v>
      </c>
      <c r="F353" s="2" t="s">
        <v>39</v>
      </c>
      <c r="G353" s="2" t="s">
        <v>24</v>
      </c>
      <c r="H353" s="2">
        <v>180000</v>
      </c>
      <c r="I353" s="2">
        <v>10</v>
      </c>
      <c r="J353" s="2" t="s">
        <v>18</v>
      </c>
      <c r="K353" s="2">
        <f t="shared" si="35"/>
        <v>144000</v>
      </c>
      <c r="L353" s="9">
        <f>Table_1[[#This Row],[Unit Price]]*Table_1[[#This Row],[Quantity]]</f>
        <v>1800000</v>
      </c>
      <c r="M353" s="8">
        <f>Table_1[[#This Row],[Cost Price]]*Table_1[[#This Row],[Quantity]]</f>
        <v>1440000</v>
      </c>
      <c r="N353">
        <f>Table_1[[#This Row],[Revenue]]-Table_1[[#This Row],[COGS]]</f>
        <v>360000</v>
      </c>
      <c r="O353" s="11">
        <f t="shared" si="36"/>
        <v>4656740000</v>
      </c>
      <c r="P353">
        <f t="shared" si="37"/>
        <v>3725392000</v>
      </c>
      <c r="Q353">
        <f t="shared" si="38"/>
        <v>931348000</v>
      </c>
      <c r="R353" s="7">
        <f t="shared" si="39"/>
        <v>2098</v>
      </c>
      <c r="S353" s="7">
        <f t="shared" si="40"/>
        <v>3</v>
      </c>
      <c r="T353" s="7">
        <f t="shared" si="41"/>
        <v>2098</v>
      </c>
    </row>
    <row r="354" spans="1:20" ht="14.25" customHeight="1" x14ac:dyDescent="0.35">
      <c r="A354" s="2" t="s">
        <v>11</v>
      </c>
      <c r="B354" s="2" t="s">
        <v>20</v>
      </c>
      <c r="C354" s="2" t="s">
        <v>21</v>
      </c>
      <c r="D354" s="2" t="s">
        <v>14</v>
      </c>
      <c r="E354" s="2" t="s">
        <v>15</v>
      </c>
      <c r="F354" s="2" t="s">
        <v>58</v>
      </c>
      <c r="G354" s="2" t="s">
        <v>24</v>
      </c>
      <c r="H354" s="2">
        <v>220000</v>
      </c>
      <c r="I354" s="2">
        <v>2</v>
      </c>
      <c r="J354" s="2" t="s">
        <v>18</v>
      </c>
      <c r="K354" s="2">
        <f t="shared" si="35"/>
        <v>176000</v>
      </c>
      <c r="L354" s="9">
        <f>Table_1[[#This Row],[Unit Price]]*Table_1[[#This Row],[Quantity]]</f>
        <v>440000</v>
      </c>
      <c r="M354" s="8">
        <f>Table_1[[#This Row],[Cost Price]]*Table_1[[#This Row],[Quantity]]</f>
        <v>352000</v>
      </c>
      <c r="N354">
        <f>Table_1[[#This Row],[Revenue]]-Table_1[[#This Row],[COGS]]</f>
        <v>88000</v>
      </c>
      <c r="O354" s="11">
        <f t="shared" si="36"/>
        <v>4656740000</v>
      </c>
      <c r="P354">
        <f t="shared" si="37"/>
        <v>3725392000</v>
      </c>
      <c r="Q354">
        <f t="shared" si="38"/>
        <v>931348000</v>
      </c>
      <c r="R354" s="7">
        <f t="shared" si="39"/>
        <v>2098</v>
      </c>
      <c r="S354" s="7">
        <f t="shared" si="40"/>
        <v>1</v>
      </c>
      <c r="T354" s="7">
        <f t="shared" si="41"/>
        <v>2098</v>
      </c>
    </row>
    <row r="355" spans="1:20" ht="14.25" customHeight="1" x14ac:dyDescent="0.35">
      <c r="A355" s="2" t="s">
        <v>122</v>
      </c>
      <c r="B355" s="2" t="s">
        <v>34</v>
      </c>
      <c r="C355" s="2" t="s">
        <v>13</v>
      </c>
      <c r="D355" s="2" t="s">
        <v>26</v>
      </c>
      <c r="E355" s="2" t="s">
        <v>15</v>
      </c>
      <c r="F355" s="2" t="s">
        <v>52</v>
      </c>
      <c r="G355" s="2" t="s">
        <v>36</v>
      </c>
      <c r="H355" s="2">
        <v>420000</v>
      </c>
      <c r="I355" s="2">
        <v>10</v>
      </c>
      <c r="J355" s="2" t="s">
        <v>32</v>
      </c>
      <c r="K355" s="2">
        <f t="shared" si="35"/>
        <v>336000</v>
      </c>
      <c r="L355" s="9">
        <f>Table_1[[#This Row],[Unit Price]]*Table_1[[#This Row],[Quantity]]</f>
        <v>4200000</v>
      </c>
      <c r="M355" s="8">
        <f>Table_1[[#This Row],[Cost Price]]*Table_1[[#This Row],[Quantity]]</f>
        <v>3360000</v>
      </c>
      <c r="N355">
        <f>Table_1[[#This Row],[Revenue]]-Table_1[[#This Row],[COGS]]</f>
        <v>840000</v>
      </c>
      <c r="O355" s="11">
        <f t="shared" si="36"/>
        <v>4656740000</v>
      </c>
      <c r="P355">
        <f t="shared" si="37"/>
        <v>3725392000</v>
      </c>
      <c r="Q355">
        <f t="shared" si="38"/>
        <v>931348000</v>
      </c>
      <c r="R355" s="7">
        <f t="shared" si="39"/>
        <v>2098</v>
      </c>
      <c r="S355" s="7">
        <f t="shared" si="40"/>
        <v>4</v>
      </c>
      <c r="T355" s="7">
        <f t="shared" si="41"/>
        <v>2098</v>
      </c>
    </row>
    <row r="356" spans="1:20" ht="14.25" customHeight="1" x14ac:dyDescent="0.35">
      <c r="A356" s="2" t="s">
        <v>107</v>
      </c>
      <c r="B356" s="2" t="s">
        <v>12</v>
      </c>
      <c r="C356" s="2" t="s">
        <v>13</v>
      </c>
      <c r="D356" s="2" t="s">
        <v>14</v>
      </c>
      <c r="E356" s="2" t="s">
        <v>22</v>
      </c>
      <c r="F356" s="2" t="s">
        <v>23</v>
      </c>
      <c r="G356" s="2" t="s">
        <v>24</v>
      </c>
      <c r="H356" s="2">
        <v>30000</v>
      </c>
      <c r="I356" s="2">
        <v>9</v>
      </c>
      <c r="J356" s="2" t="s">
        <v>54</v>
      </c>
      <c r="K356" s="2">
        <f t="shared" si="35"/>
        <v>24000</v>
      </c>
      <c r="L356" s="9">
        <f>Table_1[[#This Row],[Unit Price]]*Table_1[[#This Row],[Quantity]]</f>
        <v>270000</v>
      </c>
      <c r="M356" s="8">
        <f>Table_1[[#This Row],[Cost Price]]*Table_1[[#This Row],[Quantity]]</f>
        <v>216000</v>
      </c>
      <c r="N356">
        <f>Table_1[[#This Row],[Revenue]]-Table_1[[#This Row],[COGS]]</f>
        <v>54000</v>
      </c>
      <c r="O356" s="11">
        <f t="shared" si="36"/>
        <v>4656740000</v>
      </c>
      <c r="P356">
        <f t="shared" si="37"/>
        <v>3725392000</v>
      </c>
      <c r="Q356">
        <f t="shared" si="38"/>
        <v>931348000</v>
      </c>
      <c r="R356" s="7">
        <f t="shared" si="39"/>
        <v>2098</v>
      </c>
      <c r="S356" s="7">
        <f t="shared" si="40"/>
        <v>3</v>
      </c>
      <c r="T356" s="7">
        <f t="shared" si="41"/>
        <v>2098</v>
      </c>
    </row>
    <row r="357" spans="1:20" ht="14.25" customHeight="1" x14ac:dyDescent="0.35">
      <c r="A357" s="2" t="s">
        <v>11</v>
      </c>
      <c r="B357" s="2" t="s">
        <v>12</v>
      </c>
      <c r="C357" s="2" t="s">
        <v>38</v>
      </c>
      <c r="D357" s="2" t="s">
        <v>26</v>
      </c>
      <c r="E357" s="2" t="s">
        <v>15</v>
      </c>
      <c r="F357" s="2" t="s">
        <v>41</v>
      </c>
      <c r="G357" s="2" t="s">
        <v>17</v>
      </c>
      <c r="H357" s="2">
        <v>320000</v>
      </c>
      <c r="I357" s="2">
        <v>6</v>
      </c>
      <c r="J357" s="2" t="s">
        <v>43</v>
      </c>
      <c r="K357" s="2">
        <f t="shared" si="35"/>
        <v>256000</v>
      </c>
      <c r="L357" s="9">
        <f>Table_1[[#This Row],[Unit Price]]*Table_1[[#This Row],[Quantity]]</f>
        <v>1920000</v>
      </c>
      <c r="M357" s="8">
        <f>Table_1[[#This Row],[Cost Price]]*Table_1[[#This Row],[Quantity]]</f>
        <v>1536000</v>
      </c>
      <c r="N357">
        <f>Table_1[[#This Row],[Revenue]]-Table_1[[#This Row],[COGS]]</f>
        <v>384000</v>
      </c>
      <c r="O357" s="11">
        <f t="shared" si="36"/>
        <v>4656740000</v>
      </c>
      <c r="P357">
        <f t="shared" si="37"/>
        <v>3725392000</v>
      </c>
      <c r="Q357">
        <f t="shared" si="38"/>
        <v>931348000</v>
      </c>
      <c r="R357" s="7">
        <f t="shared" si="39"/>
        <v>2098</v>
      </c>
      <c r="S357" s="7">
        <f t="shared" si="40"/>
        <v>1</v>
      </c>
      <c r="T357" s="7">
        <f t="shared" si="41"/>
        <v>2098</v>
      </c>
    </row>
    <row r="358" spans="1:20" ht="14.25" customHeight="1" x14ac:dyDescent="0.35">
      <c r="A358" s="2" t="s">
        <v>46</v>
      </c>
      <c r="B358" s="2" t="s">
        <v>12</v>
      </c>
      <c r="C358" s="2" t="s">
        <v>38</v>
      </c>
      <c r="D358" s="2" t="s">
        <v>14</v>
      </c>
      <c r="E358" s="2" t="s">
        <v>22</v>
      </c>
      <c r="F358" s="2" t="s">
        <v>52</v>
      </c>
      <c r="G358" s="2" t="s">
        <v>36</v>
      </c>
      <c r="H358" s="2">
        <v>420000</v>
      </c>
      <c r="I358" s="2">
        <v>2</v>
      </c>
      <c r="J358" s="2" t="s">
        <v>54</v>
      </c>
      <c r="K358" s="2">
        <f t="shared" si="35"/>
        <v>336000</v>
      </c>
      <c r="L358" s="9">
        <f>Table_1[[#This Row],[Unit Price]]*Table_1[[#This Row],[Quantity]]</f>
        <v>840000</v>
      </c>
      <c r="M358" s="8">
        <f>Table_1[[#This Row],[Cost Price]]*Table_1[[#This Row],[Quantity]]</f>
        <v>672000</v>
      </c>
      <c r="N358">
        <f>Table_1[[#This Row],[Revenue]]-Table_1[[#This Row],[COGS]]</f>
        <v>168000</v>
      </c>
      <c r="O358" s="11">
        <f t="shared" si="36"/>
        <v>4656740000</v>
      </c>
      <c r="P358">
        <f t="shared" si="37"/>
        <v>3725392000</v>
      </c>
      <c r="Q358">
        <f t="shared" si="38"/>
        <v>931348000</v>
      </c>
      <c r="R358" s="7">
        <f t="shared" si="39"/>
        <v>2098</v>
      </c>
      <c r="S358" s="7">
        <f t="shared" si="40"/>
        <v>1</v>
      </c>
      <c r="T358" s="7">
        <f t="shared" si="41"/>
        <v>2098</v>
      </c>
    </row>
    <row r="359" spans="1:20" ht="14.25" customHeight="1" x14ac:dyDescent="0.35">
      <c r="A359" s="2" t="s">
        <v>152</v>
      </c>
      <c r="B359" s="2" t="s">
        <v>29</v>
      </c>
      <c r="C359" s="2" t="s">
        <v>30</v>
      </c>
      <c r="D359" s="2" t="s">
        <v>26</v>
      </c>
      <c r="E359" s="2" t="s">
        <v>15</v>
      </c>
      <c r="F359" s="2" t="s">
        <v>41</v>
      </c>
      <c r="G359" s="2" t="s">
        <v>17</v>
      </c>
      <c r="H359" s="2">
        <v>320000</v>
      </c>
      <c r="I359" s="2">
        <v>10</v>
      </c>
      <c r="J359" s="2" t="s">
        <v>43</v>
      </c>
      <c r="K359" s="2">
        <f t="shared" si="35"/>
        <v>256000</v>
      </c>
      <c r="L359" s="9">
        <f>Table_1[[#This Row],[Unit Price]]*Table_1[[#This Row],[Quantity]]</f>
        <v>3200000</v>
      </c>
      <c r="M359" s="8">
        <f>Table_1[[#This Row],[Cost Price]]*Table_1[[#This Row],[Quantity]]</f>
        <v>2560000</v>
      </c>
      <c r="N359">
        <f>Table_1[[#This Row],[Revenue]]-Table_1[[#This Row],[COGS]]</f>
        <v>640000</v>
      </c>
      <c r="O359" s="11">
        <f t="shared" si="36"/>
        <v>4656740000</v>
      </c>
      <c r="P359">
        <f t="shared" si="37"/>
        <v>3725392000</v>
      </c>
      <c r="Q359">
        <f t="shared" si="38"/>
        <v>931348000</v>
      </c>
      <c r="R359" s="7">
        <f t="shared" si="39"/>
        <v>2098</v>
      </c>
      <c r="S359" s="7">
        <f t="shared" si="40"/>
        <v>4</v>
      </c>
      <c r="T359" s="7">
        <f t="shared" si="41"/>
        <v>2098</v>
      </c>
    </row>
    <row r="360" spans="1:20" ht="14.25" customHeight="1" x14ac:dyDescent="0.35">
      <c r="A360" s="2" t="s">
        <v>42</v>
      </c>
      <c r="B360" s="2" t="s">
        <v>20</v>
      </c>
      <c r="C360" s="2" t="s">
        <v>30</v>
      </c>
      <c r="D360" s="2" t="s">
        <v>26</v>
      </c>
      <c r="E360" s="2" t="s">
        <v>22</v>
      </c>
      <c r="F360" s="2" t="s">
        <v>35</v>
      </c>
      <c r="G360" s="2" t="s">
        <v>36</v>
      </c>
      <c r="H360" s="2">
        <v>300000</v>
      </c>
      <c r="I360" s="2">
        <v>8</v>
      </c>
      <c r="J360" s="2" t="s">
        <v>54</v>
      </c>
      <c r="K360" s="2">
        <f t="shared" si="35"/>
        <v>240000</v>
      </c>
      <c r="L360" s="9">
        <f>Table_1[[#This Row],[Unit Price]]*Table_1[[#This Row],[Quantity]]</f>
        <v>2400000</v>
      </c>
      <c r="M360" s="8">
        <f>Table_1[[#This Row],[Cost Price]]*Table_1[[#This Row],[Quantity]]</f>
        <v>1920000</v>
      </c>
      <c r="N360">
        <f>Table_1[[#This Row],[Revenue]]-Table_1[[#This Row],[COGS]]</f>
        <v>480000</v>
      </c>
      <c r="O360" s="11">
        <f t="shared" si="36"/>
        <v>4656740000</v>
      </c>
      <c r="P360">
        <f t="shared" si="37"/>
        <v>3725392000</v>
      </c>
      <c r="Q360">
        <f t="shared" si="38"/>
        <v>931348000</v>
      </c>
      <c r="R360" s="7">
        <f t="shared" si="39"/>
        <v>2098</v>
      </c>
      <c r="S360" s="7">
        <f t="shared" si="40"/>
        <v>2</v>
      </c>
      <c r="T360" s="7">
        <f t="shared" si="41"/>
        <v>2098</v>
      </c>
    </row>
    <row r="361" spans="1:20" ht="14.25" customHeight="1" x14ac:dyDescent="0.35">
      <c r="A361" s="2" t="s">
        <v>129</v>
      </c>
      <c r="B361" s="2" t="s">
        <v>20</v>
      </c>
      <c r="C361" s="2" t="s">
        <v>13</v>
      </c>
      <c r="D361" s="2" t="s">
        <v>26</v>
      </c>
      <c r="E361" s="2" t="s">
        <v>15</v>
      </c>
      <c r="F361" s="2" t="s">
        <v>31</v>
      </c>
      <c r="G361" s="2" t="s">
        <v>24</v>
      </c>
      <c r="H361" s="2">
        <v>60000</v>
      </c>
      <c r="I361" s="2">
        <v>1</v>
      </c>
      <c r="J361" s="2" t="s">
        <v>27</v>
      </c>
      <c r="K361" s="2">
        <f t="shared" si="35"/>
        <v>48000</v>
      </c>
      <c r="L361" s="9">
        <f>Table_1[[#This Row],[Unit Price]]*Table_1[[#This Row],[Quantity]]</f>
        <v>60000</v>
      </c>
      <c r="M361" s="8">
        <f>Table_1[[#This Row],[Cost Price]]*Table_1[[#This Row],[Quantity]]</f>
        <v>48000</v>
      </c>
      <c r="N361">
        <f>Table_1[[#This Row],[Revenue]]-Table_1[[#This Row],[COGS]]</f>
        <v>12000</v>
      </c>
      <c r="O361" s="11">
        <f t="shared" si="36"/>
        <v>4656740000</v>
      </c>
      <c r="P361">
        <f t="shared" si="37"/>
        <v>3725392000</v>
      </c>
      <c r="Q361">
        <f t="shared" si="38"/>
        <v>931348000</v>
      </c>
      <c r="R361" s="7">
        <f t="shared" si="39"/>
        <v>2098</v>
      </c>
      <c r="S361" s="7">
        <f t="shared" si="40"/>
        <v>2</v>
      </c>
      <c r="T361" s="7">
        <f t="shared" si="41"/>
        <v>2098</v>
      </c>
    </row>
    <row r="362" spans="1:20" ht="14.25" customHeight="1" x14ac:dyDescent="0.35">
      <c r="A362" s="2" t="s">
        <v>116</v>
      </c>
      <c r="B362" s="2" t="s">
        <v>29</v>
      </c>
      <c r="C362" s="2" t="s">
        <v>21</v>
      </c>
      <c r="D362" s="2" t="s">
        <v>26</v>
      </c>
      <c r="E362" s="2" t="s">
        <v>15</v>
      </c>
      <c r="F362" s="2" t="s">
        <v>16</v>
      </c>
      <c r="G362" s="2" t="s">
        <v>17</v>
      </c>
      <c r="H362" s="2">
        <v>85000</v>
      </c>
      <c r="I362" s="2">
        <v>3</v>
      </c>
      <c r="J362" s="2" t="s">
        <v>27</v>
      </c>
      <c r="K362" s="2">
        <f t="shared" si="35"/>
        <v>68000</v>
      </c>
      <c r="L362" s="9">
        <f>Table_1[[#This Row],[Unit Price]]*Table_1[[#This Row],[Quantity]]</f>
        <v>255000</v>
      </c>
      <c r="M362" s="8">
        <f>Table_1[[#This Row],[Cost Price]]*Table_1[[#This Row],[Quantity]]</f>
        <v>204000</v>
      </c>
      <c r="N362">
        <f>Table_1[[#This Row],[Revenue]]-Table_1[[#This Row],[COGS]]</f>
        <v>51000</v>
      </c>
      <c r="O362" s="11">
        <f t="shared" si="36"/>
        <v>4656740000</v>
      </c>
      <c r="P362">
        <f t="shared" si="37"/>
        <v>3725392000</v>
      </c>
      <c r="Q362">
        <f t="shared" si="38"/>
        <v>931348000</v>
      </c>
      <c r="R362" s="7">
        <f t="shared" si="39"/>
        <v>2098</v>
      </c>
      <c r="S362" s="7">
        <f t="shared" si="40"/>
        <v>3</v>
      </c>
      <c r="T362" s="7">
        <f t="shared" si="41"/>
        <v>2098</v>
      </c>
    </row>
    <row r="363" spans="1:20" ht="14.25" customHeight="1" x14ac:dyDescent="0.35">
      <c r="A363" s="2" t="s">
        <v>149</v>
      </c>
      <c r="B363" s="2" t="s">
        <v>20</v>
      </c>
      <c r="C363" s="2" t="s">
        <v>30</v>
      </c>
      <c r="D363" s="2" t="s">
        <v>26</v>
      </c>
      <c r="E363" s="2" t="s">
        <v>22</v>
      </c>
      <c r="F363" s="2" t="s">
        <v>23</v>
      </c>
      <c r="G363" s="2" t="s">
        <v>24</v>
      </c>
      <c r="H363" s="2">
        <v>30000</v>
      </c>
      <c r="I363" s="2">
        <v>10</v>
      </c>
      <c r="J363" s="2" t="s">
        <v>18</v>
      </c>
      <c r="K363" s="2">
        <f t="shared" si="35"/>
        <v>24000</v>
      </c>
      <c r="L363" s="9">
        <f>Table_1[[#This Row],[Unit Price]]*Table_1[[#This Row],[Quantity]]</f>
        <v>300000</v>
      </c>
      <c r="M363" s="8">
        <f>Table_1[[#This Row],[Cost Price]]*Table_1[[#This Row],[Quantity]]</f>
        <v>240000</v>
      </c>
      <c r="N363">
        <f>Table_1[[#This Row],[Revenue]]-Table_1[[#This Row],[COGS]]</f>
        <v>60000</v>
      </c>
      <c r="O363" s="11">
        <f t="shared" si="36"/>
        <v>4656740000</v>
      </c>
      <c r="P363">
        <f t="shared" si="37"/>
        <v>3725392000</v>
      </c>
      <c r="Q363">
        <f t="shared" si="38"/>
        <v>931348000</v>
      </c>
      <c r="R363" s="7">
        <f t="shared" si="39"/>
        <v>2098</v>
      </c>
      <c r="S363" s="7">
        <f t="shared" si="40"/>
        <v>3</v>
      </c>
      <c r="T363" s="7">
        <f t="shared" si="41"/>
        <v>2098</v>
      </c>
    </row>
    <row r="364" spans="1:20" ht="14.25" customHeight="1" x14ac:dyDescent="0.35">
      <c r="A364" s="2" t="s">
        <v>119</v>
      </c>
      <c r="B364" s="2" t="s">
        <v>20</v>
      </c>
      <c r="C364" s="2" t="s">
        <v>30</v>
      </c>
      <c r="D364" s="2" t="s">
        <v>26</v>
      </c>
      <c r="E364" s="2" t="s">
        <v>15</v>
      </c>
      <c r="F364" s="2" t="s">
        <v>23</v>
      </c>
      <c r="G364" s="2" t="s">
        <v>24</v>
      </c>
      <c r="H364" s="2">
        <v>30000</v>
      </c>
      <c r="I364" s="2">
        <v>4</v>
      </c>
      <c r="J364" s="2" t="s">
        <v>43</v>
      </c>
      <c r="K364" s="2">
        <f t="shared" si="35"/>
        <v>24000</v>
      </c>
      <c r="L364" s="9">
        <f>Table_1[[#This Row],[Unit Price]]*Table_1[[#This Row],[Quantity]]</f>
        <v>120000</v>
      </c>
      <c r="M364" s="8">
        <f>Table_1[[#This Row],[Cost Price]]*Table_1[[#This Row],[Quantity]]</f>
        <v>96000</v>
      </c>
      <c r="N364">
        <f>Table_1[[#This Row],[Revenue]]-Table_1[[#This Row],[COGS]]</f>
        <v>24000</v>
      </c>
      <c r="O364" s="11">
        <f t="shared" si="36"/>
        <v>4656740000</v>
      </c>
      <c r="P364">
        <f t="shared" si="37"/>
        <v>3725392000</v>
      </c>
      <c r="Q364">
        <f t="shared" si="38"/>
        <v>931348000</v>
      </c>
      <c r="R364" s="7">
        <f t="shared" si="39"/>
        <v>2098</v>
      </c>
      <c r="S364" s="7">
        <f t="shared" si="40"/>
        <v>1</v>
      </c>
      <c r="T364" s="7">
        <f t="shared" si="41"/>
        <v>2098</v>
      </c>
    </row>
    <row r="365" spans="1:20" ht="14.25" customHeight="1" x14ac:dyDescent="0.35">
      <c r="A365" s="2" t="s">
        <v>124</v>
      </c>
      <c r="B365" s="2" t="s">
        <v>29</v>
      </c>
      <c r="C365" s="2" t="s">
        <v>38</v>
      </c>
      <c r="D365" s="2" t="s">
        <v>26</v>
      </c>
      <c r="E365" s="2" t="s">
        <v>22</v>
      </c>
      <c r="F365" s="2" t="s">
        <v>47</v>
      </c>
      <c r="G365" s="2" t="s">
        <v>36</v>
      </c>
      <c r="H365" s="2">
        <v>150000</v>
      </c>
      <c r="I365" s="2">
        <v>3</v>
      </c>
      <c r="J365" s="2" t="s">
        <v>27</v>
      </c>
      <c r="K365" s="2">
        <f t="shared" si="35"/>
        <v>120000</v>
      </c>
      <c r="L365" s="9">
        <f>Table_1[[#This Row],[Unit Price]]*Table_1[[#This Row],[Quantity]]</f>
        <v>450000</v>
      </c>
      <c r="M365" s="8">
        <f>Table_1[[#This Row],[Cost Price]]*Table_1[[#This Row],[Quantity]]</f>
        <v>360000</v>
      </c>
      <c r="N365">
        <f>Table_1[[#This Row],[Revenue]]-Table_1[[#This Row],[COGS]]</f>
        <v>90000</v>
      </c>
      <c r="O365" s="11">
        <f t="shared" si="36"/>
        <v>4656740000</v>
      </c>
      <c r="P365">
        <f t="shared" si="37"/>
        <v>3725392000</v>
      </c>
      <c r="Q365">
        <f t="shared" si="38"/>
        <v>931348000</v>
      </c>
      <c r="R365" s="7">
        <f t="shared" si="39"/>
        <v>2098</v>
      </c>
      <c r="S365" s="7">
        <f t="shared" si="40"/>
        <v>1</v>
      </c>
      <c r="T365" s="7">
        <f t="shared" si="41"/>
        <v>2098</v>
      </c>
    </row>
    <row r="366" spans="1:20" ht="14.25" customHeight="1" x14ac:dyDescent="0.35">
      <c r="A366" s="2" t="s">
        <v>123</v>
      </c>
      <c r="B366" s="2" t="s">
        <v>12</v>
      </c>
      <c r="C366" s="2" t="s">
        <v>13</v>
      </c>
      <c r="D366" s="2" t="s">
        <v>26</v>
      </c>
      <c r="E366" s="2" t="s">
        <v>15</v>
      </c>
      <c r="F366" s="2" t="s">
        <v>47</v>
      </c>
      <c r="G366" s="2" t="s">
        <v>36</v>
      </c>
      <c r="H366" s="2">
        <v>150000</v>
      </c>
      <c r="I366" s="2">
        <v>3</v>
      </c>
      <c r="J366" s="2" t="s">
        <v>18</v>
      </c>
      <c r="K366" s="2">
        <f t="shared" si="35"/>
        <v>120000</v>
      </c>
      <c r="L366" s="9">
        <f>Table_1[[#This Row],[Unit Price]]*Table_1[[#This Row],[Quantity]]</f>
        <v>450000</v>
      </c>
      <c r="M366" s="8">
        <f>Table_1[[#This Row],[Cost Price]]*Table_1[[#This Row],[Quantity]]</f>
        <v>360000</v>
      </c>
      <c r="N366">
        <f>Table_1[[#This Row],[Revenue]]-Table_1[[#This Row],[COGS]]</f>
        <v>90000</v>
      </c>
      <c r="O366" s="11">
        <f t="shared" si="36"/>
        <v>4656740000</v>
      </c>
      <c r="P366">
        <f t="shared" si="37"/>
        <v>3725392000</v>
      </c>
      <c r="Q366">
        <f t="shared" si="38"/>
        <v>931348000</v>
      </c>
      <c r="R366" s="7">
        <f t="shared" si="39"/>
        <v>2098</v>
      </c>
      <c r="S366" s="7">
        <f t="shared" si="40"/>
        <v>4</v>
      </c>
      <c r="T366" s="7">
        <f t="shared" si="41"/>
        <v>2098</v>
      </c>
    </row>
    <row r="367" spans="1:20" ht="14.25" customHeight="1" x14ac:dyDescent="0.35">
      <c r="A367" s="2" t="s">
        <v>106</v>
      </c>
      <c r="B367" s="2" t="s">
        <v>20</v>
      </c>
      <c r="C367" s="2" t="s">
        <v>30</v>
      </c>
      <c r="D367" s="2" t="s">
        <v>26</v>
      </c>
      <c r="E367" s="2" t="s">
        <v>22</v>
      </c>
      <c r="F367" s="2" t="s">
        <v>16</v>
      </c>
      <c r="G367" s="2" t="s">
        <v>17</v>
      </c>
      <c r="H367" s="2">
        <v>85000</v>
      </c>
      <c r="I367" s="2">
        <v>8</v>
      </c>
      <c r="J367" s="2" t="s">
        <v>18</v>
      </c>
      <c r="K367" s="2">
        <f t="shared" si="35"/>
        <v>68000</v>
      </c>
      <c r="L367" s="9">
        <f>Table_1[[#This Row],[Unit Price]]*Table_1[[#This Row],[Quantity]]</f>
        <v>680000</v>
      </c>
      <c r="M367" s="8">
        <f>Table_1[[#This Row],[Cost Price]]*Table_1[[#This Row],[Quantity]]</f>
        <v>544000</v>
      </c>
      <c r="N367">
        <f>Table_1[[#This Row],[Revenue]]-Table_1[[#This Row],[COGS]]</f>
        <v>136000</v>
      </c>
      <c r="O367" s="11">
        <f t="shared" si="36"/>
        <v>4656740000</v>
      </c>
      <c r="P367">
        <f t="shared" si="37"/>
        <v>3725392000</v>
      </c>
      <c r="Q367">
        <f t="shared" si="38"/>
        <v>931348000</v>
      </c>
      <c r="R367" s="7">
        <f t="shared" si="39"/>
        <v>2098</v>
      </c>
      <c r="S367" s="7">
        <f t="shared" si="40"/>
        <v>4</v>
      </c>
      <c r="T367" s="7">
        <f t="shared" si="41"/>
        <v>2098</v>
      </c>
    </row>
    <row r="368" spans="1:20" ht="14.25" customHeight="1" x14ac:dyDescent="0.35">
      <c r="A368" s="2" t="s">
        <v>127</v>
      </c>
      <c r="B368" s="2" t="s">
        <v>29</v>
      </c>
      <c r="C368" s="2" t="s">
        <v>30</v>
      </c>
      <c r="D368" s="2" t="s">
        <v>26</v>
      </c>
      <c r="E368" s="2" t="s">
        <v>15</v>
      </c>
      <c r="F368" s="2" t="s">
        <v>52</v>
      </c>
      <c r="G368" s="2" t="s">
        <v>36</v>
      </c>
      <c r="H368" s="2">
        <v>420000</v>
      </c>
      <c r="I368" s="2">
        <v>7</v>
      </c>
      <c r="J368" s="2" t="s">
        <v>18</v>
      </c>
      <c r="K368" s="2">
        <f t="shared" si="35"/>
        <v>336000</v>
      </c>
      <c r="L368" s="9">
        <f>Table_1[[#This Row],[Unit Price]]*Table_1[[#This Row],[Quantity]]</f>
        <v>2940000</v>
      </c>
      <c r="M368" s="8">
        <f>Table_1[[#This Row],[Cost Price]]*Table_1[[#This Row],[Quantity]]</f>
        <v>2352000</v>
      </c>
      <c r="N368">
        <f>Table_1[[#This Row],[Revenue]]-Table_1[[#This Row],[COGS]]</f>
        <v>588000</v>
      </c>
      <c r="O368" s="11">
        <f t="shared" si="36"/>
        <v>4656740000</v>
      </c>
      <c r="P368">
        <f t="shared" si="37"/>
        <v>3725392000</v>
      </c>
      <c r="Q368">
        <f t="shared" si="38"/>
        <v>931348000</v>
      </c>
      <c r="R368" s="7">
        <f t="shared" si="39"/>
        <v>2098</v>
      </c>
      <c r="S368" s="7">
        <f t="shared" si="40"/>
        <v>4</v>
      </c>
      <c r="T368" s="7">
        <f t="shared" si="41"/>
        <v>2098</v>
      </c>
    </row>
    <row r="369" spans="1:20" ht="14.25" customHeight="1" x14ac:dyDescent="0.35">
      <c r="A369" s="2" t="s">
        <v>119</v>
      </c>
      <c r="B369" s="2" t="s">
        <v>20</v>
      </c>
      <c r="C369" s="2" t="s">
        <v>38</v>
      </c>
      <c r="D369" s="2" t="s">
        <v>26</v>
      </c>
      <c r="E369" s="2" t="s">
        <v>22</v>
      </c>
      <c r="F369" s="2" t="s">
        <v>47</v>
      </c>
      <c r="G369" s="2" t="s">
        <v>36</v>
      </c>
      <c r="H369" s="2">
        <v>150000</v>
      </c>
      <c r="I369" s="2">
        <v>3</v>
      </c>
      <c r="J369" s="2" t="s">
        <v>27</v>
      </c>
      <c r="K369" s="2">
        <f t="shared" si="35"/>
        <v>120000</v>
      </c>
      <c r="L369" s="9">
        <f>Table_1[[#This Row],[Unit Price]]*Table_1[[#This Row],[Quantity]]</f>
        <v>450000</v>
      </c>
      <c r="M369" s="8">
        <f>Table_1[[#This Row],[Cost Price]]*Table_1[[#This Row],[Quantity]]</f>
        <v>360000</v>
      </c>
      <c r="N369">
        <f>Table_1[[#This Row],[Revenue]]-Table_1[[#This Row],[COGS]]</f>
        <v>90000</v>
      </c>
      <c r="O369" s="11">
        <f t="shared" si="36"/>
        <v>4656740000</v>
      </c>
      <c r="P369">
        <f t="shared" si="37"/>
        <v>3725392000</v>
      </c>
      <c r="Q369">
        <f t="shared" si="38"/>
        <v>931348000</v>
      </c>
      <c r="R369" s="7">
        <f t="shared" si="39"/>
        <v>2098</v>
      </c>
      <c r="S369" s="7">
        <f t="shared" si="40"/>
        <v>1</v>
      </c>
      <c r="T369" s="7">
        <f t="shared" si="41"/>
        <v>2098</v>
      </c>
    </row>
    <row r="370" spans="1:20" ht="14.25" customHeight="1" x14ac:dyDescent="0.35">
      <c r="A370" s="2" t="s">
        <v>28</v>
      </c>
      <c r="B370" s="2" t="s">
        <v>12</v>
      </c>
      <c r="C370" s="2" t="s">
        <v>38</v>
      </c>
      <c r="D370" s="2" t="s">
        <v>26</v>
      </c>
      <c r="E370" s="2" t="s">
        <v>22</v>
      </c>
      <c r="F370" s="2" t="s">
        <v>41</v>
      </c>
      <c r="G370" s="2" t="s">
        <v>17</v>
      </c>
      <c r="H370" s="2">
        <v>320000</v>
      </c>
      <c r="I370" s="2">
        <v>1</v>
      </c>
      <c r="J370" s="2" t="s">
        <v>32</v>
      </c>
      <c r="K370" s="2">
        <f t="shared" si="35"/>
        <v>256000</v>
      </c>
      <c r="L370" s="9">
        <f>Table_1[[#This Row],[Unit Price]]*Table_1[[#This Row],[Quantity]]</f>
        <v>320000</v>
      </c>
      <c r="M370" s="8">
        <f>Table_1[[#This Row],[Cost Price]]*Table_1[[#This Row],[Quantity]]</f>
        <v>256000</v>
      </c>
      <c r="N370">
        <f>Table_1[[#This Row],[Revenue]]-Table_1[[#This Row],[COGS]]</f>
        <v>64000</v>
      </c>
      <c r="O370" s="11">
        <f t="shared" si="36"/>
        <v>4656740000</v>
      </c>
      <c r="P370">
        <f t="shared" si="37"/>
        <v>3725392000</v>
      </c>
      <c r="Q370">
        <f t="shared" si="38"/>
        <v>931348000</v>
      </c>
      <c r="R370" s="7">
        <f t="shared" si="39"/>
        <v>2098</v>
      </c>
      <c r="S370" s="7">
        <f t="shared" si="40"/>
        <v>4</v>
      </c>
      <c r="T370" s="7">
        <f t="shared" si="41"/>
        <v>2098</v>
      </c>
    </row>
    <row r="371" spans="1:20" ht="14.25" customHeight="1" x14ac:dyDescent="0.35">
      <c r="A371" s="2" t="s">
        <v>65</v>
      </c>
      <c r="B371" s="2" t="s">
        <v>20</v>
      </c>
      <c r="C371" s="2" t="s">
        <v>38</v>
      </c>
      <c r="D371" s="2" t="s">
        <v>26</v>
      </c>
      <c r="E371" s="2" t="s">
        <v>15</v>
      </c>
      <c r="F371" s="2" t="s">
        <v>39</v>
      </c>
      <c r="G371" s="2" t="s">
        <v>24</v>
      </c>
      <c r="H371" s="2">
        <v>180000</v>
      </c>
      <c r="I371" s="2">
        <v>5</v>
      </c>
      <c r="J371" s="2" t="s">
        <v>18</v>
      </c>
      <c r="K371" s="2">
        <f t="shared" si="35"/>
        <v>144000</v>
      </c>
      <c r="L371" s="9">
        <f>Table_1[[#This Row],[Unit Price]]*Table_1[[#This Row],[Quantity]]</f>
        <v>900000</v>
      </c>
      <c r="M371" s="8">
        <f>Table_1[[#This Row],[Cost Price]]*Table_1[[#This Row],[Quantity]]</f>
        <v>720000</v>
      </c>
      <c r="N371">
        <f>Table_1[[#This Row],[Revenue]]-Table_1[[#This Row],[COGS]]</f>
        <v>180000</v>
      </c>
      <c r="O371" s="11">
        <f t="shared" si="36"/>
        <v>4656740000</v>
      </c>
      <c r="P371">
        <f t="shared" si="37"/>
        <v>3725392000</v>
      </c>
      <c r="Q371">
        <f t="shared" si="38"/>
        <v>931348000</v>
      </c>
      <c r="R371" s="7">
        <f t="shared" si="39"/>
        <v>2098</v>
      </c>
      <c r="S371" s="7">
        <f t="shared" si="40"/>
        <v>2</v>
      </c>
      <c r="T371" s="7">
        <f t="shared" si="41"/>
        <v>2098</v>
      </c>
    </row>
    <row r="372" spans="1:20" ht="14.25" customHeight="1" x14ac:dyDescent="0.35">
      <c r="A372" s="2" t="s">
        <v>90</v>
      </c>
      <c r="B372" s="2" t="s">
        <v>34</v>
      </c>
      <c r="C372" s="2" t="s">
        <v>30</v>
      </c>
      <c r="D372" s="2" t="s">
        <v>26</v>
      </c>
      <c r="E372" s="2" t="s">
        <v>22</v>
      </c>
      <c r="F372" s="2" t="s">
        <v>35</v>
      </c>
      <c r="G372" s="2" t="s">
        <v>36</v>
      </c>
      <c r="H372" s="2">
        <v>300000</v>
      </c>
      <c r="I372" s="2">
        <v>1</v>
      </c>
      <c r="J372" s="2" t="s">
        <v>32</v>
      </c>
      <c r="K372" s="2">
        <f t="shared" si="35"/>
        <v>240000</v>
      </c>
      <c r="L372" s="9">
        <f>Table_1[[#This Row],[Unit Price]]*Table_1[[#This Row],[Quantity]]</f>
        <v>300000</v>
      </c>
      <c r="M372" s="8">
        <f>Table_1[[#This Row],[Cost Price]]*Table_1[[#This Row],[Quantity]]</f>
        <v>240000</v>
      </c>
      <c r="N372">
        <f>Table_1[[#This Row],[Revenue]]-Table_1[[#This Row],[COGS]]</f>
        <v>60000</v>
      </c>
      <c r="O372" s="11">
        <f t="shared" si="36"/>
        <v>4656740000</v>
      </c>
      <c r="P372">
        <f t="shared" si="37"/>
        <v>3725392000</v>
      </c>
      <c r="Q372">
        <f t="shared" si="38"/>
        <v>931348000</v>
      </c>
      <c r="R372" s="7">
        <f t="shared" si="39"/>
        <v>2098</v>
      </c>
      <c r="S372" s="7">
        <f t="shared" si="40"/>
        <v>3</v>
      </c>
      <c r="T372" s="7">
        <f t="shared" si="41"/>
        <v>2098</v>
      </c>
    </row>
    <row r="373" spans="1:20" ht="14.25" customHeight="1" x14ac:dyDescent="0.35">
      <c r="A373" s="2" t="s">
        <v>153</v>
      </c>
      <c r="B373" s="2" t="s">
        <v>20</v>
      </c>
      <c r="C373" s="2" t="s">
        <v>13</v>
      </c>
      <c r="D373" s="2" t="s">
        <v>26</v>
      </c>
      <c r="E373" s="2" t="s">
        <v>15</v>
      </c>
      <c r="F373" s="2" t="s">
        <v>39</v>
      </c>
      <c r="G373" s="2" t="s">
        <v>24</v>
      </c>
      <c r="H373" s="2">
        <v>180000</v>
      </c>
      <c r="I373" s="2">
        <v>8</v>
      </c>
      <c r="J373" s="2" t="s">
        <v>50</v>
      </c>
      <c r="K373" s="2">
        <f t="shared" si="35"/>
        <v>144000</v>
      </c>
      <c r="L373" s="9">
        <f>Table_1[[#This Row],[Unit Price]]*Table_1[[#This Row],[Quantity]]</f>
        <v>1440000</v>
      </c>
      <c r="M373" s="8">
        <f>Table_1[[#This Row],[Cost Price]]*Table_1[[#This Row],[Quantity]]</f>
        <v>1152000</v>
      </c>
      <c r="N373">
        <f>Table_1[[#This Row],[Revenue]]-Table_1[[#This Row],[COGS]]</f>
        <v>288000</v>
      </c>
      <c r="O373" s="11">
        <f t="shared" si="36"/>
        <v>4656740000</v>
      </c>
      <c r="P373">
        <f t="shared" si="37"/>
        <v>3725392000</v>
      </c>
      <c r="Q373">
        <f t="shared" si="38"/>
        <v>931348000</v>
      </c>
      <c r="R373" s="7">
        <f t="shared" si="39"/>
        <v>2098</v>
      </c>
      <c r="S373" s="7">
        <f t="shared" si="40"/>
        <v>4</v>
      </c>
      <c r="T373" s="7">
        <f t="shared" si="41"/>
        <v>2098</v>
      </c>
    </row>
    <row r="374" spans="1:20" ht="14.25" customHeight="1" x14ac:dyDescent="0.35">
      <c r="A374" s="2" t="s">
        <v>117</v>
      </c>
      <c r="B374" s="2" t="s">
        <v>29</v>
      </c>
      <c r="C374" s="2" t="s">
        <v>30</v>
      </c>
      <c r="D374" s="2" t="s">
        <v>26</v>
      </c>
      <c r="E374" s="2" t="s">
        <v>15</v>
      </c>
      <c r="F374" s="2" t="s">
        <v>39</v>
      </c>
      <c r="G374" s="2" t="s">
        <v>24</v>
      </c>
      <c r="H374" s="2">
        <v>180000</v>
      </c>
      <c r="I374" s="2">
        <v>3</v>
      </c>
      <c r="J374" s="2" t="s">
        <v>43</v>
      </c>
      <c r="K374" s="2">
        <f t="shared" si="35"/>
        <v>144000</v>
      </c>
      <c r="L374" s="9">
        <f>Table_1[[#This Row],[Unit Price]]*Table_1[[#This Row],[Quantity]]</f>
        <v>540000</v>
      </c>
      <c r="M374" s="8">
        <f>Table_1[[#This Row],[Cost Price]]*Table_1[[#This Row],[Quantity]]</f>
        <v>432000</v>
      </c>
      <c r="N374">
        <f>Table_1[[#This Row],[Revenue]]-Table_1[[#This Row],[COGS]]</f>
        <v>108000</v>
      </c>
      <c r="O374" s="11">
        <f t="shared" si="36"/>
        <v>4656740000</v>
      </c>
      <c r="P374">
        <f t="shared" si="37"/>
        <v>3725392000</v>
      </c>
      <c r="Q374">
        <f t="shared" si="38"/>
        <v>931348000</v>
      </c>
      <c r="R374" s="7">
        <f t="shared" si="39"/>
        <v>2098</v>
      </c>
      <c r="S374" s="7">
        <f t="shared" si="40"/>
        <v>4</v>
      </c>
      <c r="T374" s="7">
        <f t="shared" si="41"/>
        <v>2098</v>
      </c>
    </row>
    <row r="375" spans="1:20" ht="14.25" customHeight="1" x14ac:dyDescent="0.35">
      <c r="A375" s="2" t="s">
        <v>143</v>
      </c>
      <c r="B375" s="2" t="s">
        <v>12</v>
      </c>
      <c r="C375" s="2" t="s">
        <v>38</v>
      </c>
      <c r="D375" s="2" t="s">
        <v>26</v>
      </c>
      <c r="E375" s="2" t="s">
        <v>22</v>
      </c>
      <c r="F375" s="2" t="s">
        <v>41</v>
      </c>
      <c r="G375" s="2" t="s">
        <v>17</v>
      </c>
      <c r="H375" s="2">
        <v>320000</v>
      </c>
      <c r="I375" s="2">
        <v>6</v>
      </c>
      <c r="J375" s="2" t="s">
        <v>54</v>
      </c>
      <c r="K375" s="2">
        <f t="shared" si="35"/>
        <v>256000</v>
      </c>
      <c r="L375" s="9">
        <f>Table_1[[#This Row],[Unit Price]]*Table_1[[#This Row],[Quantity]]</f>
        <v>1920000</v>
      </c>
      <c r="M375" s="8">
        <f>Table_1[[#This Row],[Cost Price]]*Table_1[[#This Row],[Quantity]]</f>
        <v>1536000</v>
      </c>
      <c r="N375">
        <f>Table_1[[#This Row],[Revenue]]-Table_1[[#This Row],[COGS]]</f>
        <v>384000</v>
      </c>
      <c r="O375" s="11">
        <f t="shared" si="36"/>
        <v>4656740000</v>
      </c>
      <c r="P375">
        <f t="shared" si="37"/>
        <v>3725392000</v>
      </c>
      <c r="Q375">
        <f t="shared" si="38"/>
        <v>931348000</v>
      </c>
      <c r="R375" s="7">
        <f t="shared" si="39"/>
        <v>2098</v>
      </c>
      <c r="S375" s="7">
        <f t="shared" si="40"/>
        <v>1</v>
      </c>
      <c r="T375" s="7">
        <f t="shared" si="41"/>
        <v>2098</v>
      </c>
    </row>
    <row r="376" spans="1:20" ht="14.25" customHeight="1" x14ac:dyDescent="0.35">
      <c r="A376" s="2" t="s">
        <v>132</v>
      </c>
      <c r="B376" s="2" t="s">
        <v>12</v>
      </c>
      <c r="C376" s="2" t="s">
        <v>38</v>
      </c>
      <c r="D376" s="2" t="s">
        <v>26</v>
      </c>
      <c r="E376" s="2" t="s">
        <v>22</v>
      </c>
      <c r="F376" s="2" t="s">
        <v>31</v>
      </c>
      <c r="G376" s="2" t="s">
        <v>24</v>
      </c>
      <c r="H376" s="2">
        <v>60000</v>
      </c>
      <c r="I376" s="2">
        <v>10</v>
      </c>
      <c r="J376" s="2" t="s">
        <v>18</v>
      </c>
      <c r="K376" s="2">
        <f t="shared" si="35"/>
        <v>48000</v>
      </c>
      <c r="L376" s="9">
        <f>Table_1[[#This Row],[Unit Price]]*Table_1[[#This Row],[Quantity]]</f>
        <v>600000</v>
      </c>
      <c r="M376" s="8">
        <f>Table_1[[#This Row],[Cost Price]]*Table_1[[#This Row],[Quantity]]</f>
        <v>480000</v>
      </c>
      <c r="N376">
        <f>Table_1[[#This Row],[Revenue]]-Table_1[[#This Row],[COGS]]</f>
        <v>120000</v>
      </c>
      <c r="O376" s="11">
        <f t="shared" si="36"/>
        <v>4656740000</v>
      </c>
      <c r="P376">
        <f t="shared" si="37"/>
        <v>3725392000</v>
      </c>
      <c r="Q376">
        <f t="shared" si="38"/>
        <v>931348000</v>
      </c>
      <c r="R376" s="7">
        <f t="shared" si="39"/>
        <v>2098</v>
      </c>
      <c r="S376" s="7">
        <f t="shared" si="40"/>
        <v>1</v>
      </c>
      <c r="T376" s="7">
        <f t="shared" si="41"/>
        <v>2098</v>
      </c>
    </row>
    <row r="377" spans="1:20" ht="14.25" customHeight="1" x14ac:dyDescent="0.35">
      <c r="A377" s="2" t="s">
        <v>109</v>
      </c>
      <c r="B377" s="2" t="s">
        <v>29</v>
      </c>
      <c r="C377" s="2" t="s">
        <v>21</v>
      </c>
      <c r="D377" s="2" t="s">
        <v>26</v>
      </c>
      <c r="E377" s="2" t="s">
        <v>22</v>
      </c>
      <c r="F377" s="2" t="s">
        <v>35</v>
      </c>
      <c r="G377" s="2" t="s">
        <v>36</v>
      </c>
      <c r="H377" s="2">
        <v>300000</v>
      </c>
      <c r="I377" s="2">
        <v>1</v>
      </c>
      <c r="J377" s="2" t="s">
        <v>50</v>
      </c>
      <c r="K377" s="2">
        <f t="shared" si="35"/>
        <v>240000</v>
      </c>
      <c r="L377" s="9">
        <f>Table_1[[#This Row],[Unit Price]]*Table_1[[#This Row],[Quantity]]</f>
        <v>300000</v>
      </c>
      <c r="M377" s="8">
        <f>Table_1[[#This Row],[Cost Price]]*Table_1[[#This Row],[Quantity]]</f>
        <v>240000</v>
      </c>
      <c r="N377">
        <f>Table_1[[#This Row],[Revenue]]-Table_1[[#This Row],[COGS]]</f>
        <v>60000</v>
      </c>
      <c r="O377" s="11">
        <f t="shared" si="36"/>
        <v>4656740000</v>
      </c>
      <c r="P377">
        <f t="shared" si="37"/>
        <v>3725392000</v>
      </c>
      <c r="Q377">
        <f t="shared" si="38"/>
        <v>931348000</v>
      </c>
      <c r="R377" s="7">
        <f t="shared" si="39"/>
        <v>2098</v>
      </c>
      <c r="S377" s="7">
        <f t="shared" si="40"/>
        <v>2</v>
      </c>
      <c r="T377" s="7">
        <f t="shared" si="41"/>
        <v>2098</v>
      </c>
    </row>
    <row r="378" spans="1:20" ht="14.25" customHeight="1" x14ac:dyDescent="0.35">
      <c r="A378" s="2" t="s">
        <v>138</v>
      </c>
      <c r="B378" s="2" t="s">
        <v>12</v>
      </c>
      <c r="C378" s="2" t="s">
        <v>21</v>
      </c>
      <c r="D378" s="2" t="s">
        <v>26</v>
      </c>
      <c r="E378" s="2" t="s">
        <v>15</v>
      </c>
      <c r="F378" s="2" t="s">
        <v>39</v>
      </c>
      <c r="G378" s="2" t="s">
        <v>24</v>
      </c>
      <c r="H378" s="2">
        <v>180000</v>
      </c>
      <c r="I378" s="2">
        <v>1</v>
      </c>
      <c r="J378" s="2" t="s">
        <v>27</v>
      </c>
      <c r="K378" s="2">
        <f t="shared" si="35"/>
        <v>144000</v>
      </c>
      <c r="L378" s="9">
        <f>Table_1[[#This Row],[Unit Price]]*Table_1[[#This Row],[Quantity]]</f>
        <v>180000</v>
      </c>
      <c r="M378" s="8">
        <f>Table_1[[#This Row],[Cost Price]]*Table_1[[#This Row],[Quantity]]</f>
        <v>144000</v>
      </c>
      <c r="N378">
        <f>Table_1[[#This Row],[Revenue]]-Table_1[[#This Row],[COGS]]</f>
        <v>36000</v>
      </c>
      <c r="O378" s="11">
        <f t="shared" si="36"/>
        <v>4656740000</v>
      </c>
      <c r="P378">
        <f t="shared" si="37"/>
        <v>3725392000</v>
      </c>
      <c r="Q378">
        <f t="shared" si="38"/>
        <v>931348000</v>
      </c>
      <c r="R378" s="7">
        <f t="shared" si="39"/>
        <v>2098</v>
      </c>
      <c r="S378" s="7">
        <f t="shared" si="40"/>
        <v>3</v>
      </c>
      <c r="T378" s="7">
        <f t="shared" si="41"/>
        <v>2098</v>
      </c>
    </row>
    <row r="379" spans="1:20" ht="14.25" customHeight="1" x14ac:dyDescent="0.35">
      <c r="A379" s="2" t="s">
        <v>119</v>
      </c>
      <c r="B379" s="2" t="s">
        <v>20</v>
      </c>
      <c r="C379" s="2" t="s">
        <v>21</v>
      </c>
      <c r="D379" s="2" t="s">
        <v>14</v>
      </c>
      <c r="E379" s="2" t="s">
        <v>22</v>
      </c>
      <c r="F379" s="2" t="s">
        <v>58</v>
      </c>
      <c r="G379" s="2" t="s">
        <v>24</v>
      </c>
      <c r="H379" s="2">
        <v>220000</v>
      </c>
      <c r="I379" s="2">
        <v>8</v>
      </c>
      <c r="J379" s="2" t="s">
        <v>50</v>
      </c>
      <c r="K379" s="2">
        <f t="shared" si="35"/>
        <v>176000</v>
      </c>
      <c r="L379" s="9">
        <f>Table_1[[#This Row],[Unit Price]]*Table_1[[#This Row],[Quantity]]</f>
        <v>1760000</v>
      </c>
      <c r="M379" s="8">
        <f>Table_1[[#This Row],[Cost Price]]*Table_1[[#This Row],[Quantity]]</f>
        <v>1408000</v>
      </c>
      <c r="N379">
        <f>Table_1[[#This Row],[Revenue]]-Table_1[[#This Row],[COGS]]</f>
        <v>352000</v>
      </c>
      <c r="O379" s="11">
        <f t="shared" si="36"/>
        <v>4656740000</v>
      </c>
      <c r="P379">
        <f t="shared" si="37"/>
        <v>3725392000</v>
      </c>
      <c r="Q379">
        <f t="shared" si="38"/>
        <v>931348000</v>
      </c>
      <c r="R379" s="7">
        <f t="shared" si="39"/>
        <v>2098</v>
      </c>
      <c r="S379" s="7">
        <f t="shared" si="40"/>
        <v>1</v>
      </c>
      <c r="T379" s="7">
        <f t="shared" si="41"/>
        <v>2098</v>
      </c>
    </row>
    <row r="380" spans="1:20" ht="14.25" customHeight="1" x14ac:dyDescent="0.35">
      <c r="A380" s="2" t="s">
        <v>121</v>
      </c>
      <c r="B380" s="2" t="s">
        <v>34</v>
      </c>
      <c r="C380" s="2" t="s">
        <v>21</v>
      </c>
      <c r="D380" s="2" t="s">
        <v>26</v>
      </c>
      <c r="E380" s="2" t="s">
        <v>22</v>
      </c>
      <c r="F380" s="2" t="s">
        <v>16</v>
      </c>
      <c r="G380" s="2" t="s">
        <v>17</v>
      </c>
      <c r="H380" s="2">
        <v>85000</v>
      </c>
      <c r="I380" s="2">
        <v>7</v>
      </c>
      <c r="J380" s="2" t="s">
        <v>32</v>
      </c>
      <c r="K380" s="2">
        <f t="shared" si="35"/>
        <v>68000</v>
      </c>
      <c r="L380" s="9">
        <f>Table_1[[#This Row],[Unit Price]]*Table_1[[#This Row],[Quantity]]</f>
        <v>595000</v>
      </c>
      <c r="M380" s="8">
        <f>Table_1[[#This Row],[Cost Price]]*Table_1[[#This Row],[Quantity]]</f>
        <v>476000</v>
      </c>
      <c r="N380">
        <f>Table_1[[#This Row],[Revenue]]-Table_1[[#This Row],[COGS]]</f>
        <v>119000</v>
      </c>
      <c r="O380" s="11">
        <f t="shared" si="36"/>
        <v>4656740000</v>
      </c>
      <c r="P380">
        <f t="shared" si="37"/>
        <v>3725392000</v>
      </c>
      <c r="Q380">
        <f t="shared" si="38"/>
        <v>931348000</v>
      </c>
      <c r="R380" s="7">
        <f t="shared" si="39"/>
        <v>2098</v>
      </c>
      <c r="S380" s="7">
        <f t="shared" si="40"/>
        <v>2</v>
      </c>
      <c r="T380" s="7">
        <f t="shared" si="41"/>
        <v>2098</v>
      </c>
    </row>
    <row r="381" spans="1:20" ht="14.25" customHeight="1" x14ac:dyDescent="0.35">
      <c r="A381" s="2" t="s">
        <v>65</v>
      </c>
      <c r="B381" s="2" t="s">
        <v>12</v>
      </c>
      <c r="C381" s="2" t="s">
        <v>13</v>
      </c>
      <c r="D381" s="2" t="s">
        <v>14</v>
      </c>
      <c r="E381" s="2" t="s">
        <v>22</v>
      </c>
      <c r="F381" s="2" t="s">
        <v>39</v>
      </c>
      <c r="G381" s="2" t="s">
        <v>24</v>
      </c>
      <c r="H381" s="2">
        <v>180000</v>
      </c>
      <c r="I381" s="2">
        <v>9</v>
      </c>
      <c r="J381" s="2" t="s">
        <v>54</v>
      </c>
      <c r="K381" s="2">
        <f t="shared" si="35"/>
        <v>144000</v>
      </c>
      <c r="L381" s="9">
        <f>Table_1[[#This Row],[Unit Price]]*Table_1[[#This Row],[Quantity]]</f>
        <v>1620000</v>
      </c>
      <c r="M381" s="8">
        <f>Table_1[[#This Row],[Cost Price]]*Table_1[[#This Row],[Quantity]]</f>
        <v>1296000</v>
      </c>
      <c r="N381">
        <f>Table_1[[#This Row],[Revenue]]-Table_1[[#This Row],[COGS]]</f>
        <v>324000</v>
      </c>
      <c r="O381" s="11">
        <f t="shared" si="36"/>
        <v>4656740000</v>
      </c>
      <c r="P381">
        <f t="shared" si="37"/>
        <v>3725392000</v>
      </c>
      <c r="Q381">
        <f t="shared" si="38"/>
        <v>931348000</v>
      </c>
      <c r="R381" s="7">
        <f t="shared" si="39"/>
        <v>2098</v>
      </c>
      <c r="S381" s="7">
        <f t="shared" si="40"/>
        <v>2</v>
      </c>
      <c r="T381" s="7">
        <f t="shared" si="41"/>
        <v>2098</v>
      </c>
    </row>
    <row r="382" spans="1:20" ht="14.25" customHeight="1" x14ac:dyDescent="0.35">
      <c r="A382" s="2" t="s">
        <v>73</v>
      </c>
      <c r="B382" s="2" t="s">
        <v>34</v>
      </c>
      <c r="C382" s="2" t="s">
        <v>13</v>
      </c>
      <c r="D382" s="2" t="s">
        <v>26</v>
      </c>
      <c r="E382" s="2" t="s">
        <v>15</v>
      </c>
      <c r="F382" s="2" t="s">
        <v>41</v>
      </c>
      <c r="G382" s="2" t="s">
        <v>17</v>
      </c>
      <c r="H382" s="2">
        <v>320000</v>
      </c>
      <c r="I382" s="2">
        <v>3</v>
      </c>
      <c r="J382" s="2" t="s">
        <v>43</v>
      </c>
      <c r="K382" s="2">
        <f t="shared" si="35"/>
        <v>256000</v>
      </c>
      <c r="L382" s="9">
        <f>Table_1[[#This Row],[Unit Price]]*Table_1[[#This Row],[Quantity]]</f>
        <v>960000</v>
      </c>
      <c r="M382" s="8">
        <f>Table_1[[#This Row],[Cost Price]]*Table_1[[#This Row],[Quantity]]</f>
        <v>768000</v>
      </c>
      <c r="N382">
        <f>Table_1[[#This Row],[Revenue]]-Table_1[[#This Row],[COGS]]</f>
        <v>192000</v>
      </c>
      <c r="O382" s="11">
        <f t="shared" si="36"/>
        <v>4656740000</v>
      </c>
      <c r="P382">
        <f t="shared" si="37"/>
        <v>3725392000</v>
      </c>
      <c r="Q382">
        <f t="shared" si="38"/>
        <v>931348000</v>
      </c>
      <c r="R382" s="7">
        <f t="shared" si="39"/>
        <v>2098</v>
      </c>
      <c r="S382" s="7">
        <f t="shared" si="40"/>
        <v>2</v>
      </c>
      <c r="T382" s="7">
        <f t="shared" si="41"/>
        <v>2098</v>
      </c>
    </row>
    <row r="383" spans="1:20" ht="14.25" customHeight="1" x14ac:dyDescent="0.35">
      <c r="A383" s="2" t="s">
        <v>142</v>
      </c>
      <c r="B383" s="2" t="s">
        <v>34</v>
      </c>
      <c r="C383" s="2" t="s">
        <v>13</v>
      </c>
      <c r="D383" s="2" t="s">
        <v>26</v>
      </c>
      <c r="E383" s="2" t="s">
        <v>15</v>
      </c>
      <c r="F383" s="2" t="s">
        <v>47</v>
      </c>
      <c r="G383" s="2" t="s">
        <v>36</v>
      </c>
      <c r="H383" s="2">
        <v>150000</v>
      </c>
      <c r="I383" s="2">
        <v>4</v>
      </c>
      <c r="J383" s="2" t="s">
        <v>18</v>
      </c>
      <c r="K383" s="2">
        <f t="shared" si="35"/>
        <v>120000</v>
      </c>
      <c r="L383" s="9">
        <f>Table_1[[#This Row],[Unit Price]]*Table_1[[#This Row],[Quantity]]</f>
        <v>600000</v>
      </c>
      <c r="M383" s="8">
        <f>Table_1[[#This Row],[Cost Price]]*Table_1[[#This Row],[Quantity]]</f>
        <v>480000</v>
      </c>
      <c r="N383">
        <f>Table_1[[#This Row],[Revenue]]-Table_1[[#This Row],[COGS]]</f>
        <v>120000</v>
      </c>
      <c r="O383" s="11">
        <f t="shared" si="36"/>
        <v>4656740000</v>
      </c>
      <c r="P383">
        <f t="shared" si="37"/>
        <v>3725392000</v>
      </c>
      <c r="Q383">
        <f t="shared" si="38"/>
        <v>931348000</v>
      </c>
      <c r="R383" s="7">
        <f t="shared" si="39"/>
        <v>2098</v>
      </c>
      <c r="S383" s="7">
        <f t="shared" si="40"/>
        <v>4</v>
      </c>
      <c r="T383" s="7">
        <f t="shared" si="41"/>
        <v>2098</v>
      </c>
    </row>
    <row r="384" spans="1:20" ht="14.25" customHeight="1" x14ac:dyDescent="0.35">
      <c r="A384" s="2" t="s">
        <v>122</v>
      </c>
      <c r="B384" s="2" t="s">
        <v>20</v>
      </c>
      <c r="C384" s="2" t="s">
        <v>21</v>
      </c>
      <c r="D384" s="2" t="s">
        <v>14</v>
      </c>
      <c r="E384" s="2" t="s">
        <v>15</v>
      </c>
      <c r="F384" s="2" t="s">
        <v>58</v>
      </c>
      <c r="G384" s="2" t="s">
        <v>24</v>
      </c>
      <c r="H384" s="2">
        <v>220000</v>
      </c>
      <c r="I384" s="2">
        <v>10</v>
      </c>
      <c r="J384" s="2" t="s">
        <v>54</v>
      </c>
      <c r="K384" s="2">
        <f t="shared" si="35"/>
        <v>176000</v>
      </c>
      <c r="L384" s="9">
        <f>Table_1[[#This Row],[Unit Price]]*Table_1[[#This Row],[Quantity]]</f>
        <v>2200000</v>
      </c>
      <c r="M384" s="8">
        <f>Table_1[[#This Row],[Cost Price]]*Table_1[[#This Row],[Quantity]]</f>
        <v>1760000</v>
      </c>
      <c r="N384">
        <f>Table_1[[#This Row],[Revenue]]-Table_1[[#This Row],[COGS]]</f>
        <v>440000</v>
      </c>
      <c r="O384" s="11">
        <f t="shared" si="36"/>
        <v>4656740000</v>
      </c>
      <c r="P384">
        <f t="shared" si="37"/>
        <v>3725392000</v>
      </c>
      <c r="Q384">
        <f t="shared" si="38"/>
        <v>931348000</v>
      </c>
      <c r="R384" s="7">
        <f t="shared" si="39"/>
        <v>2098</v>
      </c>
      <c r="S384" s="7">
        <f t="shared" si="40"/>
        <v>4</v>
      </c>
      <c r="T384" s="7">
        <f t="shared" si="41"/>
        <v>2098</v>
      </c>
    </row>
    <row r="385" spans="1:20" ht="14.25" customHeight="1" x14ac:dyDescent="0.35">
      <c r="A385" s="2" t="s">
        <v>139</v>
      </c>
      <c r="B385" s="2" t="s">
        <v>29</v>
      </c>
      <c r="C385" s="2" t="s">
        <v>13</v>
      </c>
      <c r="D385" s="2" t="s">
        <v>26</v>
      </c>
      <c r="E385" s="2" t="s">
        <v>15</v>
      </c>
      <c r="F385" s="2" t="s">
        <v>47</v>
      </c>
      <c r="G385" s="2" t="s">
        <v>36</v>
      </c>
      <c r="H385" s="2">
        <v>150000</v>
      </c>
      <c r="I385" s="2">
        <v>6</v>
      </c>
      <c r="J385" s="2" t="s">
        <v>18</v>
      </c>
      <c r="K385" s="2">
        <f t="shared" si="35"/>
        <v>120000</v>
      </c>
      <c r="L385" s="9">
        <f>Table_1[[#This Row],[Unit Price]]*Table_1[[#This Row],[Quantity]]</f>
        <v>900000</v>
      </c>
      <c r="M385" s="8">
        <f>Table_1[[#This Row],[Cost Price]]*Table_1[[#This Row],[Quantity]]</f>
        <v>720000</v>
      </c>
      <c r="N385">
        <f>Table_1[[#This Row],[Revenue]]-Table_1[[#This Row],[COGS]]</f>
        <v>180000</v>
      </c>
      <c r="O385" s="11">
        <f t="shared" si="36"/>
        <v>4656740000</v>
      </c>
      <c r="P385">
        <f t="shared" si="37"/>
        <v>3725392000</v>
      </c>
      <c r="Q385">
        <f t="shared" si="38"/>
        <v>931348000</v>
      </c>
      <c r="R385" s="7">
        <f t="shared" si="39"/>
        <v>2098</v>
      </c>
      <c r="S385" s="7">
        <f t="shared" si="40"/>
        <v>2</v>
      </c>
      <c r="T385" s="7">
        <f t="shared" si="41"/>
        <v>2098</v>
      </c>
    </row>
    <row r="386" spans="1:20" ht="14.25" customHeight="1" x14ac:dyDescent="0.35">
      <c r="A386" s="2" t="s">
        <v>102</v>
      </c>
      <c r="B386" s="2" t="s">
        <v>12</v>
      </c>
      <c r="C386" s="2" t="s">
        <v>21</v>
      </c>
      <c r="D386" s="2" t="s">
        <v>26</v>
      </c>
      <c r="E386" s="2" t="s">
        <v>22</v>
      </c>
      <c r="F386" s="2" t="s">
        <v>39</v>
      </c>
      <c r="G386" s="2" t="s">
        <v>24</v>
      </c>
      <c r="H386" s="2">
        <v>180000</v>
      </c>
      <c r="I386" s="2">
        <v>1</v>
      </c>
      <c r="J386" s="2" t="s">
        <v>32</v>
      </c>
      <c r="K386" s="2">
        <f t="shared" ref="K386:K449" si="42">H386-H386*0.2</f>
        <v>144000</v>
      </c>
      <c r="L386" s="9">
        <f>Table_1[[#This Row],[Unit Price]]*Table_1[[#This Row],[Quantity]]</f>
        <v>180000</v>
      </c>
      <c r="M386" s="8">
        <f>Table_1[[#This Row],[Cost Price]]*Table_1[[#This Row],[Quantity]]</f>
        <v>144000</v>
      </c>
      <c r="N386">
        <f>Table_1[[#This Row],[Revenue]]-Table_1[[#This Row],[COGS]]</f>
        <v>36000</v>
      </c>
      <c r="O386" s="11">
        <f t="shared" ref="O386:O449" si="43">SUM(L$2:L$1048576)</f>
        <v>4656740000</v>
      </c>
      <c r="P386">
        <f t="shared" ref="P386:P449" si="44">SUM(M:M)</f>
        <v>3725392000</v>
      </c>
      <c r="Q386">
        <f t="shared" ref="Q386:Q449" si="45">SUM(N:N)</f>
        <v>931348000</v>
      </c>
      <c r="R386" s="7">
        <f t="shared" ref="R386:R449" si="46">COUNTA(A$2:A$1048576)</f>
        <v>2098</v>
      </c>
      <c r="S386" s="7">
        <f t="shared" ref="S386:S449" si="47">MONTH(A386:A1874)</f>
        <v>1</v>
      </c>
      <c r="T386" s="7">
        <f t="shared" ref="T386:T449" si="48">COUNTA(A:A)-1</f>
        <v>2098</v>
      </c>
    </row>
    <row r="387" spans="1:20" ht="14.25" customHeight="1" x14ac:dyDescent="0.35">
      <c r="A387" s="2" t="s">
        <v>98</v>
      </c>
      <c r="B387" s="2" t="s">
        <v>20</v>
      </c>
      <c r="C387" s="2" t="s">
        <v>30</v>
      </c>
      <c r="D387" s="2" t="s">
        <v>14</v>
      </c>
      <c r="E387" s="2" t="s">
        <v>15</v>
      </c>
      <c r="F387" s="2" t="s">
        <v>23</v>
      </c>
      <c r="G387" s="2" t="s">
        <v>24</v>
      </c>
      <c r="H387" s="2">
        <v>30000</v>
      </c>
      <c r="I387" s="2">
        <v>2</v>
      </c>
      <c r="J387" s="2" t="s">
        <v>43</v>
      </c>
      <c r="K387" s="2">
        <f t="shared" si="42"/>
        <v>24000</v>
      </c>
      <c r="L387" s="9">
        <f>Table_1[[#This Row],[Unit Price]]*Table_1[[#This Row],[Quantity]]</f>
        <v>60000</v>
      </c>
      <c r="M387" s="8">
        <f>Table_1[[#This Row],[Cost Price]]*Table_1[[#This Row],[Quantity]]</f>
        <v>48000</v>
      </c>
      <c r="N387">
        <f>Table_1[[#This Row],[Revenue]]-Table_1[[#This Row],[COGS]]</f>
        <v>12000</v>
      </c>
      <c r="O387" s="11">
        <f t="shared" si="43"/>
        <v>4656740000</v>
      </c>
      <c r="P387">
        <f t="shared" si="44"/>
        <v>3725392000</v>
      </c>
      <c r="Q387">
        <f t="shared" si="45"/>
        <v>931348000</v>
      </c>
      <c r="R387" s="7">
        <f t="shared" si="46"/>
        <v>2098</v>
      </c>
      <c r="S387" s="7">
        <f t="shared" si="47"/>
        <v>4</v>
      </c>
      <c r="T387" s="7">
        <f t="shared" si="48"/>
        <v>2098</v>
      </c>
    </row>
    <row r="388" spans="1:20" ht="14.25" customHeight="1" x14ac:dyDescent="0.35">
      <c r="A388" s="2" t="s">
        <v>67</v>
      </c>
      <c r="B388" s="2" t="s">
        <v>34</v>
      </c>
      <c r="C388" s="2" t="s">
        <v>38</v>
      </c>
      <c r="D388" s="2" t="s">
        <v>26</v>
      </c>
      <c r="E388" s="2" t="s">
        <v>15</v>
      </c>
      <c r="F388" s="2" t="s">
        <v>41</v>
      </c>
      <c r="G388" s="2" t="s">
        <v>17</v>
      </c>
      <c r="H388" s="2">
        <v>320000</v>
      </c>
      <c r="I388" s="2">
        <v>7</v>
      </c>
      <c r="J388" s="2" t="s">
        <v>18</v>
      </c>
      <c r="K388" s="2">
        <f t="shared" si="42"/>
        <v>256000</v>
      </c>
      <c r="L388" s="9">
        <f>Table_1[[#This Row],[Unit Price]]*Table_1[[#This Row],[Quantity]]</f>
        <v>2240000</v>
      </c>
      <c r="M388" s="8">
        <f>Table_1[[#This Row],[Cost Price]]*Table_1[[#This Row],[Quantity]]</f>
        <v>1792000</v>
      </c>
      <c r="N388">
        <f>Table_1[[#This Row],[Revenue]]-Table_1[[#This Row],[COGS]]</f>
        <v>448000</v>
      </c>
      <c r="O388" s="11">
        <f t="shared" si="43"/>
        <v>4656740000</v>
      </c>
      <c r="P388">
        <f t="shared" si="44"/>
        <v>3725392000</v>
      </c>
      <c r="Q388">
        <f t="shared" si="45"/>
        <v>931348000</v>
      </c>
      <c r="R388" s="7">
        <f t="shared" si="46"/>
        <v>2098</v>
      </c>
      <c r="S388" s="7">
        <f t="shared" si="47"/>
        <v>3</v>
      </c>
      <c r="T388" s="7">
        <f t="shared" si="48"/>
        <v>2098</v>
      </c>
    </row>
    <row r="389" spans="1:20" ht="14.25" customHeight="1" x14ac:dyDescent="0.35">
      <c r="A389" s="2" t="s">
        <v>129</v>
      </c>
      <c r="B389" s="2" t="s">
        <v>34</v>
      </c>
      <c r="C389" s="2" t="s">
        <v>30</v>
      </c>
      <c r="D389" s="2" t="s">
        <v>14</v>
      </c>
      <c r="E389" s="2" t="s">
        <v>22</v>
      </c>
      <c r="F389" s="2" t="s">
        <v>16</v>
      </c>
      <c r="G389" s="2" t="s">
        <v>17</v>
      </c>
      <c r="H389" s="2">
        <v>85000</v>
      </c>
      <c r="I389" s="2">
        <v>10</v>
      </c>
      <c r="J389" s="2" t="s">
        <v>27</v>
      </c>
      <c r="K389" s="2">
        <f t="shared" si="42"/>
        <v>68000</v>
      </c>
      <c r="L389" s="9">
        <f>Table_1[[#This Row],[Unit Price]]*Table_1[[#This Row],[Quantity]]</f>
        <v>850000</v>
      </c>
      <c r="M389" s="8">
        <f>Table_1[[#This Row],[Cost Price]]*Table_1[[#This Row],[Quantity]]</f>
        <v>680000</v>
      </c>
      <c r="N389">
        <f>Table_1[[#This Row],[Revenue]]-Table_1[[#This Row],[COGS]]</f>
        <v>170000</v>
      </c>
      <c r="O389" s="11">
        <f t="shared" si="43"/>
        <v>4656740000</v>
      </c>
      <c r="P389">
        <f t="shared" si="44"/>
        <v>3725392000</v>
      </c>
      <c r="Q389">
        <f t="shared" si="45"/>
        <v>931348000</v>
      </c>
      <c r="R389" s="7">
        <f t="shared" si="46"/>
        <v>2098</v>
      </c>
      <c r="S389" s="7">
        <f t="shared" si="47"/>
        <v>2</v>
      </c>
      <c r="T389" s="7">
        <f t="shared" si="48"/>
        <v>2098</v>
      </c>
    </row>
    <row r="390" spans="1:20" ht="14.25" customHeight="1" x14ac:dyDescent="0.35">
      <c r="A390" s="2" t="s">
        <v>117</v>
      </c>
      <c r="B390" s="2" t="s">
        <v>20</v>
      </c>
      <c r="C390" s="2" t="s">
        <v>13</v>
      </c>
      <c r="D390" s="2" t="s">
        <v>26</v>
      </c>
      <c r="E390" s="2" t="s">
        <v>15</v>
      </c>
      <c r="F390" s="2" t="s">
        <v>39</v>
      </c>
      <c r="G390" s="2" t="s">
        <v>24</v>
      </c>
      <c r="H390" s="2">
        <v>180000</v>
      </c>
      <c r="I390" s="2">
        <v>7</v>
      </c>
      <c r="J390" s="2" t="s">
        <v>32</v>
      </c>
      <c r="K390" s="2">
        <f t="shared" si="42"/>
        <v>144000</v>
      </c>
      <c r="L390" s="9">
        <f>Table_1[[#This Row],[Unit Price]]*Table_1[[#This Row],[Quantity]]</f>
        <v>1260000</v>
      </c>
      <c r="M390" s="8">
        <f>Table_1[[#This Row],[Cost Price]]*Table_1[[#This Row],[Quantity]]</f>
        <v>1008000</v>
      </c>
      <c r="N390">
        <f>Table_1[[#This Row],[Revenue]]-Table_1[[#This Row],[COGS]]</f>
        <v>252000</v>
      </c>
      <c r="O390" s="11">
        <f t="shared" si="43"/>
        <v>4656740000</v>
      </c>
      <c r="P390">
        <f t="shared" si="44"/>
        <v>3725392000</v>
      </c>
      <c r="Q390">
        <f t="shared" si="45"/>
        <v>931348000</v>
      </c>
      <c r="R390" s="7">
        <f t="shared" si="46"/>
        <v>2098</v>
      </c>
      <c r="S390" s="7">
        <f t="shared" si="47"/>
        <v>4</v>
      </c>
      <c r="T390" s="7">
        <f t="shared" si="48"/>
        <v>2098</v>
      </c>
    </row>
    <row r="391" spans="1:20" ht="14.25" customHeight="1" x14ac:dyDescent="0.35">
      <c r="A391" s="2" t="s">
        <v>44</v>
      </c>
      <c r="B391" s="2" t="s">
        <v>29</v>
      </c>
      <c r="C391" s="2" t="s">
        <v>21</v>
      </c>
      <c r="D391" s="2" t="s">
        <v>14</v>
      </c>
      <c r="E391" s="2" t="s">
        <v>15</v>
      </c>
      <c r="F391" s="2" t="s">
        <v>52</v>
      </c>
      <c r="G391" s="2" t="s">
        <v>36</v>
      </c>
      <c r="H391" s="2">
        <v>420000</v>
      </c>
      <c r="I391" s="2">
        <v>5</v>
      </c>
      <c r="J391" s="2" t="s">
        <v>43</v>
      </c>
      <c r="K391" s="2">
        <f t="shared" si="42"/>
        <v>336000</v>
      </c>
      <c r="L391" s="9">
        <f>Table_1[[#This Row],[Unit Price]]*Table_1[[#This Row],[Quantity]]</f>
        <v>2100000</v>
      </c>
      <c r="M391" s="8">
        <f>Table_1[[#This Row],[Cost Price]]*Table_1[[#This Row],[Quantity]]</f>
        <v>1680000</v>
      </c>
      <c r="N391">
        <f>Table_1[[#This Row],[Revenue]]-Table_1[[#This Row],[COGS]]</f>
        <v>420000</v>
      </c>
      <c r="O391" s="11">
        <f t="shared" si="43"/>
        <v>4656740000</v>
      </c>
      <c r="P391">
        <f t="shared" si="44"/>
        <v>3725392000</v>
      </c>
      <c r="Q391">
        <f t="shared" si="45"/>
        <v>931348000</v>
      </c>
      <c r="R391" s="7">
        <f t="shared" si="46"/>
        <v>2098</v>
      </c>
      <c r="S391" s="7">
        <f t="shared" si="47"/>
        <v>3</v>
      </c>
      <c r="T391" s="7">
        <f t="shared" si="48"/>
        <v>2098</v>
      </c>
    </row>
    <row r="392" spans="1:20" ht="14.25" customHeight="1" x14ac:dyDescent="0.35">
      <c r="A392" s="2" t="s">
        <v>62</v>
      </c>
      <c r="B392" s="2" t="s">
        <v>29</v>
      </c>
      <c r="C392" s="2" t="s">
        <v>38</v>
      </c>
      <c r="D392" s="2" t="s">
        <v>26</v>
      </c>
      <c r="E392" s="2" t="s">
        <v>22</v>
      </c>
      <c r="F392" s="2" t="s">
        <v>41</v>
      </c>
      <c r="G392" s="2" t="s">
        <v>17</v>
      </c>
      <c r="H392" s="2">
        <v>320000</v>
      </c>
      <c r="I392" s="2">
        <v>8</v>
      </c>
      <c r="J392" s="2" t="s">
        <v>27</v>
      </c>
      <c r="K392" s="2">
        <f t="shared" si="42"/>
        <v>256000</v>
      </c>
      <c r="L392" s="9">
        <f>Table_1[[#This Row],[Unit Price]]*Table_1[[#This Row],[Quantity]]</f>
        <v>2560000</v>
      </c>
      <c r="M392" s="8">
        <f>Table_1[[#This Row],[Cost Price]]*Table_1[[#This Row],[Quantity]]</f>
        <v>2048000</v>
      </c>
      <c r="N392">
        <f>Table_1[[#This Row],[Revenue]]-Table_1[[#This Row],[COGS]]</f>
        <v>512000</v>
      </c>
      <c r="O392" s="11">
        <f t="shared" si="43"/>
        <v>4656740000</v>
      </c>
      <c r="P392">
        <f t="shared" si="44"/>
        <v>3725392000</v>
      </c>
      <c r="Q392">
        <f t="shared" si="45"/>
        <v>931348000</v>
      </c>
      <c r="R392" s="7">
        <f t="shared" si="46"/>
        <v>2098</v>
      </c>
      <c r="S392" s="7">
        <f t="shared" si="47"/>
        <v>4</v>
      </c>
      <c r="T392" s="7">
        <f t="shared" si="48"/>
        <v>2098</v>
      </c>
    </row>
    <row r="393" spans="1:20" ht="14.25" customHeight="1" x14ac:dyDescent="0.35">
      <c r="A393" s="2" t="s">
        <v>136</v>
      </c>
      <c r="B393" s="2" t="s">
        <v>20</v>
      </c>
      <c r="C393" s="2" t="s">
        <v>30</v>
      </c>
      <c r="D393" s="2" t="s">
        <v>26</v>
      </c>
      <c r="E393" s="2" t="s">
        <v>22</v>
      </c>
      <c r="F393" s="2" t="s">
        <v>39</v>
      </c>
      <c r="G393" s="2" t="s">
        <v>24</v>
      </c>
      <c r="H393" s="2">
        <v>180000</v>
      </c>
      <c r="I393" s="2">
        <v>5</v>
      </c>
      <c r="J393" s="2" t="s">
        <v>32</v>
      </c>
      <c r="K393" s="2">
        <f t="shared" si="42"/>
        <v>144000</v>
      </c>
      <c r="L393" s="9">
        <f>Table_1[[#This Row],[Unit Price]]*Table_1[[#This Row],[Quantity]]</f>
        <v>900000</v>
      </c>
      <c r="M393" s="8">
        <f>Table_1[[#This Row],[Cost Price]]*Table_1[[#This Row],[Quantity]]</f>
        <v>720000</v>
      </c>
      <c r="N393">
        <f>Table_1[[#This Row],[Revenue]]-Table_1[[#This Row],[COGS]]</f>
        <v>180000</v>
      </c>
      <c r="O393" s="11">
        <f t="shared" si="43"/>
        <v>4656740000</v>
      </c>
      <c r="P393">
        <f t="shared" si="44"/>
        <v>3725392000</v>
      </c>
      <c r="Q393">
        <f t="shared" si="45"/>
        <v>931348000</v>
      </c>
      <c r="R393" s="7">
        <f t="shared" si="46"/>
        <v>2098</v>
      </c>
      <c r="S393" s="7">
        <f t="shared" si="47"/>
        <v>2</v>
      </c>
      <c r="T393" s="7">
        <f t="shared" si="48"/>
        <v>2098</v>
      </c>
    </row>
    <row r="394" spans="1:20" ht="14.25" customHeight="1" x14ac:dyDescent="0.35">
      <c r="A394" s="2" t="s">
        <v>120</v>
      </c>
      <c r="B394" s="2" t="s">
        <v>34</v>
      </c>
      <c r="C394" s="2" t="s">
        <v>13</v>
      </c>
      <c r="D394" s="2" t="s">
        <v>26</v>
      </c>
      <c r="E394" s="2" t="s">
        <v>22</v>
      </c>
      <c r="F394" s="2" t="s">
        <v>52</v>
      </c>
      <c r="G394" s="2" t="s">
        <v>36</v>
      </c>
      <c r="H394" s="2">
        <v>420000</v>
      </c>
      <c r="I394" s="2">
        <v>2</v>
      </c>
      <c r="J394" s="2" t="s">
        <v>18</v>
      </c>
      <c r="K394" s="2">
        <f t="shared" si="42"/>
        <v>336000</v>
      </c>
      <c r="L394" s="9">
        <f>Table_1[[#This Row],[Unit Price]]*Table_1[[#This Row],[Quantity]]</f>
        <v>840000</v>
      </c>
      <c r="M394" s="8">
        <f>Table_1[[#This Row],[Cost Price]]*Table_1[[#This Row],[Quantity]]</f>
        <v>672000</v>
      </c>
      <c r="N394">
        <f>Table_1[[#This Row],[Revenue]]-Table_1[[#This Row],[COGS]]</f>
        <v>168000</v>
      </c>
      <c r="O394" s="11">
        <f t="shared" si="43"/>
        <v>4656740000</v>
      </c>
      <c r="P394">
        <f t="shared" si="44"/>
        <v>3725392000</v>
      </c>
      <c r="Q394">
        <f t="shared" si="45"/>
        <v>931348000</v>
      </c>
      <c r="R394" s="7">
        <f t="shared" si="46"/>
        <v>2098</v>
      </c>
      <c r="S394" s="7">
        <f t="shared" si="47"/>
        <v>3</v>
      </c>
      <c r="T394" s="7">
        <f t="shared" si="48"/>
        <v>2098</v>
      </c>
    </row>
    <row r="395" spans="1:20" ht="14.25" customHeight="1" x14ac:dyDescent="0.35">
      <c r="A395" s="2" t="s">
        <v>90</v>
      </c>
      <c r="B395" s="2" t="s">
        <v>34</v>
      </c>
      <c r="C395" s="2" t="s">
        <v>30</v>
      </c>
      <c r="D395" s="2" t="s">
        <v>14</v>
      </c>
      <c r="E395" s="2" t="s">
        <v>15</v>
      </c>
      <c r="F395" s="2" t="s">
        <v>35</v>
      </c>
      <c r="G395" s="2" t="s">
        <v>36</v>
      </c>
      <c r="H395" s="2">
        <v>300000</v>
      </c>
      <c r="I395" s="2">
        <v>8</v>
      </c>
      <c r="J395" s="2" t="s">
        <v>27</v>
      </c>
      <c r="K395" s="2">
        <f t="shared" si="42"/>
        <v>240000</v>
      </c>
      <c r="L395" s="9">
        <f>Table_1[[#This Row],[Unit Price]]*Table_1[[#This Row],[Quantity]]</f>
        <v>2400000</v>
      </c>
      <c r="M395" s="8">
        <f>Table_1[[#This Row],[Cost Price]]*Table_1[[#This Row],[Quantity]]</f>
        <v>1920000</v>
      </c>
      <c r="N395">
        <f>Table_1[[#This Row],[Revenue]]-Table_1[[#This Row],[COGS]]</f>
        <v>480000</v>
      </c>
      <c r="O395" s="11">
        <f t="shared" si="43"/>
        <v>4656740000</v>
      </c>
      <c r="P395">
        <f t="shared" si="44"/>
        <v>3725392000</v>
      </c>
      <c r="Q395">
        <f t="shared" si="45"/>
        <v>931348000</v>
      </c>
      <c r="R395" s="7">
        <f t="shared" si="46"/>
        <v>2098</v>
      </c>
      <c r="S395" s="7">
        <f t="shared" si="47"/>
        <v>3</v>
      </c>
      <c r="T395" s="7">
        <f t="shared" si="48"/>
        <v>2098</v>
      </c>
    </row>
    <row r="396" spans="1:20" ht="14.25" customHeight="1" x14ac:dyDescent="0.35">
      <c r="A396" s="2" t="s">
        <v>86</v>
      </c>
      <c r="B396" s="2" t="s">
        <v>20</v>
      </c>
      <c r="C396" s="2" t="s">
        <v>30</v>
      </c>
      <c r="D396" s="2" t="s">
        <v>14</v>
      </c>
      <c r="E396" s="2" t="s">
        <v>15</v>
      </c>
      <c r="F396" s="2" t="s">
        <v>41</v>
      </c>
      <c r="G396" s="2" t="s">
        <v>17</v>
      </c>
      <c r="H396" s="2">
        <v>320000</v>
      </c>
      <c r="I396" s="2">
        <v>1</v>
      </c>
      <c r="J396" s="2" t="s">
        <v>27</v>
      </c>
      <c r="K396" s="2">
        <f t="shared" si="42"/>
        <v>256000</v>
      </c>
      <c r="L396" s="9">
        <f>Table_1[[#This Row],[Unit Price]]*Table_1[[#This Row],[Quantity]]</f>
        <v>320000</v>
      </c>
      <c r="M396" s="8">
        <f>Table_1[[#This Row],[Cost Price]]*Table_1[[#This Row],[Quantity]]</f>
        <v>256000</v>
      </c>
      <c r="N396">
        <f>Table_1[[#This Row],[Revenue]]-Table_1[[#This Row],[COGS]]</f>
        <v>64000</v>
      </c>
      <c r="O396" s="11">
        <f t="shared" si="43"/>
        <v>4656740000</v>
      </c>
      <c r="P396">
        <f t="shared" si="44"/>
        <v>3725392000</v>
      </c>
      <c r="Q396">
        <f t="shared" si="45"/>
        <v>931348000</v>
      </c>
      <c r="R396" s="7">
        <f t="shared" si="46"/>
        <v>2098</v>
      </c>
      <c r="S396" s="7">
        <f t="shared" si="47"/>
        <v>1</v>
      </c>
      <c r="T396" s="7">
        <f t="shared" si="48"/>
        <v>2098</v>
      </c>
    </row>
    <row r="397" spans="1:20" ht="14.25" customHeight="1" x14ac:dyDescent="0.35">
      <c r="A397" s="2" t="s">
        <v>83</v>
      </c>
      <c r="B397" s="2" t="s">
        <v>20</v>
      </c>
      <c r="C397" s="2" t="s">
        <v>30</v>
      </c>
      <c r="D397" s="2" t="s">
        <v>14</v>
      </c>
      <c r="E397" s="2" t="s">
        <v>15</v>
      </c>
      <c r="F397" s="2" t="s">
        <v>52</v>
      </c>
      <c r="G397" s="2" t="s">
        <v>36</v>
      </c>
      <c r="H397" s="2">
        <v>420000</v>
      </c>
      <c r="I397" s="2">
        <v>9</v>
      </c>
      <c r="J397" s="2" t="s">
        <v>18</v>
      </c>
      <c r="K397" s="2">
        <f t="shared" si="42"/>
        <v>336000</v>
      </c>
      <c r="L397" s="9">
        <f>Table_1[[#This Row],[Unit Price]]*Table_1[[#This Row],[Quantity]]</f>
        <v>3780000</v>
      </c>
      <c r="M397" s="8">
        <f>Table_1[[#This Row],[Cost Price]]*Table_1[[#This Row],[Quantity]]</f>
        <v>3024000</v>
      </c>
      <c r="N397">
        <f>Table_1[[#This Row],[Revenue]]-Table_1[[#This Row],[COGS]]</f>
        <v>756000</v>
      </c>
      <c r="O397" s="11">
        <f t="shared" si="43"/>
        <v>4656740000</v>
      </c>
      <c r="P397">
        <f t="shared" si="44"/>
        <v>3725392000</v>
      </c>
      <c r="Q397">
        <f t="shared" si="45"/>
        <v>931348000</v>
      </c>
      <c r="R397" s="7">
        <f t="shared" si="46"/>
        <v>2098</v>
      </c>
      <c r="S397" s="7">
        <f t="shared" si="47"/>
        <v>1</v>
      </c>
      <c r="T397" s="7">
        <f t="shared" si="48"/>
        <v>2098</v>
      </c>
    </row>
    <row r="398" spans="1:20" ht="14.25" customHeight="1" x14ac:dyDescent="0.35">
      <c r="A398" s="2" t="s">
        <v>97</v>
      </c>
      <c r="B398" s="2" t="s">
        <v>20</v>
      </c>
      <c r="C398" s="2" t="s">
        <v>38</v>
      </c>
      <c r="D398" s="2" t="s">
        <v>26</v>
      </c>
      <c r="E398" s="2" t="s">
        <v>22</v>
      </c>
      <c r="F398" s="2" t="s">
        <v>16</v>
      </c>
      <c r="G398" s="2" t="s">
        <v>17</v>
      </c>
      <c r="H398" s="2">
        <v>85000</v>
      </c>
      <c r="I398" s="2">
        <v>8</v>
      </c>
      <c r="J398" s="2" t="s">
        <v>54</v>
      </c>
      <c r="K398" s="2">
        <f t="shared" si="42"/>
        <v>68000</v>
      </c>
      <c r="L398" s="9">
        <f>Table_1[[#This Row],[Unit Price]]*Table_1[[#This Row],[Quantity]]</f>
        <v>680000</v>
      </c>
      <c r="M398" s="8">
        <f>Table_1[[#This Row],[Cost Price]]*Table_1[[#This Row],[Quantity]]</f>
        <v>544000</v>
      </c>
      <c r="N398">
        <f>Table_1[[#This Row],[Revenue]]-Table_1[[#This Row],[COGS]]</f>
        <v>136000</v>
      </c>
      <c r="O398" s="11">
        <f t="shared" si="43"/>
        <v>4656740000</v>
      </c>
      <c r="P398">
        <f t="shared" si="44"/>
        <v>3725392000</v>
      </c>
      <c r="Q398">
        <f t="shared" si="45"/>
        <v>931348000</v>
      </c>
      <c r="R398" s="7">
        <f t="shared" si="46"/>
        <v>2098</v>
      </c>
      <c r="S398" s="7">
        <f t="shared" si="47"/>
        <v>2</v>
      </c>
      <c r="T398" s="7">
        <f t="shared" si="48"/>
        <v>2098</v>
      </c>
    </row>
    <row r="399" spans="1:20" ht="14.25" customHeight="1" x14ac:dyDescent="0.35">
      <c r="A399" s="2" t="s">
        <v>73</v>
      </c>
      <c r="B399" s="2" t="s">
        <v>34</v>
      </c>
      <c r="C399" s="2" t="s">
        <v>13</v>
      </c>
      <c r="D399" s="2" t="s">
        <v>26</v>
      </c>
      <c r="E399" s="2" t="s">
        <v>22</v>
      </c>
      <c r="F399" s="2" t="s">
        <v>52</v>
      </c>
      <c r="G399" s="2" t="s">
        <v>36</v>
      </c>
      <c r="H399" s="2">
        <v>420000</v>
      </c>
      <c r="I399" s="2">
        <v>10</v>
      </c>
      <c r="J399" s="2" t="s">
        <v>43</v>
      </c>
      <c r="K399" s="2">
        <f t="shared" si="42"/>
        <v>336000</v>
      </c>
      <c r="L399" s="9">
        <f>Table_1[[#This Row],[Unit Price]]*Table_1[[#This Row],[Quantity]]</f>
        <v>4200000</v>
      </c>
      <c r="M399" s="8">
        <f>Table_1[[#This Row],[Cost Price]]*Table_1[[#This Row],[Quantity]]</f>
        <v>3360000</v>
      </c>
      <c r="N399">
        <f>Table_1[[#This Row],[Revenue]]-Table_1[[#This Row],[COGS]]</f>
        <v>840000</v>
      </c>
      <c r="O399" s="11">
        <f t="shared" si="43"/>
        <v>4656740000</v>
      </c>
      <c r="P399">
        <f t="shared" si="44"/>
        <v>3725392000</v>
      </c>
      <c r="Q399">
        <f t="shared" si="45"/>
        <v>931348000</v>
      </c>
      <c r="R399" s="7">
        <f t="shared" si="46"/>
        <v>2098</v>
      </c>
      <c r="S399" s="7">
        <f t="shared" si="47"/>
        <v>2</v>
      </c>
      <c r="T399" s="7">
        <f t="shared" si="48"/>
        <v>2098</v>
      </c>
    </row>
    <row r="400" spans="1:20" ht="14.25" customHeight="1" x14ac:dyDescent="0.35">
      <c r="A400" s="2" t="s">
        <v>110</v>
      </c>
      <c r="B400" s="2" t="s">
        <v>20</v>
      </c>
      <c r="C400" s="2" t="s">
        <v>13</v>
      </c>
      <c r="D400" s="2" t="s">
        <v>14</v>
      </c>
      <c r="E400" s="2" t="s">
        <v>22</v>
      </c>
      <c r="F400" s="2" t="s">
        <v>56</v>
      </c>
      <c r="G400" s="2" t="s">
        <v>36</v>
      </c>
      <c r="H400" s="2">
        <v>250000</v>
      </c>
      <c r="I400" s="2">
        <v>1</v>
      </c>
      <c r="J400" s="2" t="s">
        <v>43</v>
      </c>
      <c r="K400" s="2">
        <f t="shared" si="42"/>
        <v>200000</v>
      </c>
      <c r="L400" s="9">
        <f>Table_1[[#This Row],[Unit Price]]*Table_1[[#This Row],[Quantity]]</f>
        <v>250000</v>
      </c>
      <c r="M400" s="8">
        <f>Table_1[[#This Row],[Cost Price]]*Table_1[[#This Row],[Quantity]]</f>
        <v>200000</v>
      </c>
      <c r="N400">
        <f>Table_1[[#This Row],[Revenue]]-Table_1[[#This Row],[COGS]]</f>
        <v>50000</v>
      </c>
      <c r="O400" s="11">
        <f t="shared" si="43"/>
        <v>4656740000</v>
      </c>
      <c r="P400">
        <f t="shared" si="44"/>
        <v>3725392000</v>
      </c>
      <c r="Q400">
        <f t="shared" si="45"/>
        <v>931348000</v>
      </c>
      <c r="R400" s="7">
        <f t="shared" si="46"/>
        <v>2098</v>
      </c>
      <c r="S400" s="7">
        <f t="shared" si="47"/>
        <v>2</v>
      </c>
      <c r="T400" s="7">
        <f t="shared" si="48"/>
        <v>2098</v>
      </c>
    </row>
    <row r="401" spans="1:20" ht="14.25" customHeight="1" x14ac:dyDescent="0.35">
      <c r="A401" s="2" t="s">
        <v>154</v>
      </c>
      <c r="B401" s="2" t="s">
        <v>20</v>
      </c>
      <c r="C401" s="2" t="s">
        <v>38</v>
      </c>
      <c r="D401" s="2" t="s">
        <v>26</v>
      </c>
      <c r="E401" s="2" t="s">
        <v>15</v>
      </c>
      <c r="F401" s="2" t="s">
        <v>58</v>
      </c>
      <c r="G401" s="2" t="s">
        <v>24</v>
      </c>
      <c r="H401" s="2">
        <v>220000</v>
      </c>
      <c r="I401" s="2">
        <v>5</v>
      </c>
      <c r="J401" s="2" t="s">
        <v>54</v>
      </c>
      <c r="K401" s="2">
        <f t="shared" si="42"/>
        <v>176000</v>
      </c>
      <c r="L401" s="9">
        <f>Table_1[[#This Row],[Unit Price]]*Table_1[[#This Row],[Quantity]]</f>
        <v>1100000</v>
      </c>
      <c r="M401" s="8">
        <f>Table_1[[#This Row],[Cost Price]]*Table_1[[#This Row],[Quantity]]</f>
        <v>880000</v>
      </c>
      <c r="N401">
        <f>Table_1[[#This Row],[Revenue]]-Table_1[[#This Row],[COGS]]</f>
        <v>220000</v>
      </c>
      <c r="O401" s="11">
        <f t="shared" si="43"/>
        <v>4656740000</v>
      </c>
      <c r="P401">
        <f t="shared" si="44"/>
        <v>3725392000</v>
      </c>
      <c r="Q401">
        <f t="shared" si="45"/>
        <v>931348000</v>
      </c>
      <c r="R401" s="7">
        <f t="shared" si="46"/>
        <v>2098</v>
      </c>
      <c r="S401" s="7">
        <f t="shared" si="47"/>
        <v>2</v>
      </c>
      <c r="T401" s="7">
        <f t="shared" si="48"/>
        <v>2098</v>
      </c>
    </row>
    <row r="402" spans="1:20" ht="14.25" customHeight="1" x14ac:dyDescent="0.35">
      <c r="A402" s="2" t="s">
        <v>87</v>
      </c>
      <c r="B402" s="2" t="s">
        <v>34</v>
      </c>
      <c r="C402" s="2" t="s">
        <v>21</v>
      </c>
      <c r="D402" s="2" t="s">
        <v>14</v>
      </c>
      <c r="E402" s="2" t="s">
        <v>15</v>
      </c>
      <c r="F402" s="2" t="s">
        <v>35</v>
      </c>
      <c r="G402" s="2" t="s">
        <v>36</v>
      </c>
      <c r="H402" s="2">
        <v>300000</v>
      </c>
      <c r="I402" s="2">
        <v>1</v>
      </c>
      <c r="J402" s="2" t="s">
        <v>18</v>
      </c>
      <c r="K402" s="2">
        <f t="shared" si="42"/>
        <v>240000</v>
      </c>
      <c r="L402" s="9">
        <f>Table_1[[#This Row],[Unit Price]]*Table_1[[#This Row],[Quantity]]</f>
        <v>300000</v>
      </c>
      <c r="M402" s="8">
        <f>Table_1[[#This Row],[Cost Price]]*Table_1[[#This Row],[Quantity]]</f>
        <v>240000</v>
      </c>
      <c r="N402">
        <f>Table_1[[#This Row],[Revenue]]-Table_1[[#This Row],[COGS]]</f>
        <v>60000</v>
      </c>
      <c r="O402" s="11">
        <f t="shared" si="43"/>
        <v>4656740000</v>
      </c>
      <c r="P402">
        <f t="shared" si="44"/>
        <v>3725392000</v>
      </c>
      <c r="Q402">
        <f t="shared" si="45"/>
        <v>931348000</v>
      </c>
      <c r="R402" s="7">
        <f t="shared" si="46"/>
        <v>2098</v>
      </c>
      <c r="S402" s="7">
        <f t="shared" si="47"/>
        <v>3</v>
      </c>
      <c r="T402" s="7">
        <f t="shared" si="48"/>
        <v>2098</v>
      </c>
    </row>
    <row r="403" spans="1:20" ht="14.25" customHeight="1" x14ac:dyDescent="0.35">
      <c r="A403" s="2" t="s">
        <v>64</v>
      </c>
      <c r="B403" s="2" t="s">
        <v>34</v>
      </c>
      <c r="C403" s="2" t="s">
        <v>30</v>
      </c>
      <c r="D403" s="2" t="s">
        <v>26</v>
      </c>
      <c r="E403" s="2" t="s">
        <v>22</v>
      </c>
      <c r="F403" s="2" t="s">
        <v>31</v>
      </c>
      <c r="G403" s="2" t="s">
        <v>24</v>
      </c>
      <c r="H403" s="2">
        <v>60000</v>
      </c>
      <c r="I403" s="2">
        <v>6</v>
      </c>
      <c r="J403" s="2" t="s">
        <v>50</v>
      </c>
      <c r="K403" s="2">
        <f t="shared" si="42"/>
        <v>48000</v>
      </c>
      <c r="L403" s="9">
        <f>Table_1[[#This Row],[Unit Price]]*Table_1[[#This Row],[Quantity]]</f>
        <v>360000</v>
      </c>
      <c r="M403" s="8">
        <f>Table_1[[#This Row],[Cost Price]]*Table_1[[#This Row],[Quantity]]</f>
        <v>288000</v>
      </c>
      <c r="N403">
        <f>Table_1[[#This Row],[Revenue]]-Table_1[[#This Row],[COGS]]</f>
        <v>72000</v>
      </c>
      <c r="O403" s="11">
        <f t="shared" si="43"/>
        <v>4656740000</v>
      </c>
      <c r="P403">
        <f t="shared" si="44"/>
        <v>3725392000</v>
      </c>
      <c r="Q403">
        <f t="shared" si="45"/>
        <v>931348000</v>
      </c>
      <c r="R403" s="7">
        <f t="shared" si="46"/>
        <v>2098</v>
      </c>
      <c r="S403" s="7">
        <f t="shared" si="47"/>
        <v>2</v>
      </c>
      <c r="T403" s="7">
        <f t="shared" si="48"/>
        <v>2098</v>
      </c>
    </row>
    <row r="404" spans="1:20" ht="14.25" customHeight="1" x14ac:dyDescent="0.35">
      <c r="A404" s="2" t="s">
        <v>103</v>
      </c>
      <c r="B404" s="2" t="s">
        <v>29</v>
      </c>
      <c r="C404" s="2" t="s">
        <v>38</v>
      </c>
      <c r="D404" s="2" t="s">
        <v>14</v>
      </c>
      <c r="E404" s="2" t="s">
        <v>15</v>
      </c>
      <c r="F404" s="2" t="s">
        <v>31</v>
      </c>
      <c r="G404" s="2" t="s">
        <v>24</v>
      </c>
      <c r="H404" s="2">
        <v>60000</v>
      </c>
      <c r="I404" s="2">
        <v>8</v>
      </c>
      <c r="J404" s="2" t="s">
        <v>27</v>
      </c>
      <c r="K404" s="2">
        <f t="shared" si="42"/>
        <v>48000</v>
      </c>
      <c r="L404" s="9">
        <f>Table_1[[#This Row],[Unit Price]]*Table_1[[#This Row],[Quantity]]</f>
        <v>480000</v>
      </c>
      <c r="M404" s="8">
        <f>Table_1[[#This Row],[Cost Price]]*Table_1[[#This Row],[Quantity]]</f>
        <v>384000</v>
      </c>
      <c r="N404">
        <f>Table_1[[#This Row],[Revenue]]-Table_1[[#This Row],[COGS]]</f>
        <v>96000</v>
      </c>
      <c r="O404" s="11">
        <f t="shared" si="43"/>
        <v>4656740000</v>
      </c>
      <c r="P404">
        <f t="shared" si="44"/>
        <v>3725392000</v>
      </c>
      <c r="Q404">
        <f t="shared" si="45"/>
        <v>931348000</v>
      </c>
      <c r="R404" s="7">
        <f t="shared" si="46"/>
        <v>2098</v>
      </c>
      <c r="S404" s="7">
        <f t="shared" si="47"/>
        <v>3</v>
      </c>
      <c r="T404" s="7">
        <f t="shared" si="48"/>
        <v>2098</v>
      </c>
    </row>
    <row r="405" spans="1:20" ht="14.25" customHeight="1" x14ac:dyDescent="0.35">
      <c r="A405" s="2" t="s">
        <v>128</v>
      </c>
      <c r="B405" s="2" t="s">
        <v>29</v>
      </c>
      <c r="C405" s="2" t="s">
        <v>30</v>
      </c>
      <c r="D405" s="2" t="s">
        <v>14</v>
      </c>
      <c r="E405" s="2" t="s">
        <v>22</v>
      </c>
      <c r="F405" s="2" t="s">
        <v>58</v>
      </c>
      <c r="G405" s="2" t="s">
        <v>24</v>
      </c>
      <c r="H405" s="2">
        <v>220000</v>
      </c>
      <c r="I405" s="2">
        <v>3</v>
      </c>
      <c r="J405" s="2" t="s">
        <v>50</v>
      </c>
      <c r="K405" s="2">
        <f t="shared" si="42"/>
        <v>176000</v>
      </c>
      <c r="L405" s="9">
        <f>Table_1[[#This Row],[Unit Price]]*Table_1[[#This Row],[Quantity]]</f>
        <v>660000</v>
      </c>
      <c r="M405" s="8">
        <f>Table_1[[#This Row],[Cost Price]]*Table_1[[#This Row],[Quantity]]</f>
        <v>528000</v>
      </c>
      <c r="N405">
        <f>Table_1[[#This Row],[Revenue]]-Table_1[[#This Row],[COGS]]</f>
        <v>132000</v>
      </c>
      <c r="O405" s="11">
        <f t="shared" si="43"/>
        <v>4656740000</v>
      </c>
      <c r="P405">
        <f t="shared" si="44"/>
        <v>3725392000</v>
      </c>
      <c r="Q405">
        <f t="shared" si="45"/>
        <v>931348000</v>
      </c>
      <c r="R405" s="7">
        <f t="shared" si="46"/>
        <v>2098</v>
      </c>
      <c r="S405" s="7">
        <f t="shared" si="47"/>
        <v>4</v>
      </c>
      <c r="T405" s="7">
        <f t="shared" si="48"/>
        <v>2098</v>
      </c>
    </row>
    <row r="406" spans="1:20" ht="14.25" customHeight="1" x14ac:dyDescent="0.35">
      <c r="A406" s="2" t="s">
        <v>120</v>
      </c>
      <c r="B406" s="2" t="s">
        <v>34</v>
      </c>
      <c r="C406" s="2" t="s">
        <v>38</v>
      </c>
      <c r="D406" s="2" t="s">
        <v>14</v>
      </c>
      <c r="E406" s="2" t="s">
        <v>15</v>
      </c>
      <c r="F406" s="2" t="s">
        <v>31</v>
      </c>
      <c r="G406" s="2" t="s">
        <v>24</v>
      </c>
      <c r="H406" s="2">
        <v>60000</v>
      </c>
      <c r="I406" s="2">
        <v>1</v>
      </c>
      <c r="J406" s="2" t="s">
        <v>43</v>
      </c>
      <c r="K406" s="2">
        <f t="shared" si="42"/>
        <v>48000</v>
      </c>
      <c r="L406" s="9">
        <f>Table_1[[#This Row],[Unit Price]]*Table_1[[#This Row],[Quantity]]</f>
        <v>60000</v>
      </c>
      <c r="M406" s="8">
        <f>Table_1[[#This Row],[Cost Price]]*Table_1[[#This Row],[Quantity]]</f>
        <v>48000</v>
      </c>
      <c r="N406">
        <f>Table_1[[#This Row],[Revenue]]-Table_1[[#This Row],[COGS]]</f>
        <v>12000</v>
      </c>
      <c r="O406" s="11">
        <f t="shared" si="43"/>
        <v>4656740000</v>
      </c>
      <c r="P406">
        <f t="shared" si="44"/>
        <v>3725392000</v>
      </c>
      <c r="Q406">
        <f t="shared" si="45"/>
        <v>931348000</v>
      </c>
      <c r="R406" s="7">
        <f t="shared" si="46"/>
        <v>2098</v>
      </c>
      <c r="S406" s="7">
        <f t="shared" si="47"/>
        <v>3</v>
      </c>
      <c r="T406" s="7">
        <f t="shared" si="48"/>
        <v>2098</v>
      </c>
    </row>
    <row r="407" spans="1:20" ht="14.25" customHeight="1" x14ac:dyDescent="0.35">
      <c r="A407" s="2" t="s">
        <v>81</v>
      </c>
      <c r="B407" s="2" t="s">
        <v>20</v>
      </c>
      <c r="C407" s="2" t="s">
        <v>21</v>
      </c>
      <c r="D407" s="2" t="s">
        <v>26</v>
      </c>
      <c r="E407" s="2" t="s">
        <v>15</v>
      </c>
      <c r="F407" s="2" t="s">
        <v>47</v>
      </c>
      <c r="G407" s="2" t="s">
        <v>36</v>
      </c>
      <c r="H407" s="2">
        <v>150000</v>
      </c>
      <c r="I407" s="2">
        <v>1</v>
      </c>
      <c r="J407" s="2" t="s">
        <v>32</v>
      </c>
      <c r="K407" s="2">
        <f t="shared" si="42"/>
        <v>120000</v>
      </c>
      <c r="L407" s="9">
        <f>Table_1[[#This Row],[Unit Price]]*Table_1[[#This Row],[Quantity]]</f>
        <v>150000</v>
      </c>
      <c r="M407" s="8">
        <f>Table_1[[#This Row],[Cost Price]]*Table_1[[#This Row],[Quantity]]</f>
        <v>120000</v>
      </c>
      <c r="N407">
        <f>Table_1[[#This Row],[Revenue]]-Table_1[[#This Row],[COGS]]</f>
        <v>30000</v>
      </c>
      <c r="O407" s="11">
        <f t="shared" si="43"/>
        <v>4656740000</v>
      </c>
      <c r="P407">
        <f t="shared" si="44"/>
        <v>3725392000</v>
      </c>
      <c r="Q407">
        <f t="shared" si="45"/>
        <v>931348000</v>
      </c>
      <c r="R407" s="7">
        <f t="shared" si="46"/>
        <v>2098</v>
      </c>
      <c r="S407" s="7">
        <f t="shared" si="47"/>
        <v>3</v>
      </c>
      <c r="T407" s="7">
        <f t="shared" si="48"/>
        <v>2098</v>
      </c>
    </row>
    <row r="408" spans="1:20" ht="14.25" customHeight="1" x14ac:dyDescent="0.35">
      <c r="A408" s="2" t="s">
        <v>81</v>
      </c>
      <c r="B408" s="2" t="s">
        <v>12</v>
      </c>
      <c r="C408" s="2" t="s">
        <v>30</v>
      </c>
      <c r="D408" s="2" t="s">
        <v>26</v>
      </c>
      <c r="E408" s="2" t="s">
        <v>15</v>
      </c>
      <c r="F408" s="2" t="s">
        <v>41</v>
      </c>
      <c r="G408" s="2" t="s">
        <v>17</v>
      </c>
      <c r="H408" s="2">
        <v>320000</v>
      </c>
      <c r="I408" s="2">
        <v>7</v>
      </c>
      <c r="J408" s="2" t="s">
        <v>54</v>
      </c>
      <c r="K408" s="2">
        <f t="shared" si="42"/>
        <v>256000</v>
      </c>
      <c r="L408" s="9">
        <f>Table_1[[#This Row],[Unit Price]]*Table_1[[#This Row],[Quantity]]</f>
        <v>2240000</v>
      </c>
      <c r="M408" s="8">
        <f>Table_1[[#This Row],[Cost Price]]*Table_1[[#This Row],[Quantity]]</f>
        <v>1792000</v>
      </c>
      <c r="N408">
        <f>Table_1[[#This Row],[Revenue]]-Table_1[[#This Row],[COGS]]</f>
        <v>448000</v>
      </c>
      <c r="O408" s="11">
        <f t="shared" si="43"/>
        <v>4656740000</v>
      </c>
      <c r="P408">
        <f t="shared" si="44"/>
        <v>3725392000</v>
      </c>
      <c r="Q408">
        <f t="shared" si="45"/>
        <v>931348000</v>
      </c>
      <c r="R408" s="7">
        <f t="shared" si="46"/>
        <v>2098</v>
      </c>
      <c r="S408" s="7">
        <f t="shared" si="47"/>
        <v>3</v>
      </c>
      <c r="T408" s="7">
        <f t="shared" si="48"/>
        <v>2098</v>
      </c>
    </row>
    <row r="409" spans="1:20" ht="14.25" customHeight="1" x14ac:dyDescent="0.35">
      <c r="A409" s="2" t="s">
        <v>76</v>
      </c>
      <c r="B409" s="2" t="s">
        <v>29</v>
      </c>
      <c r="C409" s="2" t="s">
        <v>30</v>
      </c>
      <c r="D409" s="2" t="s">
        <v>14</v>
      </c>
      <c r="E409" s="2" t="s">
        <v>22</v>
      </c>
      <c r="F409" s="2" t="s">
        <v>16</v>
      </c>
      <c r="G409" s="2" t="s">
        <v>17</v>
      </c>
      <c r="H409" s="2">
        <v>85000</v>
      </c>
      <c r="I409" s="2">
        <v>10</v>
      </c>
      <c r="J409" s="2" t="s">
        <v>32</v>
      </c>
      <c r="K409" s="2">
        <f t="shared" si="42"/>
        <v>68000</v>
      </c>
      <c r="L409" s="9">
        <f>Table_1[[#This Row],[Unit Price]]*Table_1[[#This Row],[Quantity]]</f>
        <v>850000</v>
      </c>
      <c r="M409" s="8">
        <f>Table_1[[#This Row],[Cost Price]]*Table_1[[#This Row],[Quantity]]</f>
        <v>680000</v>
      </c>
      <c r="N409">
        <f>Table_1[[#This Row],[Revenue]]-Table_1[[#This Row],[COGS]]</f>
        <v>170000</v>
      </c>
      <c r="O409" s="11">
        <f t="shared" si="43"/>
        <v>4656740000</v>
      </c>
      <c r="P409">
        <f t="shared" si="44"/>
        <v>3725392000</v>
      </c>
      <c r="Q409">
        <f t="shared" si="45"/>
        <v>931348000</v>
      </c>
      <c r="R409" s="7">
        <f t="shared" si="46"/>
        <v>2098</v>
      </c>
      <c r="S409" s="7">
        <f t="shared" si="47"/>
        <v>2</v>
      </c>
      <c r="T409" s="7">
        <f t="shared" si="48"/>
        <v>2098</v>
      </c>
    </row>
    <row r="410" spans="1:20" ht="14.25" customHeight="1" x14ac:dyDescent="0.35">
      <c r="A410" s="2" t="s">
        <v>150</v>
      </c>
      <c r="B410" s="2" t="s">
        <v>12</v>
      </c>
      <c r="C410" s="2" t="s">
        <v>13</v>
      </c>
      <c r="D410" s="2" t="s">
        <v>26</v>
      </c>
      <c r="E410" s="2" t="s">
        <v>15</v>
      </c>
      <c r="F410" s="2" t="s">
        <v>47</v>
      </c>
      <c r="G410" s="2" t="s">
        <v>36</v>
      </c>
      <c r="H410" s="2">
        <v>150000</v>
      </c>
      <c r="I410" s="2">
        <v>10</v>
      </c>
      <c r="J410" s="2" t="s">
        <v>18</v>
      </c>
      <c r="K410" s="2">
        <f t="shared" si="42"/>
        <v>120000</v>
      </c>
      <c r="L410" s="9">
        <f>Table_1[[#This Row],[Unit Price]]*Table_1[[#This Row],[Quantity]]</f>
        <v>1500000</v>
      </c>
      <c r="M410" s="8">
        <f>Table_1[[#This Row],[Cost Price]]*Table_1[[#This Row],[Quantity]]</f>
        <v>1200000</v>
      </c>
      <c r="N410">
        <f>Table_1[[#This Row],[Revenue]]-Table_1[[#This Row],[COGS]]</f>
        <v>300000</v>
      </c>
      <c r="O410" s="11">
        <f t="shared" si="43"/>
        <v>4656740000</v>
      </c>
      <c r="P410">
        <f t="shared" si="44"/>
        <v>3725392000</v>
      </c>
      <c r="Q410">
        <f t="shared" si="45"/>
        <v>931348000</v>
      </c>
      <c r="R410" s="7">
        <f t="shared" si="46"/>
        <v>2098</v>
      </c>
      <c r="S410" s="7">
        <f t="shared" si="47"/>
        <v>4</v>
      </c>
      <c r="T410" s="7">
        <f t="shared" si="48"/>
        <v>2098</v>
      </c>
    </row>
    <row r="411" spans="1:20" ht="14.25" customHeight="1" x14ac:dyDescent="0.35">
      <c r="A411" s="2" t="s">
        <v>46</v>
      </c>
      <c r="B411" s="2" t="s">
        <v>29</v>
      </c>
      <c r="C411" s="2" t="s">
        <v>21</v>
      </c>
      <c r="D411" s="2" t="s">
        <v>26</v>
      </c>
      <c r="E411" s="2" t="s">
        <v>15</v>
      </c>
      <c r="F411" s="2" t="s">
        <v>31</v>
      </c>
      <c r="G411" s="2" t="s">
        <v>24</v>
      </c>
      <c r="H411" s="2">
        <v>60000</v>
      </c>
      <c r="I411" s="2">
        <v>2</v>
      </c>
      <c r="J411" s="2" t="s">
        <v>32</v>
      </c>
      <c r="K411" s="2">
        <f t="shared" si="42"/>
        <v>48000</v>
      </c>
      <c r="L411" s="9">
        <f>Table_1[[#This Row],[Unit Price]]*Table_1[[#This Row],[Quantity]]</f>
        <v>120000</v>
      </c>
      <c r="M411" s="8">
        <f>Table_1[[#This Row],[Cost Price]]*Table_1[[#This Row],[Quantity]]</f>
        <v>96000</v>
      </c>
      <c r="N411">
        <f>Table_1[[#This Row],[Revenue]]-Table_1[[#This Row],[COGS]]</f>
        <v>24000</v>
      </c>
      <c r="O411" s="11">
        <f t="shared" si="43"/>
        <v>4656740000</v>
      </c>
      <c r="P411">
        <f t="shared" si="44"/>
        <v>3725392000</v>
      </c>
      <c r="Q411">
        <f t="shared" si="45"/>
        <v>931348000</v>
      </c>
      <c r="R411" s="7">
        <f t="shared" si="46"/>
        <v>2098</v>
      </c>
      <c r="S411" s="7">
        <f t="shared" si="47"/>
        <v>1</v>
      </c>
      <c r="T411" s="7">
        <f t="shared" si="48"/>
        <v>2098</v>
      </c>
    </row>
    <row r="412" spans="1:20" ht="14.25" customHeight="1" x14ac:dyDescent="0.35">
      <c r="A412" s="2" t="s">
        <v>37</v>
      </c>
      <c r="B412" s="2" t="s">
        <v>34</v>
      </c>
      <c r="C412" s="2" t="s">
        <v>38</v>
      </c>
      <c r="D412" s="2" t="s">
        <v>26</v>
      </c>
      <c r="E412" s="2" t="s">
        <v>15</v>
      </c>
      <c r="F412" s="2" t="s">
        <v>35</v>
      </c>
      <c r="G412" s="2" t="s">
        <v>36</v>
      </c>
      <c r="H412" s="2">
        <v>300000</v>
      </c>
      <c r="I412" s="2">
        <v>6</v>
      </c>
      <c r="J412" s="2" t="s">
        <v>18</v>
      </c>
      <c r="K412" s="2">
        <f t="shared" si="42"/>
        <v>240000</v>
      </c>
      <c r="L412" s="9">
        <f>Table_1[[#This Row],[Unit Price]]*Table_1[[#This Row],[Quantity]]</f>
        <v>1800000</v>
      </c>
      <c r="M412" s="8">
        <f>Table_1[[#This Row],[Cost Price]]*Table_1[[#This Row],[Quantity]]</f>
        <v>1440000</v>
      </c>
      <c r="N412">
        <f>Table_1[[#This Row],[Revenue]]-Table_1[[#This Row],[COGS]]</f>
        <v>360000</v>
      </c>
      <c r="O412" s="11">
        <f t="shared" si="43"/>
        <v>4656740000</v>
      </c>
      <c r="P412">
        <f t="shared" si="44"/>
        <v>3725392000</v>
      </c>
      <c r="Q412">
        <f t="shared" si="45"/>
        <v>931348000</v>
      </c>
      <c r="R412" s="7">
        <f t="shared" si="46"/>
        <v>2098</v>
      </c>
      <c r="S412" s="7">
        <f t="shared" si="47"/>
        <v>3</v>
      </c>
      <c r="T412" s="7">
        <f t="shared" si="48"/>
        <v>2098</v>
      </c>
    </row>
    <row r="413" spans="1:20" ht="14.25" customHeight="1" x14ac:dyDescent="0.35">
      <c r="A413" s="2" t="s">
        <v>103</v>
      </c>
      <c r="B413" s="2" t="s">
        <v>20</v>
      </c>
      <c r="C413" s="2" t="s">
        <v>30</v>
      </c>
      <c r="D413" s="2" t="s">
        <v>14</v>
      </c>
      <c r="E413" s="2" t="s">
        <v>15</v>
      </c>
      <c r="F413" s="2" t="s">
        <v>47</v>
      </c>
      <c r="G413" s="2" t="s">
        <v>36</v>
      </c>
      <c r="H413" s="2">
        <v>150000</v>
      </c>
      <c r="I413" s="2">
        <v>3</v>
      </c>
      <c r="J413" s="2" t="s">
        <v>50</v>
      </c>
      <c r="K413" s="2">
        <f t="shared" si="42"/>
        <v>120000</v>
      </c>
      <c r="L413" s="9">
        <f>Table_1[[#This Row],[Unit Price]]*Table_1[[#This Row],[Quantity]]</f>
        <v>450000</v>
      </c>
      <c r="M413" s="8">
        <f>Table_1[[#This Row],[Cost Price]]*Table_1[[#This Row],[Quantity]]</f>
        <v>360000</v>
      </c>
      <c r="N413">
        <f>Table_1[[#This Row],[Revenue]]-Table_1[[#This Row],[COGS]]</f>
        <v>90000</v>
      </c>
      <c r="O413" s="11">
        <f t="shared" si="43"/>
        <v>4656740000</v>
      </c>
      <c r="P413">
        <f t="shared" si="44"/>
        <v>3725392000</v>
      </c>
      <c r="Q413">
        <f t="shared" si="45"/>
        <v>931348000</v>
      </c>
      <c r="R413" s="7">
        <f t="shared" si="46"/>
        <v>2098</v>
      </c>
      <c r="S413" s="7">
        <f t="shared" si="47"/>
        <v>3</v>
      </c>
      <c r="T413" s="7">
        <f t="shared" si="48"/>
        <v>2098</v>
      </c>
    </row>
    <row r="414" spans="1:20" ht="14.25" customHeight="1" x14ac:dyDescent="0.35">
      <c r="A414" s="2" t="s">
        <v>66</v>
      </c>
      <c r="B414" s="2" t="s">
        <v>12</v>
      </c>
      <c r="C414" s="2" t="s">
        <v>13</v>
      </c>
      <c r="D414" s="2" t="s">
        <v>26</v>
      </c>
      <c r="E414" s="2" t="s">
        <v>15</v>
      </c>
      <c r="F414" s="2" t="s">
        <v>23</v>
      </c>
      <c r="G414" s="2" t="s">
        <v>24</v>
      </c>
      <c r="H414" s="2">
        <v>30000</v>
      </c>
      <c r="I414" s="2">
        <v>2</v>
      </c>
      <c r="J414" s="2" t="s">
        <v>27</v>
      </c>
      <c r="K414" s="2">
        <f t="shared" si="42"/>
        <v>24000</v>
      </c>
      <c r="L414" s="9">
        <f>Table_1[[#This Row],[Unit Price]]*Table_1[[#This Row],[Quantity]]</f>
        <v>60000</v>
      </c>
      <c r="M414" s="8">
        <f>Table_1[[#This Row],[Cost Price]]*Table_1[[#This Row],[Quantity]]</f>
        <v>48000</v>
      </c>
      <c r="N414">
        <f>Table_1[[#This Row],[Revenue]]-Table_1[[#This Row],[COGS]]</f>
        <v>12000</v>
      </c>
      <c r="O414" s="11">
        <f t="shared" si="43"/>
        <v>4656740000</v>
      </c>
      <c r="P414">
        <f t="shared" si="44"/>
        <v>3725392000</v>
      </c>
      <c r="Q414">
        <f t="shared" si="45"/>
        <v>931348000</v>
      </c>
      <c r="R414" s="7">
        <f t="shared" si="46"/>
        <v>2098</v>
      </c>
      <c r="S414" s="7">
        <f t="shared" si="47"/>
        <v>3</v>
      </c>
      <c r="T414" s="7">
        <f t="shared" si="48"/>
        <v>2098</v>
      </c>
    </row>
    <row r="415" spans="1:20" ht="14.25" customHeight="1" x14ac:dyDescent="0.35">
      <c r="A415" s="2" t="s">
        <v>143</v>
      </c>
      <c r="B415" s="2" t="s">
        <v>20</v>
      </c>
      <c r="C415" s="2" t="s">
        <v>21</v>
      </c>
      <c r="D415" s="2" t="s">
        <v>14</v>
      </c>
      <c r="E415" s="2" t="s">
        <v>15</v>
      </c>
      <c r="F415" s="2" t="s">
        <v>39</v>
      </c>
      <c r="G415" s="2" t="s">
        <v>24</v>
      </c>
      <c r="H415" s="2">
        <v>180000</v>
      </c>
      <c r="I415" s="2">
        <v>2</v>
      </c>
      <c r="J415" s="2" t="s">
        <v>50</v>
      </c>
      <c r="K415" s="2">
        <f t="shared" si="42"/>
        <v>144000</v>
      </c>
      <c r="L415" s="9">
        <f>Table_1[[#This Row],[Unit Price]]*Table_1[[#This Row],[Quantity]]</f>
        <v>360000</v>
      </c>
      <c r="M415" s="8">
        <f>Table_1[[#This Row],[Cost Price]]*Table_1[[#This Row],[Quantity]]</f>
        <v>288000</v>
      </c>
      <c r="N415">
        <f>Table_1[[#This Row],[Revenue]]-Table_1[[#This Row],[COGS]]</f>
        <v>72000</v>
      </c>
      <c r="O415" s="11">
        <f t="shared" si="43"/>
        <v>4656740000</v>
      </c>
      <c r="P415">
        <f t="shared" si="44"/>
        <v>3725392000</v>
      </c>
      <c r="Q415">
        <f t="shared" si="45"/>
        <v>931348000</v>
      </c>
      <c r="R415" s="7">
        <f t="shared" si="46"/>
        <v>2098</v>
      </c>
      <c r="S415" s="7">
        <f t="shared" si="47"/>
        <v>1</v>
      </c>
      <c r="T415" s="7">
        <f t="shared" si="48"/>
        <v>2098</v>
      </c>
    </row>
    <row r="416" spans="1:20" ht="14.25" customHeight="1" x14ac:dyDescent="0.35">
      <c r="A416" s="2" t="s">
        <v>100</v>
      </c>
      <c r="B416" s="2" t="s">
        <v>12</v>
      </c>
      <c r="C416" s="2" t="s">
        <v>30</v>
      </c>
      <c r="D416" s="2" t="s">
        <v>26</v>
      </c>
      <c r="E416" s="2" t="s">
        <v>15</v>
      </c>
      <c r="F416" s="2" t="s">
        <v>41</v>
      </c>
      <c r="G416" s="2" t="s">
        <v>17</v>
      </c>
      <c r="H416" s="2">
        <v>320000</v>
      </c>
      <c r="I416" s="2">
        <v>3</v>
      </c>
      <c r="J416" s="2" t="s">
        <v>32</v>
      </c>
      <c r="K416" s="2">
        <f t="shared" si="42"/>
        <v>256000</v>
      </c>
      <c r="L416" s="9">
        <f>Table_1[[#This Row],[Unit Price]]*Table_1[[#This Row],[Quantity]]</f>
        <v>960000</v>
      </c>
      <c r="M416" s="8">
        <f>Table_1[[#This Row],[Cost Price]]*Table_1[[#This Row],[Quantity]]</f>
        <v>768000</v>
      </c>
      <c r="N416">
        <f>Table_1[[#This Row],[Revenue]]-Table_1[[#This Row],[COGS]]</f>
        <v>192000</v>
      </c>
      <c r="O416" s="11">
        <f t="shared" si="43"/>
        <v>4656740000</v>
      </c>
      <c r="P416">
        <f t="shared" si="44"/>
        <v>3725392000</v>
      </c>
      <c r="Q416">
        <f t="shared" si="45"/>
        <v>931348000</v>
      </c>
      <c r="R416" s="7">
        <f t="shared" si="46"/>
        <v>2098</v>
      </c>
      <c r="S416" s="7">
        <f t="shared" si="47"/>
        <v>1</v>
      </c>
      <c r="T416" s="7">
        <f t="shared" si="48"/>
        <v>2098</v>
      </c>
    </row>
    <row r="417" spans="1:20" ht="14.25" customHeight="1" x14ac:dyDescent="0.35">
      <c r="A417" s="2" t="s">
        <v>155</v>
      </c>
      <c r="B417" s="2" t="s">
        <v>29</v>
      </c>
      <c r="C417" s="2" t="s">
        <v>30</v>
      </c>
      <c r="D417" s="2" t="s">
        <v>26</v>
      </c>
      <c r="E417" s="2" t="s">
        <v>22</v>
      </c>
      <c r="F417" s="2" t="s">
        <v>23</v>
      </c>
      <c r="G417" s="2" t="s">
        <v>24</v>
      </c>
      <c r="H417" s="2">
        <v>30000</v>
      </c>
      <c r="I417" s="2">
        <v>3</v>
      </c>
      <c r="J417" s="2" t="s">
        <v>50</v>
      </c>
      <c r="K417" s="2">
        <f t="shared" si="42"/>
        <v>24000</v>
      </c>
      <c r="L417" s="9">
        <f>Table_1[[#This Row],[Unit Price]]*Table_1[[#This Row],[Quantity]]</f>
        <v>90000</v>
      </c>
      <c r="M417" s="8">
        <f>Table_1[[#This Row],[Cost Price]]*Table_1[[#This Row],[Quantity]]</f>
        <v>72000</v>
      </c>
      <c r="N417">
        <f>Table_1[[#This Row],[Revenue]]-Table_1[[#This Row],[COGS]]</f>
        <v>18000</v>
      </c>
      <c r="O417" s="11">
        <f t="shared" si="43"/>
        <v>4656740000</v>
      </c>
      <c r="P417">
        <f t="shared" si="44"/>
        <v>3725392000</v>
      </c>
      <c r="Q417">
        <f t="shared" si="45"/>
        <v>931348000</v>
      </c>
      <c r="R417" s="7">
        <f t="shared" si="46"/>
        <v>2098</v>
      </c>
      <c r="S417" s="7">
        <f t="shared" si="47"/>
        <v>1</v>
      </c>
      <c r="T417" s="7">
        <f t="shared" si="48"/>
        <v>2098</v>
      </c>
    </row>
    <row r="418" spans="1:20" ht="14.25" customHeight="1" x14ac:dyDescent="0.35">
      <c r="A418" s="2" t="s">
        <v>125</v>
      </c>
      <c r="B418" s="2" t="s">
        <v>12</v>
      </c>
      <c r="C418" s="2" t="s">
        <v>38</v>
      </c>
      <c r="D418" s="2" t="s">
        <v>14</v>
      </c>
      <c r="E418" s="2" t="s">
        <v>22</v>
      </c>
      <c r="F418" s="2" t="s">
        <v>16</v>
      </c>
      <c r="G418" s="2" t="s">
        <v>17</v>
      </c>
      <c r="H418" s="2">
        <v>85000</v>
      </c>
      <c r="I418" s="2">
        <v>3</v>
      </c>
      <c r="J418" s="2" t="s">
        <v>43</v>
      </c>
      <c r="K418" s="2">
        <f t="shared" si="42"/>
        <v>68000</v>
      </c>
      <c r="L418" s="9">
        <f>Table_1[[#This Row],[Unit Price]]*Table_1[[#This Row],[Quantity]]</f>
        <v>255000</v>
      </c>
      <c r="M418" s="8">
        <f>Table_1[[#This Row],[Cost Price]]*Table_1[[#This Row],[Quantity]]</f>
        <v>204000</v>
      </c>
      <c r="N418">
        <f>Table_1[[#This Row],[Revenue]]-Table_1[[#This Row],[COGS]]</f>
        <v>51000</v>
      </c>
      <c r="O418" s="11">
        <f t="shared" si="43"/>
        <v>4656740000</v>
      </c>
      <c r="P418">
        <f t="shared" si="44"/>
        <v>3725392000</v>
      </c>
      <c r="Q418">
        <f t="shared" si="45"/>
        <v>931348000</v>
      </c>
      <c r="R418" s="7">
        <f t="shared" si="46"/>
        <v>2098</v>
      </c>
      <c r="S418" s="7">
        <f t="shared" si="47"/>
        <v>4</v>
      </c>
      <c r="T418" s="7">
        <f t="shared" si="48"/>
        <v>2098</v>
      </c>
    </row>
    <row r="419" spans="1:20" ht="14.25" customHeight="1" x14ac:dyDescent="0.35">
      <c r="A419" s="2" t="s">
        <v>64</v>
      </c>
      <c r="B419" s="2" t="s">
        <v>34</v>
      </c>
      <c r="C419" s="2" t="s">
        <v>30</v>
      </c>
      <c r="D419" s="2" t="s">
        <v>14</v>
      </c>
      <c r="E419" s="2" t="s">
        <v>22</v>
      </c>
      <c r="F419" s="2" t="s">
        <v>16</v>
      </c>
      <c r="G419" s="2" t="s">
        <v>17</v>
      </c>
      <c r="H419" s="2">
        <v>85000</v>
      </c>
      <c r="I419" s="2">
        <v>10</v>
      </c>
      <c r="J419" s="2" t="s">
        <v>50</v>
      </c>
      <c r="K419" s="2">
        <f t="shared" si="42"/>
        <v>68000</v>
      </c>
      <c r="L419" s="9">
        <f>Table_1[[#This Row],[Unit Price]]*Table_1[[#This Row],[Quantity]]</f>
        <v>850000</v>
      </c>
      <c r="M419" s="8">
        <f>Table_1[[#This Row],[Cost Price]]*Table_1[[#This Row],[Quantity]]</f>
        <v>680000</v>
      </c>
      <c r="N419">
        <f>Table_1[[#This Row],[Revenue]]-Table_1[[#This Row],[COGS]]</f>
        <v>170000</v>
      </c>
      <c r="O419" s="11">
        <f t="shared" si="43"/>
        <v>4656740000</v>
      </c>
      <c r="P419">
        <f t="shared" si="44"/>
        <v>3725392000</v>
      </c>
      <c r="Q419">
        <f t="shared" si="45"/>
        <v>931348000</v>
      </c>
      <c r="R419" s="7">
        <f t="shared" si="46"/>
        <v>2098</v>
      </c>
      <c r="S419" s="7">
        <f t="shared" si="47"/>
        <v>2</v>
      </c>
      <c r="T419" s="7">
        <f t="shared" si="48"/>
        <v>2098</v>
      </c>
    </row>
    <row r="420" spans="1:20" ht="14.25" customHeight="1" x14ac:dyDescent="0.35">
      <c r="A420" s="2" t="s">
        <v>105</v>
      </c>
      <c r="B420" s="2" t="s">
        <v>20</v>
      </c>
      <c r="C420" s="2" t="s">
        <v>13</v>
      </c>
      <c r="D420" s="2" t="s">
        <v>26</v>
      </c>
      <c r="E420" s="2" t="s">
        <v>22</v>
      </c>
      <c r="F420" s="2" t="s">
        <v>39</v>
      </c>
      <c r="G420" s="2" t="s">
        <v>24</v>
      </c>
      <c r="H420" s="2">
        <v>180000</v>
      </c>
      <c r="I420" s="2">
        <v>10</v>
      </c>
      <c r="J420" s="2" t="s">
        <v>18</v>
      </c>
      <c r="K420" s="2">
        <f t="shared" si="42"/>
        <v>144000</v>
      </c>
      <c r="L420" s="9">
        <f>Table_1[[#This Row],[Unit Price]]*Table_1[[#This Row],[Quantity]]</f>
        <v>1800000</v>
      </c>
      <c r="M420" s="8">
        <f>Table_1[[#This Row],[Cost Price]]*Table_1[[#This Row],[Quantity]]</f>
        <v>1440000</v>
      </c>
      <c r="N420">
        <f>Table_1[[#This Row],[Revenue]]-Table_1[[#This Row],[COGS]]</f>
        <v>360000</v>
      </c>
      <c r="O420" s="11">
        <f t="shared" si="43"/>
        <v>4656740000</v>
      </c>
      <c r="P420">
        <f t="shared" si="44"/>
        <v>3725392000</v>
      </c>
      <c r="Q420">
        <f t="shared" si="45"/>
        <v>931348000</v>
      </c>
      <c r="R420" s="7">
        <f t="shared" si="46"/>
        <v>2098</v>
      </c>
      <c r="S420" s="7">
        <f t="shared" si="47"/>
        <v>3</v>
      </c>
      <c r="T420" s="7">
        <f t="shared" si="48"/>
        <v>2098</v>
      </c>
    </row>
    <row r="421" spans="1:20" ht="14.25" customHeight="1" x14ac:dyDescent="0.35">
      <c r="A421" s="2" t="s">
        <v>111</v>
      </c>
      <c r="B421" s="2" t="s">
        <v>12</v>
      </c>
      <c r="C421" s="2" t="s">
        <v>21</v>
      </c>
      <c r="D421" s="2" t="s">
        <v>14</v>
      </c>
      <c r="E421" s="2" t="s">
        <v>22</v>
      </c>
      <c r="F421" s="2" t="s">
        <v>58</v>
      </c>
      <c r="G421" s="2" t="s">
        <v>24</v>
      </c>
      <c r="H421" s="2">
        <v>220000</v>
      </c>
      <c r="I421" s="2">
        <v>9</v>
      </c>
      <c r="J421" s="2" t="s">
        <v>32</v>
      </c>
      <c r="K421" s="2">
        <f t="shared" si="42"/>
        <v>176000</v>
      </c>
      <c r="L421" s="9">
        <f>Table_1[[#This Row],[Unit Price]]*Table_1[[#This Row],[Quantity]]</f>
        <v>1980000</v>
      </c>
      <c r="M421" s="8">
        <f>Table_1[[#This Row],[Cost Price]]*Table_1[[#This Row],[Quantity]]</f>
        <v>1584000</v>
      </c>
      <c r="N421">
        <f>Table_1[[#This Row],[Revenue]]-Table_1[[#This Row],[COGS]]</f>
        <v>396000</v>
      </c>
      <c r="O421" s="11">
        <f t="shared" si="43"/>
        <v>4656740000</v>
      </c>
      <c r="P421">
        <f t="shared" si="44"/>
        <v>3725392000</v>
      </c>
      <c r="Q421">
        <f t="shared" si="45"/>
        <v>931348000</v>
      </c>
      <c r="R421" s="7">
        <f t="shared" si="46"/>
        <v>2098</v>
      </c>
      <c r="S421" s="7">
        <f t="shared" si="47"/>
        <v>1</v>
      </c>
      <c r="T421" s="7">
        <f t="shared" si="48"/>
        <v>2098</v>
      </c>
    </row>
    <row r="422" spans="1:20" ht="14.25" customHeight="1" x14ac:dyDescent="0.35">
      <c r="A422" s="2" t="s">
        <v>60</v>
      </c>
      <c r="B422" s="2" t="s">
        <v>12</v>
      </c>
      <c r="C422" s="2" t="s">
        <v>38</v>
      </c>
      <c r="D422" s="2" t="s">
        <v>26</v>
      </c>
      <c r="E422" s="2" t="s">
        <v>22</v>
      </c>
      <c r="F422" s="2" t="s">
        <v>52</v>
      </c>
      <c r="G422" s="2" t="s">
        <v>36</v>
      </c>
      <c r="H422" s="2">
        <v>420000</v>
      </c>
      <c r="I422" s="2">
        <v>9</v>
      </c>
      <c r="J422" s="2" t="s">
        <v>32</v>
      </c>
      <c r="K422" s="2">
        <f t="shared" si="42"/>
        <v>336000</v>
      </c>
      <c r="L422" s="9">
        <f>Table_1[[#This Row],[Unit Price]]*Table_1[[#This Row],[Quantity]]</f>
        <v>3780000</v>
      </c>
      <c r="M422" s="8">
        <f>Table_1[[#This Row],[Cost Price]]*Table_1[[#This Row],[Quantity]]</f>
        <v>3024000</v>
      </c>
      <c r="N422">
        <f>Table_1[[#This Row],[Revenue]]-Table_1[[#This Row],[COGS]]</f>
        <v>756000</v>
      </c>
      <c r="O422" s="11">
        <f t="shared" si="43"/>
        <v>4656740000</v>
      </c>
      <c r="P422">
        <f t="shared" si="44"/>
        <v>3725392000</v>
      </c>
      <c r="Q422">
        <f t="shared" si="45"/>
        <v>931348000</v>
      </c>
      <c r="R422" s="7">
        <f t="shared" si="46"/>
        <v>2098</v>
      </c>
      <c r="S422" s="7">
        <f t="shared" si="47"/>
        <v>3</v>
      </c>
      <c r="T422" s="7">
        <f t="shared" si="48"/>
        <v>2098</v>
      </c>
    </row>
    <row r="423" spans="1:20" ht="14.25" customHeight="1" x14ac:dyDescent="0.35">
      <c r="A423" s="2" t="s">
        <v>109</v>
      </c>
      <c r="B423" s="2" t="s">
        <v>20</v>
      </c>
      <c r="C423" s="2" t="s">
        <v>13</v>
      </c>
      <c r="D423" s="2" t="s">
        <v>26</v>
      </c>
      <c r="E423" s="2" t="s">
        <v>15</v>
      </c>
      <c r="F423" s="2" t="s">
        <v>39</v>
      </c>
      <c r="G423" s="2" t="s">
        <v>24</v>
      </c>
      <c r="H423" s="2">
        <v>180000</v>
      </c>
      <c r="I423" s="2">
        <v>2</v>
      </c>
      <c r="J423" s="2" t="s">
        <v>50</v>
      </c>
      <c r="K423" s="2">
        <f t="shared" si="42"/>
        <v>144000</v>
      </c>
      <c r="L423" s="9">
        <f>Table_1[[#This Row],[Unit Price]]*Table_1[[#This Row],[Quantity]]</f>
        <v>360000</v>
      </c>
      <c r="M423" s="8">
        <f>Table_1[[#This Row],[Cost Price]]*Table_1[[#This Row],[Quantity]]</f>
        <v>288000</v>
      </c>
      <c r="N423">
        <f>Table_1[[#This Row],[Revenue]]-Table_1[[#This Row],[COGS]]</f>
        <v>72000</v>
      </c>
      <c r="O423" s="11">
        <f t="shared" si="43"/>
        <v>4656740000</v>
      </c>
      <c r="P423">
        <f t="shared" si="44"/>
        <v>3725392000</v>
      </c>
      <c r="Q423">
        <f t="shared" si="45"/>
        <v>931348000</v>
      </c>
      <c r="R423" s="7">
        <f t="shared" si="46"/>
        <v>2098</v>
      </c>
      <c r="S423" s="7">
        <f t="shared" si="47"/>
        <v>2</v>
      </c>
      <c r="T423" s="7">
        <f t="shared" si="48"/>
        <v>2098</v>
      </c>
    </row>
    <row r="424" spans="1:20" ht="14.25" customHeight="1" x14ac:dyDescent="0.35">
      <c r="A424" s="2" t="s">
        <v>81</v>
      </c>
      <c r="B424" s="2" t="s">
        <v>12</v>
      </c>
      <c r="C424" s="2" t="s">
        <v>21</v>
      </c>
      <c r="D424" s="2" t="s">
        <v>26</v>
      </c>
      <c r="E424" s="2" t="s">
        <v>15</v>
      </c>
      <c r="F424" s="2" t="s">
        <v>35</v>
      </c>
      <c r="G424" s="2" t="s">
        <v>36</v>
      </c>
      <c r="H424" s="2">
        <v>300000</v>
      </c>
      <c r="I424" s="2">
        <v>3</v>
      </c>
      <c r="J424" s="2" t="s">
        <v>27</v>
      </c>
      <c r="K424" s="2">
        <f t="shared" si="42"/>
        <v>240000</v>
      </c>
      <c r="L424" s="9">
        <f>Table_1[[#This Row],[Unit Price]]*Table_1[[#This Row],[Quantity]]</f>
        <v>900000</v>
      </c>
      <c r="M424" s="8">
        <f>Table_1[[#This Row],[Cost Price]]*Table_1[[#This Row],[Quantity]]</f>
        <v>720000</v>
      </c>
      <c r="N424">
        <f>Table_1[[#This Row],[Revenue]]-Table_1[[#This Row],[COGS]]</f>
        <v>180000</v>
      </c>
      <c r="O424" s="11">
        <f t="shared" si="43"/>
        <v>4656740000</v>
      </c>
      <c r="P424">
        <f t="shared" si="44"/>
        <v>3725392000</v>
      </c>
      <c r="Q424">
        <f t="shared" si="45"/>
        <v>931348000</v>
      </c>
      <c r="R424" s="7">
        <f t="shared" si="46"/>
        <v>2098</v>
      </c>
      <c r="S424" s="7">
        <f t="shared" si="47"/>
        <v>3</v>
      </c>
      <c r="T424" s="7">
        <f t="shared" si="48"/>
        <v>2098</v>
      </c>
    </row>
    <row r="425" spans="1:20" ht="14.25" customHeight="1" x14ac:dyDescent="0.35">
      <c r="A425" s="2" t="s">
        <v>136</v>
      </c>
      <c r="B425" s="2" t="s">
        <v>34</v>
      </c>
      <c r="C425" s="2" t="s">
        <v>30</v>
      </c>
      <c r="D425" s="2" t="s">
        <v>26</v>
      </c>
      <c r="E425" s="2" t="s">
        <v>15</v>
      </c>
      <c r="F425" s="2" t="s">
        <v>39</v>
      </c>
      <c r="G425" s="2" t="s">
        <v>24</v>
      </c>
      <c r="H425" s="2">
        <v>180000</v>
      </c>
      <c r="I425" s="2">
        <v>1</v>
      </c>
      <c r="J425" s="2" t="s">
        <v>54</v>
      </c>
      <c r="K425" s="2">
        <f t="shared" si="42"/>
        <v>144000</v>
      </c>
      <c r="L425" s="9">
        <f>Table_1[[#This Row],[Unit Price]]*Table_1[[#This Row],[Quantity]]</f>
        <v>180000</v>
      </c>
      <c r="M425" s="8">
        <f>Table_1[[#This Row],[Cost Price]]*Table_1[[#This Row],[Quantity]]</f>
        <v>144000</v>
      </c>
      <c r="N425">
        <f>Table_1[[#This Row],[Revenue]]-Table_1[[#This Row],[COGS]]</f>
        <v>36000</v>
      </c>
      <c r="O425" s="11">
        <f t="shared" si="43"/>
        <v>4656740000</v>
      </c>
      <c r="P425">
        <f t="shared" si="44"/>
        <v>3725392000</v>
      </c>
      <c r="Q425">
        <f t="shared" si="45"/>
        <v>931348000</v>
      </c>
      <c r="R425" s="7">
        <f t="shared" si="46"/>
        <v>2098</v>
      </c>
      <c r="S425" s="7">
        <f t="shared" si="47"/>
        <v>2</v>
      </c>
      <c r="T425" s="7">
        <f t="shared" si="48"/>
        <v>2098</v>
      </c>
    </row>
    <row r="426" spans="1:20" ht="14.25" customHeight="1" x14ac:dyDescent="0.35">
      <c r="A426" s="2" t="s">
        <v>55</v>
      </c>
      <c r="B426" s="2" t="s">
        <v>34</v>
      </c>
      <c r="C426" s="2" t="s">
        <v>21</v>
      </c>
      <c r="D426" s="2" t="s">
        <v>14</v>
      </c>
      <c r="E426" s="2" t="s">
        <v>22</v>
      </c>
      <c r="F426" s="2" t="s">
        <v>41</v>
      </c>
      <c r="G426" s="2" t="s">
        <v>17</v>
      </c>
      <c r="H426" s="2">
        <v>320000</v>
      </c>
      <c r="I426" s="2">
        <v>9</v>
      </c>
      <c r="J426" s="2" t="s">
        <v>43</v>
      </c>
      <c r="K426" s="2">
        <f t="shared" si="42"/>
        <v>256000</v>
      </c>
      <c r="L426" s="9">
        <f>Table_1[[#This Row],[Unit Price]]*Table_1[[#This Row],[Quantity]]</f>
        <v>2880000</v>
      </c>
      <c r="M426" s="8">
        <f>Table_1[[#This Row],[Cost Price]]*Table_1[[#This Row],[Quantity]]</f>
        <v>2304000</v>
      </c>
      <c r="N426">
        <f>Table_1[[#This Row],[Revenue]]-Table_1[[#This Row],[COGS]]</f>
        <v>576000</v>
      </c>
      <c r="O426" s="11">
        <f t="shared" si="43"/>
        <v>4656740000</v>
      </c>
      <c r="P426">
        <f t="shared" si="44"/>
        <v>3725392000</v>
      </c>
      <c r="Q426">
        <f t="shared" si="45"/>
        <v>931348000</v>
      </c>
      <c r="R426" s="7">
        <f t="shared" si="46"/>
        <v>2098</v>
      </c>
      <c r="S426" s="7">
        <f t="shared" si="47"/>
        <v>4</v>
      </c>
      <c r="T426" s="7">
        <f t="shared" si="48"/>
        <v>2098</v>
      </c>
    </row>
    <row r="427" spans="1:20" ht="14.25" customHeight="1" x14ac:dyDescent="0.35">
      <c r="A427" s="2" t="s">
        <v>114</v>
      </c>
      <c r="B427" s="2" t="s">
        <v>34</v>
      </c>
      <c r="C427" s="2" t="s">
        <v>13</v>
      </c>
      <c r="D427" s="2" t="s">
        <v>14</v>
      </c>
      <c r="E427" s="2" t="s">
        <v>15</v>
      </c>
      <c r="F427" s="2" t="s">
        <v>41</v>
      </c>
      <c r="G427" s="2" t="s">
        <v>17</v>
      </c>
      <c r="H427" s="2">
        <v>320000</v>
      </c>
      <c r="I427" s="2">
        <v>5</v>
      </c>
      <c r="J427" s="2" t="s">
        <v>27</v>
      </c>
      <c r="K427" s="2">
        <f t="shared" si="42"/>
        <v>256000</v>
      </c>
      <c r="L427" s="9">
        <f>Table_1[[#This Row],[Unit Price]]*Table_1[[#This Row],[Quantity]]</f>
        <v>1600000</v>
      </c>
      <c r="M427" s="8">
        <f>Table_1[[#This Row],[Cost Price]]*Table_1[[#This Row],[Quantity]]</f>
        <v>1280000</v>
      </c>
      <c r="N427">
        <f>Table_1[[#This Row],[Revenue]]-Table_1[[#This Row],[COGS]]</f>
        <v>320000</v>
      </c>
      <c r="O427" s="11">
        <f t="shared" si="43"/>
        <v>4656740000</v>
      </c>
      <c r="P427">
        <f t="shared" si="44"/>
        <v>3725392000</v>
      </c>
      <c r="Q427">
        <f t="shared" si="45"/>
        <v>931348000</v>
      </c>
      <c r="R427" s="7">
        <f t="shared" si="46"/>
        <v>2098</v>
      </c>
      <c r="S427" s="7">
        <f t="shared" si="47"/>
        <v>3</v>
      </c>
      <c r="T427" s="7">
        <f t="shared" si="48"/>
        <v>2098</v>
      </c>
    </row>
    <row r="428" spans="1:20" ht="14.25" customHeight="1" x14ac:dyDescent="0.35">
      <c r="A428" s="2" t="s">
        <v>70</v>
      </c>
      <c r="B428" s="2" t="s">
        <v>34</v>
      </c>
      <c r="C428" s="2" t="s">
        <v>38</v>
      </c>
      <c r="D428" s="2" t="s">
        <v>14</v>
      </c>
      <c r="E428" s="2" t="s">
        <v>15</v>
      </c>
      <c r="F428" s="2" t="s">
        <v>31</v>
      </c>
      <c r="G428" s="2" t="s">
        <v>24</v>
      </c>
      <c r="H428" s="2">
        <v>60000</v>
      </c>
      <c r="I428" s="2">
        <v>8</v>
      </c>
      <c r="J428" s="2" t="s">
        <v>54</v>
      </c>
      <c r="K428" s="2">
        <f t="shared" si="42"/>
        <v>48000</v>
      </c>
      <c r="L428" s="9">
        <f>Table_1[[#This Row],[Unit Price]]*Table_1[[#This Row],[Quantity]]</f>
        <v>480000</v>
      </c>
      <c r="M428" s="8">
        <f>Table_1[[#This Row],[Cost Price]]*Table_1[[#This Row],[Quantity]]</f>
        <v>384000</v>
      </c>
      <c r="N428">
        <f>Table_1[[#This Row],[Revenue]]-Table_1[[#This Row],[COGS]]</f>
        <v>96000</v>
      </c>
      <c r="O428" s="11">
        <f t="shared" si="43"/>
        <v>4656740000</v>
      </c>
      <c r="P428">
        <f t="shared" si="44"/>
        <v>3725392000</v>
      </c>
      <c r="Q428">
        <f t="shared" si="45"/>
        <v>931348000</v>
      </c>
      <c r="R428" s="7">
        <f t="shared" si="46"/>
        <v>2098</v>
      </c>
      <c r="S428" s="7">
        <f t="shared" si="47"/>
        <v>2</v>
      </c>
      <c r="T428" s="7">
        <f t="shared" si="48"/>
        <v>2098</v>
      </c>
    </row>
    <row r="429" spans="1:20" ht="14.25" customHeight="1" x14ac:dyDescent="0.35">
      <c r="A429" s="2" t="s">
        <v>88</v>
      </c>
      <c r="B429" s="2" t="s">
        <v>29</v>
      </c>
      <c r="C429" s="2" t="s">
        <v>13</v>
      </c>
      <c r="D429" s="2" t="s">
        <v>26</v>
      </c>
      <c r="E429" s="2" t="s">
        <v>15</v>
      </c>
      <c r="F429" s="2" t="s">
        <v>16</v>
      </c>
      <c r="G429" s="2" t="s">
        <v>17</v>
      </c>
      <c r="H429" s="2">
        <v>85000</v>
      </c>
      <c r="I429" s="2">
        <v>8</v>
      </c>
      <c r="J429" s="2" t="s">
        <v>27</v>
      </c>
      <c r="K429" s="2">
        <f t="shared" si="42"/>
        <v>68000</v>
      </c>
      <c r="L429" s="9">
        <f>Table_1[[#This Row],[Unit Price]]*Table_1[[#This Row],[Quantity]]</f>
        <v>680000</v>
      </c>
      <c r="M429" s="8">
        <f>Table_1[[#This Row],[Cost Price]]*Table_1[[#This Row],[Quantity]]</f>
        <v>544000</v>
      </c>
      <c r="N429">
        <f>Table_1[[#This Row],[Revenue]]-Table_1[[#This Row],[COGS]]</f>
        <v>136000</v>
      </c>
      <c r="O429" s="11">
        <f t="shared" si="43"/>
        <v>4656740000</v>
      </c>
      <c r="P429">
        <f t="shared" si="44"/>
        <v>3725392000</v>
      </c>
      <c r="Q429">
        <f t="shared" si="45"/>
        <v>931348000</v>
      </c>
      <c r="R429" s="7">
        <f t="shared" si="46"/>
        <v>2098</v>
      </c>
      <c r="S429" s="7">
        <f t="shared" si="47"/>
        <v>3</v>
      </c>
      <c r="T429" s="7">
        <f t="shared" si="48"/>
        <v>2098</v>
      </c>
    </row>
    <row r="430" spans="1:20" ht="14.25" customHeight="1" x14ac:dyDescent="0.35">
      <c r="A430" s="2" t="s">
        <v>94</v>
      </c>
      <c r="B430" s="2" t="s">
        <v>20</v>
      </c>
      <c r="C430" s="2" t="s">
        <v>13</v>
      </c>
      <c r="D430" s="2" t="s">
        <v>14</v>
      </c>
      <c r="E430" s="2" t="s">
        <v>22</v>
      </c>
      <c r="F430" s="2" t="s">
        <v>41</v>
      </c>
      <c r="G430" s="2" t="s">
        <v>17</v>
      </c>
      <c r="H430" s="2">
        <v>320000</v>
      </c>
      <c r="I430" s="2">
        <v>5</v>
      </c>
      <c r="J430" s="2" t="s">
        <v>27</v>
      </c>
      <c r="K430" s="2">
        <f t="shared" si="42"/>
        <v>256000</v>
      </c>
      <c r="L430" s="9">
        <f>Table_1[[#This Row],[Unit Price]]*Table_1[[#This Row],[Quantity]]</f>
        <v>1600000</v>
      </c>
      <c r="M430" s="8">
        <f>Table_1[[#This Row],[Cost Price]]*Table_1[[#This Row],[Quantity]]</f>
        <v>1280000</v>
      </c>
      <c r="N430">
        <f>Table_1[[#This Row],[Revenue]]-Table_1[[#This Row],[COGS]]</f>
        <v>320000</v>
      </c>
      <c r="O430" s="11">
        <f t="shared" si="43"/>
        <v>4656740000</v>
      </c>
      <c r="P430">
        <f t="shared" si="44"/>
        <v>3725392000</v>
      </c>
      <c r="Q430">
        <f t="shared" si="45"/>
        <v>931348000</v>
      </c>
      <c r="R430" s="7">
        <f t="shared" si="46"/>
        <v>2098</v>
      </c>
      <c r="S430" s="7">
        <f t="shared" si="47"/>
        <v>3</v>
      </c>
      <c r="T430" s="7">
        <f t="shared" si="48"/>
        <v>2098</v>
      </c>
    </row>
    <row r="431" spans="1:20" ht="14.25" customHeight="1" x14ac:dyDescent="0.35">
      <c r="A431" s="2" t="s">
        <v>75</v>
      </c>
      <c r="B431" s="2" t="s">
        <v>34</v>
      </c>
      <c r="C431" s="2" t="s">
        <v>30</v>
      </c>
      <c r="D431" s="2" t="s">
        <v>26</v>
      </c>
      <c r="E431" s="2" t="s">
        <v>15</v>
      </c>
      <c r="F431" s="2" t="s">
        <v>47</v>
      </c>
      <c r="G431" s="2" t="s">
        <v>36</v>
      </c>
      <c r="H431" s="2">
        <v>150000</v>
      </c>
      <c r="I431" s="2">
        <v>3</v>
      </c>
      <c r="J431" s="2" t="s">
        <v>50</v>
      </c>
      <c r="K431" s="2">
        <f t="shared" si="42"/>
        <v>120000</v>
      </c>
      <c r="L431" s="9">
        <f>Table_1[[#This Row],[Unit Price]]*Table_1[[#This Row],[Quantity]]</f>
        <v>450000</v>
      </c>
      <c r="M431" s="8">
        <f>Table_1[[#This Row],[Cost Price]]*Table_1[[#This Row],[Quantity]]</f>
        <v>360000</v>
      </c>
      <c r="N431">
        <f>Table_1[[#This Row],[Revenue]]-Table_1[[#This Row],[COGS]]</f>
        <v>90000</v>
      </c>
      <c r="O431" s="11">
        <f t="shared" si="43"/>
        <v>4656740000</v>
      </c>
      <c r="P431">
        <f t="shared" si="44"/>
        <v>3725392000</v>
      </c>
      <c r="Q431">
        <f t="shared" si="45"/>
        <v>931348000</v>
      </c>
      <c r="R431" s="7">
        <f t="shared" si="46"/>
        <v>2098</v>
      </c>
      <c r="S431" s="7">
        <f t="shared" si="47"/>
        <v>2</v>
      </c>
      <c r="T431" s="7">
        <f t="shared" si="48"/>
        <v>2098</v>
      </c>
    </row>
    <row r="432" spans="1:20" ht="14.25" customHeight="1" x14ac:dyDescent="0.35">
      <c r="A432" s="2" t="s">
        <v>95</v>
      </c>
      <c r="B432" s="2" t="s">
        <v>34</v>
      </c>
      <c r="C432" s="2" t="s">
        <v>30</v>
      </c>
      <c r="D432" s="2" t="s">
        <v>14</v>
      </c>
      <c r="E432" s="2" t="s">
        <v>22</v>
      </c>
      <c r="F432" s="2" t="s">
        <v>47</v>
      </c>
      <c r="G432" s="2" t="s">
        <v>36</v>
      </c>
      <c r="H432" s="2">
        <v>150000</v>
      </c>
      <c r="I432" s="2">
        <v>1</v>
      </c>
      <c r="J432" s="2" t="s">
        <v>18</v>
      </c>
      <c r="K432" s="2">
        <f t="shared" si="42"/>
        <v>120000</v>
      </c>
      <c r="L432" s="9">
        <f>Table_1[[#This Row],[Unit Price]]*Table_1[[#This Row],[Quantity]]</f>
        <v>150000</v>
      </c>
      <c r="M432" s="8">
        <f>Table_1[[#This Row],[Cost Price]]*Table_1[[#This Row],[Quantity]]</f>
        <v>120000</v>
      </c>
      <c r="N432">
        <f>Table_1[[#This Row],[Revenue]]-Table_1[[#This Row],[COGS]]</f>
        <v>30000</v>
      </c>
      <c r="O432" s="11">
        <f t="shared" si="43"/>
        <v>4656740000</v>
      </c>
      <c r="P432">
        <f t="shared" si="44"/>
        <v>3725392000</v>
      </c>
      <c r="Q432">
        <f t="shared" si="45"/>
        <v>931348000</v>
      </c>
      <c r="R432" s="7">
        <f t="shared" si="46"/>
        <v>2098</v>
      </c>
      <c r="S432" s="7">
        <f t="shared" si="47"/>
        <v>1</v>
      </c>
      <c r="T432" s="7">
        <f t="shared" si="48"/>
        <v>2098</v>
      </c>
    </row>
    <row r="433" spans="1:20" ht="14.25" customHeight="1" x14ac:dyDescent="0.35">
      <c r="A433" s="2" t="s">
        <v>98</v>
      </c>
      <c r="B433" s="2" t="s">
        <v>29</v>
      </c>
      <c r="C433" s="2" t="s">
        <v>30</v>
      </c>
      <c r="D433" s="2" t="s">
        <v>26</v>
      </c>
      <c r="E433" s="2" t="s">
        <v>15</v>
      </c>
      <c r="F433" s="2" t="s">
        <v>31</v>
      </c>
      <c r="G433" s="2" t="s">
        <v>24</v>
      </c>
      <c r="H433" s="2">
        <v>60000</v>
      </c>
      <c r="I433" s="2">
        <v>7</v>
      </c>
      <c r="J433" s="2" t="s">
        <v>27</v>
      </c>
      <c r="K433" s="2">
        <f t="shared" si="42"/>
        <v>48000</v>
      </c>
      <c r="L433" s="9">
        <f>Table_1[[#This Row],[Unit Price]]*Table_1[[#This Row],[Quantity]]</f>
        <v>420000</v>
      </c>
      <c r="M433" s="8">
        <f>Table_1[[#This Row],[Cost Price]]*Table_1[[#This Row],[Quantity]]</f>
        <v>336000</v>
      </c>
      <c r="N433">
        <f>Table_1[[#This Row],[Revenue]]-Table_1[[#This Row],[COGS]]</f>
        <v>84000</v>
      </c>
      <c r="O433" s="11">
        <f t="shared" si="43"/>
        <v>4656740000</v>
      </c>
      <c r="P433">
        <f t="shared" si="44"/>
        <v>3725392000</v>
      </c>
      <c r="Q433">
        <f t="shared" si="45"/>
        <v>931348000</v>
      </c>
      <c r="R433" s="7">
        <f t="shared" si="46"/>
        <v>2098</v>
      </c>
      <c r="S433" s="7">
        <f t="shared" si="47"/>
        <v>4</v>
      </c>
      <c r="T433" s="7">
        <f t="shared" si="48"/>
        <v>2098</v>
      </c>
    </row>
    <row r="434" spans="1:20" ht="14.25" customHeight="1" x14ac:dyDescent="0.35">
      <c r="A434" s="2" t="s">
        <v>40</v>
      </c>
      <c r="B434" s="2" t="s">
        <v>12</v>
      </c>
      <c r="C434" s="2" t="s">
        <v>13</v>
      </c>
      <c r="D434" s="2" t="s">
        <v>14</v>
      </c>
      <c r="E434" s="2" t="s">
        <v>15</v>
      </c>
      <c r="F434" s="2" t="s">
        <v>39</v>
      </c>
      <c r="G434" s="2" t="s">
        <v>24</v>
      </c>
      <c r="H434" s="2">
        <v>180000</v>
      </c>
      <c r="I434" s="2">
        <v>1</v>
      </c>
      <c r="J434" s="2" t="s">
        <v>27</v>
      </c>
      <c r="K434" s="2">
        <f t="shared" si="42"/>
        <v>144000</v>
      </c>
      <c r="L434" s="9">
        <f>Table_1[[#This Row],[Unit Price]]*Table_1[[#This Row],[Quantity]]</f>
        <v>180000</v>
      </c>
      <c r="M434" s="8">
        <f>Table_1[[#This Row],[Cost Price]]*Table_1[[#This Row],[Quantity]]</f>
        <v>144000</v>
      </c>
      <c r="N434">
        <f>Table_1[[#This Row],[Revenue]]-Table_1[[#This Row],[COGS]]</f>
        <v>36000</v>
      </c>
      <c r="O434" s="11">
        <f t="shared" si="43"/>
        <v>4656740000</v>
      </c>
      <c r="P434">
        <f t="shared" si="44"/>
        <v>3725392000</v>
      </c>
      <c r="Q434">
        <f t="shared" si="45"/>
        <v>931348000</v>
      </c>
      <c r="R434" s="7">
        <f t="shared" si="46"/>
        <v>2098</v>
      </c>
      <c r="S434" s="7">
        <f t="shared" si="47"/>
        <v>3</v>
      </c>
      <c r="T434" s="7">
        <f t="shared" si="48"/>
        <v>2098</v>
      </c>
    </row>
    <row r="435" spans="1:20" ht="14.25" customHeight="1" x14ac:dyDescent="0.35">
      <c r="A435" s="2" t="s">
        <v>19</v>
      </c>
      <c r="B435" s="2" t="s">
        <v>29</v>
      </c>
      <c r="C435" s="2" t="s">
        <v>13</v>
      </c>
      <c r="D435" s="2" t="s">
        <v>26</v>
      </c>
      <c r="E435" s="2" t="s">
        <v>15</v>
      </c>
      <c r="F435" s="2" t="s">
        <v>39</v>
      </c>
      <c r="G435" s="2" t="s">
        <v>24</v>
      </c>
      <c r="H435" s="2">
        <v>180000</v>
      </c>
      <c r="I435" s="2">
        <v>1</v>
      </c>
      <c r="J435" s="2" t="s">
        <v>43</v>
      </c>
      <c r="K435" s="2">
        <f t="shared" si="42"/>
        <v>144000</v>
      </c>
      <c r="L435" s="9">
        <f>Table_1[[#This Row],[Unit Price]]*Table_1[[#This Row],[Quantity]]</f>
        <v>180000</v>
      </c>
      <c r="M435" s="8">
        <f>Table_1[[#This Row],[Cost Price]]*Table_1[[#This Row],[Quantity]]</f>
        <v>144000</v>
      </c>
      <c r="N435">
        <f>Table_1[[#This Row],[Revenue]]-Table_1[[#This Row],[COGS]]</f>
        <v>36000</v>
      </c>
      <c r="O435" s="11">
        <f t="shared" si="43"/>
        <v>4656740000</v>
      </c>
      <c r="P435">
        <f t="shared" si="44"/>
        <v>3725392000</v>
      </c>
      <c r="Q435">
        <f t="shared" si="45"/>
        <v>931348000</v>
      </c>
      <c r="R435" s="7">
        <f t="shared" si="46"/>
        <v>2098</v>
      </c>
      <c r="S435" s="7">
        <f t="shared" si="47"/>
        <v>4</v>
      </c>
      <c r="T435" s="7">
        <f t="shared" si="48"/>
        <v>2098</v>
      </c>
    </row>
    <row r="436" spans="1:20" ht="14.25" customHeight="1" x14ac:dyDescent="0.35">
      <c r="A436" s="2" t="s">
        <v>80</v>
      </c>
      <c r="B436" s="2" t="s">
        <v>29</v>
      </c>
      <c r="C436" s="2" t="s">
        <v>13</v>
      </c>
      <c r="D436" s="2" t="s">
        <v>14</v>
      </c>
      <c r="E436" s="2" t="s">
        <v>22</v>
      </c>
      <c r="F436" s="2" t="s">
        <v>56</v>
      </c>
      <c r="G436" s="2" t="s">
        <v>36</v>
      </c>
      <c r="H436" s="2">
        <v>250000</v>
      </c>
      <c r="I436" s="2">
        <v>9</v>
      </c>
      <c r="J436" s="2" t="s">
        <v>18</v>
      </c>
      <c r="K436" s="2">
        <f t="shared" si="42"/>
        <v>200000</v>
      </c>
      <c r="L436" s="9">
        <f>Table_1[[#This Row],[Unit Price]]*Table_1[[#This Row],[Quantity]]</f>
        <v>2250000</v>
      </c>
      <c r="M436" s="8">
        <f>Table_1[[#This Row],[Cost Price]]*Table_1[[#This Row],[Quantity]]</f>
        <v>1800000</v>
      </c>
      <c r="N436">
        <f>Table_1[[#This Row],[Revenue]]-Table_1[[#This Row],[COGS]]</f>
        <v>450000</v>
      </c>
      <c r="O436" s="11">
        <f t="shared" si="43"/>
        <v>4656740000</v>
      </c>
      <c r="P436">
        <f t="shared" si="44"/>
        <v>3725392000</v>
      </c>
      <c r="Q436">
        <f t="shared" si="45"/>
        <v>931348000</v>
      </c>
      <c r="R436" s="7">
        <f t="shared" si="46"/>
        <v>2098</v>
      </c>
      <c r="S436" s="7">
        <f t="shared" si="47"/>
        <v>2</v>
      </c>
      <c r="T436" s="7">
        <f t="shared" si="48"/>
        <v>2098</v>
      </c>
    </row>
    <row r="437" spans="1:20" ht="14.25" customHeight="1" x14ac:dyDescent="0.35">
      <c r="A437" s="2" t="s">
        <v>107</v>
      </c>
      <c r="B437" s="2" t="s">
        <v>12</v>
      </c>
      <c r="C437" s="2" t="s">
        <v>30</v>
      </c>
      <c r="D437" s="2" t="s">
        <v>26</v>
      </c>
      <c r="E437" s="2" t="s">
        <v>15</v>
      </c>
      <c r="F437" s="2" t="s">
        <v>41</v>
      </c>
      <c r="G437" s="2" t="s">
        <v>17</v>
      </c>
      <c r="H437" s="2">
        <v>320000</v>
      </c>
      <c r="I437" s="2">
        <v>1</v>
      </c>
      <c r="J437" s="2" t="s">
        <v>27</v>
      </c>
      <c r="K437" s="2">
        <f t="shared" si="42"/>
        <v>256000</v>
      </c>
      <c r="L437" s="9">
        <f>Table_1[[#This Row],[Unit Price]]*Table_1[[#This Row],[Quantity]]</f>
        <v>320000</v>
      </c>
      <c r="M437" s="8">
        <f>Table_1[[#This Row],[Cost Price]]*Table_1[[#This Row],[Quantity]]</f>
        <v>256000</v>
      </c>
      <c r="N437">
        <f>Table_1[[#This Row],[Revenue]]-Table_1[[#This Row],[COGS]]</f>
        <v>64000</v>
      </c>
      <c r="O437" s="11">
        <f t="shared" si="43"/>
        <v>4656740000</v>
      </c>
      <c r="P437">
        <f t="shared" si="44"/>
        <v>3725392000</v>
      </c>
      <c r="Q437">
        <f t="shared" si="45"/>
        <v>931348000</v>
      </c>
      <c r="R437" s="7">
        <f t="shared" si="46"/>
        <v>2098</v>
      </c>
      <c r="S437" s="7">
        <f t="shared" si="47"/>
        <v>3</v>
      </c>
      <c r="T437" s="7">
        <f t="shared" si="48"/>
        <v>2098</v>
      </c>
    </row>
    <row r="438" spans="1:20" ht="14.25" customHeight="1" x14ac:dyDescent="0.35">
      <c r="A438" s="2" t="s">
        <v>129</v>
      </c>
      <c r="B438" s="2" t="s">
        <v>29</v>
      </c>
      <c r="C438" s="2" t="s">
        <v>21</v>
      </c>
      <c r="D438" s="2" t="s">
        <v>14</v>
      </c>
      <c r="E438" s="2" t="s">
        <v>22</v>
      </c>
      <c r="F438" s="2" t="s">
        <v>39</v>
      </c>
      <c r="G438" s="2" t="s">
        <v>24</v>
      </c>
      <c r="H438" s="2">
        <v>180000</v>
      </c>
      <c r="I438" s="2">
        <v>10</v>
      </c>
      <c r="J438" s="2" t="s">
        <v>18</v>
      </c>
      <c r="K438" s="2">
        <f t="shared" si="42"/>
        <v>144000</v>
      </c>
      <c r="L438" s="9">
        <f>Table_1[[#This Row],[Unit Price]]*Table_1[[#This Row],[Quantity]]</f>
        <v>1800000</v>
      </c>
      <c r="M438" s="8">
        <f>Table_1[[#This Row],[Cost Price]]*Table_1[[#This Row],[Quantity]]</f>
        <v>1440000</v>
      </c>
      <c r="N438">
        <f>Table_1[[#This Row],[Revenue]]-Table_1[[#This Row],[COGS]]</f>
        <v>360000</v>
      </c>
      <c r="O438" s="11">
        <f t="shared" si="43"/>
        <v>4656740000</v>
      </c>
      <c r="P438">
        <f t="shared" si="44"/>
        <v>3725392000</v>
      </c>
      <c r="Q438">
        <f t="shared" si="45"/>
        <v>931348000</v>
      </c>
      <c r="R438" s="7">
        <f t="shared" si="46"/>
        <v>2098</v>
      </c>
      <c r="S438" s="7">
        <f t="shared" si="47"/>
        <v>2</v>
      </c>
      <c r="T438" s="7">
        <f t="shared" si="48"/>
        <v>2098</v>
      </c>
    </row>
    <row r="439" spans="1:20" ht="14.25" customHeight="1" x14ac:dyDescent="0.35">
      <c r="A439" s="2" t="s">
        <v>127</v>
      </c>
      <c r="B439" s="2" t="s">
        <v>20</v>
      </c>
      <c r="C439" s="2" t="s">
        <v>30</v>
      </c>
      <c r="D439" s="2" t="s">
        <v>14</v>
      </c>
      <c r="E439" s="2" t="s">
        <v>22</v>
      </c>
      <c r="F439" s="2" t="s">
        <v>35</v>
      </c>
      <c r="G439" s="2" t="s">
        <v>36</v>
      </c>
      <c r="H439" s="2">
        <v>300000</v>
      </c>
      <c r="I439" s="2">
        <v>10</v>
      </c>
      <c r="J439" s="2" t="s">
        <v>43</v>
      </c>
      <c r="K439" s="2">
        <f t="shared" si="42"/>
        <v>240000</v>
      </c>
      <c r="L439" s="9">
        <f>Table_1[[#This Row],[Unit Price]]*Table_1[[#This Row],[Quantity]]</f>
        <v>3000000</v>
      </c>
      <c r="M439" s="8">
        <f>Table_1[[#This Row],[Cost Price]]*Table_1[[#This Row],[Quantity]]</f>
        <v>2400000</v>
      </c>
      <c r="N439">
        <f>Table_1[[#This Row],[Revenue]]-Table_1[[#This Row],[COGS]]</f>
        <v>600000</v>
      </c>
      <c r="O439" s="11">
        <f t="shared" si="43"/>
        <v>4656740000</v>
      </c>
      <c r="P439">
        <f t="shared" si="44"/>
        <v>3725392000</v>
      </c>
      <c r="Q439">
        <f t="shared" si="45"/>
        <v>931348000</v>
      </c>
      <c r="R439" s="7">
        <f t="shared" si="46"/>
        <v>2098</v>
      </c>
      <c r="S439" s="7">
        <f t="shared" si="47"/>
        <v>4</v>
      </c>
      <c r="T439" s="7">
        <f t="shared" si="48"/>
        <v>2098</v>
      </c>
    </row>
    <row r="440" spans="1:20" ht="14.25" customHeight="1" x14ac:dyDescent="0.35">
      <c r="A440" s="2" t="s">
        <v>63</v>
      </c>
      <c r="B440" s="2" t="s">
        <v>29</v>
      </c>
      <c r="C440" s="2" t="s">
        <v>13</v>
      </c>
      <c r="D440" s="2" t="s">
        <v>14</v>
      </c>
      <c r="E440" s="2" t="s">
        <v>15</v>
      </c>
      <c r="F440" s="2" t="s">
        <v>52</v>
      </c>
      <c r="G440" s="2" t="s">
        <v>36</v>
      </c>
      <c r="H440" s="2">
        <v>420000</v>
      </c>
      <c r="I440" s="2">
        <v>4</v>
      </c>
      <c r="J440" s="2" t="s">
        <v>50</v>
      </c>
      <c r="K440" s="2">
        <f t="shared" si="42"/>
        <v>336000</v>
      </c>
      <c r="L440" s="9">
        <f>Table_1[[#This Row],[Unit Price]]*Table_1[[#This Row],[Quantity]]</f>
        <v>1680000</v>
      </c>
      <c r="M440" s="8">
        <f>Table_1[[#This Row],[Cost Price]]*Table_1[[#This Row],[Quantity]]</f>
        <v>1344000</v>
      </c>
      <c r="N440">
        <f>Table_1[[#This Row],[Revenue]]-Table_1[[#This Row],[COGS]]</f>
        <v>336000</v>
      </c>
      <c r="O440" s="11">
        <f t="shared" si="43"/>
        <v>4656740000</v>
      </c>
      <c r="P440">
        <f t="shared" si="44"/>
        <v>3725392000</v>
      </c>
      <c r="Q440">
        <f t="shared" si="45"/>
        <v>931348000</v>
      </c>
      <c r="R440" s="7">
        <f t="shared" si="46"/>
        <v>2098</v>
      </c>
      <c r="S440" s="7">
        <f t="shared" si="47"/>
        <v>4</v>
      </c>
      <c r="T440" s="7">
        <f t="shared" si="48"/>
        <v>2098</v>
      </c>
    </row>
    <row r="441" spans="1:20" ht="14.25" customHeight="1" x14ac:dyDescent="0.35">
      <c r="A441" s="2" t="s">
        <v>150</v>
      </c>
      <c r="B441" s="2" t="s">
        <v>12</v>
      </c>
      <c r="C441" s="2" t="s">
        <v>13</v>
      </c>
      <c r="D441" s="2" t="s">
        <v>26</v>
      </c>
      <c r="E441" s="2" t="s">
        <v>22</v>
      </c>
      <c r="F441" s="2" t="s">
        <v>23</v>
      </c>
      <c r="G441" s="2" t="s">
        <v>24</v>
      </c>
      <c r="H441" s="2">
        <v>30000</v>
      </c>
      <c r="I441" s="2">
        <v>4</v>
      </c>
      <c r="J441" s="2" t="s">
        <v>32</v>
      </c>
      <c r="K441" s="2">
        <f t="shared" si="42"/>
        <v>24000</v>
      </c>
      <c r="L441" s="9">
        <f>Table_1[[#This Row],[Unit Price]]*Table_1[[#This Row],[Quantity]]</f>
        <v>120000</v>
      </c>
      <c r="M441" s="8">
        <f>Table_1[[#This Row],[Cost Price]]*Table_1[[#This Row],[Quantity]]</f>
        <v>96000</v>
      </c>
      <c r="N441">
        <f>Table_1[[#This Row],[Revenue]]-Table_1[[#This Row],[COGS]]</f>
        <v>24000</v>
      </c>
      <c r="O441" s="11">
        <f t="shared" si="43"/>
        <v>4656740000</v>
      </c>
      <c r="P441">
        <f t="shared" si="44"/>
        <v>3725392000</v>
      </c>
      <c r="Q441">
        <f t="shared" si="45"/>
        <v>931348000</v>
      </c>
      <c r="R441" s="7">
        <f t="shared" si="46"/>
        <v>2098</v>
      </c>
      <c r="S441" s="7">
        <f t="shared" si="47"/>
        <v>4</v>
      </c>
      <c r="T441" s="7">
        <f t="shared" si="48"/>
        <v>2098</v>
      </c>
    </row>
    <row r="442" spans="1:20" ht="14.25" customHeight="1" x14ac:dyDescent="0.35">
      <c r="A442" s="2" t="s">
        <v>149</v>
      </c>
      <c r="B442" s="2" t="s">
        <v>34</v>
      </c>
      <c r="C442" s="2" t="s">
        <v>30</v>
      </c>
      <c r="D442" s="2" t="s">
        <v>14</v>
      </c>
      <c r="E442" s="2" t="s">
        <v>15</v>
      </c>
      <c r="F442" s="2" t="s">
        <v>23</v>
      </c>
      <c r="G442" s="2" t="s">
        <v>24</v>
      </c>
      <c r="H442" s="2">
        <v>30000</v>
      </c>
      <c r="I442" s="2">
        <v>10</v>
      </c>
      <c r="J442" s="2" t="s">
        <v>43</v>
      </c>
      <c r="K442" s="2">
        <f t="shared" si="42"/>
        <v>24000</v>
      </c>
      <c r="L442" s="9">
        <f>Table_1[[#This Row],[Unit Price]]*Table_1[[#This Row],[Quantity]]</f>
        <v>300000</v>
      </c>
      <c r="M442" s="8">
        <f>Table_1[[#This Row],[Cost Price]]*Table_1[[#This Row],[Quantity]]</f>
        <v>240000</v>
      </c>
      <c r="N442">
        <f>Table_1[[#This Row],[Revenue]]-Table_1[[#This Row],[COGS]]</f>
        <v>60000</v>
      </c>
      <c r="O442" s="11">
        <f t="shared" si="43"/>
        <v>4656740000</v>
      </c>
      <c r="P442">
        <f t="shared" si="44"/>
        <v>3725392000</v>
      </c>
      <c r="Q442">
        <f t="shared" si="45"/>
        <v>931348000</v>
      </c>
      <c r="R442" s="7">
        <f t="shared" si="46"/>
        <v>2098</v>
      </c>
      <c r="S442" s="7">
        <f t="shared" si="47"/>
        <v>3</v>
      </c>
      <c r="T442" s="7">
        <f t="shared" si="48"/>
        <v>2098</v>
      </c>
    </row>
    <row r="443" spans="1:20" ht="14.25" customHeight="1" x14ac:dyDescent="0.35">
      <c r="A443" s="2" t="s">
        <v>147</v>
      </c>
      <c r="B443" s="2" t="s">
        <v>29</v>
      </c>
      <c r="C443" s="2" t="s">
        <v>13</v>
      </c>
      <c r="D443" s="2" t="s">
        <v>26</v>
      </c>
      <c r="E443" s="2" t="s">
        <v>22</v>
      </c>
      <c r="F443" s="2" t="s">
        <v>31</v>
      </c>
      <c r="G443" s="2" t="s">
        <v>24</v>
      </c>
      <c r="H443" s="2">
        <v>60000</v>
      </c>
      <c r="I443" s="2">
        <v>7</v>
      </c>
      <c r="J443" s="2" t="s">
        <v>18</v>
      </c>
      <c r="K443" s="2">
        <f t="shared" si="42"/>
        <v>48000</v>
      </c>
      <c r="L443" s="9">
        <f>Table_1[[#This Row],[Unit Price]]*Table_1[[#This Row],[Quantity]]</f>
        <v>420000</v>
      </c>
      <c r="M443" s="8">
        <f>Table_1[[#This Row],[Cost Price]]*Table_1[[#This Row],[Quantity]]</f>
        <v>336000</v>
      </c>
      <c r="N443">
        <f>Table_1[[#This Row],[Revenue]]-Table_1[[#This Row],[COGS]]</f>
        <v>84000</v>
      </c>
      <c r="O443" s="11">
        <f t="shared" si="43"/>
        <v>4656740000</v>
      </c>
      <c r="P443">
        <f t="shared" si="44"/>
        <v>3725392000</v>
      </c>
      <c r="Q443">
        <f t="shared" si="45"/>
        <v>931348000</v>
      </c>
      <c r="R443" s="7">
        <f t="shared" si="46"/>
        <v>2098</v>
      </c>
      <c r="S443" s="7">
        <f t="shared" si="47"/>
        <v>4</v>
      </c>
      <c r="T443" s="7">
        <f t="shared" si="48"/>
        <v>2098</v>
      </c>
    </row>
    <row r="444" spans="1:20" ht="14.25" customHeight="1" x14ac:dyDescent="0.35">
      <c r="A444" s="2" t="s">
        <v>87</v>
      </c>
      <c r="B444" s="2" t="s">
        <v>34</v>
      </c>
      <c r="C444" s="2" t="s">
        <v>13</v>
      </c>
      <c r="D444" s="2" t="s">
        <v>26</v>
      </c>
      <c r="E444" s="2" t="s">
        <v>22</v>
      </c>
      <c r="F444" s="2" t="s">
        <v>39</v>
      </c>
      <c r="G444" s="2" t="s">
        <v>24</v>
      </c>
      <c r="H444" s="2">
        <v>180000</v>
      </c>
      <c r="I444" s="2">
        <v>4</v>
      </c>
      <c r="J444" s="2" t="s">
        <v>54</v>
      </c>
      <c r="K444" s="2">
        <f t="shared" si="42"/>
        <v>144000</v>
      </c>
      <c r="L444" s="9">
        <f>Table_1[[#This Row],[Unit Price]]*Table_1[[#This Row],[Quantity]]</f>
        <v>720000</v>
      </c>
      <c r="M444" s="8">
        <f>Table_1[[#This Row],[Cost Price]]*Table_1[[#This Row],[Quantity]]</f>
        <v>576000</v>
      </c>
      <c r="N444">
        <f>Table_1[[#This Row],[Revenue]]-Table_1[[#This Row],[COGS]]</f>
        <v>144000</v>
      </c>
      <c r="O444" s="11">
        <f t="shared" si="43"/>
        <v>4656740000</v>
      </c>
      <c r="P444">
        <f t="shared" si="44"/>
        <v>3725392000</v>
      </c>
      <c r="Q444">
        <f t="shared" si="45"/>
        <v>931348000</v>
      </c>
      <c r="R444" s="7">
        <f t="shared" si="46"/>
        <v>2098</v>
      </c>
      <c r="S444" s="7">
        <f t="shared" si="47"/>
        <v>3</v>
      </c>
      <c r="T444" s="7">
        <f t="shared" si="48"/>
        <v>2098</v>
      </c>
    </row>
    <row r="445" spans="1:20" ht="14.25" customHeight="1" x14ac:dyDescent="0.35">
      <c r="A445" s="2" t="s">
        <v>144</v>
      </c>
      <c r="B445" s="2" t="s">
        <v>12</v>
      </c>
      <c r="C445" s="2" t="s">
        <v>38</v>
      </c>
      <c r="D445" s="2" t="s">
        <v>14</v>
      </c>
      <c r="E445" s="2" t="s">
        <v>22</v>
      </c>
      <c r="F445" s="2" t="s">
        <v>23</v>
      </c>
      <c r="G445" s="2" t="s">
        <v>24</v>
      </c>
      <c r="H445" s="2">
        <v>30000</v>
      </c>
      <c r="I445" s="2">
        <v>7</v>
      </c>
      <c r="J445" s="2" t="s">
        <v>43</v>
      </c>
      <c r="K445" s="2">
        <f t="shared" si="42"/>
        <v>24000</v>
      </c>
      <c r="L445" s="9">
        <f>Table_1[[#This Row],[Unit Price]]*Table_1[[#This Row],[Quantity]]</f>
        <v>210000</v>
      </c>
      <c r="M445" s="8">
        <f>Table_1[[#This Row],[Cost Price]]*Table_1[[#This Row],[Quantity]]</f>
        <v>168000</v>
      </c>
      <c r="N445">
        <f>Table_1[[#This Row],[Revenue]]-Table_1[[#This Row],[COGS]]</f>
        <v>42000</v>
      </c>
      <c r="O445" s="11">
        <f t="shared" si="43"/>
        <v>4656740000</v>
      </c>
      <c r="P445">
        <f t="shared" si="44"/>
        <v>3725392000</v>
      </c>
      <c r="Q445">
        <f t="shared" si="45"/>
        <v>931348000</v>
      </c>
      <c r="R445" s="7">
        <f t="shared" si="46"/>
        <v>2098</v>
      </c>
      <c r="S445" s="7">
        <f t="shared" si="47"/>
        <v>2</v>
      </c>
      <c r="T445" s="7">
        <f t="shared" si="48"/>
        <v>2098</v>
      </c>
    </row>
    <row r="446" spans="1:20" ht="14.25" customHeight="1" x14ac:dyDescent="0.35">
      <c r="A446" s="2" t="s">
        <v>88</v>
      </c>
      <c r="B446" s="2" t="s">
        <v>29</v>
      </c>
      <c r="C446" s="2" t="s">
        <v>21</v>
      </c>
      <c r="D446" s="2" t="s">
        <v>26</v>
      </c>
      <c r="E446" s="2" t="s">
        <v>22</v>
      </c>
      <c r="F446" s="2" t="s">
        <v>52</v>
      </c>
      <c r="G446" s="2" t="s">
        <v>36</v>
      </c>
      <c r="H446" s="2">
        <v>420000</v>
      </c>
      <c r="I446" s="2">
        <v>10</v>
      </c>
      <c r="J446" s="2" t="s">
        <v>18</v>
      </c>
      <c r="K446" s="2">
        <f t="shared" si="42"/>
        <v>336000</v>
      </c>
      <c r="L446" s="9">
        <f>Table_1[[#This Row],[Unit Price]]*Table_1[[#This Row],[Quantity]]</f>
        <v>4200000</v>
      </c>
      <c r="M446" s="8">
        <f>Table_1[[#This Row],[Cost Price]]*Table_1[[#This Row],[Quantity]]</f>
        <v>3360000</v>
      </c>
      <c r="N446">
        <f>Table_1[[#This Row],[Revenue]]-Table_1[[#This Row],[COGS]]</f>
        <v>840000</v>
      </c>
      <c r="O446" s="11">
        <f t="shared" si="43"/>
        <v>4656740000</v>
      </c>
      <c r="P446">
        <f t="shared" si="44"/>
        <v>3725392000</v>
      </c>
      <c r="Q446">
        <f t="shared" si="45"/>
        <v>931348000</v>
      </c>
      <c r="R446" s="7">
        <f t="shared" si="46"/>
        <v>2098</v>
      </c>
      <c r="S446" s="7">
        <f t="shared" si="47"/>
        <v>3</v>
      </c>
      <c r="T446" s="7">
        <f t="shared" si="48"/>
        <v>2098</v>
      </c>
    </row>
    <row r="447" spans="1:20" ht="14.25" customHeight="1" x14ac:dyDescent="0.35">
      <c r="A447" s="2" t="s">
        <v>133</v>
      </c>
      <c r="B447" s="2" t="s">
        <v>20</v>
      </c>
      <c r="C447" s="2" t="s">
        <v>13</v>
      </c>
      <c r="D447" s="2" t="s">
        <v>26</v>
      </c>
      <c r="E447" s="2" t="s">
        <v>15</v>
      </c>
      <c r="F447" s="2" t="s">
        <v>52</v>
      </c>
      <c r="G447" s="2" t="s">
        <v>36</v>
      </c>
      <c r="H447" s="2">
        <v>420000</v>
      </c>
      <c r="I447" s="2">
        <v>7</v>
      </c>
      <c r="J447" s="2" t="s">
        <v>43</v>
      </c>
      <c r="K447" s="2">
        <f t="shared" si="42"/>
        <v>336000</v>
      </c>
      <c r="L447" s="9">
        <f>Table_1[[#This Row],[Unit Price]]*Table_1[[#This Row],[Quantity]]</f>
        <v>2940000</v>
      </c>
      <c r="M447" s="8">
        <f>Table_1[[#This Row],[Cost Price]]*Table_1[[#This Row],[Quantity]]</f>
        <v>2352000</v>
      </c>
      <c r="N447">
        <f>Table_1[[#This Row],[Revenue]]-Table_1[[#This Row],[COGS]]</f>
        <v>588000</v>
      </c>
      <c r="O447" s="11">
        <f t="shared" si="43"/>
        <v>4656740000</v>
      </c>
      <c r="P447">
        <f t="shared" si="44"/>
        <v>3725392000</v>
      </c>
      <c r="Q447">
        <f t="shared" si="45"/>
        <v>931348000</v>
      </c>
      <c r="R447" s="7">
        <f t="shared" si="46"/>
        <v>2098</v>
      </c>
      <c r="S447" s="7">
        <f t="shared" si="47"/>
        <v>2</v>
      </c>
      <c r="T447" s="7">
        <f t="shared" si="48"/>
        <v>2098</v>
      </c>
    </row>
    <row r="448" spans="1:20" ht="14.25" customHeight="1" x14ac:dyDescent="0.35">
      <c r="A448" s="2" t="s">
        <v>33</v>
      </c>
      <c r="B448" s="2" t="s">
        <v>29</v>
      </c>
      <c r="C448" s="2" t="s">
        <v>30</v>
      </c>
      <c r="D448" s="2" t="s">
        <v>14</v>
      </c>
      <c r="E448" s="2" t="s">
        <v>22</v>
      </c>
      <c r="F448" s="2" t="s">
        <v>56</v>
      </c>
      <c r="G448" s="2" t="s">
        <v>36</v>
      </c>
      <c r="H448" s="2">
        <v>250000</v>
      </c>
      <c r="I448" s="2">
        <v>5</v>
      </c>
      <c r="J448" s="2" t="s">
        <v>27</v>
      </c>
      <c r="K448" s="2">
        <f t="shared" si="42"/>
        <v>200000</v>
      </c>
      <c r="L448" s="9">
        <f>Table_1[[#This Row],[Unit Price]]*Table_1[[#This Row],[Quantity]]</f>
        <v>1250000</v>
      </c>
      <c r="M448" s="8">
        <f>Table_1[[#This Row],[Cost Price]]*Table_1[[#This Row],[Quantity]]</f>
        <v>1000000</v>
      </c>
      <c r="N448">
        <f>Table_1[[#This Row],[Revenue]]-Table_1[[#This Row],[COGS]]</f>
        <v>250000</v>
      </c>
      <c r="O448" s="11">
        <f t="shared" si="43"/>
        <v>4656740000</v>
      </c>
      <c r="P448">
        <f t="shared" si="44"/>
        <v>3725392000</v>
      </c>
      <c r="Q448">
        <f t="shared" si="45"/>
        <v>931348000</v>
      </c>
      <c r="R448" s="7">
        <f t="shared" si="46"/>
        <v>2098</v>
      </c>
      <c r="S448" s="7">
        <f t="shared" si="47"/>
        <v>4</v>
      </c>
      <c r="T448" s="7">
        <f t="shared" si="48"/>
        <v>2098</v>
      </c>
    </row>
    <row r="449" spans="1:20" ht="14.25" customHeight="1" x14ac:dyDescent="0.35">
      <c r="A449" s="2" t="s">
        <v>135</v>
      </c>
      <c r="B449" s="2" t="s">
        <v>12</v>
      </c>
      <c r="C449" s="2" t="s">
        <v>38</v>
      </c>
      <c r="D449" s="2" t="s">
        <v>26</v>
      </c>
      <c r="E449" s="2" t="s">
        <v>15</v>
      </c>
      <c r="F449" s="2" t="s">
        <v>52</v>
      </c>
      <c r="G449" s="2" t="s">
        <v>36</v>
      </c>
      <c r="H449" s="2">
        <v>420000</v>
      </c>
      <c r="I449" s="2">
        <v>5</v>
      </c>
      <c r="J449" s="2" t="s">
        <v>32</v>
      </c>
      <c r="K449" s="2">
        <f t="shared" si="42"/>
        <v>336000</v>
      </c>
      <c r="L449" s="9">
        <f>Table_1[[#This Row],[Unit Price]]*Table_1[[#This Row],[Quantity]]</f>
        <v>2100000</v>
      </c>
      <c r="M449" s="8">
        <f>Table_1[[#This Row],[Cost Price]]*Table_1[[#This Row],[Quantity]]</f>
        <v>1680000</v>
      </c>
      <c r="N449">
        <f>Table_1[[#This Row],[Revenue]]-Table_1[[#This Row],[COGS]]</f>
        <v>420000</v>
      </c>
      <c r="O449" s="11">
        <f t="shared" si="43"/>
        <v>4656740000</v>
      </c>
      <c r="P449">
        <f t="shared" si="44"/>
        <v>3725392000</v>
      </c>
      <c r="Q449">
        <f t="shared" si="45"/>
        <v>931348000</v>
      </c>
      <c r="R449" s="7">
        <f t="shared" si="46"/>
        <v>2098</v>
      </c>
      <c r="S449" s="7">
        <f t="shared" si="47"/>
        <v>1</v>
      </c>
      <c r="T449" s="7">
        <f t="shared" si="48"/>
        <v>2098</v>
      </c>
    </row>
    <row r="450" spans="1:20" ht="14.25" customHeight="1" x14ac:dyDescent="0.35">
      <c r="A450" s="2" t="s">
        <v>99</v>
      </c>
      <c r="B450" s="2" t="s">
        <v>20</v>
      </c>
      <c r="C450" s="2" t="s">
        <v>30</v>
      </c>
      <c r="D450" s="2" t="s">
        <v>26</v>
      </c>
      <c r="E450" s="2" t="s">
        <v>22</v>
      </c>
      <c r="F450" s="2" t="s">
        <v>41</v>
      </c>
      <c r="G450" s="2" t="s">
        <v>17</v>
      </c>
      <c r="H450" s="2">
        <v>320000</v>
      </c>
      <c r="I450" s="2">
        <v>2</v>
      </c>
      <c r="J450" s="2" t="s">
        <v>32</v>
      </c>
      <c r="K450" s="2">
        <f t="shared" ref="K450:K513" si="49">H450-H450*0.2</f>
        <v>256000</v>
      </c>
      <c r="L450" s="9">
        <f>Table_1[[#This Row],[Unit Price]]*Table_1[[#This Row],[Quantity]]</f>
        <v>640000</v>
      </c>
      <c r="M450" s="8">
        <f>Table_1[[#This Row],[Cost Price]]*Table_1[[#This Row],[Quantity]]</f>
        <v>512000</v>
      </c>
      <c r="N450">
        <f>Table_1[[#This Row],[Revenue]]-Table_1[[#This Row],[COGS]]</f>
        <v>128000</v>
      </c>
      <c r="O450" s="11">
        <f t="shared" ref="O450:O513" si="50">SUM(L$2:L$1048576)</f>
        <v>4656740000</v>
      </c>
      <c r="P450">
        <f t="shared" ref="P450:P513" si="51">SUM(M:M)</f>
        <v>3725392000</v>
      </c>
      <c r="Q450">
        <f t="shared" ref="Q450:Q513" si="52">SUM(N:N)</f>
        <v>931348000</v>
      </c>
      <c r="R450" s="7">
        <f t="shared" ref="R450:R513" si="53">COUNTA(A$2:A$1048576)</f>
        <v>2098</v>
      </c>
      <c r="S450" s="7">
        <f t="shared" ref="S450:S513" si="54">MONTH(A450:A1938)</f>
        <v>4</v>
      </c>
      <c r="T450" s="7">
        <f t="shared" ref="T450:T513" si="55">COUNTA(A:A)-1</f>
        <v>2098</v>
      </c>
    </row>
    <row r="451" spans="1:20" ht="14.25" customHeight="1" x14ac:dyDescent="0.35">
      <c r="A451" s="2" t="s">
        <v>63</v>
      </c>
      <c r="B451" s="2" t="s">
        <v>34</v>
      </c>
      <c r="C451" s="2" t="s">
        <v>13</v>
      </c>
      <c r="D451" s="2" t="s">
        <v>14</v>
      </c>
      <c r="E451" s="2" t="s">
        <v>22</v>
      </c>
      <c r="F451" s="2" t="s">
        <v>35</v>
      </c>
      <c r="G451" s="2" t="s">
        <v>36</v>
      </c>
      <c r="H451" s="2">
        <v>300000</v>
      </c>
      <c r="I451" s="2">
        <v>10</v>
      </c>
      <c r="J451" s="2" t="s">
        <v>50</v>
      </c>
      <c r="K451" s="2">
        <f t="shared" si="49"/>
        <v>240000</v>
      </c>
      <c r="L451" s="9">
        <f>Table_1[[#This Row],[Unit Price]]*Table_1[[#This Row],[Quantity]]</f>
        <v>3000000</v>
      </c>
      <c r="M451" s="8">
        <f>Table_1[[#This Row],[Cost Price]]*Table_1[[#This Row],[Quantity]]</f>
        <v>2400000</v>
      </c>
      <c r="N451">
        <f>Table_1[[#This Row],[Revenue]]-Table_1[[#This Row],[COGS]]</f>
        <v>600000</v>
      </c>
      <c r="O451" s="11">
        <f t="shared" si="50"/>
        <v>4656740000</v>
      </c>
      <c r="P451">
        <f t="shared" si="51"/>
        <v>3725392000</v>
      </c>
      <c r="Q451">
        <f t="shared" si="52"/>
        <v>931348000</v>
      </c>
      <c r="R451" s="7">
        <f t="shared" si="53"/>
        <v>2098</v>
      </c>
      <c r="S451" s="7">
        <f t="shared" si="54"/>
        <v>4</v>
      </c>
      <c r="T451" s="7">
        <f t="shared" si="55"/>
        <v>2098</v>
      </c>
    </row>
    <row r="452" spans="1:20" ht="14.25" customHeight="1" x14ac:dyDescent="0.35">
      <c r="A452" s="2" t="s">
        <v>100</v>
      </c>
      <c r="B452" s="2" t="s">
        <v>20</v>
      </c>
      <c r="C452" s="2" t="s">
        <v>13</v>
      </c>
      <c r="D452" s="2" t="s">
        <v>14</v>
      </c>
      <c r="E452" s="2" t="s">
        <v>15</v>
      </c>
      <c r="F452" s="2" t="s">
        <v>56</v>
      </c>
      <c r="G452" s="2" t="s">
        <v>36</v>
      </c>
      <c r="H452" s="2">
        <v>250000</v>
      </c>
      <c r="I452" s="2">
        <v>5</v>
      </c>
      <c r="J452" s="2" t="s">
        <v>50</v>
      </c>
      <c r="K452" s="2">
        <f t="shared" si="49"/>
        <v>200000</v>
      </c>
      <c r="L452" s="9">
        <f>Table_1[[#This Row],[Unit Price]]*Table_1[[#This Row],[Quantity]]</f>
        <v>1250000</v>
      </c>
      <c r="M452" s="8">
        <f>Table_1[[#This Row],[Cost Price]]*Table_1[[#This Row],[Quantity]]</f>
        <v>1000000</v>
      </c>
      <c r="N452">
        <f>Table_1[[#This Row],[Revenue]]-Table_1[[#This Row],[COGS]]</f>
        <v>250000</v>
      </c>
      <c r="O452" s="11">
        <f t="shared" si="50"/>
        <v>4656740000</v>
      </c>
      <c r="P452">
        <f t="shared" si="51"/>
        <v>3725392000</v>
      </c>
      <c r="Q452">
        <f t="shared" si="52"/>
        <v>931348000</v>
      </c>
      <c r="R452" s="7">
        <f t="shared" si="53"/>
        <v>2098</v>
      </c>
      <c r="S452" s="7">
        <f t="shared" si="54"/>
        <v>1</v>
      </c>
      <c r="T452" s="7">
        <f t="shared" si="55"/>
        <v>2098</v>
      </c>
    </row>
    <row r="453" spans="1:20" ht="14.25" customHeight="1" x14ac:dyDescent="0.35">
      <c r="A453" s="2" t="s">
        <v>147</v>
      </c>
      <c r="B453" s="2" t="s">
        <v>29</v>
      </c>
      <c r="C453" s="2" t="s">
        <v>30</v>
      </c>
      <c r="D453" s="2" t="s">
        <v>26</v>
      </c>
      <c r="E453" s="2" t="s">
        <v>22</v>
      </c>
      <c r="F453" s="2" t="s">
        <v>56</v>
      </c>
      <c r="G453" s="2" t="s">
        <v>36</v>
      </c>
      <c r="H453" s="2">
        <v>250000</v>
      </c>
      <c r="I453" s="2">
        <v>2</v>
      </c>
      <c r="J453" s="2" t="s">
        <v>27</v>
      </c>
      <c r="K453" s="2">
        <f t="shared" si="49"/>
        <v>200000</v>
      </c>
      <c r="L453" s="9">
        <f>Table_1[[#This Row],[Unit Price]]*Table_1[[#This Row],[Quantity]]</f>
        <v>500000</v>
      </c>
      <c r="M453" s="8">
        <f>Table_1[[#This Row],[Cost Price]]*Table_1[[#This Row],[Quantity]]</f>
        <v>400000</v>
      </c>
      <c r="N453">
        <f>Table_1[[#This Row],[Revenue]]-Table_1[[#This Row],[COGS]]</f>
        <v>100000</v>
      </c>
      <c r="O453" s="11">
        <f t="shared" si="50"/>
        <v>4656740000</v>
      </c>
      <c r="P453">
        <f t="shared" si="51"/>
        <v>3725392000</v>
      </c>
      <c r="Q453">
        <f t="shared" si="52"/>
        <v>931348000</v>
      </c>
      <c r="R453" s="7">
        <f t="shared" si="53"/>
        <v>2098</v>
      </c>
      <c r="S453" s="7">
        <f t="shared" si="54"/>
        <v>4</v>
      </c>
      <c r="T453" s="7">
        <f t="shared" si="55"/>
        <v>2098</v>
      </c>
    </row>
    <row r="454" spans="1:20" ht="14.25" customHeight="1" x14ac:dyDescent="0.35">
      <c r="A454" s="2" t="s">
        <v>112</v>
      </c>
      <c r="B454" s="2" t="s">
        <v>34</v>
      </c>
      <c r="C454" s="2" t="s">
        <v>21</v>
      </c>
      <c r="D454" s="2" t="s">
        <v>14</v>
      </c>
      <c r="E454" s="2" t="s">
        <v>22</v>
      </c>
      <c r="F454" s="2" t="s">
        <v>39</v>
      </c>
      <c r="G454" s="2" t="s">
        <v>24</v>
      </c>
      <c r="H454" s="2">
        <v>180000</v>
      </c>
      <c r="I454" s="2">
        <v>1</v>
      </c>
      <c r="J454" s="2" t="s">
        <v>18</v>
      </c>
      <c r="K454" s="2">
        <f t="shared" si="49"/>
        <v>144000</v>
      </c>
      <c r="L454" s="9">
        <f>Table_1[[#This Row],[Unit Price]]*Table_1[[#This Row],[Quantity]]</f>
        <v>180000</v>
      </c>
      <c r="M454" s="8">
        <f>Table_1[[#This Row],[Cost Price]]*Table_1[[#This Row],[Quantity]]</f>
        <v>144000</v>
      </c>
      <c r="N454">
        <f>Table_1[[#This Row],[Revenue]]-Table_1[[#This Row],[COGS]]</f>
        <v>36000</v>
      </c>
      <c r="O454" s="11">
        <f t="shared" si="50"/>
        <v>4656740000</v>
      </c>
      <c r="P454">
        <f t="shared" si="51"/>
        <v>3725392000</v>
      </c>
      <c r="Q454">
        <f t="shared" si="52"/>
        <v>931348000</v>
      </c>
      <c r="R454" s="7">
        <f t="shared" si="53"/>
        <v>2098</v>
      </c>
      <c r="S454" s="7">
        <f t="shared" si="54"/>
        <v>1</v>
      </c>
      <c r="T454" s="7">
        <f t="shared" si="55"/>
        <v>2098</v>
      </c>
    </row>
    <row r="455" spans="1:20" ht="14.25" customHeight="1" x14ac:dyDescent="0.35">
      <c r="A455" s="2" t="s">
        <v>66</v>
      </c>
      <c r="B455" s="2" t="s">
        <v>20</v>
      </c>
      <c r="C455" s="2" t="s">
        <v>21</v>
      </c>
      <c r="D455" s="2" t="s">
        <v>14</v>
      </c>
      <c r="E455" s="2" t="s">
        <v>22</v>
      </c>
      <c r="F455" s="2" t="s">
        <v>41</v>
      </c>
      <c r="G455" s="2" t="s">
        <v>17</v>
      </c>
      <c r="H455" s="2">
        <v>320000</v>
      </c>
      <c r="I455" s="2">
        <v>10</v>
      </c>
      <c r="J455" s="2" t="s">
        <v>43</v>
      </c>
      <c r="K455" s="2">
        <f t="shared" si="49"/>
        <v>256000</v>
      </c>
      <c r="L455" s="9">
        <f>Table_1[[#This Row],[Unit Price]]*Table_1[[#This Row],[Quantity]]</f>
        <v>3200000</v>
      </c>
      <c r="M455" s="8">
        <f>Table_1[[#This Row],[Cost Price]]*Table_1[[#This Row],[Quantity]]</f>
        <v>2560000</v>
      </c>
      <c r="N455">
        <f>Table_1[[#This Row],[Revenue]]-Table_1[[#This Row],[COGS]]</f>
        <v>640000</v>
      </c>
      <c r="O455" s="11">
        <f t="shared" si="50"/>
        <v>4656740000</v>
      </c>
      <c r="P455">
        <f t="shared" si="51"/>
        <v>3725392000</v>
      </c>
      <c r="Q455">
        <f t="shared" si="52"/>
        <v>931348000</v>
      </c>
      <c r="R455" s="7">
        <f t="shared" si="53"/>
        <v>2098</v>
      </c>
      <c r="S455" s="7">
        <f t="shared" si="54"/>
        <v>3</v>
      </c>
      <c r="T455" s="7">
        <f t="shared" si="55"/>
        <v>2098</v>
      </c>
    </row>
    <row r="456" spans="1:20" ht="14.25" customHeight="1" x14ac:dyDescent="0.35">
      <c r="A456" s="2" t="s">
        <v>110</v>
      </c>
      <c r="B456" s="2" t="s">
        <v>29</v>
      </c>
      <c r="C456" s="2" t="s">
        <v>30</v>
      </c>
      <c r="D456" s="2" t="s">
        <v>26</v>
      </c>
      <c r="E456" s="2" t="s">
        <v>22</v>
      </c>
      <c r="F456" s="2" t="s">
        <v>47</v>
      </c>
      <c r="G456" s="2" t="s">
        <v>36</v>
      </c>
      <c r="H456" s="2">
        <v>150000</v>
      </c>
      <c r="I456" s="2">
        <v>2</v>
      </c>
      <c r="J456" s="2" t="s">
        <v>18</v>
      </c>
      <c r="K456" s="2">
        <f t="shared" si="49"/>
        <v>120000</v>
      </c>
      <c r="L456" s="9">
        <f>Table_1[[#This Row],[Unit Price]]*Table_1[[#This Row],[Quantity]]</f>
        <v>300000</v>
      </c>
      <c r="M456" s="8">
        <f>Table_1[[#This Row],[Cost Price]]*Table_1[[#This Row],[Quantity]]</f>
        <v>240000</v>
      </c>
      <c r="N456">
        <f>Table_1[[#This Row],[Revenue]]-Table_1[[#This Row],[COGS]]</f>
        <v>60000</v>
      </c>
      <c r="O456" s="11">
        <f t="shared" si="50"/>
        <v>4656740000</v>
      </c>
      <c r="P456">
        <f t="shared" si="51"/>
        <v>3725392000</v>
      </c>
      <c r="Q456">
        <f t="shared" si="52"/>
        <v>931348000</v>
      </c>
      <c r="R456" s="7">
        <f t="shared" si="53"/>
        <v>2098</v>
      </c>
      <c r="S456" s="7">
        <f t="shared" si="54"/>
        <v>2</v>
      </c>
      <c r="T456" s="7">
        <f t="shared" si="55"/>
        <v>2098</v>
      </c>
    </row>
    <row r="457" spans="1:20" ht="14.25" customHeight="1" x14ac:dyDescent="0.35">
      <c r="A457" s="2" t="s">
        <v>72</v>
      </c>
      <c r="B457" s="2" t="s">
        <v>20</v>
      </c>
      <c r="C457" s="2" t="s">
        <v>21</v>
      </c>
      <c r="D457" s="2" t="s">
        <v>14</v>
      </c>
      <c r="E457" s="2" t="s">
        <v>22</v>
      </c>
      <c r="F457" s="2" t="s">
        <v>39</v>
      </c>
      <c r="G457" s="2" t="s">
        <v>24</v>
      </c>
      <c r="H457" s="2">
        <v>180000</v>
      </c>
      <c r="I457" s="2">
        <v>10</v>
      </c>
      <c r="J457" s="2" t="s">
        <v>32</v>
      </c>
      <c r="K457" s="2">
        <f t="shared" si="49"/>
        <v>144000</v>
      </c>
      <c r="L457" s="9">
        <f>Table_1[[#This Row],[Unit Price]]*Table_1[[#This Row],[Quantity]]</f>
        <v>1800000</v>
      </c>
      <c r="M457" s="8">
        <f>Table_1[[#This Row],[Cost Price]]*Table_1[[#This Row],[Quantity]]</f>
        <v>1440000</v>
      </c>
      <c r="N457">
        <f>Table_1[[#This Row],[Revenue]]-Table_1[[#This Row],[COGS]]</f>
        <v>360000</v>
      </c>
      <c r="O457" s="11">
        <f t="shared" si="50"/>
        <v>4656740000</v>
      </c>
      <c r="P457">
        <f t="shared" si="51"/>
        <v>3725392000</v>
      </c>
      <c r="Q457">
        <f t="shared" si="52"/>
        <v>931348000</v>
      </c>
      <c r="R457" s="7">
        <f t="shared" si="53"/>
        <v>2098</v>
      </c>
      <c r="S457" s="7">
        <f t="shared" si="54"/>
        <v>3</v>
      </c>
      <c r="T457" s="7">
        <f t="shared" si="55"/>
        <v>2098</v>
      </c>
    </row>
    <row r="458" spans="1:20" ht="14.25" customHeight="1" x14ac:dyDescent="0.35">
      <c r="A458" s="2" t="s">
        <v>101</v>
      </c>
      <c r="B458" s="2" t="s">
        <v>12</v>
      </c>
      <c r="C458" s="2" t="s">
        <v>21</v>
      </c>
      <c r="D458" s="2" t="s">
        <v>14</v>
      </c>
      <c r="E458" s="2" t="s">
        <v>15</v>
      </c>
      <c r="F458" s="2" t="s">
        <v>47</v>
      </c>
      <c r="G458" s="2" t="s">
        <v>36</v>
      </c>
      <c r="H458" s="2">
        <v>150000</v>
      </c>
      <c r="I458" s="2">
        <v>2</v>
      </c>
      <c r="J458" s="2" t="s">
        <v>32</v>
      </c>
      <c r="K458" s="2">
        <f t="shared" si="49"/>
        <v>120000</v>
      </c>
      <c r="L458" s="9">
        <f>Table_1[[#This Row],[Unit Price]]*Table_1[[#This Row],[Quantity]]</f>
        <v>300000</v>
      </c>
      <c r="M458" s="8">
        <f>Table_1[[#This Row],[Cost Price]]*Table_1[[#This Row],[Quantity]]</f>
        <v>240000</v>
      </c>
      <c r="N458">
        <f>Table_1[[#This Row],[Revenue]]-Table_1[[#This Row],[COGS]]</f>
        <v>60000</v>
      </c>
      <c r="O458" s="11">
        <f t="shared" si="50"/>
        <v>4656740000</v>
      </c>
      <c r="P458">
        <f t="shared" si="51"/>
        <v>3725392000</v>
      </c>
      <c r="Q458">
        <f t="shared" si="52"/>
        <v>931348000</v>
      </c>
      <c r="R458" s="7">
        <f t="shared" si="53"/>
        <v>2098</v>
      </c>
      <c r="S458" s="7">
        <f t="shared" si="54"/>
        <v>4</v>
      </c>
      <c r="T458" s="7">
        <f t="shared" si="55"/>
        <v>2098</v>
      </c>
    </row>
    <row r="459" spans="1:20" ht="14.25" customHeight="1" x14ac:dyDescent="0.35">
      <c r="A459" s="2" t="s">
        <v>101</v>
      </c>
      <c r="B459" s="2" t="s">
        <v>29</v>
      </c>
      <c r="C459" s="2" t="s">
        <v>30</v>
      </c>
      <c r="D459" s="2" t="s">
        <v>26</v>
      </c>
      <c r="E459" s="2" t="s">
        <v>22</v>
      </c>
      <c r="F459" s="2" t="s">
        <v>31</v>
      </c>
      <c r="G459" s="2" t="s">
        <v>24</v>
      </c>
      <c r="H459" s="2">
        <v>60000</v>
      </c>
      <c r="I459" s="2">
        <v>10</v>
      </c>
      <c r="J459" s="2" t="s">
        <v>32</v>
      </c>
      <c r="K459" s="2">
        <f t="shared" si="49"/>
        <v>48000</v>
      </c>
      <c r="L459" s="9">
        <f>Table_1[[#This Row],[Unit Price]]*Table_1[[#This Row],[Quantity]]</f>
        <v>600000</v>
      </c>
      <c r="M459" s="8">
        <f>Table_1[[#This Row],[Cost Price]]*Table_1[[#This Row],[Quantity]]</f>
        <v>480000</v>
      </c>
      <c r="N459">
        <f>Table_1[[#This Row],[Revenue]]-Table_1[[#This Row],[COGS]]</f>
        <v>120000</v>
      </c>
      <c r="O459" s="11">
        <f t="shared" si="50"/>
        <v>4656740000</v>
      </c>
      <c r="P459">
        <f t="shared" si="51"/>
        <v>3725392000</v>
      </c>
      <c r="Q459">
        <f t="shared" si="52"/>
        <v>931348000</v>
      </c>
      <c r="R459" s="7">
        <f t="shared" si="53"/>
        <v>2098</v>
      </c>
      <c r="S459" s="7">
        <f t="shared" si="54"/>
        <v>4</v>
      </c>
      <c r="T459" s="7">
        <f t="shared" si="55"/>
        <v>2098</v>
      </c>
    </row>
    <row r="460" spans="1:20" ht="14.25" customHeight="1" x14ac:dyDescent="0.35">
      <c r="A460" s="2" t="s">
        <v>114</v>
      </c>
      <c r="B460" s="2" t="s">
        <v>12</v>
      </c>
      <c r="C460" s="2" t="s">
        <v>38</v>
      </c>
      <c r="D460" s="2" t="s">
        <v>26</v>
      </c>
      <c r="E460" s="2" t="s">
        <v>15</v>
      </c>
      <c r="F460" s="2" t="s">
        <v>58</v>
      </c>
      <c r="G460" s="2" t="s">
        <v>24</v>
      </c>
      <c r="H460" s="2">
        <v>220000</v>
      </c>
      <c r="I460" s="2">
        <v>4</v>
      </c>
      <c r="J460" s="2" t="s">
        <v>43</v>
      </c>
      <c r="K460" s="2">
        <f t="shared" si="49"/>
        <v>176000</v>
      </c>
      <c r="L460" s="9">
        <f>Table_1[[#This Row],[Unit Price]]*Table_1[[#This Row],[Quantity]]</f>
        <v>880000</v>
      </c>
      <c r="M460" s="8">
        <f>Table_1[[#This Row],[Cost Price]]*Table_1[[#This Row],[Quantity]]</f>
        <v>704000</v>
      </c>
      <c r="N460">
        <f>Table_1[[#This Row],[Revenue]]-Table_1[[#This Row],[COGS]]</f>
        <v>176000</v>
      </c>
      <c r="O460" s="11">
        <f t="shared" si="50"/>
        <v>4656740000</v>
      </c>
      <c r="P460">
        <f t="shared" si="51"/>
        <v>3725392000</v>
      </c>
      <c r="Q460">
        <f t="shared" si="52"/>
        <v>931348000</v>
      </c>
      <c r="R460" s="7">
        <f t="shared" si="53"/>
        <v>2098</v>
      </c>
      <c r="S460" s="7">
        <f t="shared" si="54"/>
        <v>3</v>
      </c>
      <c r="T460" s="7">
        <f t="shared" si="55"/>
        <v>2098</v>
      </c>
    </row>
    <row r="461" spans="1:20" ht="14.25" customHeight="1" x14ac:dyDescent="0.35">
      <c r="A461" s="2" t="s">
        <v>33</v>
      </c>
      <c r="B461" s="2" t="s">
        <v>29</v>
      </c>
      <c r="C461" s="2" t="s">
        <v>21</v>
      </c>
      <c r="D461" s="2" t="s">
        <v>14</v>
      </c>
      <c r="E461" s="2" t="s">
        <v>15</v>
      </c>
      <c r="F461" s="2" t="s">
        <v>31</v>
      </c>
      <c r="G461" s="2" t="s">
        <v>24</v>
      </c>
      <c r="H461" s="2">
        <v>60000</v>
      </c>
      <c r="I461" s="2">
        <v>5</v>
      </c>
      <c r="J461" s="2" t="s">
        <v>43</v>
      </c>
      <c r="K461" s="2">
        <f t="shared" si="49"/>
        <v>48000</v>
      </c>
      <c r="L461" s="9">
        <f>Table_1[[#This Row],[Unit Price]]*Table_1[[#This Row],[Quantity]]</f>
        <v>300000</v>
      </c>
      <c r="M461" s="8">
        <f>Table_1[[#This Row],[Cost Price]]*Table_1[[#This Row],[Quantity]]</f>
        <v>240000</v>
      </c>
      <c r="N461">
        <f>Table_1[[#This Row],[Revenue]]-Table_1[[#This Row],[COGS]]</f>
        <v>60000</v>
      </c>
      <c r="O461" s="11">
        <f t="shared" si="50"/>
        <v>4656740000</v>
      </c>
      <c r="P461">
        <f t="shared" si="51"/>
        <v>3725392000</v>
      </c>
      <c r="Q461">
        <f t="shared" si="52"/>
        <v>931348000</v>
      </c>
      <c r="R461" s="7">
        <f t="shared" si="53"/>
        <v>2098</v>
      </c>
      <c r="S461" s="7">
        <f t="shared" si="54"/>
        <v>4</v>
      </c>
      <c r="T461" s="7">
        <f t="shared" si="55"/>
        <v>2098</v>
      </c>
    </row>
    <row r="462" spans="1:20" ht="14.25" customHeight="1" x14ac:dyDescent="0.35">
      <c r="A462" s="2" t="s">
        <v>110</v>
      </c>
      <c r="B462" s="2" t="s">
        <v>29</v>
      </c>
      <c r="C462" s="2" t="s">
        <v>38</v>
      </c>
      <c r="D462" s="2" t="s">
        <v>26</v>
      </c>
      <c r="E462" s="2" t="s">
        <v>15</v>
      </c>
      <c r="F462" s="2" t="s">
        <v>56</v>
      </c>
      <c r="G462" s="2" t="s">
        <v>36</v>
      </c>
      <c r="H462" s="2">
        <v>250000</v>
      </c>
      <c r="I462" s="2">
        <v>3</v>
      </c>
      <c r="J462" s="2" t="s">
        <v>27</v>
      </c>
      <c r="K462" s="2">
        <f t="shared" si="49"/>
        <v>200000</v>
      </c>
      <c r="L462" s="9">
        <f>Table_1[[#This Row],[Unit Price]]*Table_1[[#This Row],[Quantity]]</f>
        <v>750000</v>
      </c>
      <c r="M462" s="8">
        <f>Table_1[[#This Row],[Cost Price]]*Table_1[[#This Row],[Quantity]]</f>
        <v>600000</v>
      </c>
      <c r="N462">
        <f>Table_1[[#This Row],[Revenue]]-Table_1[[#This Row],[COGS]]</f>
        <v>150000</v>
      </c>
      <c r="O462" s="11">
        <f t="shared" si="50"/>
        <v>4656740000</v>
      </c>
      <c r="P462">
        <f t="shared" si="51"/>
        <v>3725392000</v>
      </c>
      <c r="Q462">
        <f t="shared" si="52"/>
        <v>931348000</v>
      </c>
      <c r="R462" s="7">
        <f t="shared" si="53"/>
        <v>2098</v>
      </c>
      <c r="S462" s="7">
        <f t="shared" si="54"/>
        <v>2</v>
      </c>
      <c r="T462" s="7">
        <f t="shared" si="55"/>
        <v>2098</v>
      </c>
    </row>
    <row r="463" spans="1:20" ht="14.25" customHeight="1" x14ac:dyDescent="0.35">
      <c r="A463" s="2" t="s">
        <v>111</v>
      </c>
      <c r="B463" s="2" t="s">
        <v>29</v>
      </c>
      <c r="C463" s="2" t="s">
        <v>21</v>
      </c>
      <c r="D463" s="2" t="s">
        <v>26</v>
      </c>
      <c r="E463" s="2" t="s">
        <v>22</v>
      </c>
      <c r="F463" s="2" t="s">
        <v>47</v>
      </c>
      <c r="G463" s="2" t="s">
        <v>36</v>
      </c>
      <c r="H463" s="2">
        <v>150000</v>
      </c>
      <c r="I463" s="2">
        <v>1</v>
      </c>
      <c r="J463" s="2" t="s">
        <v>50</v>
      </c>
      <c r="K463" s="2">
        <f t="shared" si="49"/>
        <v>120000</v>
      </c>
      <c r="L463" s="9">
        <f>Table_1[[#This Row],[Unit Price]]*Table_1[[#This Row],[Quantity]]</f>
        <v>150000</v>
      </c>
      <c r="M463" s="8">
        <f>Table_1[[#This Row],[Cost Price]]*Table_1[[#This Row],[Quantity]]</f>
        <v>120000</v>
      </c>
      <c r="N463">
        <f>Table_1[[#This Row],[Revenue]]-Table_1[[#This Row],[COGS]]</f>
        <v>30000</v>
      </c>
      <c r="O463" s="11">
        <f t="shared" si="50"/>
        <v>4656740000</v>
      </c>
      <c r="P463">
        <f t="shared" si="51"/>
        <v>3725392000</v>
      </c>
      <c r="Q463">
        <f t="shared" si="52"/>
        <v>931348000</v>
      </c>
      <c r="R463" s="7">
        <f t="shared" si="53"/>
        <v>2098</v>
      </c>
      <c r="S463" s="7">
        <f t="shared" si="54"/>
        <v>1</v>
      </c>
      <c r="T463" s="7">
        <f t="shared" si="55"/>
        <v>2098</v>
      </c>
    </row>
    <row r="464" spans="1:20" ht="14.25" customHeight="1" x14ac:dyDescent="0.35">
      <c r="A464" s="2" t="s">
        <v>109</v>
      </c>
      <c r="B464" s="2" t="s">
        <v>34</v>
      </c>
      <c r="C464" s="2" t="s">
        <v>38</v>
      </c>
      <c r="D464" s="2" t="s">
        <v>26</v>
      </c>
      <c r="E464" s="2" t="s">
        <v>22</v>
      </c>
      <c r="F464" s="2" t="s">
        <v>58</v>
      </c>
      <c r="G464" s="2" t="s">
        <v>24</v>
      </c>
      <c r="H464" s="2">
        <v>220000</v>
      </c>
      <c r="I464" s="2">
        <v>1</v>
      </c>
      <c r="J464" s="2" t="s">
        <v>27</v>
      </c>
      <c r="K464" s="2">
        <f t="shared" si="49"/>
        <v>176000</v>
      </c>
      <c r="L464" s="9">
        <f>Table_1[[#This Row],[Unit Price]]*Table_1[[#This Row],[Quantity]]</f>
        <v>220000</v>
      </c>
      <c r="M464" s="8">
        <f>Table_1[[#This Row],[Cost Price]]*Table_1[[#This Row],[Quantity]]</f>
        <v>176000</v>
      </c>
      <c r="N464">
        <f>Table_1[[#This Row],[Revenue]]-Table_1[[#This Row],[COGS]]</f>
        <v>44000</v>
      </c>
      <c r="O464" s="11">
        <f t="shared" si="50"/>
        <v>4656740000</v>
      </c>
      <c r="P464">
        <f t="shared" si="51"/>
        <v>3725392000</v>
      </c>
      <c r="Q464">
        <f t="shared" si="52"/>
        <v>931348000</v>
      </c>
      <c r="R464" s="7">
        <f t="shared" si="53"/>
        <v>2098</v>
      </c>
      <c r="S464" s="7">
        <f t="shared" si="54"/>
        <v>2</v>
      </c>
      <c r="T464" s="7">
        <f t="shared" si="55"/>
        <v>2098</v>
      </c>
    </row>
    <row r="465" spans="1:20" ht="14.25" customHeight="1" x14ac:dyDescent="0.35">
      <c r="A465" s="2" t="s">
        <v>145</v>
      </c>
      <c r="B465" s="2" t="s">
        <v>20</v>
      </c>
      <c r="C465" s="2" t="s">
        <v>30</v>
      </c>
      <c r="D465" s="2" t="s">
        <v>14</v>
      </c>
      <c r="E465" s="2" t="s">
        <v>22</v>
      </c>
      <c r="F465" s="2" t="s">
        <v>56</v>
      </c>
      <c r="G465" s="2" t="s">
        <v>36</v>
      </c>
      <c r="H465" s="2">
        <v>250000</v>
      </c>
      <c r="I465" s="2">
        <v>6</v>
      </c>
      <c r="J465" s="2" t="s">
        <v>50</v>
      </c>
      <c r="K465" s="2">
        <f t="shared" si="49"/>
        <v>200000</v>
      </c>
      <c r="L465" s="9">
        <f>Table_1[[#This Row],[Unit Price]]*Table_1[[#This Row],[Quantity]]</f>
        <v>1500000</v>
      </c>
      <c r="M465" s="8">
        <f>Table_1[[#This Row],[Cost Price]]*Table_1[[#This Row],[Quantity]]</f>
        <v>1200000</v>
      </c>
      <c r="N465">
        <f>Table_1[[#This Row],[Revenue]]-Table_1[[#This Row],[COGS]]</f>
        <v>300000</v>
      </c>
      <c r="O465" s="11">
        <f t="shared" si="50"/>
        <v>4656740000</v>
      </c>
      <c r="P465">
        <f t="shared" si="51"/>
        <v>3725392000</v>
      </c>
      <c r="Q465">
        <f t="shared" si="52"/>
        <v>931348000</v>
      </c>
      <c r="R465" s="7">
        <f t="shared" si="53"/>
        <v>2098</v>
      </c>
      <c r="S465" s="7">
        <f t="shared" si="54"/>
        <v>1</v>
      </c>
      <c r="T465" s="7">
        <f t="shared" si="55"/>
        <v>2098</v>
      </c>
    </row>
    <row r="466" spans="1:20" ht="14.25" customHeight="1" x14ac:dyDescent="0.35">
      <c r="A466" s="2" t="s">
        <v>87</v>
      </c>
      <c r="B466" s="2" t="s">
        <v>12</v>
      </c>
      <c r="C466" s="2" t="s">
        <v>38</v>
      </c>
      <c r="D466" s="2" t="s">
        <v>14</v>
      </c>
      <c r="E466" s="2" t="s">
        <v>22</v>
      </c>
      <c r="F466" s="2" t="s">
        <v>58</v>
      </c>
      <c r="G466" s="2" t="s">
        <v>24</v>
      </c>
      <c r="H466" s="2">
        <v>220000</v>
      </c>
      <c r="I466" s="2">
        <v>10</v>
      </c>
      <c r="J466" s="2" t="s">
        <v>43</v>
      </c>
      <c r="K466" s="2">
        <f t="shared" si="49"/>
        <v>176000</v>
      </c>
      <c r="L466" s="9">
        <f>Table_1[[#This Row],[Unit Price]]*Table_1[[#This Row],[Quantity]]</f>
        <v>2200000</v>
      </c>
      <c r="M466" s="8">
        <f>Table_1[[#This Row],[Cost Price]]*Table_1[[#This Row],[Quantity]]</f>
        <v>1760000</v>
      </c>
      <c r="N466">
        <f>Table_1[[#This Row],[Revenue]]-Table_1[[#This Row],[COGS]]</f>
        <v>440000</v>
      </c>
      <c r="O466" s="11">
        <f t="shared" si="50"/>
        <v>4656740000</v>
      </c>
      <c r="P466">
        <f t="shared" si="51"/>
        <v>3725392000</v>
      </c>
      <c r="Q466">
        <f t="shared" si="52"/>
        <v>931348000</v>
      </c>
      <c r="R466" s="7">
        <f t="shared" si="53"/>
        <v>2098</v>
      </c>
      <c r="S466" s="7">
        <f t="shared" si="54"/>
        <v>3</v>
      </c>
      <c r="T466" s="7">
        <f t="shared" si="55"/>
        <v>2098</v>
      </c>
    </row>
    <row r="467" spans="1:20" ht="14.25" customHeight="1" x14ac:dyDescent="0.35">
      <c r="A467" s="2" t="s">
        <v>49</v>
      </c>
      <c r="B467" s="2" t="s">
        <v>20</v>
      </c>
      <c r="C467" s="2" t="s">
        <v>13</v>
      </c>
      <c r="D467" s="2" t="s">
        <v>14</v>
      </c>
      <c r="E467" s="2" t="s">
        <v>22</v>
      </c>
      <c r="F467" s="2" t="s">
        <v>39</v>
      </c>
      <c r="G467" s="2" t="s">
        <v>24</v>
      </c>
      <c r="H467" s="2">
        <v>180000</v>
      </c>
      <c r="I467" s="2">
        <v>10</v>
      </c>
      <c r="J467" s="2" t="s">
        <v>27</v>
      </c>
      <c r="K467" s="2">
        <f t="shared" si="49"/>
        <v>144000</v>
      </c>
      <c r="L467" s="9">
        <f>Table_1[[#This Row],[Unit Price]]*Table_1[[#This Row],[Quantity]]</f>
        <v>1800000</v>
      </c>
      <c r="M467" s="8">
        <f>Table_1[[#This Row],[Cost Price]]*Table_1[[#This Row],[Quantity]]</f>
        <v>1440000</v>
      </c>
      <c r="N467">
        <f>Table_1[[#This Row],[Revenue]]-Table_1[[#This Row],[COGS]]</f>
        <v>360000</v>
      </c>
      <c r="O467" s="11">
        <f t="shared" si="50"/>
        <v>4656740000</v>
      </c>
      <c r="P467">
        <f t="shared" si="51"/>
        <v>3725392000</v>
      </c>
      <c r="Q467">
        <f t="shared" si="52"/>
        <v>931348000</v>
      </c>
      <c r="R467" s="7">
        <f t="shared" si="53"/>
        <v>2098</v>
      </c>
      <c r="S467" s="7">
        <f t="shared" si="54"/>
        <v>4</v>
      </c>
      <c r="T467" s="7">
        <f t="shared" si="55"/>
        <v>2098</v>
      </c>
    </row>
    <row r="468" spans="1:20" ht="14.25" customHeight="1" x14ac:dyDescent="0.35">
      <c r="A468" s="2" t="s">
        <v>156</v>
      </c>
      <c r="B468" s="2" t="s">
        <v>12</v>
      </c>
      <c r="C468" s="2" t="s">
        <v>13</v>
      </c>
      <c r="D468" s="2" t="s">
        <v>26</v>
      </c>
      <c r="E468" s="2" t="s">
        <v>15</v>
      </c>
      <c r="F468" s="2" t="s">
        <v>31</v>
      </c>
      <c r="G468" s="2" t="s">
        <v>24</v>
      </c>
      <c r="H468" s="2">
        <v>60000</v>
      </c>
      <c r="I468" s="2">
        <v>6</v>
      </c>
      <c r="J468" s="2" t="s">
        <v>54</v>
      </c>
      <c r="K468" s="2">
        <f t="shared" si="49"/>
        <v>48000</v>
      </c>
      <c r="L468" s="9">
        <f>Table_1[[#This Row],[Unit Price]]*Table_1[[#This Row],[Quantity]]</f>
        <v>360000</v>
      </c>
      <c r="M468" s="8">
        <f>Table_1[[#This Row],[Cost Price]]*Table_1[[#This Row],[Quantity]]</f>
        <v>288000</v>
      </c>
      <c r="N468">
        <f>Table_1[[#This Row],[Revenue]]-Table_1[[#This Row],[COGS]]</f>
        <v>72000</v>
      </c>
      <c r="O468" s="11">
        <f t="shared" si="50"/>
        <v>4656740000</v>
      </c>
      <c r="P468">
        <f t="shared" si="51"/>
        <v>3725392000</v>
      </c>
      <c r="Q468">
        <f t="shared" si="52"/>
        <v>931348000</v>
      </c>
      <c r="R468" s="7">
        <f t="shared" si="53"/>
        <v>2098</v>
      </c>
      <c r="S468" s="7">
        <f t="shared" si="54"/>
        <v>3</v>
      </c>
      <c r="T468" s="7">
        <f t="shared" si="55"/>
        <v>2098</v>
      </c>
    </row>
    <row r="469" spans="1:20" ht="14.25" customHeight="1" x14ac:dyDescent="0.35">
      <c r="A469" s="2" t="s">
        <v>150</v>
      </c>
      <c r="B469" s="2" t="s">
        <v>34</v>
      </c>
      <c r="C469" s="2" t="s">
        <v>30</v>
      </c>
      <c r="D469" s="2" t="s">
        <v>14</v>
      </c>
      <c r="E469" s="2" t="s">
        <v>22</v>
      </c>
      <c r="F469" s="2" t="s">
        <v>58</v>
      </c>
      <c r="G469" s="2" t="s">
        <v>24</v>
      </c>
      <c r="H469" s="2">
        <v>220000</v>
      </c>
      <c r="I469" s="2">
        <v>4</v>
      </c>
      <c r="J469" s="2" t="s">
        <v>27</v>
      </c>
      <c r="K469" s="2">
        <f t="shared" si="49"/>
        <v>176000</v>
      </c>
      <c r="L469" s="9">
        <f>Table_1[[#This Row],[Unit Price]]*Table_1[[#This Row],[Quantity]]</f>
        <v>880000</v>
      </c>
      <c r="M469" s="8">
        <f>Table_1[[#This Row],[Cost Price]]*Table_1[[#This Row],[Quantity]]</f>
        <v>704000</v>
      </c>
      <c r="N469">
        <f>Table_1[[#This Row],[Revenue]]-Table_1[[#This Row],[COGS]]</f>
        <v>176000</v>
      </c>
      <c r="O469" s="11">
        <f t="shared" si="50"/>
        <v>4656740000</v>
      </c>
      <c r="P469">
        <f t="shared" si="51"/>
        <v>3725392000</v>
      </c>
      <c r="Q469">
        <f t="shared" si="52"/>
        <v>931348000</v>
      </c>
      <c r="R469" s="7">
        <f t="shared" si="53"/>
        <v>2098</v>
      </c>
      <c r="S469" s="7">
        <f t="shared" si="54"/>
        <v>4</v>
      </c>
      <c r="T469" s="7">
        <f t="shared" si="55"/>
        <v>2098</v>
      </c>
    </row>
    <row r="470" spans="1:20" ht="14.25" customHeight="1" x14ac:dyDescent="0.35">
      <c r="A470" s="2" t="s">
        <v>71</v>
      </c>
      <c r="B470" s="2" t="s">
        <v>29</v>
      </c>
      <c r="C470" s="2" t="s">
        <v>38</v>
      </c>
      <c r="D470" s="2" t="s">
        <v>26</v>
      </c>
      <c r="E470" s="2" t="s">
        <v>15</v>
      </c>
      <c r="F470" s="2" t="s">
        <v>47</v>
      </c>
      <c r="G470" s="2" t="s">
        <v>36</v>
      </c>
      <c r="H470" s="2">
        <v>150000</v>
      </c>
      <c r="I470" s="2">
        <v>1</v>
      </c>
      <c r="J470" s="2" t="s">
        <v>27</v>
      </c>
      <c r="K470" s="2">
        <f t="shared" si="49"/>
        <v>120000</v>
      </c>
      <c r="L470" s="9">
        <f>Table_1[[#This Row],[Unit Price]]*Table_1[[#This Row],[Quantity]]</f>
        <v>150000</v>
      </c>
      <c r="M470" s="8">
        <f>Table_1[[#This Row],[Cost Price]]*Table_1[[#This Row],[Quantity]]</f>
        <v>120000</v>
      </c>
      <c r="N470">
        <f>Table_1[[#This Row],[Revenue]]-Table_1[[#This Row],[COGS]]</f>
        <v>30000</v>
      </c>
      <c r="O470" s="11">
        <f t="shared" si="50"/>
        <v>4656740000</v>
      </c>
      <c r="P470">
        <f t="shared" si="51"/>
        <v>3725392000</v>
      </c>
      <c r="Q470">
        <f t="shared" si="52"/>
        <v>931348000</v>
      </c>
      <c r="R470" s="7">
        <f t="shared" si="53"/>
        <v>2098</v>
      </c>
      <c r="S470" s="7">
        <f t="shared" si="54"/>
        <v>2</v>
      </c>
      <c r="T470" s="7">
        <f t="shared" si="55"/>
        <v>2098</v>
      </c>
    </row>
    <row r="471" spans="1:20" ht="14.25" customHeight="1" x14ac:dyDescent="0.35">
      <c r="A471" s="2" t="s">
        <v>73</v>
      </c>
      <c r="B471" s="2" t="s">
        <v>29</v>
      </c>
      <c r="C471" s="2" t="s">
        <v>30</v>
      </c>
      <c r="D471" s="2" t="s">
        <v>14</v>
      </c>
      <c r="E471" s="2" t="s">
        <v>22</v>
      </c>
      <c r="F471" s="2" t="s">
        <v>39</v>
      </c>
      <c r="G471" s="2" t="s">
        <v>24</v>
      </c>
      <c r="H471" s="2">
        <v>180000</v>
      </c>
      <c r="I471" s="2">
        <v>1</v>
      </c>
      <c r="J471" s="2" t="s">
        <v>32</v>
      </c>
      <c r="K471" s="2">
        <f t="shared" si="49"/>
        <v>144000</v>
      </c>
      <c r="L471" s="9">
        <f>Table_1[[#This Row],[Unit Price]]*Table_1[[#This Row],[Quantity]]</f>
        <v>180000</v>
      </c>
      <c r="M471" s="8">
        <f>Table_1[[#This Row],[Cost Price]]*Table_1[[#This Row],[Quantity]]</f>
        <v>144000</v>
      </c>
      <c r="N471">
        <f>Table_1[[#This Row],[Revenue]]-Table_1[[#This Row],[COGS]]</f>
        <v>36000</v>
      </c>
      <c r="O471" s="11">
        <f t="shared" si="50"/>
        <v>4656740000</v>
      </c>
      <c r="P471">
        <f t="shared" si="51"/>
        <v>3725392000</v>
      </c>
      <c r="Q471">
        <f t="shared" si="52"/>
        <v>931348000</v>
      </c>
      <c r="R471" s="7">
        <f t="shared" si="53"/>
        <v>2098</v>
      </c>
      <c r="S471" s="7">
        <f t="shared" si="54"/>
        <v>2</v>
      </c>
      <c r="T471" s="7">
        <f t="shared" si="55"/>
        <v>2098</v>
      </c>
    </row>
    <row r="472" spans="1:20" ht="14.25" customHeight="1" x14ac:dyDescent="0.35">
      <c r="A472" s="2" t="s">
        <v>55</v>
      </c>
      <c r="B472" s="2" t="s">
        <v>20</v>
      </c>
      <c r="C472" s="2" t="s">
        <v>38</v>
      </c>
      <c r="D472" s="2" t="s">
        <v>26</v>
      </c>
      <c r="E472" s="2" t="s">
        <v>22</v>
      </c>
      <c r="F472" s="2" t="s">
        <v>58</v>
      </c>
      <c r="G472" s="2" t="s">
        <v>24</v>
      </c>
      <c r="H472" s="2">
        <v>220000</v>
      </c>
      <c r="I472" s="2">
        <v>8</v>
      </c>
      <c r="J472" s="2" t="s">
        <v>32</v>
      </c>
      <c r="K472" s="2">
        <f t="shared" si="49"/>
        <v>176000</v>
      </c>
      <c r="L472" s="9">
        <f>Table_1[[#This Row],[Unit Price]]*Table_1[[#This Row],[Quantity]]</f>
        <v>1760000</v>
      </c>
      <c r="M472" s="8">
        <f>Table_1[[#This Row],[Cost Price]]*Table_1[[#This Row],[Quantity]]</f>
        <v>1408000</v>
      </c>
      <c r="N472">
        <f>Table_1[[#This Row],[Revenue]]-Table_1[[#This Row],[COGS]]</f>
        <v>352000</v>
      </c>
      <c r="O472" s="11">
        <f t="shared" si="50"/>
        <v>4656740000</v>
      </c>
      <c r="P472">
        <f t="shared" si="51"/>
        <v>3725392000</v>
      </c>
      <c r="Q472">
        <f t="shared" si="52"/>
        <v>931348000</v>
      </c>
      <c r="R472" s="7">
        <f t="shared" si="53"/>
        <v>2098</v>
      </c>
      <c r="S472" s="7">
        <f t="shared" si="54"/>
        <v>4</v>
      </c>
      <c r="T472" s="7">
        <f t="shared" si="55"/>
        <v>2098</v>
      </c>
    </row>
    <row r="473" spans="1:20" ht="14.25" customHeight="1" x14ac:dyDescent="0.35">
      <c r="A473" s="2" t="s">
        <v>82</v>
      </c>
      <c r="B473" s="2" t="s">
        <v>12</v>
      </c>
      <c r="C473" s="2" t="s">
        <v>21</v>
      </c>
      <c r="D473" s="2" t="s">
        <v>14</v>
      </c>
      <c r="E473" s="2" t="s">
        <v>22</v>
      </c>
      <c r="F473" s="2" t="s">
        <v>56</v>
      </c>
      <c r="G473" s="2" t="s">
        <v>36</v>
      </c>
      <c r="H473" s="2">
        <v>250000</v>
      </c>
      <c r="I473" s="2">
        <v>3</v>
      </c>
      <c r="J473" s="2" t="s">
        <v>27</v>
      </c>
      <c r="K473" s="2">
        <f t="shared" si="49"/>
        <v>200000</v>
      </c>
      <c r="L473" s="9">
        <f>Table_1[[#This Row],[Unit Price]]*Table_1[[#This Row],[Quantity]]</f>
        <v>750000</v>
      </c>
      <c r="M473" s="8">
        <f>Table_1[[#This Row],[Cost Price]]*Table_1[[#This Row],[Quantity]]</f>
        <v>600000</v>
      </c>
      <c r="N473">
        <f>Table_1[[#This Row],[Revenue]]-Table_1[[#This Row],[COGS]]</f>
        <v>150000</v>
      </c>
      <c r="O473" s="11">
        <f t="shared" si="50"/>
        <v>4656740000</v>
      </c>
      <c r="P473">
        <f t="shared" si="51"/>
        <v>3725392000</v>
      </c>
      <c r="Q473">
        <f t="shared" si="52"/>
        <v>931348000</v>
      </c>
      <c r="R473" s="7">
        <f t="shared" si="53"/>
        <v>2098</v>
      </c>
      <c r="S473" s="7">
        <f t="shared" si="54"/>
        <v>1</v>
      </c>
      <c r="T473" s="7">
        <f t="shared" si="55"/>
        <v>2098</v>
      </c>
    </row>
    <row r="474" spans="1:20" ht="14.25" customHeight="1" x14ac:dyDescent="0.35">
      <c r="A474" s="2" t="s">
        <v>88</v>
      </c>
      <c r="B474" s="2" t="s">
        <v>34</v>
      </c>
      <c r="C474" s="2" t="s">
        <v>21</v>
      </c>
      <c r="D474" s="2" t="s">
        <v>26</v>
      </c>
      <c r="E474" s="2" t="s">
        <v>22</v>
      </c>
      <c r="F474" s="2" t="s">
        <v>31</v>
      </c>
      <c r="G474" s="2" t="s">
        <v>24</v>
      </c>
      <c r="H474" s="2">
        <v>60000</v>
      </c>
      <c r="I474" s="2">
        <v>1</v>
      </c>
      <c r="J474" s="2" t="s">
        <v>43</v>
      </c>
      <c r="K474" s="2">
        <f t="shared" si="49"/>
        <v>48000</v>
      </c>
      <c r="L474" s="9">
        <f>Table_1[[#This Row],[Unit Price]]*Table_1[[#This Row],[Quantity]]</f>
        <v>60000</v>
      </c>
      <c r="M474" s="8">
        <f>Table_1[[#This Row],[Cost Price]]*Table_1[[#This Row],[Quantity]]</f>
        <v>48000</v>
      </c>
      <c r="N474">
        <f>Table_1[[#This Row],[Revenue]]-Table_1[[#This Row],[COGS]]</f>
        <v>12000</v>
      </c>
      <c r="O474" s="11">
        <f t="shared" si="50"/>
        <v>4656740000</v>
      </c>
      <c r="P474">
        <f t="shared" si="51"/>
        <v>3725392000</v>
      </c>
      <c r="Q474">
        <f t="shared" si="52"/>
        <v>931348000</v>
      </c>
      <c r="R474" s="7">
        <f t="shared" si="53"/>
        <v>2098</v>
      </c>
      <c r="S474" s="7">
        <f t="shared" si="54"/>
        <v>3</v>
      </c>
      <c r="T474" s="7">
        <f t="shared" si="55"/>
        <v>2098</v>
      </c>
    </row>
    <row r="475" spans="1:20" ht="14.25" customHeight="1" x14ac:dyDescent="0.35">
      <c r="A475" s="2" t="s">
        <v>99</v>
      </c>
      <c r="B475" s="2" t="s">
        <v>20</v>
      </c>
      <c r="C475" s="2" t="s">
        <v>38</v>
      </c>
      <c r="D475" s="2" t="s">
        <v>14</v>
      </c>
      <c r="E475" s="2" t="s">
        <v>22</v>
      </c>
      <c r="F475" s="2" t="s">
        <v>41</v>
      </c>
      <c r="G475" s="2" t="s">
        <v>17</v>
      </c>
      <c r="H475" s="2">
        <v>320000</v>
      </c>
      <c r="I475" s="2">
        <v>4</v>
      </c>
      <c r="J475" s="2" t="s">
        <v>18</v>
      </c>
      <c r="K475" s="2">
        <f t="shared" si="49"/>
        <v>256000</v>
      </c>
      <c r="L475" s="9">
        <f>Table_1[[#This Row],[Unit Price]]*Table_1[[#This Row],[Quantity]]</f>
        <v>1280000</v>
      </c>
      <c r="M475" s="8">
        <f>Table_1[[#This Row],[Cost Price]]*Table_1[[#This Row],[Quantity]]</f>
        <v>1024000</v>
      </c>
      <c r="N475">
        <f>Table_1[[#This Row],[Revenue]]-Table_1[[#This Row],[COGS]]</f>
        <v>256000</v>
      </c>
      <c r="O475" s="11">
        <f t="shared" si="50"/>
        <v>4656740000</v>
      </c>
      <c r="P475">
        <f t="shared" si="51"/>
        <v>3725392000</v>
      </c>
      <c r="Q475">
        <f t="shared" si="52"/>
        <v>931348000</v>
      </c>
      <c r="R475" s="7">
        <f t="shared" si="53"/>
        <v>2098</v>
      </c>
      <c r="S475" s="7">
        <f t="shared" si="54"/>
        <v>4</v>
      </c>
      <c r="T475" s="7">
        <f t="shared" si="55"/>
        <v>2098</v>
      </c>
    </row>
    <row r="476" spans="1:20" ht="14.25" customHeight="1" x14ac:dyDescent="0.35">
      <c r="A476" s="2" t="s">
        <v>51</v>
      </c>
      <c r="B476" s="2" t="s">
        <v>29</v>
      </c>
      <c r="C476" s="2" t="s">
        <v>30</v>
      </c>
      <c r="D476" s="2" t="s">
        <v>26</v>
      </c>
      <c r="E476" s="2" t="s">
        <v>22</v>
      </c>
      <c r="F476" s="2" t="s">
        <v>52</v>
      </c>
      <c r="G476" s="2" t="s">
        <v>36</v>
      </c>
      <c r="H476" s="2">
        <v>420000</v>
      </c>
      <c r="I476" s="2">
        <v>8</v>
      </c>
      <c r="J476" s="2" t="s">
        <v>27</v>
      </c>
      <c r="K476" s="2">
        <f t="shared" si="49"/>
        <v>336000</v>
      </c>
      <c r="L476" s="9">
        <f>Table_1[[#This Row],[Unit Price]]*Table_1[[#This Row],[Quantity]]</f>
        <v>3360000</v>
      </c>
      <c r="M476" s="8">
        <f>Table_1[[#This Row],[Cost Price]]*Table_1[[#This Row],[Quantity]]</f>
        <v>2688000</v>
      </c>
      <c r="N476">
        <f>Table_1[[#This Row],[Revenue]]-Table_1[[#This Row],[COGS]]</f>
        <v>672000</v>
      </c>
      <c r="O476" s="11">
        <f t="shared" si="50"/>
        <v>4656740000</v>
      </c>
      <c r="P476">
        <f t="shared" si="51"/>
        <v>3725392000</v>
      </c>
      <c r="Q476">
        <f t="shared" si="52"/>
        <v>931348000</v>
      </c>
      <c r="R476" s="7">
        <f t="shared" si="53"/>
        <v>2098</v>
      </c>
      <c r="S476" s="7">
        <f t="shared" si="54"/>
        <v>3</v>
      </c>
      <c r="T476" s="7">
        <f t="shared" si="55"/>
        <v>2098</v>
      </c>
    </row>
    <row r="477" spans="1:20" ht="14.25" customHeight="1" x14ac:dyDescent="0.35">
      <c r="A477" s="2" t="s">
        <v>76</v>
      </c>
      <c r="B477" s="2" t="s">
        <v>29</v>
      </c>
      <c r="C477" s="2" t="s">
        <v>21</v>
      </c>
      <c r="D477" s="2" t="s">
        <v>26</v>
      </c>
      <c r="E477" s="2" t="s">
        <v>22</v>
      </c>
      <c r="F477" s="2" t="s">
        <v>52</v>
      </c>
      <c r="G477" s="2" t="s">
        <v>36</v>
      </c>
      <c r="H477" s="2">
        <v>420000</v>
      </c>
      <c r="I477" s="2">
        <v>8</v>
      </c>
      <c r="J477" s="2" t="s">
        <v>43</v>
      </c>
      <c r="K477" s="2">
        <f t="shared" si="49"/>
        <v>336000</v>
      </c>
      <c r="L477" s="9">
        <f>Table_1[[#This Row],[Unit Price]]*Table_1[[#This Row],[Quantity]]</f>
        <v>3360000</v>
      </c>
      <c r="M477" s="8">
        <f>Table_1[[#This Row],[Cost Price]]*Table_1[[#This Row],[Quantity]]</f>
        <v>2688000</v>
      </c>
      <c r="N477">
        <f>Table_1[[#This Row],[Revenue]]-Table_1[[#This Row],[COGS]]</f>
        <v>672000</v>
      </c>
      <c r="O477" s="11">
        <f t="shared" si="50"/>
        <v>4656740000</v>
      </c>
      <c r="P477">
        <f t="shared" si="51"/>
        <v>3725392000</v>
      </c>
      <c r="Q477">
        <f t="shared" si="52"/>
        <v>931348000</v>
      </c>
      <c r="R477" s="7">
        <f t="shared" si="53"/>
        <v>2098</v>
      </c>
      <c r="S477" s="7">
        <f t="shared" si="54"/>
        <v>2</v>
      </c>
      <c r="T477" s="7">
        <f t="shared" si="55"/>
        <v>2098</v>
      </c>
    </row>
    <row r="478" spans="1:20" ht="14.25" customHeight="1" x14ac:dyDescent="0.35">
      <c r="A478" s="2" t="s">
        <v>151</v>
      </c>
      <c r="B478" s="2" t="s">
        <v>34</v>
      </c>
      <c r="C478" s="2" t="s">
        <v>21</v>
      </c>
      <c r="D478" s="2" t="s">
        <v>14</v>
      </c>
      <c r="E478" s="2" t="s">
        <v>22</v>
      </c>
      <c r="F478" s="2" t="s">
        <v>31</v>
      </c>
      <c r="G478" s="2" t="s">
        <v>24</v>
      </c>
      <c r="H478" s="2">
        <v>60000</v>
      </c>
      <c r="I478" s="2">
        <v>1</v>
      </c>
      <c r="J478" s="2" t="s">
        <v>54</v>
      </c>
      <c r="K478" s="2">
        <f t="shared" si="49"/>
        <v>48000</v>
      </c>
      <c r="L478" s="9">
        <f>Table_1[[#This Row],[Unit Price]]*Table_1[[#This Row],[Quantity]]</f>
        <v>60000</v>
      </c>
      <c r="M478" s="8">
        <f>Table_1[[#This Row],[Cost Price]]*Table_1[[#This Row],[Quantity]]</f>
        <v>48000</v>
      </c>
      <c r="N478">
        <f>Table_1[[#This Row],[Revenue]]-Table_1[[#This Row],[COGS]]</f>
        <v>12000</v>
      </c>
      <c r="O478" s="11">
        <f t="shared" si="50"/>
        <v>4656740000</v>
      </c>
      <c r="P478">
        <f t="shared" si="51"/>
        <v>3725392000</v>
      </c>
      <c r="Q478">
        <f t="shared" si="52"/>
        <v>931348000</v>
      </c>
      <c r="R478" s="7">
        <f t="shared" si="53"/>
        <v>2098</v>
      </c>
      <c r="S478" s="7">
        <f t="shared" si="54"/>
        <v>1</v>
      </c>
      <c r="T478" s="7">
        <f t="shared" si="55"/>
        <v>2098</v>
      </c>
    </row>
    <row r="479" spans="1:20" ht="14.25" customHeight="1" x14ac:dyDescent="0.35">
      <c r="A479" s="2" t="s">
        <v>103</v>
      </c>
      <c r="B479" s="2" t="s">
        <v>20</v>
      </c>
      <c r="C479" s="2" t="s">
        <v>13</v>
      </c>
      <c r="D479" s="2" t="s">
        <v>26</v>
      </c>
      <c r="E479" s="2" t="s">
        <v>22</v>
      </c>
      <c r="F479" s="2" t="s">
        <v>39</v>
      </c>
      <c r="G479" s="2" t="s">
        <v>24</v>
      </c>
      <c r="H479" s="2">
        <v>180000</v>
      </c>
      <c r="I479" s="2">
        <v>8</v>
      </c>
      <c r="J479" s="2" t="s">
        <v>27</v>
      </c>
      <c r="K479" s="2">
        <f t="shared" si="49"/>
        <v>144000</v>
      </c>
      <c r="L479" s="9">
        <f>Table_1[[#This Row],[Unit Price]]*Table_1[[#This Row],[Quantity]]</f>
        <v>1440000</v>
      </c>
      <c r="M479" s="8">
        <f>Table_1[[#This Row],[Cost Price]]*Table_1[[#This Row],[Quantity]]</f>
        <v>1152000</v>
      </c>
      <c r="N479">
        <f>Table_1[[#This Row],[Revenue]]-Table_1[[#This Row],[COGS]]</f>
        <v>288000</v>
      </c>
      <c r="O479" s="11">
        <f t="shared" si="50"/>
        <v>4656740000</v>
      </c>
      <c r="P479">
        <f t="shared" si="51"/>
        <v>3725392000</v>
      </c>
      <c r="Q479">
        <f t="shared" si="52"/>
        <v>931348000</v>
      </c>
      <c r="R479" s="7">
        <f t="shared" si="53"/>
        <v>2098</v>
      </c>
      <c r="S479" s="7">
        <f t="shared" si="54"/>
        <v>3</v>
      </c>
      <c r="T479" s="7">
        <f t="shared" si="55"/>
        <v>2098</v>
      </c>
    </row>
    <row r="480" spans="1:20" ht="14.25" customHeight="1" x14ac:dyDescent="0.35">
      <c r="A480" s="2" t="s">
        <v>86</v>
      </c>
      <c r="B480" s="2" t="s">
        <v>12</v>
      </c>
      <c r="C480" s="2" t="s">
        <v>21</v>
      </c>
      <c r="D480" s="2" t="s">
        <v>26</v>
      </c>
      <c r="E480" s="2" t="s">
        <v>22</v>
      </c>
      <c r="F480" s="2" t="s">
        <v>39</v>
      </c>
      <c r="G480" s="2" t="s">
        <v>24</v>
      </c>
      <c r="H480" s="2">
        <v>180000</v>
      </c>
      <c r="I480" s="2">
        <v>2</v>
      </c>
      <c r="J480" s="2" t="s">
        <v>27</v>
      </c>
      <c r="K480" s="2">
        <f t="shared" si="49"/>
        <v>144000</v>
      </c>
      <c r="L480" s="9">
        <f>Table_1[[#This Row],[Unit Price]]*Table_1[[#This Row],[Quantity]]</f>
        <v>360000</v>
      </c>
      <c r="M480" s="8">
        <f>Table_1[[#This Row],[Cost Price]]*Table_1[[#This Row],[Quantity]]</f>
        <v>288000</v>
      </c>
      <c r="N480">
        <f>Table_1[[#This Row],[Revenue]]-Table_1[[#This Row],[COGS]]</f>
        <v>72000</v>
      </c>
      <c r="O480" s="11">
        <f t="shared" si="50"/>
        <v>4656740000</v>
      </c>
      <c r="P480">
        <f t="shared" si="51"/>
        <v>3725392000</v>
      </c>
      <c r="Q480">
        <f t="shared" si="52"/>
        <v>931348000</v>
      </c>
      <c r="R480" s="7">
        <f t="shared" si="53"/>
        <v>2098</v>
      </c>
      <c r="S480" s="7">
        <f t="shared" si="54"/>
        <v>1</v>
      </c>
      <c r="T480" s="7">
        <f t="shared" si="55"/>
        <v>2098</v>
      </c>
    </row>
    <row r="481" spans="1:20" ht="14.25" customHeight="1" x14ac:dyDescent="0.35">
      <c r="A481" s="2" t="s">
        <v>150</v>
      </c>
      <c r="B481" s="2" t="s">
        <v>29</v>
      </c>
      <c r="C481" s="2" t="s">
        <v>21</v>
      </c>
      <c r="D481" s="2" t="s">
        <v>26</v>
      </c>
      <c r="E481" s="2" t="s">
        <v>15</v>
      </c>
      <c r="F481" s="2" t="s">
        <v>35</v>
      </c>
      <c r="G481" s="2" t="s">
        <v>36</v>
      </c>
      <c r="H481" s="2">
        <v>300000</v>
      </c>
      <c r="I481" s="2">
        <v>7</v>
      </c>
      <c r="J481" s="2" t="s">
        <v>43</v>
      </c>
      <c r="K481" s="2">
        <f t="shared" si="49"/>
        <v>240000</v>
      </c>
      <c r="L481" s="9">
        <f>Table_1[[#This Row],[Unit Price]]*Table_1[[#This Row],[Quantity]]</f>
        <v>2100000</v>
      </c>
      <c r="M481" s="8">
        <f>Table_1[[#This Row],[Cost Price]]*Table_1[[#This Row],[Quantity]]</f>
        <v>1680000</v>
      </c>
      <c r="N481">
        <f>Table_1[[#This Row],[Revenue]]-Table_1[[#This Row],[COGS]]</f>
        <v>420000</v>
      </c>
      <c r="O481" s="11">
        <f t="shared" si="50"/>
        <v>4656740000</v>
      </c>
      <c r="P481">
        <f t="shared" si="51"/>
        <v>3725392000</v>
      </c>
      <c r="Q481">
        <f t="shared" si="52"/>
        <v>931348000</v>
      </c>
      <c r="R481" s="7">
        <f t="shared" si="53"/>
        <v>2098</v>
      </c>
      <c r="S481" s="7">
        <f t="shared" si="54"/>
        <v>4</v>
      </c>
      <c r="T481" s="7">
        <f t="shared" si="55"/>
        <v>2098</v>
      </c>
    </row>
    <row r="482" spans="1:20" ht="14.25" customHeight="1" x14ac:dyDescent="0.35">
      <c r="A482" s="2" t="s">
        <v>130</v>
      </c>
      <c r="B482" s="2" t="s">
        <v>12</v>
      </c>
      <c r="C482" s="2" t="s">
        <v>30</v>
      </c>
      <c r="D482" s="2" t="s">
        <v>14</v>
      </c>
      <c r="E482" s="2" t="s">
        <v>15</v>
      </c>
      <c r="F482" s="2" t="s">
        <v>56</v>
      </c>
      <c r="G482" s="2" t="s">
        <v>36</v>
      </c>
      <c r="H482" s="2">
        <v>250000</v>
      </c>
      <c r="I482" s="2">
        <v>6</v>
      </c>
      <c r="J482" s="2" t="s">
        <v>43</v>
      </c>
      <c r="K482" s="2">
        <f t="shared" si="49"/>
        <v>200000</v>
      </c>
      <c r="L482" s="9">
        <f>Table_1[[#This Row],[Unit Price]]*Table_1[[#This Row],[Quantity]]</f>
        <v>1500000</v>
      </c>
      <c r="M482" s="8">
        <f>Table_1[[#This Row],[Cost Price]]*Table_1[[#This Row],[Quantity]]</f>
        <v>1200000</v>
      </c>
      <c r="N482">
        <f>Table_1[[#This Row],[Revenue]]-Table_1[[#This Row],[COGS]]</f>
        <v>300000</v>
      </c>
      <c r="O482" s="11">
        <f t="shared" si="50"/>
        <v>4656740000</v>
      </c>
      <c r="P482">
        <f t="shared" si="51"/>
        <v>3725392000</v>
      </c>
      <c r="Q482">
        <f t="shared" si="52"/>
        <v>931348000</v>
      </c>
      <c r="R482" s="7">
        <f t="shared" si="53"/>
        <v>2098</v>
      </c>
      <c r="S482" s="7">
        <f t="shared" si="54"/>
        <v>1</v>
      </c>
      <c r="T482" s="7">
        <f t="shared" si="55"/>
        <v>2098</v>
      </c>
    </row>
    <row r="483" spans="1:20" ht="14.25" customHeight="1" x14ac:dyDescent="0.35">
      <c r="A483" s="2" t="s">
        <v>93</v>
      </c>
      <c r="B483" s="2" t="s">
        <v>34</v>
      </c>
      <c r="C483" s="2" t="s">
        <v>30</v>
      </c>
      <c r="D483" s="2" t="s">
        <v>14</v>
      </c>
      <c r="E483" s="2" t="s">
        <v>22</v>
      </c>
      <c r="F483" s="2" t="s">
        <v>47</v>
      </c>
      <c r="G483" s="2" t="s">
        <v>36</v>
      </c>
      <c r="H483" s="2">
        <v>150000</v>
      </c>
      <c r="I483" s="2">
        <v>5</v>
      </c>
      <c r="J483" s="2" t="s">
        <v>27</v>
      </c>
      <c r="K483" s="2">
        <f t="shared" si="49"/>
        <v>120000</v>
      </c>
      <c r="L483" s="9">
        <f>Table_1[[#This Row],[Unit Price]]*Table_1[[#This Row],[Quantity]]</f>
        <v>750000</v>
      </c>
      <c r="M483" s="8">
        <f>Table_1[[#This Row],[Cost Price]]*Table_1[[#This Row],[Quantity]]</f>
        <v>600000</v>
      </c>
      <c r="N483">
        <f>Table_1[[#This Row],[Revenue]]-Table_1[[#This Row],[COGS]]</f>
        <v>150000</v>
      </c>
      <c r="O483" s="11">
        <f t="shared" si="50"/>
        <v>4656740000</v>
      </c>
      <c r="P483">
        <f t="shared" si="51"/>
        <v>3725392000</v>
      </c>
      <c r="Q483">
        <f t="shared" si="52"/>
        <v>931348000</v>
      </c>
      <c r="R483" s="7">
        <f t="shared" si="53"/>
        <v>2098</v>
      </c>
      <c r="S483" s="7">
        <f t="shared" si="54"/>
        <v>4</v>
      </c>
      <c r="T483" s="7">
        <f t="shared" si="55"/>
        <v>2098</v>
      </c>
    </row>
    <row r="484" spans="1:20" ht="14.25" customHeight="1" x14ac:dyDescent="0.35">
      <c r="A484" s="2" t="s">
        <v>40</v>
      </c>
      <c r="B484" s="2" t="s">
        <v>12</v>
      </c>
      <c r="C484" s="2" t="s">
        <v>38</v>
      </c>
      <c r="D484" s="2" t="s">
        <v>14</v>
      </c>
      <c r="E484" s="2" t="s">
        <v>15</v>
      </c>
      <c r="F484" s="2" t="s">
        <v>16</v>
      </c>
      <c r="G484" s="2" t="s">
        <v>17</v>
      </c>
      <c r="H484" s="2">
        <v>85000</v>
      </c>
      <c r="I484" s="2">
        <v>10</v>
      </c>
      <c r="J484" s="2" t="s">
        <v>27</v>
      </c>
      <c r="K484" s="2">
        <f t="shared" si="49"/>
        <v>68000</v>
      </c>
      <c r="L484" s="9">
        <f>Table_1[[#This Row],[Unit Price]]*Table_1[[#This Row],[Quantity]]</f>
        <v>850000</v>
      </c>
      <c r="M484" s="8">
        <f>Table_1[[#This Row],[Cost Price]]*Table_1[[#This Row],[Quantity]]</f>
        <v>680000</v>
      </c>
      <c r="N484">
        <f>Table_1[[#This Row],[Revenue]]-Table_1[[#This Row],[COGS]]</f>
        <v>170000</v>
      </c>
      <c r="O484" s="11">
        <f t="shared" si="50"/>
        <v>4656740000</v>
      </c>
      <c r="P484">
        <f t="shared" si="51"/>
        <v>3725392000</v>
      </c>
      <c r="Q484">
        <f t="shared" si="52"/>
        <v>931348000</v>
      </c>
      <c r="R484" s="7">
        <f t="shared" si="53"/>
        <v>2098</v>
      </c>
      <c r="S484" s="7">
        <f t="shared" si="54"/>
        <v>3</v>
      </c>
      <c r="T484" s="7">
        <f t="shared" si="55"/>
        <v>2098</v>
      </c>
    </row>
    <row r="485" spans="1:20" ht="14.25" customHeight="1" x14ac:dyDescent="0.35">
      <c r="A485" s="2" t="s">
        <v>102</v>
      </c>
      <c r="B485" s="2" t="s">
        <v>34</v>
      </c>
      <c r="C485" s="2" t="s">
        <v>38</v>
      </c>
      <c r="D485" s="2" t="s">
        <v>14</v>
      </c>
      <c r="E485" s="2" t="s">
        <v>15</v>
      </c>
      <c r="F485" s="2" t="s">
        <v>16</v>
      </c>
      <c r="G485" s="2" t="s">
        <v>17</v>
      </c>
      <c r="H485" s="2">
        <v>85000</v>
      </c>
      <c r="I485" s="2">
        <v>8</v>
      </c>
      <c r="J485" s="2" t="s">
        <v>43</v>
      </c>
      <c r="K485" s="2">
        <f t="shared" si="49"/>
        <v>68000</v>
      </c>
      <c r="L485" s="9">
        <f>Table_1[[#This Row],[Unit Price]]*Table_1[[#This Row],[Quantity]]</f>
        <v>680000</v>
      </c>
      <c r="M485" s="8">
        <f>Table_1[[#This Row],[Cost Price]]*Table_1[[#This Row],[Quantity]]</f>
        <v>544000</v>
      </c>
      <c r="N485">
        <f>Table_1[[#This Row],[Revenue]]-Table_1[[#This Row],[COGS]]</f>
        <v>136000</v>
      </c>
      <c r="O485" s="11">
        <f t="shared" si="50"/>
        <v>4656740000</v>
      </c>
      <c r="P485">
        <f t="shared" si="51"/>
        <v>3725392000</v>
      </c>
      <c r="Q485">
        <f t="shared" si="52"/>
        <v>931348000</v>
      </c>
      <c r="R485" s="7">
        <f t="shared" si="53"/>
        <v>2098</v>
      </c>
      <c r="S485" s="7">
        <f t="shared" si="54"/>
        <v>1</v>
      </c>
      <c r="T485" s="7">
        <f t="shared" si="55"/>
        <v>2098</v>
      </c>
    </row>
    <row r="486" spans="1:20" ht="14.25" customHeight="1" x14ac:dyDescent="0.35">
      <c r="A486" s="2" t="s">
        <v>61</v>
      </c>
      <c r="B486" s="2" t="s">
        <v>29</v>
      </c>
      <c r="C486" s="2" t="s">
        <v>13</v>
      </c>
      <c r="D486" s="2" t="s">
        <v>14</v>
      </c>
      <c r="E486" s="2" t="s">
        <v>15</v>
      </c>
      <c r="F486" s="2" t="s">
        <v>16</v>
      </c>
      <c r="G486" s="2" t="s">
        <v>17</v>
      </c>
      <c r="H486" s="2">
        <v>85000</v>
      </c>
      <c r="I486" s="2">
        <v>2</v>
      </c>
      <c r="J486" s="2" t="s">
        <v>32</v>
      </c>
      <c r="K486" s="2">
        <f t="shared" si="49"/>
        <v>68000</v>
      </c>
      <c r="L486" s="9">
        <f>Table_1[[#This Row],[Unit Price]]*Table_1[[#This Row],[Quantity]]</f>
        <v>170000</v>
      </c>
      <c r="M486" s="8">
        <f>Table_1[[#This Row],[Cost Price]]*Table_1[[#This Row],[Quantity]]</f>
        <v>136000</v>
      </c>
      <c r="N486">
        <f>Table_1[[#This Row],[Revenue]]-Table_1[[#This Row],[COGS]]</f>
        <v>34000</v>
      </c>
      <c r="O486" s="11">
        <f t="shared" si="50"/>
        <v>4656740000</v>
      </c>
      <c r="P486">
        <f t="shared" si="51"/>
        <v>3725392000</v>
      </c>
      <c r="Q486">
        <f t="shared" si="52"/>
        <v>931348000</v>
      </c>
      <c r="R486" s="7">
        <f t="shared" si="53"/>
        <v>2098</v>
      </c>
      <c r="S486" s="7">
        <f t="shared" si="54"/>
        <v>5</v>
      </c>
      <c r="T486" s="7">
        <f t="shared" si="55"/>
        <v>2098</v>
      </c>
    </row>
    <row r="487" spans="1:20" ht="14.25" customHeight="1" x14ac:dyDescent="0.35">
      <c r="A487" s="2" t="s">
        <v>88</v>
      </c>
      <c r="B487" s="2" t="s">
        <v>12</v>
      </c>
      <c r="C487" s="2" t="s">
        <v>38</v>
      </c>
      <c r="D487" s="2" t="s">
        <v>14</v>
      </c>
      <c r="E487" s="2" t="s">
        <v>15</v>
      </c>
      <c r="F487" s="2" t="s">
        <v>56</v>
      </c>
      <c r="G487" s="2" t="s">
        <v>36</v>
      </c>
      <c r="H487" s="2">
        <v>250000</v>
      </c>
      <c r="I487" s="2">
        <v>4</v>
      </c>
      <c r="J487" s="2" t="s">
        <v>18</v>
      </c>
      <c r="K487" s="2">
        <f t="shared" si="49"/>
        <v>200000</v>
      </c>
      <c r="L487" s="9">
        <f>Table_1[[#This Row],[Unit Price]]*Table_1[[#This Row],[Quantity]]</f>
        <v>1000000</v>
      </c>
      <c r="M487" s="8">
        <f>Table_1[[#This Row],[Cost Price]]*Table_1[[#This Row],[Quantity]]</f>
        <v>800000</v>
      </c>
      <c r="N487">
        <f>Table_1[[#This Row],[Revenue]]-Table_1[[#This Row],[COGS]]</f>
        <v>200000</v>
      </c>
      <c r="O487" s="11">
        <f t="shared" si="50"/>
        <v>4656740000</v>
      </c>
      <c r="P487">
        <f t="shared" si="51"/>
        <v>3725392000</v>
      </c>
      <c r="Q487">
        <f t="shared" si="52"/>
        <v>931348000</v>
      </c>
      <c r="R487" s="7">
        <f t="shared" si="53"/>
        <v>2098</v>
      </c>
      <c r="S487" s="7">
        <f t="shared" si="54"/>
        <v>3</v>
      </c>
      <c r="T487" s="7">
        <f t="shared" si="55"/>
        <v>2098</v>
      </c>
    </row>
    <row r="488" spans="1:20" ht="14.25" customHeight="1" x14ac:dyDescent="0.35">
      <c r="A488" s="2" t="s">
        <v>49</v>
      </c>
      <c r="B488" s="2" t="s">
        <v>29</v>
      </c>
      <c r="C488" s="2" t="s">
        <v>13</v>
      </c>
      <c r="D488" s="2" t="s">
        <v>14</v>
      </c>
      <c r="E488" s="2" t="s">
        <v>15</v>
      </c>
      <c r="F488" s="2" t="s">
        <v>47</v>
      </c>
      <c r="G488" s="2" t="s">
        <v>36</v>
      </c>
      <c r="H488" s="2">
        <v>150000</v>
      </c>
      <c r="I488" s="2">
        <v>6</v>
      </c>
      <c r="J488" s="2" t="s">
        <v>54</v>
      </c>
      <c r="K488" s="2">
        <f t="shared" si="49"/>
        <v>120000</v>
      </c>
      <c r="L488" s="9">
        <f>Table_1[[#This Row],[Unit Price]]*Table_1[[#This Row],[Quantity]]</f>
        <v>900000</v>
      </c>
      <c r="M488" s="8">
        <f>Table_1[[#This Row],[Cost Price]]*Table_1[[#This Row],[Quantity]]</f>
        <v>720000</v>
      </c>
      <c r="N488">
        <f>Table_1[[#This Row],[Revenue]]-Table_1[[#This Row],[COGS]]</f>
        <v>180000</v>
      </c>
      <c r="O488" s="11">
        <f t="shared" si="50"/>
        <v>4656740000</v>
      </c>
      <c r="P488">
        <f t="shared" si="51"/>
        <v>3725392000</v>
      </c>
      <c r="Q488">
        <f t="shared" si="52"/>
        <v>931348000</v>
      </c>
      <c r="R488" s="7">
        <f t="shared" si="53"/>
        <v>2098</v>
      </c>
      <c r="S488" s="7">
        <f t="shared" si="54"/>
        <v>4</v>
      </c>
      <c r="T488" s="7">
        <f t="shared" si="55"/>
        <v>2098</v>
      </c>
    </row>
    <row r="489" spans="1:20" ht="14.25" customHeight="1" x14ac:dyDescent="0.35">
      <c r="A489" s="2" t="s">
        <v>25</v>
      </c>
      <c r="B489" s="2" t="s">
        <v>29</v>
      </c>
      <c r="C489" s="2" t="s">
        <v>38</v>
      </c>
      <c r="D489" s="2" t="s">
        <v>26</v>
      </c>
      <c r="E489" s="2" t="s">
        <v>22</v>
      </c>
      <c r="F489" s="2" t="s">
        <v>39</v>
      </c>
      <c r="G489" s="2" t="s">
        <v>24</v>
      </c>
      <c r="H489" s="2">
        <v>180000</v>
      </c>
      <c r="I489" s="2">
        <v>10</v>
      </c>
      <c r="J489" s="2" t="s">
        <v>50</v>
      </c>
      <c r="K489" s="2">
        <f t="shared" si="49"/>
        <v>144000</v>
      </c>
      <c r="L489" s="9">
        <f>Table_1[[#This Row],[Unit Price]]*Table_1[[#This Row],[Quantity]]</f>
        <v>1800000</v>
      </c>
      <c r="M489" s="8">
        <f>Table_1[[#This Row],[Cost Price]]*Table_1[[#This Row],[Quantity]]</f>
        <v>1440000</v>
      </c>
      <c r="N489">
        <f>Table_1[[#This Row],[Revenue]]-Table_1[[#This Row],[COGS]]</f>
        <v>360000</v>
      </c>
      <c r="O489" s="11">
        <f t="shared" si="50"/>
        <v>4656740000</v>
      </c>
      <c r="P489">
        <f t="shared" si="51"/>
        <v>3725392000</v>
      </c>
      <c r="Q489">
        <f t="shared" si="52"/>
        <v>931348000</v>
      </c>
      <c r="R489" s="7">
        <f t="shared" si="53"/>
        <v>2098</v>
      </c>
      <c r="S489" s="7">
        <f t="shared" si="54"/>
        <v>2</v>
      </c>
      <c r="T489" s="7">
        <f t="shared" si="55"/>
        <v>2098</v>
      </c>
    </row>
    <row r="490" spans="1:20" ht="14.25" customHeight="1" x14ac:dyDescent="0.35">
      <c r="A490" s="2" t="s">
        <v>149</v>
      </c>
      <c r="B490" s="2" t="s">
        <v>29</v>
      </c>
      <c r="C490" s="2" t="s">
        <v>38</v>
      </c>
      <c r="D490" s="2" t="s">
        <v>14</v>
      </c>
      <c r="E490" s="2" t="s">
        <v>15</v>
      </c>
      <c r="F490" s="2" t="s">
        <v>47</v>
      </c>
      <c r="G490" s="2" t="s">
        <v>36</v>
      </c>
      <c r="H490" s="2">
        <v>150000</v>
      </c>
      <c r="I490" s="2">
        <v>8</v>
      </c>
      <c r="J490" s="2" t="s">
        <v>18</v>
      </c>
      <c r="K490" s="2">
        <f t="shared" si="49"/>
        <v>120000</v>
      </c>
      <c r="L490" s="9">
        <f>Table_1[[#This Row],[Unit Price]]*Table_1[[#This Row],[Quantity]]</f>
        <v>1200000</v>
      </c>
      <c r="M490" s="8">
        <f>Table_1[[#This Row],[Cost Price]]*Table_1[[#This Row],[Quantity]]</f>
        <v>960000</v>
      </c>
      <c r="N490">
        <f>Table_1[[#This Row],[Revenue]]-Table_1[[#This Row],[COGS]]</f>
        <v>240000</v>
      </c>
      <c r="O490" s="11">
        <f t="shared" si="50"/>
        <v>4656740000</v>
      </c>
      <c r="P490">
        <f t="shared" si="51"/>
        <v>3725392000</v>
      </c>
      <c r="Q490">
        <f t="shared" si="52"/>
        <v>931348000</v>
      </c>
      <c r="R490" s="7">
        <f t="shared" si="53"/>
        <v>2098</v>
      </c>
      <c r="S490" s="7">
        <f t="shared" si="54"/>
        <v>3</v>
      </c>
      <c r="T490" s="7">
        <f t="shared" si="55"/>
        <v>2098</v>
      </c>
    </row>
    <row r="491" spans="1:20" ht="14.25" customHeight="1" x14ac:dyDescent="0.35">
      <c r="A491" s="2" t="s">
        <v>119</v>
      </c>
      <c r="B491" s="2" t="s">
        <v>29</v>
      </c>
      <c r="C491" s="2" t="s">
        <v>21</v>
      </c>
      <c r="D491" s="2" t="s">
        <v>14</v>
      </c>
      <c r="E491" s="2" t="s">
        <v>15</v>
      </c>
      <c r="F491" s="2" t="s">
        <v>39</v>
      </c>
      <c r="G491" s="2" t="s">
        <v>24</v>
      </c>
      <c r="H491" s="2">
        <v>180000</v>
      </c>
      <c r="I491" s="2">
        <v>8</v>
      </c>
      <c r="J491" s="2" t="s">
        <v>27</v>
      </c>
      <c r="K491" s="2">
        <f t="shared" si="49"/>
        <v>144000</v>
      </c>
      <c r="L491" s="9">
        <f>Table_1[[#This Row],[Unit Price]]*Table_1[[#This Row],[Quantity]]</f>
        <v>1440000</v>
      </c>
      <c r="M491" s="8">
        <f>Table_1[[#This Row],[Cost Price]]*Table_1[[#This Row],[Quantity]]</f>
        <v>1152000</v>
      </c>
      <c r="N491">
        <f>Table_1[[#This Row],[Revenue]]-Table_1[[#This Row],[COGS]]</f>
        <v>288000</v>
      </c>
      <c r="O491" s="11">
        <f t="shared" si="50"/>
        <v>4656740000</v>
      </c>
      <c r="P491">
        <f t="shared" si="51"/>
        <v>3725392000</v>
      </c>
      <c r="Q491">
        <f t="shared" si="52"/>
        <v>931348000</v>
      </c>
      <c r="R491" s="7">
        <f t="shared" si="53"/>
        <v>2098</v>
      </c>
      <c r="S491" s="7">
        <f t="shared" si="54"/>
        <v>1</v>
      </c>
      <c r="T491" s="7">
        <f t="shared" si="55"/>
        <v>2098</v>
      </c>
    </row>
    <row r="492" spans="1:20" ht="14.25" customHeight="1" x14ac:dyDescent="0.35">
      <c r="A492" s="2" t="s">
        <v>70</v>
      </c>
      <c r="B492" s="2" t="s">
        <v>20</v>
      </c>
      <c r="C492" s="2" t="s">
        <v>30</v>
      </c>
      <c r="D492" s="2" t="s">
        <v>26</v>
      </c>
      <c r="E492" s="2" t="s">
        <v>15</v>
      </c>
      <c r="F492" s="2" t="s">
        <v>47</v>
      </c>
      <c r="G492" s="2" t="s">
        <v>36</v>
      </c>
      <c r="H492" s="2">
        <v>150000</v>
      </c>
      <c r="I492" s="2">
        <v>6</v>
      </c>
      <c r="J492" s="2" t="s">
        <v>43</v>
      </c>
      <c r="K492" s="2">
        <f t="shared" si="49"/>
        <v>120000</v>
      </c>
      <c r="L492" s="9">
        <f>Table_1[[#This Row],[Unit Price]]*Table_1[[#This Row],[Quantity]]</f>
        <v>900000</v>
      </c>
      <c r="M492" s="8">
        <f>Table_1[[#This Row],[Cost Price]]*Table_1[[#This Row],[Quantity]]</f>
        <v>720000</v>
      </c>
      <c r="N492">
        <f>Table_1[[#This Row],[Revenue]]-Table_1[[#This Row],[COGS]]</f>
        <v>180000</v>
      </c>
      <c r="O492" s="11">
        <f t="shared" si="50"/>
        <v>4656740000</v>
      </c>
      <c r="P492">
        <f t="shared" si="51"/>
        <v>3725392000</v>
      </c>
      <c r="Q492">
        <f t="shared" si="52"/>
        <v>931348000</v>
      </c>
      <c r="R492" s="7">
        <f t="shared" si="53"/>
        <v>2098</v>
      </c>
      <c r="S492" s="7">
        <f t="shared" si="54"/>
        <v>2</v>
      </c>
      <c r="T492" s="7">
        <f t="shared" si="55"/>
        <v>2098</v>
      </c>
    </row>
    <row r="493" spans="1:20" ht="14.25" customHeight="1" x14ac:dyDescent="0.35">
      <c r="A493" s="2" t="s">
        <v>99</v>
      </c>
      <c r="B493" s="2" t="s">
        <v>29</v>
      </c>
      <c r="C493" s="2" t="s">
        <v>38</v>
      </c>
      <c r="D493" s="2" t="s">
        <v>26</v>
      </c>
      <c r="E493" s="2" t="s">
        <v>22</v>
      </c>
      <c r="F493" s="2" t="s">
        <v>47</v>
      </c>
      <c r="G493" s="2" t="s">
        <v>36</v>
      </c>
      <c r="H493" s="2">
        <v>150000</v>
      </c>
      <c r="I493" s="2">
        <v>4</v>
      </c>
      <c r="J493" s="2" t="s">
        <v>54</v>
      </c>
      <c r="K493" s="2">
        <f t="shared" si="49"/>
        <v>120000</v>
      </c>
      <c r="L493" s="9">
        <f>Table_1[[#This Row],[Unit Price]]*Table_1[[#This Row],[Quantity]]</f>
        <v>600000</v>
      </c>
      <c r="M493" s="8">
        <f>Table_1[[#This Row],[Cost Price]]*Table_1[[#This Row],[Quantity]]</f>
        <v>480000</v>
      </c>
      <c r="N493">
        <f>Table_1[[#This Row],[Revenue]]-Table_1[[#This Row],[COGS]]</f>
        <v>120000</v>
      </c>
      <c r="O493" s="11">
        <f t="shared" si="50"/>
        <v>4656740000</v>
      </c>
      <c r="P493">
        <f t="shared" si="51"/>
        <v>3725392000</v>
      </c>
      <c r="Q493">
        <f t="shared" si="52"/>
        <v>931348000</v>
      </c>
      <c r="R493" s="7">
        <f t="shared" si="53"/>
        <v>2098</v>
      </c>
      <c r="S493" s="7">
        <f t="shared" si="54"/>
        <v>4</v>
      </c>
      <c r="T493" s="7">
        <f t="shared" si="55"/>
        <v>2098</v>
      </c>
    </row>
    <row r="494" spans="1:20" ht="14.25" customHeight="1" x14ac:dyDescent="0.35">
      <c r="A494" s="2" t="s">
        <v>79</v>
      </c>
      <c r="B494" s="2" t="s">
        <v>12</v>
      </c>
      <c r="C494" s="2" t="s">
        <v>21</v>
      </c>
      <c r="D494" s="2" t="s">
        <v>14</v>
      </c>
      <c r="E494" s="2" t="s">
        <v>15</v>
      </c>
      <c r="F494" s="2" t="s">
        <v>39</v>
      </c>
      <c r="G494" s="2" t="s">
        <v>24</v>
      </c>
      <c r="H494" s="2">
        <v>180000</v>
      </c>
      <c r="I494" s="2">
        <v>1</v>
      </c>
      <c r="J494" s="2" t="s">
        <v>43</v>
      </c>
      <c r="K494" s="2">
        <f t="shared" si="49"/>
        <v>144000</v>
      </c>
      <c r="L494" s="9">
        <f>Table_1[[#This Row],[Unit Price]]*Table_1[[#This Row],[Quantity]]</f>
        <v>180000</v>
      </c>
      <c r="M494" s="8">
        <f>Table_1[[#This Row],[Cost Price]]*Table_1[[#This Row],[Quantity]]</f>
        <v>144000</v>
      </c>
      <c r="N494">
        <f>Table_1[[#This Row],[Revenue]]-Table_1[[#This Row],[COGS]]</f>
        <v>36000</v>
      </c>
      <c r="O494" s="11">
        <f t="shared" si="50"/>
        <v>4656740000</v>
      </c>
      <c r="P494">
        <f t="shared" si="51"/>
        <v>3725392000</v>
      </c>
      <c r="Q494">
        <f t="shared" si="52"/>
        <v>931348000</v>
      </c>
      <c r="R494" s="7">
        <f t="shared" si="53"/>
        <v>2098</v>
      </c>
      <c r="S494" s="7">
        <f t="shared" si="54"/>
        <v>1</v>
      </c>
      <c r="T494" s="7">
        <f t="shared" si="55"/>
        <v>2098</v>
      </c>
    </row>
    <row r="495" spans="1:20" ht="14.25" customHeight="1" x14ac:dyDescent="0.35">
      <c r="A495" s="2" t="s">
        <v>99</v>
      </c>
      <c r="B495" s="2" t="s">
        <v>34</v>
      </c>
      <c r="C495" s="2" t="s">
        <v>21</v>
      </c>
      <c r="D495" s="2" t="s">
        <v>14</v>
      </c>
      <c r="E495" s="2" t="s">
        <v>15</v>
      </c>
      <c r="F495" s="2" t="s">
        <v>56</v>
      </c>
      <c r="G495" s="2" t="s">
        <v>36</v>
      </c>
      <c r="H495" s="2">
        <v>250000</v>
      </c>
      <c r="I495" s="2">
        <v>6</v>
      </c>
      <c r="J495" s="2" t="s">
        <v>54</v>
      </c>
      <c r="K495" s="2">
        <f t="shared" si="49"/>
        <v>200000</v>
      </c>
      <c r="L495" s="9">
        <f>Table_1[[#This Row],[Unit Price]]*Table_1[[#This Row],[Quantity]]</f>
        <v>1500000</v>
      </c>
      <c r="M495" s="8">
        <f>Table_1[[#This Row],[Cost Price]]*Table_1[[#This Row],[Quantity]]</f>
        <v>1200000</v>
      </c>
      <c r="N495">
        <f>Table_1[[#This Row],[Revenue]]-Table_1[[#This Row],[COGS]]</f>
        <v>300000</v>
      </c>
      <c r="O495" s="11">
        <f t="shared" si="50"/>
        <v>4656740000</v>
      </c>
      <c r="P495">
        <f t="shared" si="51"/>
        <v>3725392000</v>
      </c>
      <c r="Q495">
        <f t="shared" si="52"/>
        <v>931348000</v>
      </c>
      <c r="R495" s="7">
        <f t="shared" si="53"/>
        <v>2098</v>
      </c>
      <c r="S495" s="7">
        <f t="shared" si="54"/>
        <v>4</v>
      </c>
      <c r="T495" s="7">
        <f t="shared" si="55"/>
        <v>2098</v>
      </c>
    </row>
    <row r="496" spans="1:20" ht="14.25" customHeight="1" x14ac:dyDescent="0.35">
      <c r="A496" s="2" t="s">
        <v>88</v>
      </c>
      <c r="B496" s="2" t="s">
        <v>29</v>
      </c>
      <c r="C496" s="2" t="s">
        <v>13</v>
      </c>
      <c r="D496" s="2" t="s">
        <v>14</v>
      </c>
      <c r="E496" s="2" t="s">
        <v>15</v>
      </c>
      <c r="F496" s="2" t="s">
        <v>31</v>
      </c>
      <c r="G496" s="2" t="s">
        <v>24</v>
      </c>
      <c r="H496" s="2">
        <v>60000</v>
      </c>
      <c r="I496" s="2">
        <v>6</v>
      </c>
      <c r="J496" s="2" t="s">
        <v>27</v>
      </c>
      <c r="K496" s="2">
        <f t="shared" si="49"/>
        <v>48000</v>
      </c>
      <c r="L496" s="9">
        <f>Table_1[[#This Row],[Unit Price]]*Table_1[[#This Row],[Quantity]]</f>
        <v>360000</v>
      </c>
      <c r="M496" s="8">
        <f>Table_1[[#This Row],[Cost Price]]*Table_1[[#This Row],[Quantity]]</f>
        <v>288000</v>
      </c>
      <c r="N496">
        <f>Table_1[[#This Row],[Revenue]]-Table_1[[#This Row],[COGS]]</f>
        <v>72000</v>
      </c>
      <c r="O496" s="11">
        <f t="shared" si="50"/>
        <v>4656740000</v>
      </c>
      <c r="P496">
        <f t="shared" si="51"/>
        <v>3725392000</v>
      </c>
      <c r="Q496">
        <f t="shared" si="52"/>
        <v>931348000</v>
      </c>
      <c r="R496" s="7">
        <f t="shared" si="53"/>
        <v>2098</v>
      </c>
      <c r="S496" s="7">
        <f t="shared" si="54"/>
        <v>3</v>
      </c>
      <c r="T496" s="7">
        <f t="shared" si="55"/>
        <v>2098</v>
      </c>
    </row>
    <row r="497" spans="1:20" ht="14.25" customHeight="1" x14ac:dyDescent="0.35">
      <c r="A497" s="2" t="s">
        <v>82</v>
      </c>
      <c r="B497" s="2" t="s">
        <v>34</v>
      </c>
      <c r="C497" s="2" t="s">
        <v>38</v>
      </c>
      <c r="D497" s="2" t="s">
        <v>26</v>
      </c>
      <c r="E497" s="2" t="s">
        <v>22</v>
      </c>
      <c r="F497" s="2" t="s">
        <v>47</v>
      </c>
      <c r="G497" s="2" t="s">
        <v>36</v>
      </c>
      <c r="H497" s="2">
        <v>150000</v>
      </c>
      <c r="I497" s="2">
        <v>2</v>
      </c>
      <c r="J497" s="2" t="s">
        <v>27</v>
      </c>
      <c r="K497" s="2">
        <f t="shared" si="49"/>
        <v>120000</v>
      </c>
      <c r="L497" s="9">
        <f>Table_1[[#This Row],[Unit Price]]*Table_1[[#This Row],[Quantity]]</f>
        <v>300000</v>
      </c>
      <c r="M497" s="8">
        <f>Table_1[[#This Row],[Cost Price]]*Table_1[[#This Row],[Quantity]]</f>
        <v>240000</v>
      </c>
      <c r="N497">
        <f>Table_1[[#This Row],[Revenue]]-Table_1[[#This Row],[COGS]]</f>
        <v>60000</v>
      </c>
      <c r="O497" s="11">
        <f t="shared" si="50"/>
        <v>4656740000</v>
      </c>
      <c r="P497">
        <f t="shared" si="51"/>
        <v>3725392000</v>
      </c>
      <c r="Q497">
        <f t="shared" si="52"/>
        <v>931348000</v>
      </c>
      <c r="R497" s="7">
        <f t="shared" si="53"/>
        <v>2098</v>
      </c>
      <c r="S497" s="7">
        <f t="shared" si="54"/>
        <v>1</v>
      </c>
      <c r="T497" s="7">
        <f t="shared" si="55"/>
        <v>2098</v>
      </c>
    </row>
    <row r="498" spans="1:20" ht="14.25" customHeight="1" x14ac:dyDescent="0.35">
      <c r="A498" s="2" t="s">
        <v>74</v>
      </c>
      <c r="B498" s="2" t="s">
        <v>20</v>
      </c>
      <c r="C498" s="2" t="s">
        <v>30</v>
      </c>
      <c r="D498" s="2" t="s">
        <v>26</v>
      </c>
      <c r="E498" s="2" t="s">
        <v>15</v>
      </c>
      <c r="F498" s="2" t="s">
        <v>16</v>
      </c>
      <c r="G498" s="2" t="s">
        <v>17</v>
      </c>
      <c r="H498" s="2">
        <v>85000</v>
      </c>
      <c r="I498" s="2">
        <v>2</v>
      </c>
      <c r="J498" s="2" t="s">
        <v>18</v>
      </c>
      <c r="K498" s="2">
        <f t="shared" si="49"/>
        <v>68000</v>
      </c>
      <c r="L498" s="9">
        <f>Table_1[[#This Row],[Unit Price]]*Table_1[[#This Row],[Quantity]]</f>
        <v>170000</v>
      </c>
      <c r="M498" s="8">
        <f>Table_1[[#This Row],[Cost Price]]*Table_1[[#This Row],[Quantity]]</f>
        <v>136000</v>
      </c>
      <c r="N498">
        <f>Table_1[[#This Row],[Revenue]]-Table_1[[#This Row],[COGS]]</f>
        <v>34000</v>
      </c>
      <c r="O498" s="11">
        <f t="shared" si="50"/>
        <v>4656740000</v>
      </c>
      <c r="P498">
        <f t="shared" si="51"/>
        <v>3725392000</v>
      </c>
      <c r="Q498">
        <f t="shared" si="52"/>
        <v>931348000</v>
      </c>
      <c r="R498" s="7">
        <f t="shared" si="53"/>
        <v>2098</v>
      </c>
      <c r="S498" s="7">
        <f t="shared" si="54"/>
        <v>2</v>
      </c>
      <c r="T498" s="7">
        <f t="shared" si="55"/>
        <v>2098</v>
      </c>
    </row>
    <row r="499" spans="1:20" ht="14.25" customHeight="1" x14ac:dyDescent="0.35">
      <c r="A499" s="2" t="s">
        <v>109</v>
      </c>
      <c r="B499" s="2" t="s">
        <v>29</v>
      </c>
      <c r="C499" s="2" t="s">
        <v>21</v>
      </c>
      <c r="D499" s="2" t="s">
        <v>14</v>
      </c>
      <c r="E499" s="2" t="s">
        <v>22</v>
      </c>
      <c r="F499" s="2" t="s">
        <v>35</v>
      </c>
      <c r="G499" s="2" t="s">
        <v>36</v>
      </c>
      <c r="H499" s="2">
        <v>300000</v>
      </c>
      <c r="I499" s="2">
        <v>5</v>
      </c>
      <c r="J499" s="2" t="s">
        <v>43</v>
      </c>
      <c r="K499" s="2">
        <f t="shared" si="49"/>
        <v>240000</v>
      </c>
      <c r="L499" s="9">
        <f>Table_1[[#This Row],[Unit Price]]*Table_1[[#This Row],[Quantity]]</f>
        <v>1500000</v>
      </c>
      <c r="M499" s="8">
        <f>Table_1[[#This Row],[Cost Price]]*Table_1[[#This Row],[Quantity]]</f>
        <v>1200000</v>
      </c>
      <c r="N499">
        <f>Table_1[[#This Row],[Revenue]]-Table_1[[#This Row],[COGS]]</f>
        <v>300000</v>
      </c>
      <c r="O499" s="11">
        <f t="shared" si="50"/>
        <v>4656740000</v>
      </c>
      <c r="P499">
        <f t="shared" si="51"/>
        <v>3725392000</v>
      </c>
      <c r="Q499">
        <f t="shared" si="52"/>
        <v>931348000</v>
      </c>
      <c r="R499" s="7">
        <f t="shared" si="53"/>
        <v>2098</v>
      </c>
      <c r="S499" s="7">
        <f t="shared" si="54"/>
        <v>2</v>
      </c>
      <c r="T499" s="7">
        <f t="shared" si="55"/>
        <v>2098</v>
      </c>
    </row>
    <row r="500" spans="1:20" ht="14.25" customHeight="1" x14ac:dyDescent="0.35">
      <c r="A500" s="2" t="s">
        <v>91</v>
      </c>
      <c r="B500" s="2" t="s">
        <v>20</v>
      </c>
      <c r="C500" s="2" t="s">
        <v>30</v>
      </c>
      <c r="D500" s="2" t="s">
        <v>26</v>
      </c>
      <c r="E500" s="2" t="s">
        <v>15</v>
      </c>
      <c r="F500" s="2" t="s">
        <v>52</v>
      </c>
      <c r="G500" s="2" t="s">
        <v>36</v>
      </c>
      <c r="H500" s="2">
        <v>420000</v>
      </c>
      <c r="I500" s="2">
        <v>10</v>
      </c>
      <c r="J500" s="2" t="s">
        <v>43</v>
      </c>
      <c r="K500" s="2">
        <f t="shared" si="49"/>
        <v>336000</v>
      </c>
      <c r="L500" s="9">
        <f>Table_1[[#This Row],[Unit Price]]*Table_1[[#This Row],[Quantity]]</f>
        <v>4200000</v>
      </c>
      <c r="M500" s="8">
        <f>Table_1[[#This Row],[Cost Price]]*Table_1[[#This Row],[Quantity]]</f>
        <v>3360000</v>
      </c>
      <c r="N500">
        <f>Table_1[[#This Row],[Revenue]]-Table_1[[#This Row],[COGS]]</f>
        <v>840000</v>
      </c>
      <c r="O500" s="11">
        <f t="shared" si="50"/>
        <v>4656740000</v>
      </c>
      <c r="P500">
        <f t="shared" si="51"/>
        <v>3725392000</v>
      </c>
      <c r="Q500">
        <f t="shared" si="52"/>
        <v>931348000</v>
      </c>
      <c r="R500" s="7">
        <f t="shared" si="53"/>
        <v>2098</v>
      </c>
      <c r="S500" s="7">
        <f t="shared" si="54"/>
        <v>4</v>
      </c>
      <c r="T500" s="7">
        <f t="shared" si="55"/>
        <v>2098</v>
      </c>
    </row>
    <row r="501" spans="1:20" ht="14.25" customHeight="1" x14ac:dyDescent="0.35">
      <c r="A501" s="2" t="s">
        <v>68</v>
      </c>
      <c r="B501" s="2" t="s">
        <v>12</v>
      </c>
      <c r="C501" s="2" t="s">
        <v>38</v>
      </c>
      <c r="D501" s="2" t="s">
        <v>26</v>
      </c>
      <c r="E501" s="2" t="s">
        <v>15</v>
      </c>
      <c r="F501" s="2" t="s">
        <v>39</v>
      </c>
      <c r="G501" s="2" t="s">
        <v>24</v>
      </c>
      <c r="H501" s="2">
        <v>180000</v>
      </c>
      <c r="I501" s="2">
        <v>6</v>
      </c>
      <c r="J501" s="2" t="s">
        <v>27</v>
      </c>
      <c r="K501" s="2">
        <f t="shared" si="49"/>
        <v>144000</v>
      </c>
      <c r="L501" s="9">
        <f>Table_1[[#This Row],[Unit Price]]*Table_1[[#This Row],[Quantity]]</f>
        <v>1080000</v>
      </c>
      <c r="M501" s="8">
        <f>Table_1[[#This Row],[Cost Price]]*Table_1[[#This Row],[Quantity]]</f>
        <v>864000</v>
      </c>
      <c r="N501">
        <f>Table_1[[#This Row],[Revenue]]-Table_1[[#This Row],[COGS]]</f>
        <v>216000</v>
      </c>
      <c r="O501" s="11">
        <f t="shared" si="50"/>
        <v>4656740000</v>
      </c>
      <c r="P501">
        <f t="shared" si="51"/>
        <v>3725392000</v>
      </c>
      <c r="Q501">
        <f t="shared" si="52"/>
        <v>931348000</v>
      </c>
      <c r="R501" s="7">
        <f t="shared" si="53"/>
        <v>2098</v>
      </c>
      <c r="S501" s="7">
        <f t="shared" si="54"/>
        <v>1</v>
      </c>
      <c r="T501" s="7">
        <f t="shared" si="55"/>
        <v>2098</v>
      </c>
    </row>
    <row r="502" spans="1:20" ht="14.25" customHeight="1" x14ac:dyDescent="0.35">
      <c r="A502" s="2" t="s">
        <v>37</v>
      </c>
      <c r="B502" s="2" t="s">
        <v>20</v>
      </c>
      <c r="C502" s="2" t="s">
        <v>38</v>
      </c>
      <c r="D502" s="2" t="s">
        <v>14</v>
      </c>
      <c r="E502" s="2" t="s">
        <v>22</v>
      </c>
      <c r="F502" s="2" t="s">
        <v>16</v>
      </c>
      <c r="G502" s="2" t="s">
        <v>17</v>
      </c>
      <c r="H502" s="2">
        <v>85000</v>
      </c>
      <c r="I502" s="2">
        <v>4</v>
      </c>
      <c r="J502" s="2" t="s">
        <v>43</v>
      </c>
      <c r="K502" s="2">
        <f t="shared" si="49"/>
        <v>68000</v>
      </c>
      <c r="L502" s="9">
        <f>Table_1[[#This Row],[Unit Price]]*Table_1[[#This Row],[Quantity]]</f>
        <v>340000</v>
      </c>
      <c r="M502" s="8">
        <f>Table_1[[#This Row],[Cost Price]]*Table_1[[#This Row],[Quantity]]</f>
        <v>272000</v>
      </c>
      <c r="N502">
        <f>Table_1[[#This Row],[Revenue]]-Table_1[[#This Row],[COGS]]</f>
        <v>68000</v>
      </c>
      <c r="O502" s="11">
        <f t="shared" si="50"/>
        <v>4656740000</v>
      </c>
      <c r="P502">
        <f t="shared" si="51"/>
        <v>3725392000</v>
      </c>
      <c r="Q502">
        <f t="shared" si="52"/>
        <v>931348000</v>
      </c>
      <c r="R502" s="7">
        <f t="shared" si="53"/>
        <v>2098</v>
      </c>
      <c r="S502" s="7">
        <f t="shared" si="54"/>
        <v>3</v>
      </c>
      <c r="T502" s="7">
        <f t="shared" si="55"/>
        <v>2098</v>
      </c>
    </row>
    <row r="503" spans="1:20" ht="14.25" customHeight="1" x14ac:dyDescent="0.35">
      <c r="A503" s="2" t="s">
        <v>70</v>
      </c>
      <c r="B503" s="2" t="s">
        <v>34</v>
      </c>
      <c r="C503" s="2" t="s">
        <v>30</v>
      </c>
      <c r="D503" s="2" t="s">
        <v>26</v>
      </c>
      <c r="E503" s="2" t="s">
        <v>15</v>
      </c>
      <c r="F503" s="2" t="s">
        <v>35</v>
      </c>
      <c r="G503" s="2" t="s">
        <v>36</v>
      </c>
      <c r="H503" s="2">
        <v>300000</v>
      </c>
      <c r="I503" s="2">
        <v>4</v>
      </c>
      <c r="J503" s="2" t="s">
        <v>50</v>
      </c>
      <c r="K503" s="2">
        <f t="shared" si="49"/>
        <v>240000</v>
      </c>
      <c r="L503" s="9">
        <f>Table_1[[#This Row],[Unit Price]]*Table_1[[#This Row],[Quantity]]</f>
        <v>1200000</v>
      </c>
      <c r="M503" s="8">
        <f>Table_1[[#This Row],[Cost Price]]*Table_1[[#This Row],[Quantity]]</f>
        <v>960000</v>
      </c>
      <c r="N503">
        <f>Table_1[[#This Row],[Revenue]]-Table_1[[#This Row],[COGS]]</f>
        <v>240000</v>
      </c>
      <c r="O503" s="11">
        <f t="shared" si="50"/>
        <v>4656740000</v>
      </c>
      <c r="P503">
        <f t="shared" si="51"/>
        <v>3725392000</v>
      </c>
      <c r="Q503">
        <f t="shared" si="52"/>
        <v>931348000</v>
      </c>
      <c r="R503" s="7">
        <f t="shared" si="53"/>
        <v>2098</v>
      </c>
      <c r="S503" s="7">
        <f t="shared" si="54"/>
        <v>2</v>
      </c>
      <c r="T503" s="7">
        <f t="shared" si="55"/>
        <v>2098</v>
      </c>
    </row>
    <row r="504" spans="1:20" ht="14.25" customHeight="1" x14ac:dyDescent="0.35">
      <c r="A504" s="2" t="s">
        <v>77</v>
      </c>
      <c r="B504" s="2" t="s">
        <v>29</v>
      </c>
      <c r="C504" s="2" t="s">
        <v>38</v>
      </c>
      <c r="D504" s="2" t="s">
        <v>14</v>
      </c>
      <c r="E504" s="2" t="s">
        <v>15</v>
      </c>
      <c r="F504" s="2" t="s">
        <v>16</v>
      </c>
      <c r="G504" s="2" t="s">
        <v>17</v>
      </c>
      <c r="H504" s="2">
        <v>85000</v>
      </c>
      <c r="I504" s="2">
        <v>3</v>
      </c>
      <c r="J504" s="2" t="s">
        <v>43</v>
      </c>
      <c r="K504" s="2">
        <f t="shared" si="49"/>
        <v>68000</v>
      </c>
      <c r="L504" s="9">
        <f>Table_1[[#This Row],[Unit Price]]*Table_1[[#This Row],[Quantity]]</f>
        <v>255000</v>
      </c>
      <c r="M504" s="8">
        <f>Table_1[[#This Row],[Cost Price]]*Table_1[[#This Row],[Quantity]]</f>
        <v>204000</v>
      </c>
      <c r="N504">
        <f>Table_1[[#This Row],[Revenue]]-Table_1[[#This Row],[COGS]]</f>
        <v>51000</v>
      </c>
      <c r="O504" s="11">
        <f t="shared" si="50"/>
        <v>4656740000</v>
      </c>
      <c r="P504">
        <f t="shared" si="51"/>
        <v>3725392000</v>
      </c>
      <c r="Q504">
        <f t="shared" si="52"/>
        <v>931348000</v>
      </c>
      <c r="R504" s="7">
        <f t="shared" si="53"/>
        <v>2098</v>
      </c>
      <c r="S504" s="7">
        <f t="shared" si="54"/>
        <v>1</v>
      </c>
      <c r="T504" s="7">
        <f t="shared" si="55"/>
        <v>2098</v>
      </c>
    </row>
    <row r="505" spans="1:20" ht="14.25" customHeight="1" x14ac:dyDescent="0.35">
      <c r="A505" s="2" t="s">
        <v>80</v>
      </c>
      <c r="B505" s="2" t="s">
        <v>34</v>
      </c>
      <c r="C505" s="2" t="s">
        <v>13</v>
      </c>
      <c r="D505" s="2" t="s">
        <v>14</v>
      </c>
      <c r="E505" s="2" t="s">
        <v>22</v>
      </c>
      <c r="F505" s="2" t="s">
        <v>58</v>
      </c>
      <c r="G505" s="2" t="s">
        <v>24</v>
      </c>
      <c r="H505" s="2">
        <v>220000</v>
      </c>
      <c r="I505" s="2">
        <v>9</v>
      </c>
      <c r="J505" s="2" t="s">
        <v>50</v>
      </c>
      <c r="K505" s="2">
        <f t="shared" si="49"/>
        <v>176000</v>
      </c>
      <c r="L505" s="9">
        <f>Table_1[[#This Row],[Unit Price]]*Table_1[[#This Row],[Quantity]]</f>
        <v>1980000</v>
      </c>
      <c r="M505" s="8">
        <f>Table_1[[#This Row],[Cost Price]]*Table_1[[#This Row],[Quantity]]</f>
        <v>1584000</v>
      </c>
      <c r="N505">
        <f>Table_1[[#This Row],[Revenue]]-Table_1[[#This Row],[COGS]]</f>
        <v>396000</v>
      </c>
      <c r="O505" s="11">
        <f t="shared" si="50"/>
        <v>4656740000</v>
      </c>
      <c r="P505">
        <f t="shared" si="51"/>
        <v>3725392000</v>
      </c>
      <c r="Q505">
        <f t="shared" si="52"/>
        <v>931348000</v>
      </c>
      <c r="R505" s="7">
        <f t="shared" si="53"/>
        <v>2098</v>
      </c>
      <c r="S505" s="7">
        <f t="shared" si="54"/>
        <v>2</v>
      </c>
      <c r="T505" s="7">
        <f t="shared" si="55"/>
        <v>2098</v>
      </c>
    </row>
    <row r="506" spans="1:20" ht="14.25" customHeight="1" x14ac:dyDescent="0.35">
      <c r="A506" s="2" t="s">
        <v>142</v>
      </c>
      <c r="B506" s="2" t="s">
        <v>12</v>
      </c>
      <c r="C506" s="2" t="s">
        <v>30</v>
      </c>
      <c r="D506" s="2" t="s">
        <v>26</v>
      </c>
      <c r="E506" s="2" t="s">
        <v>15</v>
      </c>
      <c r="F506" s="2" t="s">
        <v>39</v>
      </c>
      <c r="G506" s="2" t="s">
        <v>24</v>
      </c>
      <c r="H506" s="2">
        <v>180000</v>
      </c>
      <c r="I506" s="2">
        <v>3</v>
      </c>
      <c r="J506" s="2" t="s">
        <v>43</v>
      </c>
      <c r="K506" s="2">
        <f t="shared" si="49"/>
        <v>144000</v>
      </c>
      <c r="L506" s="9">
        <f>Table_1[[#This Row],[Unit Price]]*Table_1[[#This Row],[Quantity]]</f>
        <v>540000</v>
      </c>
      <c r="M506" s="8">
        <f>Table_1[[#This Row],[Cost Price]]*Table_1[[#This Row],[Quantity]]</f>
        <v>432000</v>
      </c>
      <c r="N506">
        <f>Table_1[[#This Row],[Revenue]]-Table_1[[#This Row],[COGS]]</f>
        <v>108000</v>
      </c>
      <c r="O506" s="11">
        <f t="shared" si="50"/>
        <v>4656740000</v>
      </c>
      <c r="P506">
        <f t="shared" si="51"/>
        <v>3725392000</v>
      </c>
      <c r="Q506">
        <f t="shared" si="52"/>
        <v>931348000</v>
      </c>
      <c r="R506" s="7">
        <f t="shared" si="53"/>
        <v>2098</v>
      </c>
      <c r="S506" s="7">
        <f t="shared" si="54"/>
        <v>4</v>
      </c>
      <c r="T506" s="7">
        <f t="shared" si="55"/>
        <v>2098</v>
      </c>
    </row>
    <row r="507" spans="1:20" ht="14.25" customHeight="1" x14ac:dyDescent="0.35">
      <c r="A507" s="2" t="s">
        <v>157</v>
      </c>
      <c r="B507" s="2" t="s">
        <v>20</v>
      </c>
      <c r="C507" s="2" t="s">
        <v>21</v>
      </c>
      <c r="D507" s="2" t="s">
        <v>26</v>
      </c>
      <c r="E507" s="2" t="s">
        <v>22</v>
      </c>
      <c r="F507" s="2" t="s">
        <v>35</v>
      </c>
      <c r="G507" s="2" t="s">
        <v>36</v>
      </c>
      <c r="H507" s="2">
        <v>300000</v>
      </c>
      <c r="I507" s="2">
        <v>9</v>
      </c>
      <c r="J507" s="2" t="s">
        <v>27</v>
      </c>
      <c r="K507" s="2">
        <f t="shared" si="49"/>
        <v>240000</v>
      </c>
      <c r="L507" s="9">
        <f>Table_1[[#This Row],[Unit Price]]*Table_1[[#This Row],[Quantity]]</f>
        <v>2700000</v>
      </c>
      <c r="M507" s="8">
        <f>Table_1[[#This Row],[Cost Price]]*Table_1[[#This Row],[Quantity]]</f>
        <v>2160000</v>
      </c>
      <c r="N507">
        <f>Table_1[[#This Row],[Revenue]]-Table_1[[#This Row],[COGS]]</f>
        <v>540000</v>
      </c>
      <c r="O507" s="11">
        <f t="shared" si="50"/>
        <v>4656740000</v>
      </c>
      <c r="P507">
        <f t="shared" si="51"/>
        <v>3725392000</v>
      </c>
      <c r="Q507">
        <f t="shared" si="52"/>
        <v>931348000</v>
      </c>
      <c r="R507" s="7">
        <f t="shared" si="53"/>
        <v>2098</v>
      </c>
      <c r="S507" s="7">
        <f t="shared" si="54"/>
        <v>3</v>
      </c>
      <c r="T507" s="7">
        <f t="shared" si="55"/>
        <v>2098</v>
      </c>
    </row>
    <row r="508" spans="1:20" ht="14.25" customHeight="1" x14ac:dyDescent="0.35">
      <c r="A508" s="2" t="s">
        <v>146</v>
      </c>
      <c r="B508" s="2" t="s">
        <v>34</v>
      </c>
      <c r="C508" s="2" t="s">
        <v>13</v>
      </c>
      <c r="D508" s="2" t="s">
        <v>26</v>
      </c>
      <c r="E508" s="2" t="s">
        <v>22</v>
      </c>
      <c r="F508" s="2" t="s">
        <v>47</v>
      </c>
      <c r="G508" s="2" t="s">
        <v>36</v>
      </c>
      <c r="H508" s="2">
        <v>150000</v>
      </c>
      <c r="I508" s="2">
        <v>4</v>
      </c>
      <c r="J508" s="2" t="s">
        <v>32</v>
      </c>
      <c r="K508" s="2">
        <f t="shared" si="49"/>
        <v>120000</v>
      </c>
      <c r="L508" s="9">
        <f>Table_1[[#This Row],[Unit Price]]*Table_1[[#This Row],[Quantity]]</f>
        <v>600000</v>
      </c>
      <c r="M508" s="8">
        <f>Table_1[[#This Row],[Cost Price]]*Table_1[[#This Row],[Quantity]]</f>
        <v>480000</v>
      </c>
      <c r="N508">
        <f>Table_1[[#This Row],[Revenue]]-Table_1[[#This Row],[COGS]]</f>
        <v>120000</v>
      </c>
      <c r="O508" s="11">
        <f t="shared" si="50"/>
        <v>4656740000</v>
      </c>
      <c r="P508">
        <f t="shared" si="51"/>
        <v>3725392000</v>
      </c>
      <c r="Q508">
        <f t="shared" si="52"/>
        <v>931348000</v>
      </c>
      <c r="R508" s="7">
        <f t="shared" si="53"/>
        <v>2098</v>
      </c>
      <c r="S508" s="7">
        <f t="shared" si="54"/>
        <v>3</v>
      </c>
      <c r="T508" s="7">
        <f t="shared" si="55"/>
        <v>2098</v>
      </c>
    </row>
    <row r="509" spans="1:20" ht="14.25" customHeight="1" x14ac:dyDescent="0.35">
      <c r="A509" s="2" t="s">
        <v>77</v>
      </c>
      <c r="B509" s="2" t="s">
        <v>20</v>
      </c>
      <c r="C509" s="2" t="s">
        <v>38</v>
      </c>
      <c r="D509" s="2" t="s">
        <v>26</v>
      </c>
      <c r="E509" s="2" t="s">
        <v>22</v>
      </c>
      <c r="F509" s="2" t="s">
        <v>41</v>
      </c>
      <c r="G509" s="2" t="s">
        <v>17</v>
      </c>
      <c r="H509" s="2">
        <v>320000</v>
      </c>
      <c r="I509" s="2">
        <v>8</v>
      </c>
      <c r="J509" s="2" t="s">
        <v>50</v>
      </c>
      <c r="K509" s="2">
        <f t="shared" si="49"/>
        <v>256000</v>
      </c>
      <c r="L509" s="9">
        <f>Table_1[[#This Row],[Unit Price]]*Table_1[[#This Row],[Quantity]]</f>
        <v>2560000</v>
      </c>
      <c r="M509" s="8">
        <f>Table_1[[#This Row],[Cost Price]]*Table_1[[#This Row],[Quantity]]</f>
        <v>2048000</v>
      </c>
      <c r="N509">
        <f>Table_1[[#This Row],[Revenue]]-Table_1[[#This Row],[COGS]]</f>
        <v>512000</v>
      </c>
      <c r="O509" s="11">
        <f t="shared" si="50"/>
        <v>4656740000</v>
      </c>
      <c r="P509">
        <f t="shared" si="51"/>
        <v>3725392000</v>
      </c>
      <c r="Q509">
        <f t="shared" si="52"/>
        <v>931348000</v>
      </c>
      <c r="R509" s="7">
        <f t="shared" si="53"/>
        <v>2098</v>
      </c>
      <c r="S509" s="7">
        <f t="shared" si="54"/>
        <v>1</v>
      </c>
      <c r="T509" s="7">
        <f t="shared" si="55"/>
        <v>2098</v>
      </c>
    </row>
    <row r="510" spans="1:20" ht="14.25" customHeight="1" x14ac:dyDescent="0.35">
      <c r="A510" s="2" t="s">
        <v>130</v>
      </c>
      <c r="B510" s="2" t="s">
        <v>34</v>
      </c>
      <c r="C510" s="2" t="s">
        <v>38</v>
      </c>
      <c r="D510" s="2" t="s">
        <v>14</v>
      </c>
      <c r="E510" s="2" t="s">
        <v>15</v>
      </c>
      <c r="F510" s="2" t="s">
        <v>41</v>
      </c>
      <c r="G510" s="2" t="s">
        <v>17</v>
      </c>
      <c r="H510" s="2">
        <v>320000</v>
      </c>
      <c r="I510" s="2">
        <v>7</v>
      </c>
      <c r="J510" s="2" t="s">
        <v>54</v>
      </c>
      <c r="K510" s="2">
        <f t="shared" si="49"/>
        <v>256000</v>
      </c>
      <c r="L510" s="9">
        <f>Table_1[[#This Row],[Unit Price]]*Table_1[[#This Row],[Quantity]]</f>
        <v>2240000</v>
      </c>
      <c r="M510" s="8">
        <f>Table_1[[#This Row],[Cost Price]]*Table_1[[#This Row],[Quantity]]</f>
        <v>1792000</v>
      </c>
      <c r="N510">
        <f>Table_1[[#This Row],[Revenue]]-Table_1[[#This Row],[COGS]]</f>
        <v>448000</v>
      </c>
      <c r="O510" s="11">
        <f t="shared" si="50"/>
        <v>4656740000</v>
      </c>
      <c r="P510">
        <f t="shared" si="51"/>
        <v>3725392000</v>
      </c>
      <c r="Q510">
        <f t="shared" si="52"/>
        <v>931348000</v>
      </c>
      <c r="R510" s="7">
        <f t="shared" si="53"/>
        <v>2098</v>
      </c>
      <c r="S510" s="7">
        <f t="shared" si="54"/>
        <v>1</v>
      </c>
      <c r="T510" s="7">
        <f t="shared" si="55"/>
        <v>2098</v>
      </c>
    </row>
    <row r="511" spans="1:20" ht="14.25" customHeight="1" x14ac:dyDescent="0.35">
      <c r="A511" s="2" t="s">
        <v>53</v>
      </c>
      <c r="B511" s="2" t="s">
        <v>20</v>
      </c>
      <c r="C511" s="2" t="s">
        <v>38</v>
      </c>
      <c r="D511" s="2" t="s">
        <v>14</v>
      </c>
      <c r="E511" s="2" t="s">
        <v>22</v>
      </c>
      <c r="F511" s="2" t="s">
        <v>58</v>
      </c>
      <c r="G511" s="2" t="s">
        <v>24</v>
      </c>
      <c r="H511" s="2">
        <v>220000</v>
      </c>
      <c r="I511" s="2">
        <v>10</v>
      </c>
      <c r="J511" s="2" t="s">
        <v>32</v>
      </c>
      <c r="K511" s="2">
        <f t="shared" si="49"/>
        <v>176000</v>
      </c>
      <c r="L511" s="9">
        <f>Table_1[[#This Row],[Unit Price]]*Table_1[[#This Row],[Quantity]]</f>
        <v>2200000</v>
      </c>
      <c r="M511" s="8">
        <f>Table_1[[#This Row],[Cost Price]]*Table_1[[#This Row],[Quantity]]</f>
        <v>1760000</v>
      </c>
      <c r="N511">
        <f>Table_1[[#This Row],[Revenue]]-Table_1[[#This Row],[COGS]]</f>
        <v>440000</v>
      </c>
      <c r="O511" s="11">
        <f t="shared" si="50"/>
        <v>4656740000</v>
      </c>
      <c r="P511">
        <f t="shared" si="51"/>
        <v>3725392000</v>
      </c>
      <c r="Q511">
        <f t="shared" si="52"/>
        <v>931348000</v>
      </c>
      <c r="R511" s="7">
        <f t="shared" si="53"/>
        <v>2098</v>
      </c>
      <c r="S511" s="7">
        <f t="shared" si="54"/>
        <v>3</v>
      </c>
      <c r="T511" s="7">
        <f t="shared" si="55"/>
        <v>2098</v>
      </c>
    </row>
    <row r="512" spans="1:20" ht="14.25" customHeight="1" x14ac:dyDescent="0.35">
      <c r="A512" s="2" t="s">
        <v>60</v>
      </c>
      <c r="B512" s="2" t="s">
        <v>29</v>
      </c>
      <c r="C512" s="2" t="s">
        <v>21</v>
      </c>
      <c r="D512" s="2" t="s">
        <v>14</v>
      </c>
      <c r="E512" s="2" t="s">
        <v>22</v>
      </c>
      <c r="F512" s="2" t="s">
        <v>23</v>
      </c>
      <c r="G512" s="2" t="s">
        <v>24</v>
      </c>
      <c r="H512" s="2">
        <v>30000</v>
      </c>
      <c r="I512" s="2">
        <v>7</v>
      </c>
      <c r="J512" s="2" t="s">
        <v>32</v>
      </c>
      <c r="K512" s="2">
        <f t="shared" si="49"/>
        <v>24000</v>
      </c>
      <c r="L512" s="9">
        <f>Table_1[[#This Row],[Unit Price]]*Table_1[[#This Row],[Quantity]]</f>
        <v>210000</v>
      </c>
      <c r="M512" s="8">
        <f>Table_1[[#This Row],[Cost Price]]*Table_1[[#This Row],[Quantity]]</f>
        <v>168000</v>
      </c>
      <c r="N512">
        <f>Table_1[[#This Row],[Revenue]]-Table_1[[#This Row],[COGS]]</f>
        <v>42000</v>
      </c>
      <c r="O512" s="11">
        <f t="shared" si="50"/>
        <v>4656740000</v>
      </c>
      <c r="P512">
        <f t="shared" si="51"/>
        <v>3725392000</v>
      </c>
      <c r="Q512">
        <f t="shared" si="52"/>
        <v>931348000</v>
      </c>
      <c r="R512" s="7">
        <f t="shared" si="53"/>
        <v>2098</v>
      </c>
      <c r="S512" s="7">
        <f t="shared" si="54"/>
        <v>3</v>
      </c>
      <c r="T512" s="7">
        <f t="shared" si="55"/>
        <v>2098</v>
      </c>
    </row>
    <row r="513" spans="1:20" ht="14.25" customHeight="1" x14ac:dyDescent="0.35">
      <c r="A513" s="2" t="s">
        <v>123</v>
      </c>
      <c r="B513" s="2" t="s">
        <v>20</v>
      </c>
      <c r="C513" s="2" t="s">
        <v>30</v>
      </c>
      <c r="D513" s="2" t="s">
        <v>14</v>
      </c>
      <c r="E513" s="2" t="s">
        <v>15</v>
      </c>
      <c r="F513" s="2" t="s">
        <v>41</v>
      </c>
      <c r="G513" s="2" t="s">
        <v>17</v>
      </c>
      <c r="H513" s="2">
        <v>320000</v>
      </c>
      <c r="I513" s="2">
        <v>2</v>
      </c>
      <c r="J513" s="2" t="s">
        <v>32</v>
      </c>
      <c r="K513" s="2">
        <f t="shared" si="49"/>
        <v>256000</v>
      </c>
      <c r="L513" s="9">
        <f>Table_1[[#This Row],[Unit Price]]*Table_1[[#This Row],[Quantity]]</f>
        <v>640000</v>
      </c>
      <c r="M513" s="8">
        <f>Table_1[[#This Row],[Cost Price]]*Table_1[[#This Row],[Quantity]]</f>
        <v>512000</v>
      </c>
      <c r="N513">
        <f>Table_1[[#This Row],[Revenue]]-Table_1[[#This Row],[COGS]]</f>
        <v>128000</v>
      </c>
      <c r="O513" s="11">
        <f t="shared" si="50"/>
        <v>4656740000</v>
      </c>
      <c r="P513">
        <f t="shared" si="51"/>
        <v>3725392000</v>
      </c>
      <c r="Q513">
        <f t="shared" si="52"/>
        <v>931348000</v>
      </c>
      <c r="R513" s="7">
        <f t="shared" si="53"/>
        <v>2098</v>
      </c>
      <c r="S513" s="7">
        <f t="shared" si="54"/>
        <v>4</v>
      </c>
      <c r="T513" s="7">
        <f t="shared" si="55"/>
        <v>2098</v>
      </c>
    </row>
    <row r="514" spans="1:20" ht="14.25" customHeight="1" x14ac:dyDescent="0.35">
      <c r="A514" s="2" t="s">
        <v>115</v>
      </c>
      <c r="B514" s="2" t="s">
        <v>34</v>
      </c>
      <c r="C514" s="2" t="s">
        <v>30</v>
      </c>
      <c r="D514" s="2" t="s">
        <v>26</v>
      </c>
      <c r="E514" s="2" t="s">
        <v>22</v>
      </c>
      <c r="F514" s="2" t="s">
        <v>35</v>
      </c>
      <c r="G514" s="2" t="s">
        <v>36</v>
      </c>
      <c r="H514" s="2">
        <v>300000</v>
      </c>
      <c r="I514" s="2">
        <v>3</v>
      </c>
      <c r="J514" s="2" t="s">
        <v>50</v>
      </c>
      <c r="K514" s="2">
        <f t="shared" ref="K514:K577" si="56">H514-H514*0.2</f>
        <v>240000</v>
      </c>
      <c r="L514" s="9">
        <f>Table_1[[#This Row],[Unit Price]]*Table_1[[#This Row],[Quantity]]</f>
        <v>900000</v>
      </c>
      <c r="M514" s="8">
        <f>Table_1[[#This Row],[Cost Price]]*Table_1[[#This Row],[Quantity]]</f>
        <v>720000</v>
      </c>
      <c r="N514">
        <f>Table_1[[#This Row],[Revenue]]-Table_1[[#This Row],[COGS]]</f>
        <v>180000</v>
      </c>
      <c r="O514" s="11">
        <f t="shared" ref="O514:O577" si="57">SUM(L$2:L$1048576)</f>
        <v>4656740000</v>
      </c>
      <c r="P514">
        <f t="shared" ref="P514:P577" si="58">SUM(M:M)</f>
        <v>3725392000</v>
      </c>
      <c r="Q514">
        <f t="shared" ref="Q514:Q577" si="59">SUM(N:N)</f>
        <v>931348000</v>
      </c>
      <c r="R514" s="7">
        <f t="shared" ref="R514:R577" si="60">COUNTA(A$2:A$1048576)</f>
        <v>2098</v>
      </c>
      <c r="S514" s="7">
        <f t="shared" ref="S514:S577" si="61">MONTH(A514:A2002)</f>
        <v>1</v>
      </c>
      <c r="T514" s="7">
        <f t="shared" ref="T514:T577" si="62">COUNTA(A:A)-1</f>
        <v>2098</v>
      </c>
    </row>
    <row r="515" spans="1:20" ht="14.25" customHeight="1" x14ac:dyDescent="0.35">
      <c r="A515" s="2" t="s">
        <v>19</v>
      </c>
      <c r="B515" s="2" t="s">
        <v>29</v>
      </c>
      <c r="C515" s="2" t="s">
        <v>13</v>
      </c>
      <c r="D515" s="2" t="s">
        <v>14</v>
      </c>
      <c r="E515" s="2" t="s">
        <v>15</v>
      </c>
      <c r="F515" s="2" t="s">
        <v>35</v>
      </c>
      <c r="G515" s="2" t="s">
        <v>36</v>
      </c>
      <c r="H515" s="2">
        <v>300000</v>
      </c>
      <c r="I515" s="2">
        <v>3</v>
      </c>
      <c r="J515" s="2" t="s">
        <v>32</v>
      </c>
      <c r="K515" s="2">
        <f t="shared" si="56"/>
        <v>240000</v>
      </c>
      <c r="L515" s="9">
        <f>Table_1[[#This Row],[Unit Price]]*Table_1[[#This Row],[Quantity]]</f>
        <v>900000</v>
      </c>
      <c r="M515" s="8">
        <f>Table_1[[#This Row],[Cost Price]]*Table_1[[#This Row],[Quantity]]</f>
        <v>720000</v>
      </c>
      <c r="N515">
        <f>Table_1[[#This Row],[Revenue]]-Table_1[[#This Row],[COGS]]</f>
        <v>180000</v>
      </c>
      <c r="O515" s="11">
        <f t="shared" si="57"/>
        <v>4656740000</v>
      </c>
      <c r="P515">
        <f t="shared" si="58"/>
        <v>3725392000</v>
      </c>
      <c r="Q515">
        <f t="shared" si="59"/>
        <v>931348000</v>
      </c>
      <c r="R515" s="7">
        <f t="shared" si="60"/>
        <v>2098</v>
      </c>
      <c r="S515" s="7">
        <f t="shared" si="61"/>
        <v>4</v>
      </c>
      <c r="T515" s="7">
        <f t="shared" si="62"/>
        <v>2098</v>
      </c>
    </row>
    <row r="516" spans="1:20" ht="14.25" customHeight="1" x14ac:dyDescent="0.35">
      <c r="A516" s="2" t="s">
        <v>57</v>
      </c>
      <c r="B516" s="2" t="s">
        <v>29</v>
      </c>
      <c r="C516" s="2" t="s">
        <v>38</v>
      </c>
      <c r="D516" s="2" t="s">
        <v>14</v>
      </c>
      <c r="E516" s="2" t="s">
        <v>22</v>
      </c>
      <c r="F516" s="2" t="s">
        <v>47</v>
      </c>
      <c r="G516" s="2" t="s">
        <v>36</v>
      </c>
      <c r="H516" s="2">
        <v>150000</v>
      </c>
      <c r="I516" s="2">
        <v>10</v>
      </c>
      <c r="J516" s="2" t="s">
        <v>32</v>
      </c>
      <c r="K516" s="2">
        <f t="shared" si="56"/>
        <v>120000</v>
      </c>
      <c r="L516" s="9">
        <f>Table_1[[#This Row],[Unit Price]]*Table_1[[#This Row],[Quantity]]</f>
        <v>1500000</v>
      </c>
      <c r="M516" s="8">
        <f>Table_1[[#This Row],[Cost Price]]*Table_1[[#This Row],[Quantity]]</f>
        <v>1200000</v>
      </c>
      <c r="N516">
        <f>Table_1[[#This Row],[Revenue]]-Table_1[[#This Row],[COGS]]</f>
        <v>300000</v>
      </c>
      <c r="O516" s="11">
        <f t="shared" si="57"/>
        <v>4656740000</v>
      </c>
      <c r="P516">
        <f t="shared" si="58"/>
        <v>3725392000</v>
      </c>
      <c r="Q516">
        <f t="shared" si="59"/>
        <v>931348000</v>
      </c>
      <c r="R516" s="7">
        <f t="shared" si="60"/>
        <v>2098</v>
      </c>
      <c r="S516" s="7">
        <f t="shared" si="61"/>
        <v>2</v>
      </c>
      <c r="T516" s="7">
        <f t="shared" si="62"/>
        <v>2098</v>
      </c>
    </row>
    <row r="517" spans="1:20" ht="14.25" customHeight="1" x14ac:dyDescent="0.35">
      <c r="A517" s="2" t="s">
        <v>117</v>
      </c>
      <c r="B517" s="2" t="s">
        <v>29</v>
      </c>
      <c r="C517" s="2" t="s">
        <v>21</v>
      </c>
      <c r="D517" s="2" t="s">
        <v>26</v>
      </c>
      <c r="E517" s="2" t="s">
        <v>22</v>
      </c>
      <c r="F517" s="2" t="s">
        <v>23</v>
      </c>
      <c r="G517" s="2" t="s">
        <v>24</v>
      </c>
      <c r="H517" s="2">
        <v>30000</v>
      </c>
      <c r="I517" s="2">
        <v>7</v>
      </c>
      <c r="J517" s="2" t="s">
        <v>43</v>
      </c>
      <c r="K517" s="2">
        <f t="shared" si="56"/>
        <v>24000</v>
      </c>
      <c r="L517" s="9">
        <f>Table_1[[#This Row],[Unit Price]]*Table_1[[#This Row],[Quantity]]</f>
        <v>210000</v>
      </c>
      <c r="M517" s="8">
        <f>Table_1[[#This Row],[Cost Price]]*Table_1[[#This Row],[Quantity]]</f>
        <v>168000</v>
      </c>
      <c r="N517">
        <f>Table_1[[#This Row],[Revenue]]-Table_1[[#This Row],[COGS]]</f>
        <v>42000</v>
      </c>
      <c r="O517" s="11">
        <f t="shared" si="57"/>
        <v>4656740000</v>
      </c>
      <c r="P517">
        <f t="shared" si="58"/>
        <v>3725392000</v>
      </c>
      <c r="Q517">
        <f t="shared" si="59"/>
        <v>931348000</v>
      </c>
      <c r="R517" s="7">
        <f t="shared" si="60"/>
        <v>2098</v>
      </c>
      <c r="S517" s="7">
        <f t="shared" si="61"/>
        <v>4</v>
      </c>
      <c r="T517" s="7">
        <f t="shared" si="62"/>
        <v>2098</v>
      </c>
    </row>
    <row r="518" spans="1:20" ht="14.25" customHeight="1" x14ac:dyDescent="0.35">
      <c r="A518" s="2" t="s">
        <v>78</v>
      </c>
      <c r="B518" s="2" t="s">
        <v>12</v>
      </c>
      <c r="C518" s="2" t="s">
        <v>13</v>
      </c>
      <c r="D518" s="2" t="s">
        <v>14</v>
      </c>
      <c r="E518" s="2" t="s">
        <v>15</v>
      </c>
      <c r="F518" s="2" t="s">
        <v>31</v>
      </c>
      <c r="G518" s="2" t="s">
        <v>24</v>
      </c>
      <c r="H518" s="2">
        <v>60000</v>
      </c>
      <c r="I518" s="2">
        <v>2</v>
      </c>
      <c r="J518" s="2" t="s">
        <v>50</v>
      </c>
      <c r="K518" s="2">
        <f t="shared" si="56"/>
        <v>48000</v>
      </c>
      <c r="L518" s="9">
        <f>Table_1[[#This Row],[Unit Price]]*Table_1[[#This Row],[Quantity]]</f>
        <v>120000</v>
      </c>
      <c r="M518" s="8">
        <f>Table_1[[#This Row],[Cost Price]]*Table_1[[#This Row],[Quantity]]</f>
        <v>96000</v>
      </c>
      <c r="N518">
        <f>Table_1[[#This Row],[Revenue]]-Table_1[[#This Row],[COGS]]</f>
        <v>24000</v>
      </c>
      <c r="O518" s="11">
        <f t="shared" si="57"/>
        <v>4656740000</v>
      </c>
      <c r="P518">
        <f t="shared" si="58"/>
        <v>3725392000</v>
      </c>
      <c r="Q518">
        <f t="shared" si="59"/>
        <v>931348000</v>
      </c>
      <c r="R518" s="7">
        <f t="shared" si="60"/>
        <v>2098</v>
      </c>
      <c r="S518" s="7">
        <f t="shared" si="61"/>
        <v>4</v>
      </c>
      <c r="T518" s="7">
        <f t="shared" si="62"/>
        <v>2098</v>
      </c>
    </row>
    <row r="519" spans="1:20" ht="14.25" customHeight="1" x14ac:dyDescent="0.35">
      <c r="A519" s="2" t="s">
        <v>143</v>
      </c>
      <c r="B519" s="2" t="s">
        <v>20</v>
      </c>
      <c r="C519" s="2" t="s">
        <v>21</v>
      </c>
      <c r="D519" s="2" t="s">
        <v>14</v>
      </c>
      <c r="E519" s="2" t="s">
        <v>15</v>
      </c>
      <c r="F519" s="2" t="s">
        <v>35</v>
      </c>
      <c r="G519" s="2" t="s">
        <v>36</v>
      </c>
      <c r="H519" s="2">
        <v>300000</v>
      </c>
      <c r="I519" s="2">
        <v>8</v>
      </c>
      <c r="J519" s="2" t="s">
        <v>18</v>
      </c>
      <c r="K519" s="2">
        <f t="shared" si="56"/>
        <v>240000</v>
      </c>
      <c r="L519" s="9">
        <f>Table_1[[#This Row],[Unit Price]]*Table_1[[#This Row],[Quantity]]</f>
        <v>2400000</v>
      </c>
      <c r="M519" s="8">
        <f>Table_1[[#This Row],[Cost Price]]*Table_1[[#This Row],[Quantity]]</f>
        <v>1920000</v>
      </c>
      <c r="N519">
        <f>Table_1[[#This Row],[Revenue]]-Table_1[[#This Row],[COGS]]</f>
        <v>480000</v>
      </c>
      <c r="O519" s="11">
        <f t="shared" si="57"/>
        <v>4656740000</v>
      </c>
      <c r="P519">
        <f t="shared" si="58"/>
        <v>3725392000</v>
      </c>
      <c r="Q519">
        <f t="shared" si="59"/>
        <v>931348000</v>
      </c>
      <c r="R519" s="7">
        <f t="shared" si="60"/>
        <v>2098</v>
      </c>
      <c r="S519" s="7">
        <f t="shared" si="61"/>
        <v>1</v>
      </c>
      <c r="T519" s="7">
        <f t="shared" si="62"/>
        <v>2098</v>
      </c>
    </row>
    <row r="520" spans="1:20" ht="14.25" customHeight="1" x14ac:dyDescent="0.35">
      <c r="A520" s="2" t="s">
        <v>94</v>
      </c>
      <c r="B520" s="2" t="s">
        <v>34</v>
      </c>
      <c r="C520" s="2" t="s">
        <v>21</v>
      </c>
      <c r="D520" s="2" t="s">
        <v>26</v>
      </c>
      <c r="E520" s="2" t="s">
        <v>22</v>
      </c>
      <c r="F520" s="2" t="s">
        <v>23</v>
      </c>
      <c r="G520" s="2" t="s">
        <v>24</v>
      </c>
      <c r="H520" s="2">
        <v>30000</v>
      </c>
      <c r="I520" s="2">
        <v>6</v>
      </c>
      <c r="J520" s="2" t="s">
        <v>32</v>
      </c>
      <c r="K520" s="2">
        <f t="shared" si="56"/>
        <v>24000</v>
      </c>
      <c r="L520" s="9">
        <f>Table_1[[#This Row],[Unit Price]]*Table_1[[#This Row],[Quantity]]</f>
        <v>180000</v>
      </c>
      <c r="M520" s="8">
        <f>Table_1[[#This Row],[Cost Price]]*Table_1[[#This Row],[Quantity]]</f>
        <v>144000</v>
      </c>
      <c r="N520">
        <f>Table_1[[#This Row],[Revenue]]-Table_1[[#This Row],[COGS]]</f>
        <v>36000</v>
      </c>
      <c r="O520" s="11">
        <f t="shared" si="57"/>
        <v>4656740000</v>
      </c>
      <c r="P520">
        <f t="shared" si="58"/>
        <v>3725392000</v>
      </c>
      <c r="Q520">
        <f t="shared" si="59"/>
        <v>931348000</v>
      </c>
      <c r="R520" s="7">
        <f t="shared" si="60"/>
        <v>2098</v>
      </c>
      <c r="S520" s="7">
        <f t="shared" si="61"/>
        <v>3</v>
      </c>
      <c r="T520" s="7">
        <f t="shared" si="62"/>
        <v>2098</v>
      </c>
    </row>
    <row r="521" spans="1:20" ht="14.25" customHeight="1" x14ac:dyDescent="0.35">
      <c r="A521" s="2" t="s">
        <v>57</v>
      </c>
      <c r="B521" s="2" t="s">
        <v>12</v>
      </c>
      <c r="C521" s="2" t="s">
        <v>21</v>
      </c>
      <c r="D521" s="2" t="s">
        <v>26</v>
      </c>
      <c r="E521" s="2" t="s">
        <v>15</v>
      </c>
      <c r="F521" s="2" t="s">
        <v>56</v>
      </c>
      <c r="G521" s="2" t="s">
        <v>36</v>
      </c>
      <c r="H521" s="2">
        <v>250000</v>
      </c>
      <c r="I521" s="2">
        <v>6</v>
      </c>
      <c r="J521" s="2" t="s">
        <v>27</v>
      </c>
      <c r="K521" s="2">
        <f t="shared" si="56"/>
        <v>200000</v>
      </c>
      <c r="L521" s="9">
        <f>Table_1[[#This Row],[Unit Price]]*Table_1[[#This Row],[Quantity]]</f>
        <v>1500000</v>
      </c>
      <c r="M521" s="8">
        <f>Table_1[[#This Row],[Cost Price]]*Table_1[[#This Row],[Quantity]]</f>
        <v>1200000</v>
      </c>
      <c r="N521">
        <f>Table_1[[#This Row],[Revenue]]-Table_1[[#This Row],[COGS]]</f>
        <v>300000</v>
      </c>
      <c r="O521" s="11">
        <f t="shared" si="57"/>
        <v>4656740000</v>
      </c>
      <c r="P521">
        <f t="shared" si="58"/>
        <v>3725392000</v>
      </c>
      <c r="Q521">
        <f t="shared" si="59"/>
        <v>931348000</v>
      </c>
      <c r="R521" s="7">
        <f t="shared" si="60"/>
        <v>2098</v>
      </c>
      <c r="S521" s="7">
        <f t="shared" si="61"/>
        <v>2</v>
      </c>
      <c r="T521" s="7">
        <f t="shared" si="62"/>
        <v>2098</v>
      </c>
    </row>
    <row r="522" spans="1:20" ht="14.25" customHeight="1" x14ac:dyDescent="0.35">
      <c r="A522" s="2" t="s">
        <v>126</v>
      </c>
      <c r="B522" s="2" t="s">
        <v>20</v>
      </c>
      <c r="C522" s="2" t="s">
        <v>38</v>
      </c>
      <c r="D522" s="2" t="s">
        <v>14</v>
      </c>
      <c r="E522" s="2" t="s">
        <v>15</v>
      </c>
      <c r="F522" s="2" t="s">
        <v>52</v>
      </c>
      <c r="G522" s="2" t="s">
        <v>36</v>
      </c>
      <c r="H522" s="2">
        <v>420000</v>
      </c>
      <c r="I522" s="2">
        <v>10</v>
      </c>
      <c r="J522" s="2" t="s">
        <v>43</v>
      </c>
      <c r="K522" s="2">
        <f t="shared" si="56"/>
        <v>336000</v>
      </c>
      <c r="L522" s="9">
        <f>Table_1[[#This Row],[Unit Price]]*Table_1[[#This Row],[Quantity]]</f>
        <v>4200000</v>
      </c>
      <c r="M522" s="8">
        <f>Table_1[[#This Row],[Cost Price]]*Table_1[[#This Row],[Quantity]]</f>
        <v>3360000</v>
      </c>
      <c r="N522">
        <f>Table_1[[#This Row],[Revenue]]-Table_1[[#This Row],[COGS]]</f>
        <v>840000</v>
      </c>
      <c r="O522" s="11">
        <f t="shared" si="57"/>
        <v>4656740000</v>
      </c>
      <c r="P522">
        <f t="shared" si="58"/>
        <v>3725392000</v>
      </c>
      <c r="Q522">
        <f t="shared" si="59"/>
        <v>931348000</v>
      </c>
      <c r="R522" s="7">
        <f t="shared" si="60"/>
        <v>2098</v>
      </c>
      <c r="S522" s="7">
        <f t="shared" si="61"/>
        <v>3</v>
      </c>
      <c r="T522" s="7">
        <f t="shared" si="62"/>
        <v>2098</v>
      </c>
    </row>
    <row r="523" spans="1:20" ht="14.25" customHeight="1" x14ac:dyDescent="0.35">
      <c r="A523" s="2" t="s">
        <v>156</v>
      </c>
      <c r="B523" s="2" t="s">
        <v>29</v>
      </c>
      <c r="C523" s="2" t="s">
        <v>38</v>
      </c>
      <c r="D523" s="2" t="s">
        <v>14</v>
      </c>
      <c r="E523" s="2" t="s">
        <v>15</v>
      </c>
      <c r="F523" s="2" t="s">
        <v>31</v>
      </c>
      <c r="G523" s="2" t="s">
        <v>24</v>
      </c>
      <c r="H523" s="2">
        <v>60000</v>
      </c>
      <c r="I523" s="2">
        <v>9</v>
      </c>
      <c r="J523" s="2" t="s">
        <v>54</v>
      </c>
      <c r="K523" s="2">
        <f t="shared" si="56"/>
        <v>48000</v>
      </c>
      <c r="L523" s="9">
        <f>Table_1[[#This Row],[Unit Price]]*Table_1[[#This Row],[Quantity]]</f>
        <v>540000</v>
      </c>
      <c r="M523" s="8">
        <f>Table_1[[#This Row],[Cost Price]]*Table_1[[#This Row],[Quantity]]</f>
        <v>432000</v>
      </c>
      <c r="N523">
        <f>Table_1[[#This Row],[Revenue]]-Table_1[[#This Row],[COGS]]</f>
        <v>108000</v>
      </c>
      <c r="O523" s="11">
        <f t="shared" si="57"/>
        <v>4656740000</v>
      </c>
      <c r="P523">
        <f t="shared" si="58"/>
        <v>3725392000</v>
      </c>
      <c r="Q523">
        <f t="shared" si="59"/>
        <v>931348000</v>
      </c>
      <c r="R523" s="7">
        <f t="shared" si="60"/>
        <v>2098</v>
      </c>
      <c r="S523" s="7">
        <f t="shared" si="61"/>
        <v>3</v>
      </c>
      <c r="T523" s="7">
        <f t="shared" si="62"/>
        <v>2098</v>
      </c>
    </row>
    <row r="524" spans="1:20" ht="14.25" customHeight="1" x14ac:dyDescent="0.35">
      <c r="A524" s="2" t="s">
        <v>68</v>
      </c>
      <c r="B524" s="2" t="s">
        <v>20</v>
      </c>
      <c r="C524" s="2" t="s">
        <v>30</v>
      </c>
      <c r="D524" s="2" t="s">
        <v>26</v>
      </c>
      <c r="E524" s="2" t="s">
        <v>22</v>
      </c>
      <c r="F524" s="2" t="s">
        <v>39</v>
      </c>
      <c r="G524" s="2" t="s">
        <v>24</v>
      </c>
      <c r="H524" s="2">
        <v>180000</v>
      </c>
      <c r="I524" s="2">
        <v>4</v>
      </c>
      <c r="J524" s="2" t="s">
        <v>18</v>
      </c>
      <c r="K524" s="2">
        <f t="shared" si="56"/>
        <v>144000</v>
      </c>
      <c r="L524" s="9">
        <f>Table_1[[#This Row],[Unit Price]]*Table_1[[#This Row],[Quantity]]</f>
        <v>720000</v>
      </c>
      <c r="M524" s="8">
        <f>Table_1[[#This Row],[Cost Price]]*Table_1[[#This Row],[Quantity]]</f>
        <v>576000</v>
      </c>
      <c r="N524">
        <f>Table_1[[#This Row],[Revenue]]-Table_1[[#This Row],[COGS]]</f>
        <v>144000</v>
      </c>
      <c r="O524" s="11">
        <f t="shared" si="57"/>
        <v>4656740000</v>
      </c>
      <c r="P524">
        <f t="shared" si="58"/>
        <v>3725392000</v>
      </c>
      <c r="Q524">
        <f t="shared" si="59"/>
        <v>931348000</v>
      </c>
      <c r="R524" s="7">
        <f t="shared" si="60"/>
        <v>2098</v>
      </c>
      <c r="S524" s="7">
        <f t="shared" si="61"/>
        <v>1</v>
      </c>
      <c r="T524" s="7">
        <f t="shared" si="62"/>
        <v>2098</v>
      </c>
    </row>
    <row r="525" spans="1:20" ht="14.25" customHeight="1" x14ac:dyDescent="0.35">
      <c r="A525" s="2" t="s">
        <v>97</v>
      </c>
      <c r="B525" s="2" t="s">
        <v>34</v>
      </c>
      <c r="C525" s="2" t="s">
        <v>30</v>
      </c>
      <c r="D525" s="2" t="s">
        <v>14</v>
      </c>
      <c r="E525" s="2" t="s">
        <v>22</v>
      </c>
      <c r="F525" s="2" t="s">
        <v>39</v>
      </c>
      <c r="G525" s="2" t="s">
        <v>24</v>
      </c>
      <c r="H525" s="2">
        <v>180000</v>
      </c>
      <c r="I525" s="2">
        <v>10</v>
      </c>
      <c r="J525" s="2" t="s">
        <v>18</v>
      </c>
      <c r="K525" s="2">
        <f t="shared" si="56"/>
        <v>144000</v>
      </c>
      <c r="L525" s="9">
        <f>Table_1[[#This Row],[Unit Price]]*Table_1[[#This Row],[Quantity]]</f>
        <v>1800000</v>
      </c>
      <c r="M525" s="8">
        <f>Table_1[[#This Row],[Cost Price]]*Table_1[[#This Row],[Quantity]]</f>
        <v>1440000</v>
      </c>
      <c r="N525">
        <f>Table_1[[#This Row],[Revenue]]-Table_1[[#This Row],[COGS]]</f>
        <v>360000</v>
      </c>
      <c r="O525" s="11">
        <f t="shared" si="57"/>
        <v>4656740000</v>
      </c>
      <c r="P525">
        <f t="shared" si="58"/>
        <v>3725392000</v>
      </c>
      <c r="Q525">
        <f t="shared" si="59"/>
        <v>931348000</v>
      </c>
      <c r="R525" s="7">
        <f t="shared" si="60"/>
        <v>2098</v>
      </c>
      <c r="S525" s="7">
        <f t="shared" si="61"/>
        <v>2</v>
      </c>
      <c r="T525" s="7">
        <f t="shared" si="62"/>
        <v>2098</v>
      </c>
    </row>
    <row r="526" spans="1:20" ht="14.25" customHeight="1" x14ac:dyDescent="0.35">
      <c r="A526" s="2" t="s">
        <v>128</v>
      </c>
      <c r="B526" s="2" t="s">
        <v>34</v>
      </c>
      <c r="C526" s="2" t="s">
        <v>21</v>
      </c>
      <c r="D526" s="2" t="s">
        <v>26</v>
      </c>
      <c r="E526" s="2" t="s">
        <v>15</v>
      </c>
      <c r="F526" s="2" t="s">
        <v>23</v>
      </c>
      <c r="G526" s="2" t="s">
        <v>24</v>
      </c>
      <c r="H526" s="2">
        <v>30000</v>
      </c>
      <c r="I526" s="2">
        <v>1</v>
      </c>
      <c r="J526" s="2" t="s">
        <v>50</v>
      </c>
      <c r="K526" s="2">
        <f t="shared" si="56"/>
        <v>24000</v>
      </c>
      <c r="L526" s="9">
        <f>Table_1[[#This Row],[Unit Price]]*Table_1[[#This Row],[Quantity]]</f>
        <v>30000</v>
      </c>
      <c r="M526" s="8">
        <f>Table_1[[#This Row],[Cost Price]]*Table_1[[#This Row],[Quantity]]</f>
        <v>24000</v>
      </c>
      <c r="N526">
        <f>Table_1[[#This Row],[Revenue]]-Table_1[[#This Row],[COGS]]</f>
        <v>6000</v>
      </c>
      <c r="O526" s="11">
        <f t="shared" si="57"/>
        <v>4656740000</v>
      </c>
      <c r="P526">
        <f t="shared" si="58"/>
        <v>3725392000</v>
      </c>
      <c r="Q526">
        <f t="shared" si="59"/>
        <v>931348000</v>
      </c>
      <c r="R526" s="7">
        <f t="shared" si="60"/>
        <v>2098</v>
      </c>
      <c r="S526" s="7">
        <f t="shared" si="61"/>
        <v>4</v>
      </c>
      <c r="T526" s="7">
        <f t="shared" si="62"/>
        <v>2098</v>
      </c>
    </row>
    <row r="527" spans="1:20" ht="14.25" customHeight="1" x14ac:dyDescent="0.35">
      <c r="A527" s="2" t="s">
        <v>101</v>
      </c>
      <c r="B527" s="2" t="s">
        <v>20</v>
      </c>
      <c r="C527" s="2" t="s">
        <v>30</v>
      </c>
      <c r="D527" s="2" t="s">
        <v>14</v>
      </c>
      <c r="E527" s="2" t="s">
        <v>22</v>
      </c>
      <c r="F527" s="2" t="s">
        <v>52</v>
      </c>
      <c r="G527" s="2" t="s">
        <v>36</v>
      </c>
      <c r="H527" s="2">
        <v>420000</v>
      </c>
      <c r="I527" s="2">
        <v>3</v>
      </c>
      <c r="J527" s="2" t="s">
        <v>43</v>
      </c>
      <c r="K527" s="2">
        <f t="shared" si="56"/>
        <v>336000</v>
      </c>
      <c r="L527" s="9">
        <f>Table_1[[#This Row],[Unit Price]]*Table_1[[#This Row],[Quantity]]</f>
        <v>1260000</v>
      </c>
      <c r="M527" s="8">
        <f>Table_1[[#This Row],[Cost Price]]*Table_1[[#This Row],[Quantity]]</f>
        <v>1008000</v>
      </c>
      <c r="N527">
        <f>Table_1[[#This Row],[Revenue]]-Table_1[[#This Row],[COGS]]</f>
        <v>252000</v>
      </c>
      <c r="O527" s="11">
        <f t="shared" si="57"/>
        <v>4656740000</v>
      </c>
      <c r="P527">
        <f t="shared" si="58"/>
        <v>3725392000</v>
      </c>
      <c r="Q527">
        <f t="shared" si="59"/>
        <v>931348000</v>
      </c>
      <c r="R527" s="7">
        <f t="shared" si="60"/>
        <v>2098</v>
      </c>
      <c r="S527" s="7">
        <f t="shared" si="61"/>
        <v>4</v>
      </c>
      <c r="T527" s="7">
        <f t="shared" si="62"/>
        <v>2098</v>
      </c>
    </row>
    <row r="528" spans="1:20" ht="14.25" customHeight="1" x14ac:dyDescent="0.35">
      <c r="A528" s="2" t="s">
        <v>127</v>
      </c>
      <c r="B528" s="2" t="s">
        <v>20</v>
      </c>
      <c r="C528" s="2" t="s">
        <v>13</v>
      </c>
      <c r="D528" s="2" t="s">
        <v>14</v>
      </c>
      <c r="E528" s="2" t="s">
        <v>22</v>
      </c>
      <c r="F528" s="2" t="s">
        <v>23</v>
      </c>
      <c r="G528" s="2" t="s">
        <v>24</v>
      </c>
      <c r="H528" s="2">
        <v>30000</v>
      </c>
      <c r="I528" s="2">
        <v>8</v>
      </c>
      <c r="J528" s="2" t="s">
        <v>43</v>
      </c>
      <c r="K528" s="2">
        <f t="shared" si="56"/>
        <v>24000</v>
      </c>
      <c r="L528" s="9">
        <f>Table_1[[#This Row],[Unit Price]]*Table_1[[#This Row],[Quantity]]</f>
        <v>240000</v>
      </c>
      <c r="M528" s="8">
        <f>Table_1[[#This Row],[Cost Price]]*Table_1[[#This Row],[Quantity]]</f>
        <v>192000</v>
      </c>
      <c r="N528">
        <f>Table_1[[#This Row],[Revenue]]-Table_1[[#This Row],[COGS]]</f>
        <v>48000</v>
      </c>
      <c r="O528" s="11">
        <f t="shared" si="57"/>
        <v>4656740000</v>
      </c>
      <c r="P528">
        <f t="shared" si="58"/>
        <v>3725392000</v>
      </c>
      <c r="Q528">
        <f t="shared" si="59"/>
        <v>931348000</v>
      </c>
      <c r="R528" s="7">
        <f t="shared" si="60"/>
        <v>2098</v>
      </c>
      <c r="S528" s="7">
        <f t="shared" si="61"/>
        <v>4</v>
      </c>
      <c r="T528" s="7">
        <f t="shared" si="62"/>
        <v>2098</v>
      </c>
    </row>
    <row r="529" spans="1:20" ht="14.25" customHeight="1" x14ac:dyDescent="0.35">
      <c r="A529" s="2" t="s">
        <v>120</v>
      </c>
      <c r="B529" s="2" t="s">
        <v>29</v>
      </c>
      <c r="C529" s="2" t="s">
        <v>38</v>
      </c>
      <c r="D529" s="2" t="s">
        <v>26</v>
      </c>
      <c r="E529" s="2" t="s">
        <v>15</v>
      </c>
      <c r="F529" s="2" t="s">
        <v>41</v>
      </c>
      <c r="G529" s="2" t="s">
        <v>17</v>
      </c>
      <c r="H529" s="2">
        <v>320000</v>
      </c>
      <c r="I529" s="2">
        <v>2</v>
      </c>
      <c r="J529" s="2" t="s">
        <v>32</v>
      </c>
      <c r="K529" s="2">
        <f t="shared" si="56"/>
        <v>256000</v>
      </c>
      <c r="L529" s="9">
        <f>Table_1[[#This Row],[Unit Price]]*Table_1[[#This Row],[Quantity]]</f>
        <v>640000</v>
      </c>
      <c r="M529" s="8">
        <f>Table_1[[#This Row],[Cost Price]]*Table_1[[#This Row],[Quantity]]</f>
        <v>512000</v>
      </c>
      <c r="N529">
        <f>Table_1[[#This Row],[Revenue]]-Table_1[[#This Row],[COGS]]</f>
        <v>128000</v>
      </c>
      <c r="O529" s="11">
        <f t="shared" si="57"/>
        <v>4656740000</v>
      </c>
      <c r="P529">
        <f t="shared" si="58"/>
        <v>3725392000</v>
      </c>
      <c r="Q529">
        <f t="shared" si="59"/>
        <v>931348000</v>
      </c>
      <c r="R529" s="7">
        <f t="shared" si="60"/>
        <v>2098</v>
      </c>
      <c r="S529" s="7">
        <f t="shared" si="61"/>
        <v>3</v>
      </c>
      <c r="T529" s="7">
        <f t="shared" si="62"/>
        <v>2098</v>
      </c>
    </row>
    <row r="530" spans="1:20" ht="14.25" customHeight="1" x14ac:dyDescent="0.35">
      <c r="A530" s="2" t="s">
        <v>108</v>
      </c>
      <c r="B530" s="2" t="s">
        <v>12</v>
      </c>
      <c r="C530" s="2" t="s">
        <v>21</v>
      </c>
      <c r="D530" s="2" t="s">
        <v>26</v>
      </c>
      <c r="E530" s="2" t="s">
        <v>22</v>
      </c>
      <c r="F530" s="2" t="s">
        <v>47</v>
      </c>
      <c r="G530" s="2" t="s">
        <v>36</v>
      </c>
      <c r="H530" s="2">
        <v>150000</v>
      </c>
      <c r="I530" s="2">
        <v>10</v>
      </c>
      <c r="J530" s="2" t="s">
        <v>32</v>
      </c>
      <c r="K530" s="2">
        <f t="shared" si="56"/>
        <v>120000</v>
      </c>
      <c r="L530" s="9">
        <f>Table_1[[#This Row],[Unit Price]]*Table_1[[#This Row],[Quantity]]</f>
        <v>1500000</v>
      </c>
      <c r="M530" s="8">
        <f>Table_1[[#This Row],[Cost Price]]*Table_1[[#This Row],[Quantity]]</f>
        <v>1200000</v>
      </c>
      <c r="N530">
        <f>Table_1[[#This Row],[Revenue]]-Table_1[[#This Row],[COGS]]</f>
        <v>300000</v>
      </c>
      <c r="O530" s="11">
        <f t="shared" si="57"/>
        <v>4656740000</v>
      </c>
      <c r="P530">
        <f t="shared" si="58"/>
        <v>3725392000</v>
      </c>
      <c r="Q530">
        <f t="shared" si="59"/>
        <v>931348000</v>
      </c>
      <c r="R530" s="7">
        <f t="shared" si="60"/>
        <v>2098</v>
      </c>
      <c r="S530" s="7">
        <f t="shared" si="61"/>
        <v>4</v>
      </c>
      <c r="T530" s="7">
        <f t="shared" si="62"/>
        <v>2098</v>
      </c>
    </row>
    <row r="531" spans="1:20" ht="14.25" customHeight="1" x14ac:dyDescent="0.35">
      <c r="A531" s="2" t="s">
        <v>117</v>
      </c>
      <c r="B531" s="2" t="s">
        <v>34</v>
      </c>
      <c r="C531" s="2" t="s">
        <v>30</v>
      </c>
      <c r="D531" s="2" t="s">
        <v>26</v>
      </c>
      <c r="E531" s="2" t="s">
        <v>15</v>
      </c>
      <c r="F531" s="2" t="s">
        <v>56</v>
      </c>
      <c r="G531" s="2" t="s">
        <v>36</v>
      </c>
      <c r="H531" s="2">
        <v>250000</v>
      </c>
      <c r="I531" s="2">
        <v>9</v>
      </c>
      <c r="J531" s="2" t="s">
        <v>27</v>
      </c>
      <c r="K531" s="2">
        <f t="shared" si="56"/>
        <v>200000</v>
      </c>
      <c r="L531" s="9">
        <f>Table_1[[#This Row],[Unit Price]]*Table_1[[#This Row],[Quantity]]</f>
        <v>2250000</v>
      </c>
      <c r="M531" s="8">
        <f>Table_1[[#This Row],[Cost Price]]*Table_1[[#This Row],[Quantity]]</f>
        <v>1800000</v>
      </c>
      <c r="N531">
        <f>Table_1[[#This Row],[Revenue]]-Table_1[[#This Row],[COGS]]</f>
        <v>450000</v>
      </c>
      <c r="O531" s="11">
        <f t="shared" si="57"/>
        <v>4656740000</v>
      </c>
      <c r="P531">
        <f t="shared" si="58"/>
        <v>3725392000</v>
      </c>
      <c r="Q531">
        <f t="shared" si="59"/>
        <v>931348000</v>
      </c>
      <c r="R531" s="7">
        <f t="shared" si="60"/>
        <v>2098</v>
      </c>
      <c r="S531" s="7">
        <f t="shared" si="61"/>
        <v>4</v>
      </c>
      <c r="T531" s="7">
        <f t="shared" si="62"/>
        <v>2098</v>
      </c>
    </row>
    <row r="532" spans="1:20" ht="14.25" customHeight="1" x14ac:dyDescent="0.35">
      <c r="A532" s="2" t="s">
        <v>134</v>
      </c>
      <c r="B532" s="2" t="s">
        <v>29</v>
      </c>
      <c r="C532" s="2" t="s">
        <v>30</v>
      </c>
      <c r="D532" s="2" t="s">
        <v>26</v>
      </c>
      <c r="E532" s="2" t="s">
        <v>22</v>
      </c>
      <c r="F532" s="2" t="s">
        <v>58</v>
      </c>
      <c r="G532" s="2" t="s">
        <v>24</v>
      </c>
      <c r="H532" s="2">
        <v>220000</v>
      </c>
      <c r="I532" s="2">
        <v>5</v>
      </c>
      <c r="J532" s="2" t="s">
        <v>27</v>
      </c>
      <c r="K532" s="2">
        <f t="shared" si="56"/>
        <v>176000</v>
      </c>
      <c r="L532" s="9">
        <f>Table_1[[#This Row],[Unit Price]]*Table_1[[#This Row],[Quantity]]</f>
        <v>1100000</v>
      </c>
      <c r="M532" s="8">
        <f>Table_1[[#This Row],[Cost Price]]*Table_1[[#This Row],[Quantity]]</f>
        <v>880000</v>
      </c>
      <c r="N532">
        <f>Table_1[[#This Row],[Revenue]]-Table_1[[#This Row],[COGS]]</f>
        <v>220000</v>
      </c>
      <c r="O532" s="11">
        <f t="shared" si="57"/>
        <v>4656740000</v>
      </c>
      <c r="P532">
        <f t="shared" si="58"/>
        <v>3725392000</v>
      </c>
      <c r="Q532">
        <f t="shared" si="59"/>
        <v>931348000</v>
      </c>
      <c r="R532" s="7">
        <f t="shared" si="60"/>
        <v>2098</v>
      </c>
      <c r="S532" s="7">
        <f t="shared" si="61"/>
        <v>4</v>
      </c>
      <c r="T532" s="7">
        <f t="shared" si="62"/>
        <v>2098</v>
      </c>
    </row>
    <row r="533" spans="1:20" ht="14.25" customHeight="1" x14ac:dyDescent="0.35">
      <c r="A533" s="2" t="s">
        <v>158</v>
      </c>
      <c r="B533" s="2" t="s">
        <v>12</v>
      </c>
      <c r="C533" s="2" t="s">
        <v>30</v>
      </c>
      <c r="D533" s="2" t="s">
        <v>14</v>
      </c>
      <c r="E533" s="2" t="s">
        <v>22</v>
      </c>
      <c r="F533" s="2" t="s">
        <v>47</v>
      </c>
      <c r="G533" s="2" t="s">
        <v>36</v>
      </c>
      <c r="H533" s="2">
        <v>150000</v>
      </c>
      <c r="I533" s="2">
        <v>5</v>
      </c>
      <c r="J533" s="2" t="s">
        <v>18</v>
      </c>
      <c r="K533" s="2">
        <f t="shared" si="56"/>
        <v>120000</v>
      </c>
      <c r="L533" s="9">
        <f>Table_1[[#This Row],[Unit Price]]*Table_1[[#This Row],[Quantity]]</f>
        <v>750000</v>
      </c>
      <c r="M533" s="8">
        <f>Table_1[[#This Row],[Cost Price]]*Table_1[[#This Row],[Quantity]]</f>
        <v>600000</v>
      </c>
      <c r="N533">
        <f>Table_1[[#This Row],[Revenue]]-Table_1[[#This Row],[COGS]]</f>
        <v>150000</v>
      </c>
      <c r="O533" s="11">
        <f t="shared" si="57"/>
        <v>4656740000</v>
      </c>
      <c r="P533">
        <f t="shared" si="58"/>
        <v>3725392000</v>
      </c>
      <c r="Q533">
        <f t="shared" si="59"/>
        <v>931348000</v>
      </c>
      <c r="R533" s="7">
        <f t="shared" si="60"/>
        <v>2098</v>
      </c>
      <c r="S533" s="7">
        <f t="shared" si="61"/>
        <v>3</v>
      </c>
      <c r="T533" s="7">
        <f t="shared" si="62"/>
        <v>2098</v>
      </c>
    </row>
    <row r="534" spans="1:20" ht="14.25" customHeight="1" x14ac:dyDescent="0.35">
      <c r="A534" s="2" t="s">
        <v>144</v>
      </c>
      <c r="B534" s="2" t="s">
        <v>20</v>
      </c>
      <c r="C534" s="2" t="s">
        <v>38</v>
      </c>
      <c r="D534" s="2" t="s">
        <v>26</v>
      </c>
      <c r="E534" s="2" t="s">
        <v>22</v>
      </c>
      <c r="F534" s="2" t="s">
        <v>58</v>
      </c>
      <c r="G534" s="2" t="s">
        <v>24</v>
      </c>
      <c r="H534" s="2">
        <v>220000</v>
      </c>
      <c r="I534" s="2">
        <v>8</v>
      </c>
      <c r="J534" s="2" t="s">
        <v>50</v>
      </c>
      <c r="K534" s="2">
        <f t="shared" si="56"/>
        <v>176000</v>
      </c>
      <c r="L534" s="9">
        <f>Table_1[[#This Row],[Unit Price]]*Table_1[[#This Row],[Quantity]]</f>
        <v>1760000</v>
      </c>
      <c r="M534" s="8">
        <f>Table_1[[#This Row],[Cost Price]]*Table_1[[#This Row],[Quantity]]</f>
        <v>1408000</v>
      </c>
      <c r="N534">
        <f>Table_1[[#This Row],[Revenue]]-Table_1[[#This Row],[COGS]]</f>
        <v>352000</v>
      </c>
      <c r="O534" s="11">
        <f t="shared" si="57"/>
        <v>4656740000</v>
      </c>
      <c r="P534">
        <f t="shared" si="58"/>
        <v>3725392000</v>
      </c>
      <c r="Q534">
        <f t="shared" si="59"/>
        <v>931348000</v>
      </c>
      <c r="R534" s="7">
        <f t="shared" si="60"/>
        <v>2098</v>
      </c>
      <c r="S534" s="7">
        <f t="shared" si="61"/>
        <v>2</v>
      </c>
      <c r="T534" s="7">
        <f t="shared" si="62"/>
        <v>2098</v>
      </c>
    </row>
    <row r="535" spans="1:20" ht="14.25" customHeight="1" x14ac:dyDescent="0.35">
      <c r="A535" s="2" t="s">
        <v>51</v>
      </c>
      <c r="B535" s="2" t="s">
        <v>20</v>
      </c>
      <c r="C535" s="2" t="s">
        <v>21</v>
      </c>
      <c r="D535" s="2" t="s">
        <v>14</v>
      </c>
      <c r="E535" s="2" t="s">
        <v>15</v>
      </c>
      <c r="F535" s="2" t="s">
        <v>16</v>
      </c>
      <c r="G535" s="2" t="s">
        <v>17</v>
      </c>
      <c r="H535" s="2">
        <v>85000</v>
      </c>
      <c r="I535" s="2">
        <v>4</v>
      </c>
      <c r="J535" s="2" t="s">
        <v>43</v>
      </c>
      <c r="K535" s="2">
        <f t="shared" si="56"/>
        <v>68000</v>
      </c>
      <c r="L535" s="9">
        <f>Table_1[[#This Row],[Unit Price]]*Table_1[[#This Row],[Quantity]]</f>
        <v>340000</v>
      </c>
      <c r="M535" s="8">
        <f>Table_1[[#This Row],[Cost Price]]*Table_1[[#This Row],[Quantity]]</f>
        <v>272000</v>
      </c>
      <c r="N535">
        <f>Table_1[[#This Row],[Revenue]]-Table_1[[#This Row],[COGS]]</f>
        <v>68000</v>
      </c>
      <c r="O535" s="11">
        <f t="shared" si="57"/>
        <v>4656740000</v>
      </c>
      <c r="P535">
        <f t="shared" si="58"/>
        <v>3725392000</v>
      </c>
      <c r="Q535">
        <f t="shared" si="59"/>
        <v>931348000</v>
      </c>
      <c r="R535" s="7">
        <f t="shared" si="60"/>
        <v>2098</v>
      </c>
      <c r="S535" s="7">
        <f t="shared" si="61"/>
        <v>3</v>
      </c>
      <c r="T535" s="7">
        <f t="shared" si="62"/>
        <v>2098</v>
      </c>
    </row>
    <row r="536" spans="1:20" ht="14.25" customHeight="1" x14ac:dyDescent="0.35">
      <c r="A536" s="2" t="s">
        <v>62</v>
      </c>
      <c r="B536" s="2" t="s">
        <v>29</v>
      </c>
      <c r="C536" s="2" t="s">
        <v>30</v>
      </c>
      <c r="D536" s="2" t="s">
        <v>14</v>
      </c>
      <c r="E536" s="2" t="s">
        <v>15</v>
      </c>
      <c r="F536" s="2" t="s">
        <v>41</v>
      </c>
      <c r="G536" s="2" t="s">
        <v>17</v>
      </c>
      <c r="H536" s="2">
        <v>320000</v>
      </c>
      <c r="I536" s="2">
        <v>4</v>
      </c>
      <c r="J536" s="2" t="s">
        <v>43</v>
      </c>
      <c r="K536" s="2">
        <f t="shared" si="56"/>
        <v>256000</v>
      </c>
      <c r="L536" s="9">
        <f>Table_1[[#This Row],[Unit Price]]*Table_1[[#This Row],[Quantity]]</f>
        <v>1280000</v>
      </c>
      <c r="M536" s="8">
        <f>Table_1[[#This Row],[Cost Price]]*Table_1[[#This Row],[Quantity]]</f>
        <v>1024000</v>
      </c>
      <c r="N536">
        <f>Table_1[[#This Row],[Revenue]]-Table_1[[#This Row],[COGS]]</f>
        <v>256000</v>
      </c>
      <c r="O536" s="11">
        <f t="shared" si="57"/>
        <v>4656740000</v>
      </c>
      <c r="P536">
        <f t="shared" si="58"/>
        <v>3725392000</v>
      </c>
      <c r="Q536">
        <f t="shared" si="59"/>
        <v>931348000</v>
      </c>
      <c r="R536" s="7">
        <f t="shared" si="60"/>
        <v>2098</v>
      </c>
      <c r="S536" s="7">
        <f t="shared" si="61"/>
        <v>4</v>
      </c>
      <c r="T536" s="7">
        <f t="shared" si="62"/>
        <v>2098</v>
      </c>
    </row>
    <row r="537" spans="1:20" ht="14.25" customHeight="1" x14ac:dyDescent="0.35">
      <c r="A537" s="2" t="s">
        <v>79</v>
      </c>
      <c r="B537" s="2" t="s">
        <v>20</v>
      </c>
      <c r="C537" s="2" t="s">
        <v>30</v>
      </c>
      <c r="D537" s="2" t="s">
        <v>26</v>
      </c>
      <c r="E537" s="2" t="s">
        <v>15</v>
      </c>
      <c r="F537" s="2" t="s">
        <v>56</v>
      </c>
      <c r="G537" s="2" t="s">
        <v>36</v>
      </c>
      <c r="H537" s="2">
        <v>250000</v>
      </c>
      <c r="I537" s="2">
        <v>2</v>
      </c>
      <c r="J537" s="2" t="s">
        <v>27</v>
      </c>
      <c r="K537" s="2">
        <f t="shared" si="56"/>
        <v>200000</v>
      </c>
      <c r="L537" s="9">
        <f>Table_1[[#This Row],[Unit Price]]*Table_1[[#This Row],[Quantity]]</f>
        <v>500000</v>
      </c>
      <c r="M537" s="8">
        <f>Table_1[[#This Row],[Cost Price]]*Table_1[[#This Row],[Quantity]]</f>
        <v>400000</v>
      </c>
      <c r="N537">
        <f>Table_1[[#This Row],[Revenue]]-Table_1[[#This Row],[COGS]]</f>
        <v>100000</v>
      </c>
      <c r="O537" s="11">
        <f t="shared" si="57"/>
        <v>4656740000</v>
      </c>
      <c r="P537">
        <f t="shared" si="58"/>
        <v>3725392000</v>
      </c>
      <c r="Q537">
        <f t="shared" si="59"/>
        <v>931348000</v>
      </c>
      <c r="R537" s="7">
        <f t="shared" si="60"/>
        <v>2098</v>
      </c>
      <c r="S537" s="7">
        <f t="shared" si="61"/>
        <v>1</v>
      </c>
      <c r="T537" s="7">
        <f t="shared" si="62"/>
        <v>2098</v>
      </c>
    </row>
    <row r="538" spans="1:20" ht="14.25" customHeight="1" x14ac:dyDescent="0.35">
      <c r="A538" s="2" t="s">
        <v>131</v>
      </c>
      <c r="B538" s="2" t="s">
        <v>20</v>
      </c>
      <c r="C538" s="2" t="s">
        <v>13</v>
      </c>
      <c r="D538" s="2" t="s">
        <v>14</v>
      </c>
      <c r="E538" s="2" t="s">
        <v>15</v>
      </c>
      <c r="F538" s="2" t="s">
        <v>35</v>
      </c>
      <c r="G538" s="2" t="s">
        <v>36</v>
      </c>
      <c r="H538" s="2">
        <v>300000</v>
      </c>
      <c r="I538" s="2">
        <v>5</v>
      </c>
      <c r="J538" s="2" t="s">
        <v>27</v>
      </c>
      <c r="K538" s="2">
        <f t="shared" si="56"/>
        <v>240000</v>
      </c>
      <c r="L538" s="9">
        <f>Table_1[[#This Row],[Unit Price]]*Table_1[[#This Row],[Quantity]]</f>
        <v>1500000</v>
      </c>
      <c r="M538" s="8">
        <f>Table_1[[#This Row],[Cost Price]]*Table_1[[#This Row],[Quantity]]</f>
        <v>1200000</v>
      </c>
      <c r="N538">
        <f>Table_1[[#This Row],[Revenue]]-Table_1[[#This Row],[COGS]]</f>
        <v>300000</v>
      </c>
      <c r="O538" s="11">
        <f t="shared" si="57"/>
        <v>4656740000</v>
      </c>
      <c r="P538">
        <f t="shared" si="58"/>
        <v>3725392000</v>
      </c>
      <c r="Q538">
        <f t="shared" si="59"/>
        <v>931348000</v>
      </c>
      <c r="R538" s="7">
        <f t="shared" si="60"/>
        <v>2098</v>
      </c>
      <c r="S538" s="7">
        <f t="shared" si="61"/>
        <v>1</v>
      </c>
      <c r="T538" s="7">
        <f t="shared" si="62"/>
        <v>2098</v>
      </c>
    </row>
    <row r="539" spans="1:20" ht="14.25" customHeight="1" x14ac:dyDescent="0.35">
      <c r="A539" s="2" t="s">
        <v>139</v>
      </c>
      <c r="B539" s="2" t="s">
        <v>20</v>
      </c>
      <c r="C539" s="2" t="s">
        <v>30</v>
      </c>
      <c r="D539" s="2" t="s">
        <v>14</v>
      </c>
      <c r="E539" s="2" t="s">
        <v>15</v>
      </c>
      <c r="F539" s="2" t="s">
        <v>31</v>
      </c>
      <c r="G539" s="2" t="s">
        <v>24</v>
      </c>
      <c r="H539" s="2">
        <v>60000</v>
      </c>
      <c r="I539" s="2">
        <v>9</v>
      </c>
      <c r="J539" s="2" t="s">
        <v>32</v>
      </c>
      <c r="K539" s="2">
        <f t="shared" si="56"/>
        <v>48000</v>
      </c>
      <c r="L539" s="9">
        <f>Table_1[[#This Row],[Unit Price]]*Table_1[[#This Row],[Quantity]]</f>
        <v>540000</v>
      </c>
      <c r="M539" s="8">
        <f>Table_1[[#This Row],[Cost Price]]*Table_1[[#This Row],[Quantity]]</f>
        <v>432000</v>
      </c>
      <c r="N539">
        <f>Table_1[[#This Row],[Revenue]]-Table_1[[#This Row],[COGS]]</f>
        <v>108000</v>
      </c>
      <c r="O539" s="11">
        <f t="shared" si="57"/>
        <v>4656740000</v>
      </c>
      <c r="P539">
        <f t="shared" si="58"/>
        <v>3725392000</v>
      </c>
      <c r="Q539">
        <f t="shared" si="59"/>
        <v>931348000</v>
      </c>
      <c r="R539" s="7">
        <f t="shared" si="60"/>
        <v>2098</v>
      </c>
      <c r="S539" s="7">
        <f t="shared" si="61"/>
        <v>2</v>
      </c>
      <c r="T539" s="7">
        <f t="shared" si="62"/>
        <v>2098</v>
      </c>
    </row>
    <row r="540" spans="1:20" ht="14.25" customHeight="1" x14ac:dyDescent="0.35">
      <c r="A540" s="2" t="s">
        <v>119</v>
      </c>
      <c r="B540" s="2" t="s">
        <v>20</v>
      </c>
      <c r="C540" s="2" t="s">
        <v>30</v>
      </c>
      <c r="D540" s="2" t="s">
        <v>26</v>
      </c>
      <c r="E540" s="2" t="s">
        <v>15</v>
      </c>
      <c r="F540" s="2" t="s">
        <v>47</v>
      </c>
      <c r="G540" s="2" t="s">
        <v>36</v>
      </c>
      <c r="H540" s="2">
        <v>150000</v>
      </c>
      <c r="I540" s="2">
        <v>6</v>
      </c>
      <c r="J540" s="2" t="s">
        <v>32</v>
      </c>
      <c r="K540" s="2">
        <f t="shared" si="56"/>
        <v>120000</v>
      </c>
      <c r="L540" s="9">
        <f>Table_1[[#This Row],[Unit Price]]*Table_1[[#This Row],[Quantity]]</f>
        <v>900000</v>
      </c>
      <c r="M540" s="8">
        <f>Table_1[[#This Row],[Cost Price]]*Table_1[[#This Row],[Quantity]]</f>
        <v>720000</v>
      </c>
      <c r="N540">
        <f>Table_1[[#This Row],[Revenue]]-Table_1[[#This Row],[COGS]]</f>
        <v>180000</v>
      </c>
      <c r="O540" s="11">
        <f t="shared" si="57"/>
        <v>4656740000</v>
      </c>
      <c r="P540">
        <f t="shared" si="58"/>
        <v>3725392000</v>
      </c>
      <c r="Q540">
        <f t="shared" si="59"/>
        <v>931348000</v>
      </c>
      <c r="R540" s="7">
        <f t="shared" si="60"/>
        <v>2098</v>
      </c>
      <c r="S540" s="7">
        <f t="shared" si="61"/>
        <v>1</v>
      </c>
      <c r="T540" s="7">
        <f t="shared" si="62"/>
        <v>2098</v>
      </c>
    </row>
    <row r="541" spans="1:20" ht="14.25" customHeight="1" x14ac:dyDescent="0.35">
      <c r="A541" s="2" t="s">
        <v>111</v>
      </c>
      <c r="B541" s="2" t="s">
        <v>29</v>
      </c>
      <c r="C541" s="2" t="s">
        <v>30</v>
      </c>
      <c r="D541" s="2" t="s">
        <v>26</v>
      </c>
      <c r="E541" s="2" t="s">
        <v>22</v>
      </c>
      <c r="F541" s="2" t="s">
        <v>16</v>
      </c>
      <c r="G541" s="2" t="s">
        <v>17</v>
      </c>
      <c r="H541" s="2">
        <v>85000</v>
      </c>
      <c r="I541" s="2">
        <v>3</v>
      </c>
      <c r="J541" s="2" t="s">
        <v>43</v>
      </c>
      <c r="K541" s="2">
        <f t="shared" si="56"/>
        <v>68000</v>
      </c>
      <c r="L541" s="9">
        <f>Table_1[[#This Row],[Unit Price]]*Table_1[[#This Row],[Quantity]]</f>
        <v>255000</v>
      </c>
      <c r="M541" s="8">
        <f>Table_1[[#This Row],[Cost Price]]*Table_1[[#This Row],[Quantity]]</f>
        <v>204000</v>
      </c>
      <c r="N541">
        <f>Table_1[[#This Row],[Revenue]]-Table_1[[#This Row],[COGS]]</f>
        <v>51000</v>
      </c>
      <c r="O541" s="11">
        <f t="shared" si="57"/>
        <v>4656740000</v>
      </c>
      <c r="P541">
        <f t="shared" si="58"/>
        <v>3725392000</v>
      </c>
      <c r="Q541">
        <f t="shared" si="59"/>
        <v>931348000</v>
      </c>
      <c r="R541" s="7">
        <f t="shared" si="60"/>
        <v>2098</v>
      </c>
      <c r="S541" s="7">
        <f t="shared" si="61"/>
        <v>1</v>
      </c>
      <c r="T541" s="7">
        <f t="shared" si="62"/>
        <v>2098</v>
      </c>
    </row>
    <row r="542" spans="1:20" ht="14.25" customHeight="1" x14ac:dyDescent="0.35">
      <c r="A542" s="2" t="s">
        <v>156</v>
      </c>
      <c r="B542" s="2" t="s">
        <v>29</v>
      </c>
      <c r="C542" s="2" t="s">
        <v>21</v>
      </c>
      <c r="D542" s="2" t="s">
        <v>26</v>
      </c>
      <c r="E542" s="2" t="s">
        <v>22</v>
      </c>
      <c r="F542" s="2" t="s">
        <v>41</v>
      </c>
      <c r="G542" s="2" t="s">
        <v>17</v>
      </c>
      <c r="H542" s="2">
        <v>320000</v>
      </c>
      <c r="I542" s="2">
        <v>8</v>
      </c>
      <c r="J542" s="2" t="s">
        <v>32</v>
      </c>
      <c r="K542" s="2">
        <f t="shared" si="56"/>
        <v>256000</v>
      </c>
      <c r="L542" s="9">
        <f>Table_1[[#This Row],[Unit Price]]*Table_1[[#This Row],[Quantity]]</f>
        <v>2560000</v>
      </c>
      <c r="M542" s="8">
        <f>Table_1[[#This Row],[Cost Price]]*Table_1[[#This Row],[Quantity]]</f>
        <v>2048000</v>
      </c>
      <c r="N542">
        <f>Table_1[[#This Row],[Revenue]]-Table_1[[#This Row],[COGS]]</f>
        <v>512000</v>
      </c>
      <c r="O542" s="11">
        <f t="shared" si="57"/>
        <v>4656740000</v>
      </c>
      <c r="P542">
        <f t="shared" si="58"/>
        <v>3725392000</v>
      </c>
      <c r="Q542">
        <f t="shared" si="59"/>
        <v>931348000</v>
      </c>
      <c r="R542" s="7">
        <f t="shared" si="60"/>
        <v>2098</v>
      </c>
      <c r="S542" s="7">
        <f t="shared" si="61"/>
        <v>3</v>
      </c>
      <c r="T542" s="7">
        <f t="shared" si="62"/>
        <v>2098</v>
      </c>
    </row>
    <row r="543" spans="1:20" ht="14.25" customHeight="1" x14ac:dyDescent="0.35">
      <c r="A543" s="2" t="s">
        <v>66</v>
      </c>
      <c r="B543" s="2" t="s">
        <v>20</v>
      </c>
      <c r="C543" s="2" t="s">
        <v>13</v>
      </c>
      <c r="D543" s="2" t="s">
        <v>26</v>
      </c>
      <c r="E543" s="2" t="s">
        <v>15</v>
      </c>
      <c r="F543" s="2" t="s">
        <v>56</v>
      </c>
      <c r="G543" s="2" t="s">
        <v>36</v>
      </c>
      <c r="H543" s="2">
        <v>250000</v>
      </c>
      <c r="I543" s="2">
        <v>1</v>
      </c>
      <c r="J543" s="2" t="s">
        <v>43</v>
      </c>
      <c r="K543" s="2">
        <f t="shared" si="56"/>
        <v>200000</v>
      </c>
      <c r="L543" s="9">
        <f>Table_1[[#This Row],[Unit Price]]*Table_1[[#This Row],[Quantity]]</f>
        <v>250000</v>
      </c>
      <c r="M543" s="8">
        <f>Table_1[[#This Row],[Cost Price]]*Table_1[[#This Row],[Quantity]]</f>
        <v>200000</v>
      </c>
      <c r="N543">
        <f>Table_1[[#This Row],[Revenue]]-Table_1[[#This Row],[COGS]]</f>
        <v>50000</v>
      </c>
      <c r="O543" s="11">
        <f t="shared" si="57"/>
        <v>4656740000</v>
      </c>
      <c r="P543">
        <f t="shared" si="58"/>
        <v>3725392000</v>
      </c>
      <c r="Q543">
        <f t="shared" si="59"/>
        <v>931348000</v>
      </c>
      <c r="R543" s="7">
        <f t="shared" si="60"/>
        <v>2098</v>
      </c>
      <c r="S543" s="7">
        <f t="shared" si="61"/>
        <v>3</v>
      </c>
      <c r="T543" s="7">
        <f t="shared" si="62"/>
        <v>2098</v>
      </c>
    </row>
    <row r="544" spans="1:20" ht="14.25" customHeight="1" x14ac:dyDescent="0.35">
      <c r="A544" s="2" t="s">
        <v>149</v>
      </c>
      <c r="B544" s="2" t="s">
        <v>12</v>
      </c>
      <c r="C544" s="2" t="s">
        <v>21</v>
      </c>
      <c r="D544" s="2" t="s">
        <v>26</v>
      </c>
      <c r="E544" s="2" t="s">
        <v>22</v>
      </c>
      <c r="F544" s="2" t="s">
        <v>39</v>
      </c>
      <c r="G544" s="2" t="s">
        <v>24</v>
      </c>
      <c r="H544" s="2">
        <v>180000</v>
      </c>
      <c r="I544" s="2">
        <v>4</v>
      </c>
      <c r="J544" s="2" t="s">
        <v>18</v>
      </c>
      <c r="K544" s="2">
        <f t="shared" si="56"/>
        <v>144000</v>
      </c>
      <c r="L544" s="9">
        <f>Table_1[[#This Row],[Unit Price]]*Table_1[[#This Row],[Quantity]]</f>
        <v>720000</v>
      </c>
      <c r="M544" s="8">
        <f>Table_1[[#This Row],[Cost Price]]*Table_1[[#This Row],[Quantity]]</f>
        <v>576000</v>
      </c>
      <c r="N544">
        <f>Table_1[[#This Row],[Revenue]]-Table_1[[#This Row],[COGS]]</f>
        <v>144000</v>
      </c>
      <c r="O544" s="11">
        <f t="shared" si="57"/>
        <v>4656740000</v>
      </c>
      <c r="P544">
        <f t="shared" si="58"/>
        <v>3725392000</v>
      </c>
      <c r="Q544">
        <f t="shared" si="59"/>
        <v>931348000</v>
      </c>
      <c r="R544" s="7">
        <f t="shared" si="60"/>
        <v>2098</v>
      </c>
      <c r="S544" s="7">
        <f t="shared" si="61"/>
        <v>3</v>
      </c>
      <c r="T544" s="7">
        <f t="shared" si="62"/>
        <v>2098</v>
      </c>
    </row>
    <row r="545" spans="1:20" ht="14.25" customHeight="1" x14ac:dyDescent="0.35">
      <c r="A545" s="2" t="s">
        <v>95</v>
      </c>
      <c r="B545" s="2" t="s">
        <v>20</v>
      </c>
      <c r="C545" s="2" t="s">
        <v>30</v>
      </c>
      <c r="D545" s="2" t="s">
        <v>14</v>
      </c>
      <c r="E545" s="2" t="s">
        <v>15</v>
      </c>
      <c r="F545" s="2" t="s">
        <v>31</v>
      </c>
      <c r="G545" s="2" t="s">
        <v>24</v>
      </c>
      <c r="H545" s="2">
        <v>60000</v>
      </c>
      <c r="I545" s="2">
        <v>6</v>
      </c>
      <c r="J545" s="2" t="s">
        <v>54</v>
      </c>
      <c r="K545" s="2">
        <f t="shared" si="56"/>
        <v>48000</v>
      </c>
      <c r="L545" s="9">
        <f>Table_1[[#This Row],[Unit Price]]*Table_1[[#This Row],[Quantity]]</f>
        <v>360000</v>
      </c>
      <c r="M545" s="8">
        <f>Table_1[[#This Row],[Cost Price]]*Table_1[[#This Row],[Quantity]]</f>
        <v>288000</v>
      </c>
      <c r="N545">
        <f>Table_1[[#This Row],[Revenue]]-Table_1[[#This Row],[COGS]]</f>
        <v>72000</v>
      </c>
      <c r="O545" s="11">
        <f t="shared" si="57"/>
        <v>4656740000</v>
      </c>
      <c r="P545">
        <f t="shared" si="58"/>
        <v>3725392000</v>
      </c>
      <c r="Q545">
        <f t="shared" si="59"/>
        <v>931348000</v>
      </c>
      <c r="R545" s="7">
        <f t="shared" si="60"/>
        <v>2098</v>
      </c>
      <c r="S545" s="7">
        <f t="shared" si="61"/>
        <v>1</v>
      </c>
      <c r="T545" s="7">
        <f t="shared" si="62"/>
        <v>2098</v>
      </c>
    </row>
    <row r="546" spans="1:20" ht="14.25" customHeight="1" x14ac:dyDescent="0.35">
      <c r="A546" s="2" t="s">
        <v>124</v>
      </c>
      <c r="B546" s="2" t="s">
        <v>34</v>
      </c>
      <c r="C546" s="2" t="s">
        <v>38</v>
      </c>
      <c r="D546" s="2" t="s">
        <v>14</v>
      </c>
      <c r="E546" s="2" t="s">
        <v>22</v>
      </c>
      <c r="F546" s="2" t="s">
        <v>39</v>
      </c>
      <c r="G546" s="2" t="s">
        <v>24</v>
      </c>
      <c r="H546" s="2">
        <v>180000</v>
      </c>
      <c r="I546" s="2">
        <v>7</v>
      </c>
      <c r="J546" s="2" t="s">
        <v>18</v>
      </c>
      <c r="K546" s="2">
        <f t="shared" si="56"/>
        <v>144000</v>
      </c>
      <c r="L546" s="9">
        <f>Table_1[[#This Row],[Unit Price]]*Table_1[[#This Row],[Quantity]]</f>
        <v>1260000</v>
      </c>
      <c r="M546" s="8">
        <f>Table_1[[#This Row],[Cost Price]]*Table_1[[#This Row],[Quantity]]</f>
        <v>1008000</v>
      </c>
      <c r="N546">
        <f>Table_1[[#This Row],[Revenue]]-Table_1[[#This Row],[COGS]]</f>
        <v>252000</v>
      </c>
      <c r="O546" s="11">
        <f t="shared" si="57"/>
        <v>4656740000</v>
      </c>
      <c r="P546">
        <f t="shared" si="58"/>
        <v>3725392000</v>
      </c>
      <c r="Q546">
        <f t="shared" si="59"/>
        <v>931348000</v>
      </c>
      <c r="R546" s="7">
        <f t="shared" si="60"/>
        <v>2098</v>
      </c>
      <c r="S546" s="7">
        <f t="shared" si="61"/>
        <v>1</v>
      </c>
      <c r="T546" s="7">
        <f t="shared" si="62"/>
        <v>2098</v>
      </c>
    </row>
    <row r="547" spans="1:20" ht="14.25" customHeight="1" x14ac:dyDescent="0.35">
      <c r="A547" s="2" t="s">
        <v>118</v>
      </c>
      <c r="B547" s="2" t="s">
        <v>34</v>
      </c>
      <c r="C547" s="2" t="s">
        <v>21</v>
      </c>
      <c r="D547" s="2" t="s">
        <v>14</v>
      </c>
      <c r="E547" s="2" t="s">
        <v>15</v>
      </c>
      <c r="F547" s="2" t="s">
        <v>47</v>
      </c>
      <c r="G547" s="2" t="s">
        <v>36</v>
      </c>
      <c r="H547" s="2">
        <v>150000</v>
      </c>
      <c r="I547" s="2">
        <v>10</v>
      </c>
      <c r="J547" s="2" t="s">
        <v>50</v>
      </c>
      <c r="K547" s="2">
        <f t="shared" si="56"/>
        <v>120000</v>
      </c>
      <c r="L547" s="9">
        <f>Table_1[[#This Row],[Unit Price]]*Table_1[[#This Row],[Quantity]]</f>
        <v>1500000</v>
      </c>
      <c r="M547" s="8">
        <f>Table_1[[#This Row],[Cost Price]]*Table_1[[#This Row],[Quantity]]</f>
        <v>1200000</v>
      </c>
      <c r="N547">
        <f>Table_1[[#This Row],[Revenue]]-Table_1[[#This Row],[COGS]]</f>
        <v>300000</v>
      </c>
      <c r="O547" s="11">
        <f t="shared" si="57"/>
        <v>4656740000</v>
      </c>
      <c r="P547">
        <f t="shared" si="58"/>
        <v>3725392000</v>
      </c>
      <c r="Q547">
        <f t="shared" si="59"/>
        <v>931348000</v>
      </c>
      <c r="R547" s="7">
        <f t="shared" si="60"/>
        <v>2098</v>
      </c>
      <c r="S547" s="7">
        <f t="shared" si="61"/>
        <v>1</v>
      </c>
      <c r="T547" s="7">
        <f t="shared" si="62"/>
        <v>2098</v>
      </c>
    </row>
    <row r="548" spans="1:20" ht="14.25" customHeight="1" x14ac:dyDescent="0.35">
      <c r="A548" s="2" t="s">
        <v>94</v>
      </c>
      <c r="B548" s="2" t="s">
        <v>20</v>
      </c>
      <c r="C548" s="2" t="s">
        <v>30</v>
      </c>
      <c r="D548" s="2" t="s">
        <v>14</v>
      </c>
      <c r="E548" s="2" t="s">
        <v>22</v>
      </c>
      <c r="F548" s="2" t="s">
        <v>41</v>
      </c>
      <c r="G548" s="2" t="s">
        <v>17</v>
      </c>
      <c r="H548" s="2">
        <v>320000</v>
      </c>
      <c r="I548" s="2">
        <v>5</v>
      </c>
      <c r="J548" s="2" t="s">
        <v>50</v>
      </c>
      <c r="K548" s="2">
        <f t="shared" si="56"/>
        <v>256000</v>
      </c>
      <c r="L548" s="9">
        <f>Table_1[[#This Row],[Unit Price]]*Table_1[[#This Row],[Quantity]]</f>
        <v>1600000</v>
      </c>
      <c r="M548" s="8">
        <f>Table_1[[#This Row],[Cost Price]]*Table_1[[#This Row],[Quantity]]</f>
        <v>1280000</v>
      </c>
      <c r="N548">
        <f>Table_1[[#This Row],[Revenue]]-Table_1[[#This Row],[COGS]]</f>
        <v>320000</v>
      </c>
      <c r="O548" s="11">
        <f t="shared" si="57"/>
        <v>4656740000</v>
      </c>
      <c r="P548">
        <f t="shared" si="58"/>
        <v>3725392000</v>
      </c>
      <c r="Q548">
        <f t="shared" si="59"/>
        <v>931348000</v>
      </c>
      <c r="R548" s="7">
        <f t="shared" si="60"/>
        <v>2098</v>
      </c>
      <c r="S548" s="7">
        <f t="shared" si="61"/>
        <v>3</v>
      </c>
      <c r="T548" s="7">
        <f t="shared" si="62"/>
        <v>2098</v>
      </c>
    </row>
    <row r="549" spans="1:20" ht="14.25" customHeight="1" x14ac:dyDescent="0.35">
      <c r="A549" s="2" t="s">
        <v>45</v>
      </c>
      <c r="B549" s="2" t="s">
        <v>12</v>
      </c>
      <c r="C549" s="2" t="s">
        <v>13</v>
      </c>
      <c r="D549" s="2" t="s">
        <v>26</v>
      </c>
      <c r="E549" s="2" t="s">
        <v>22</v>
      </c>
      <c r="F549" s="2" t="s">
        <v>47</v>
      </c>
      <c r="G549" s="2" t="s">
        <v>36</v>
      </c>
      <c r="H549" s="2">
        <v>150000</v>
      </c>
      <c r="I549" s="2">
        <v>7</v>
      </c>
      <c r="J549" s="2" t="s">
        <v>27</v>
      </c>
      <c r="K549" s="2">
        <f t="shared" si="56"/>
        <v>120000</v>
      </c>
      <c r="L549" s="9">
        <f>Table_1[[#This Row],[Unit Price]]*Table_1[[#This Row],[Quantity]]</f>
        <v>1050000</v>
      </c>
      <c r="M549" s="8">
        <f>Table_1[[#This Row],[Cost Price]]*Table_1[[#This Row],[Quantity]]</f>
        <v>840000</v>
      </c>
      <c r="N549">
        <f>Table_1[[#This Row],[Revenue]]-Table_1[[#This Row],[COGS]]</f>
        <v>210000</v>
      </c>
      <c r="O549" s="11">
        <f t="shared" si="57"/>
        <v>4656740000</v>
      </c>
      <c r="P549">
        <f t="shared" si="58"/>
        <v>3725392000</v>
      </c>
      <c r="Q549">
        <f t="shared" si="59"/>
        <v>931348000</v>
      </c>
      <c r="R549" s="7">
        <f t="shared" si="60"/>
        <v>2098</v>
      </c>
      <c r="S549" s="7">
        <f t="shared" si="61"/>
        <v>3</v>
      </c>
      <c r="T549" s="7">
        <f t="shared" si="62"/>
        <v>2098</v>
      </c>
    </row>
    <row r="550" spans="1:20" ht="14.25" customHeight="1" x14ac:dyDescent="0.35">
      <c r="A550" s="2" t="s">
        <v>28</v>
      </c>
      <c r="B550" s="2" t="s">
        <v>20</v>
      </c>
      <c r="C550" s="2" t="s">
        <v>13</v>
      </c>
      <c r="D550" s="2" t="s">
        <v>26</v>
      </c>
      <c r="E550" s="2" t="s">
        <v>15</v>
      </c>
      <c r="F550" s="2" t="s">
        <v>47</v>
      </c>
      <c r="G550" s="2" t="s">
        <v>36</v>
      </c>
      <c r="H550" s="2">
        <v>150000</v>
      </c>
      <c r="I550" s="2">
        <v>4</v>
      </c>
      <c r="J550" s="2" t="s">
        <v>50</v>
      </c>
      <c r="K550" s="2">
        <f t="shared" si="56"/>
        <v>120000</v>
      </c>
      <c r="L550" s="9">
        <f>Table_1[[#This Row],[Unit Price]]*Table_1[[#This Row],[Quantity]]</f>
        <v>600000</v>
      </c>
      <c r="M550" s="8">
        <f>Table_1[[#This Row],[Cost Price]]*Table_1[[#This Row],[Quantity]]</f>
        <v>480000</v>
      </c>
      <c r="N550">
        <f>Table_1[[#This Row],[Revenue]]-Table_1[[#This Row],[COGS]]</f>
        <v>120000</v>
      </c>
      <c r="O550" s="11">
        <f t="shared" si="57"/>
        <v>4656740000</v>
      </c>
      <c r="P550">
        <f t="shared" si="58"/>
        <v>3725392000</v>
      </c>
      <c r="Q550">
        <f t="shared" si="59"/>
        <v>931348000</v>
      </c>
      <c r="R550" s="7">
        <f t="shared" si="60"/>
        <v>2098</v>
      </c>
      <c r="S550" s="7">
        <f t="shared" si="61"/>
        <v>4</v>
      </c>
      <c r="T550" s="7">
        <f t="shared" si="62"/>
        <v>2098</v>
      </c>
    </row>
    <row r="551" spans="1:20" ht="14.25" customHeight="1" x14ac:dyDescent="0.35">
      <c r="A551" s="2" t="s">
        <v>97</v>
      </c>
      <c r="B551" s="2" t="s">
        <v>34</v>
      </c>
      <c r="C551" s="2" t="s">
        <v>30</v>
      </c>
      <c r="D551" s="2" t="s">
        <v>26</v>
      </c>
      <c r="E551" s="2" t="s">
        <v>15</v>
      </c>
      <c r="F551" s="2" t="s">
        <v>35</v>
      </c>
      <c r="G551" s="2" t="s">
        <v>36</v>
      </c>
      <c r="H551" s="2">
        <v>300000</v>
      </c>
      <c r="I551" s="2">
        <v>6</v>
      </c>
      <c r="J551" s="2" t="s">
        <v>32</v>
      </c>
      <c r="K551" s="2">
        <f t="shared" si="56"/>
        <v>240000</v>
      </c>
      <c r="L551" s="9">
        <f>Table_1[[#This Row],[Unit Price]]*Table_1[[#This Row],[Quantity]]</f>
        <v>1800000</v>
      </c>
      <c r="M551" s="8">
        <f>Table_1[[#This Row],[Cost Price]]*Table_1[[#This Row],[Quantity]]</f>
        <v>1440000</v>
      </c>
      <c r="N551">
        <f>Table_1[[#This Row],[Revenue]]-Table_1[[#This Row],[COGS]]</f>
        <v>360000</v>
      </c>
      <c r="O551" s="11">
        <f t="shared" si="57"/>
        <v>4656740000</v>
      </c>
      <c r="P551">
        <f t="shared" si="58"/>
        <v>3725392000</v>
      </c>
      <c r="Q551">
        <f t="shared" si="59"/>
        <v>931348000</v>
      </c>
      <c r="R551" s="7">
        <f t="shared" si="60"/>
        <v>2098</v>
      </c>
      <c r="S551" s="7">
        <f t="shared" si="61"/>
        <v>2</v>
      </c>
      <c r="T551" s="7">
        <f t="shared" si="62"/>
        <v>2098</v>
      </c>
    </row>
    <row r="552" spans="1:20" ht="14.25" customHeight="1" x14ac:dyDescent="0.35">
      <c r="A552" s="2" t="s">
        <v>71</v>
      </c>
      <c r="B552" s="2" t="s">
        <v>34</v>
      </c>
      <c r="C552" s="2" t="s">
        <v>13</v>
      </c>
      <c r="D552" s="2" t="s">
        <v>14</v>
      </c>
      <c r="E552" s="2" t="s">
        <v>22</v>
      </c>
      <c r="F552" s="2" t="s">
        <v>41</v>
      </c>
      <c r="G552" s="2" t="s">
        <v>17</v>
      </c>
      <c r="H552" s="2">
        <v>320000</v>
      </c>
      <c r="I552" s="2">
        <v>4</v>
      </c>
      <c r="J552" s="2" t="s">
        <v>32</v>
      </c>
      <c r="K552" s="2">
        <f t="shared" si="56"/>
        <v>256000</v>
      </c>
      <c r="L552" s="9">
        <f>Table_1[[#This Row],[Unit Price]]*Table_1[[#This Row],[Quantity]]</f>
        <v>1280000</v>
      </c>
      <c r="M552" s="8">
        <f>Table_1[[#This Row],[Cost Price]]*Table_1[[#This Row],[Quantity]]</f>
        <v>1024000</v>
      </c>
      <c r="N552">
        <f>Table_1[[#This Row],[Revenue]]-Table_1[[#This Row],[COGS]]</f>
        <v>256000</v>
      </c>
      <c r="O552" s="11">
        <f t="shared" si="57"/>
        <v>4656740000</v>
      </c>
      <c r="P552">
        <f t="shared" si="58"/>
        <v>3725392000</v>
      </c>
      <c r="Q552">
        <f t="shared" si="59"/>
        <v>931348000</v>
      </c>
      <c r="R552" s="7">
        <f t="shared" si="60"/>
        <v>2098</v>
      </c>
      <c r="S552" s="7">
        <f t="shared" si="61"/>
        <v>2</v>
      </c>
      <c r="T552" s="7">
        <f t="shared" si="62"/>
        <v>2098</v>
      </c>
    </row>
    <row r="553" spans="1:20" ht="14.25" customHeight="1" x14ac:dyDescent="0.35">
      <c r="A553" s="2" t="s">
        <v>75</v>
      </c>
      <c r="B553" s="2" t="s">
        <v>29</v>
      </c>
      <c r="C553" s="2" t="s">
        <v>21</v>
      </c>
      <c r="D553" s="2" t="s">
        <v>26</v>
      </c>
      <c r="E553" s="2" t="s">
        <v>15</v>
      </c>
      <c r="F553" s="2" t="s">
        <v>23</v>
      </c>
      <c r="G553" s="2" t="s">
        <v>24</v>
      </c>
      <c r="H553" s="2">
        <v>30000</v>
      </c>
      <c r="I553" s="2">
        <v>4</v>
      </c>
      <c r="J553" s="2" t="s">
        <v>27</v>
      </c>
      <c r="K553" s="2">
        <f t="shared" si="56"/>
        <v>24000</v>
      </c>
      <c r="L553" s="9">
        <f>Table_1[[#This Row],[Unit Price]]*Table_1[[#This Row],[Quantity]]</f>
        <v>120000</v>
      </c>
      <c r="M553" s="8">
        <f>Table_1[[#This Row],[Cost Price]]*Table_1[[#This Row],[Quantity]]</f>
        <v>96000</v>
      </c>
      <c r="N553">
        <f>Table_1[[#This Row],[Revenue]]-Table_1[[#This Row],[COGS]]</f>
        <v>24000</v>
      </c>
      <c r="O553" s="11">
        <f t="shared" si="57"/>
        <v>4656740000</v>
      </c>
      <c r="P553">
        <f t="shared" si="58"/>
        <v>3725392000</v>
      </c>
      <c r="Q553">
        <f t="shared" si="59"/>
        <v>931348000</v>
      </c>
      <c r="R553" s="7">
        <f t="shared" si="60"/>
        <v>2098</v>
      </c>
      <c r="S553" s="7">
        <f t="shared" si="61"/>
        <v>2</v>
      </c>
      <c r="T553" s="7">
        <f t="shared" si="62"/>
        <v>2098</v>
      </c>
    </row>
    <row r="554" spans="1:20" ht="14.25" customHeight="1" x14ac:dyDescent="0.35">
      <c r="A554" s="2" t="s">
        <v>118</v>
      </c>
      <c r="B554" s="2" t="s">
        <v>20</v>
      </c>
      <c r="C554" s="2" t="s">
        <v>30</v>
      </c>
      <c r="D554" s="2" t="s">
        <v>26</v>
      </c>
      <c r="E554" s="2" t="s">
        <v>15</v>
      </c>
      <c r="F554" s="2" t="s">
        <v>47</v>
      </c>
      <c r="G554" s="2" t="s">
        <v>36</v>
      </c>
      <c r="H554" s="2">
        <v>150000</v>
      </c>
      <c r="I554" s="2">
        <v>8</v>
      </c>
      <c r="J554" s="2" t="s">
        <v>54</v>
      </c>
      <c r="K554" s="2">
        <f t="shared" si="56"/>
        <v>120000</v>
      </c>
      <c r="L554" s="9">
        <f>Table_1[[#This Row],[Unit Price]]*Table_1[[#This Row],[Quantity]]</f>
        <v>1200000</v>
      </c>
      <c r="M554" s="8">
        <f>Table_1[[#This Row],[Cost Price]]*Table_1[[#This Row],[Quantity]]</f>
        <v>960000</v>
      </c>
      <c r="N554">
        <f>Table_1[[#This Row],[Revenue]]-Table_1[[#This Row],[COGS]]</f>
        <v>240000</v>
      </c>
      <c r="O554" s="11">
        <f t="shared" si="57"/>
        <v>4656740000</v>
      </c>
      <c r="P554">
        <f t="shared" si="58"/>
        <v>3725392000</v>
      </c>
      <c r="Q554">
        <f t="shared" si="59"/>
        <v>931348000</v>
      </c>
      <c r="R554" s="7">
        <f t="shared" si="60"/>
        <v>2098</v>
      </c>
      <c r="S554" s="7">
        <f t="shared" si="61"/>
        <v>1</v>
      </c>
      <c r="T554" s="7">
        <f t="shared" si="62"/>
        <v>2098</v>
      </c>
    </row>
    <row r="555" spans="1:20" ht="14.25" customHeight="1" x14ac:dyDescent="0.35">
      <c r="A555" s="2" t="s">
        <v>86</v>
      </c>
      <c r="B555" s="2" t="s">
        <v>29</v>
      </c>
      <c r="C555" s="2" t="s">
        <v>21</v>
      </c>
      <c r="D555" s="2" t="s">
        <v>14</v>
      </c>
      <c r="E555" s="2" t="s">
        <v>22</v>
      </c>
      <c r="F555" s="2" t="s">
        <v>56</v>
      </c>
      <c r="G555" s="2" t="s">
        <v>36</v>
      </c>
      <c r="H555" s="2">
        <v>250000</v>
      </c>
      <c r="I555" s="2">
        <v>8</v>
      </c>
      <c r="J555" s="2" t="s">
        <v>50</v>
      </c>
      <c r="K555" s="2">
        <f t="shared" si="56"/>
        <v>200000</v>
      </c>
      <c r="L555" s="9">
        <f>Table_1[[#This Row],[Unit Price]]*Table_1[[#This Row],[Quantity]]</f>
        <v>2000000</v>
      </c>
      <c r="M555" s="8">
        <f>Table_1[[#This Row],[Cost Price]]*Table_1[[#This Row],[Quantity]]</f>
        <v>1600000</v>
      </c>
      <c r="N555">
        <f>Table_1[[#This Row],[Revenue]]-Table_1[[#This Row],[COGS]]</f>
        <v>400000</v>
      </c>
      <c r="O555" s="11">
        <f t="shared" si="57"/>
        <v>4656740000</v>
      </c>
      <c r="P555">
        <f t="shared" si="58"/>
        <v>3725392000</v>
      </c>
      <c r="Q555">
        <f t="shared" si="59"/>
        <v>931348000</v>
      </c>
      <c r="R555" s="7">
        <f t="shared" si="60"/>
        <v>2098</v>
      </c>
      <c r="S555" s="7">
        <f t="shared" si="61"/>
        <v>1</v>
      </c>
      <c r="T555" s="7">
        <f t="shared" si="62"/>
        <v>2098</v>
      </c>
    </row>
    <row r="556" spans="1:20" ht="14.25" customHeight="1" x14ac:dyDescent="0.35">
      <c r="A556" s="2" t="s">
        <v>53</v>
      </c>
      <c r="B556" s="2" t="s">
        <v>34</v>
      </c>
      <c r="C556" s="2" t="s">
        <v>21</v>
      </c>
      <c r="D556" s="2" t="s">
        <v>26</v>
      </c>
      <c r="E556" s="2" t="s">
        <v>15</v>
      </c>
      <c r="F556" s="2" t="s">
        <v>23</v>
      </c>
      <c r="G556" s="2" t="s">
        <v>24</v>
      </c>
      <c r="H556" s="2">
        <v>30000</v>
      </c>
      <c r="I556" s="2">
        <v>4</v>
      </c>
      <c r="J556" s="2" t="s">
        <v>54</v>
      </c>
      <c r="K556" s="2">
        <f t="shared" si="56"/>
        <v>24000</v>
      </c>
      <c r="L556" s="9">
        <f>Table_1[[#This Row],[Unit Price]]*Table_1[[#This Row],[Quantity]]</f>
        <v>120000</v>
      </c>
      <c r="M556" s="8">
        <f>Table_1[[#This Row],[Cost Price]]*Table_1[[#This Row],[Quantity]]</f>
        <v>96000</v>
      </c>
      <c r="N556">
        <f>Table_1[[#This Row],[Revenue]]-Table_1[[#This Row],[COGS]]</f>
        <v>24000</v>
      </c>
      <c r="O556" s="11">
        <f t="shared" si="57"/>
        <v>4656740000</v>
      </c>
      <c r="P556">
        <f t="shared" si="58"/>
        <v>3725392000</v>
      </c>
      <c r="Q556">
        <f t="shared" si="59"/>
        <v>931348000</v>
      </c>
      <c r="R556" s="7">
        <f t="shared" si="60"/>
        <v>2098</v>
      </c>
      <c r="S556" s="7">
        <f t="shared" si="61"/>
        <v>3</v>
      </c>
      <c r="T556" s="7">
        <f t="shared" si="62"/>
        <v>2098</v>
      </c>
    </row>
    <row r="557" spans="1:20" ht="14.25" customHeight="1" x14ac:dyDescent="0.35">
      <c r="A557" s="2" t="s">
        <v>118</v>
      </c>
      <c r="B557" s="2" t="s">
        <v>29</v>
      </c>
      <c r="C557" s="2" t="s">
        <v>13</v>
      </c>
      <c r="D557" s="2" t="s">
        <v>26</v>
      </c>
      <c r="E557" s="2" t="s">
        <v>15</v>
      </c>
      <c r="F557" s="2" t="s">
        <v>52</v>
      </c>
      <c r="G557" s="2" t="s">
        <v>36</v>
      </c>
      <c r="H557" s="2">
        <v>420000</v>
      </c>
      <c r="I557" s="2">
        <v>2</v>
      </c>
      <c r="J557" s="2" t="s">
        <v>50</v>
      </c>
      <c r="K557" s="2">
        <f t="shared" si="56"/>
        <v>336000</v>
      </c>
      <c r="L557" s="9">
        <f>Table_1[[#This Row],[Unit Price]]*Table_1[[#This Row],[Quantity]]</f>
        <v>840000</v>
      </c>
      <c r="M557" s="8">
        <f>Table_1[[#This Row],[Cost Price]]*Table_1[[#This Row],[Quantity]]</f>
        <v>672000</v>
      </c>
      <c r="N557">
        <f>Table_1[[#This Row],[Revenue]]-Table_1[[#This Row],[COGS]]</f>
        <v>168000</v>
      </c>
      <c r="O557" s="11">
        <f t="shared" si="57"/>
        <v>4656740000</v>
      </c>
      <c r="P557">
        <f t="shared" si="58"/>
        <v>3725392000</v>
      </c>
      <c r="Q557">
        <f t="shared" si="59"/>
        <v>931348000</v>
      </c>
      <c r="R557" s="7">
        <f t="shared" si="60"/>
        <v>2098</v>
      </c>
      <c r="S557" s="7">
        <f t="shared" si="61"/>
        <v>1</v>
      </c>
      <c r="T557" s="7">
        <f t="shared" si="62"/>
        <v>2098</v>
      </c>
    </row>
    <row r="558" spans="1:20" ht="14.25" customHeight="1" x14ac:dyDescent="0.35">
      <c r="A558" s="2" t="s">
        <v>94</v>
      </c>
      <c r="B558" s="2" t="s">
        <v>29</v>
      </c>
      <c r="C558" s="2" t="s">
        <v>13</v>
      </c>
      <c r="D558" s="2" t="s">
        <v>26</v>
      </c>
      <c r="E558" s="2" t="s">
        <v>22</v>
      </c>
      <c r="F558" s="2" t="s">
        <v>23</v>
      </c>
      <c r="G558" s="2" t="s">
        <v>24</v>
      </c>
      <c r="H558" s="2">
        <v>30000</v>
      </c>
      <c r="I558" s="2">
        <v>6</v>
      </c>
      <c r="J558" s="2" t="s">
        <v>50</v>
      </c>
      <c r="K558" s="2">
        <f t="shared" si="56"/>
        <v>24000</v>
      </c>
      <c r="L558" s="9">
        <f>Table_1[[#This Row],[Unit Price]]*Table_1[[#This Row],[Quantity]]</f>
        <v>180000</v>
      </c>
      <c r="M558" s="8">
        <f>Table_1[[#This Row],[Cost Price]]*Table_1[[#This Row],[Quantity]]</f>
        <v>144000</v>
      </c>
      <c r="N558">
        <f>Table_1[[#This Row],[Revenue]]-Table_1[[#This Row],[COGS]]</f>
        <v>36000</v>
      </c>
      <c r="O558" s="11">
        <f t="shared" si="57"/>
        <v>4656740000</v>
      </c>
      <c r="P558">
        <f t="shared" si="58"/>
        <v>3725392000</v>
      </c>
      <c r="Q558">
        <f t="shared" si="59"/>
        <v>931348000</v>
      </c>
      <c r="R558" s="7">
        <f t="shared" si="60"/>
        <v>2098</v>
      </c>
      <c r="S558" s="7">
        <f t="shared" si="61"/>
        <v>3</v>
      </c>
      <c r="T558" s="7">
        <f t="shared" si="62"/>
        <v>2098</v>
      </c>
    </row>
    <row r="559" spans="1:20" ht="14.25" customHeight="1" x14ac:dyDescent="0.35">
      <c r="A559" s="2" t="s">
        <v>149</v>
      </c>
      <c r="B559" s="2" t="s">
        <v>34</v>
      </c>
      <c r="C559" s="2" t="s">
        <v>38</v>
      </c>
      <c r="D559" s="2" t="s">
        <v>26</v>
      </c>
      <c r="E559" s="2" t="s">
        <v>15</v>
      </c>
      <c r="F559" s="2" t="s">
        <v>58</v>
      </c>
      <c r="G559" s="2" t="s">
        <v>24</v>
      </c>
      <c r="H559" s="2">
        <v>220000</v>
      </c>
      <c r="I559" s="2">
        <v>2</v>
      </c>
      <c r="J559" s="2" t="s">
        <v>43</v>
      </c>
      <c r="K559" s="2">
        <f t="shared" si="56"/>
        <v>176000</v>
      </c>
      <c r="L559" s="9">
        <f>Table_1[[#This Row],[Unit Price]]*Table_1[[#This Row],[Quantity]]</f>
        <v>440000</v>
      </c>
      <c r="M559" s="8">
        <f>Table_1[[#This Row],[Cost Price]]*Table_1[[#This Row],[Quantity]]</f>
        <v>352000</v>
      </c>
      <c r="N559">
        <f>Table_1[[#This Row],[Revenue]]-Table_1[[#This Row],[COGS]]</f>
        <v>88000</v>
      </c>
      <c r="O559" s="11">
        <f t="shared" si="57"/>
        <v>4656740000</v>
      </c>
      <c r="P559">
        <f t="shared" si="58"/>
        <v>3725392000</v>
      </c>
      <c r="Q559">
        <f t="shared" si="59"/>
        <v>931348000</v>
      </c>
      <c r="R559" s="7">
        <f t="shared" si="60"/>
        <v>2098</v>
      </c>
      <c r="S559" s="7">
        <f t="shared" si="61"/>
        <v>3</v>
      </c>
      <c r="T559" s="7">
        <f t="shared" si="62"/>
        <v>2098</v>
      </c>
    </row>
    <row r="560" spans="1:20" ht="14.25" customHeight="1" x14ac:dyDescent="0.35">
      <c r="A560" s="2" t="s">
        <v>144</v>
      </c>
      <c r="B560" s="2" t="s">
        <v>29</v>
      </c>
      <c r="C560" s="2" t="s">
        <v>13</v>
      </c>
      <c r="D560" s="2" t="s">
        <v>14</v>
      </c>
      <c r="E560" s="2" t="s">
        <v>15</v>
      </c>
      <c r="F560" s="2" t="s">
        <v>35</v>
      </c>
      <c r="G560" s="2" t="s">
        <v>36</v>
      </c>
      <c r="H560" s="2">
        <v>300000</v>
      </c>
      <c r="I560" s="2">
        <v>4</v>
      </c>
      <c r="J560" s="2" t="s">
        <v>43</v>
      </c>
      <c r="K560" s="2">
        <f t="shared" si="56"/>
        <v>240000</v>
      </c>
      <c r="L560" s="9">
        <f>Table_1[[#This Row],[Unit Price]]*Table_1[[#This Row],[Quantity]]</f>
        <v>1200000</v>
      </c>
      <c r="M560" s="8">
        <f>Table_1[[#This Row],[Cost Price]]*Table_1[[#This Row],[Quantity]]</f>
        <v>960000</v>
      </c>
      <c r="N560">
        <f>Table_1[[#This Row],[Revenue]]-Table_1[[#This Row],[COGS]]</f>
        <v>240000</v>
      </c>
      <c r="O560" s="11">
        <f t="shared" si="57"/>
        <v>4656740000</v>
      </c>
      <c r="P560">
        <f t="shared" si="58"/>
        <v>3725392000</v>
      </c>
      <c r="Q560">
        <f t="shared" si="59"/>
        <v>931348000</v>
      </c>
      <c r="R560" s="7">
        <f t="shared" si="60"/>
        <v>2098</v>
      </c>
      <c r="S560" s="7">
        <f t="shared" si="61"/>
        <v>2</v>
      </c>
      <c r="T560" s="7">
        <f t="shared" si="62"/>
        <v>2098</v>
      </c>
    </row>
    <row r="561" spans="1:20" ht="14.25" customHeight="1" x14ac:dyDescent="0.35">
      <c r="A561" s="2" t="s">
        <v>125</v>
      </c>
      <c r="B561" s="2" t="s">
        <v>29</v>
      </c>
      <c r="C561" s="2" t="s">
        <v>13</v>
      </c>
      <c r="D561" s="2" t="s">
        <v>26</v>
      </c>
      <c r="E561" s="2" t="s">
        <v>15</v>
      </c>
      <c r="F561" s="2" t="s">
        <v>52</v>
      </c>
      <c r="G561" s="2" t="s">
        <v>36</v>
      </c>
      <c r="H561" s="2">
        <v>420000</v>
      </c>
      <c r="I561" s="2">
        <v>8</v>
      </c>
      <c r="J561" s="2" t="s">
        <v>18</v>
      </c>
      <c r="K561" s="2">
        <f t="shared" si="56"/>
        <v>336000</v>
      </c>
      <c r="L561" s="9">
        <f>Table_1[[#This Row],[Unit Price]]*Table_1[[#This Row],[Quantity]]</f>
        <v>3360000</v>
      </c>
      <c r="M561" s="8">
        <f>Table_1[[#This Row],[Cost Price]]*Table_1[[#This Row],[Quantity]]</f>
        <v>2688000</v>
      </c>
      <c r="N561">
        <f>Table_1[[#This Row],[Revenue]]-Table_1[[#This Row],[COGS]]</f>
        <v>672000</v>
      </c>
      <c r="O561" s="11">
        <f t="shared" si="57"/>
        <v>4656740000</v>
      </c>
      <c r="P561">
        <f t="shared" si="58"/>
        <v>3725392000</v>
      </c>
      <c r="Q561">
        <f t="shared" si="59"/>
        <v>931348000</v>
      </c>
      <c r="R561" s="7">
        <f t="shared" si="60"/>
        <v>2098</v>
      </c>
      <c r="S561" s="7">
        <f t="shared" si="61"/>
        <v>4</v>
      </c>
      <c r="T561" s="7">
        <f t="shared" si="62"/>
        <v>2098</v>
      </c>
    </row>
    <row r="562" spans="1:20" ht="14.25" customHeight="1" x14ac:dyDescent="0.35">
      <c r="A562" s="2" t="s">
        <v>60</v>
      </c>
      <c r="B562" s="2" t="s">
        <v>20</v>
      </c>
      <c r="C562" s="2" t="s">
        <v>13</v>
      </c>
      <c r="D562" s="2" t="s">
        <v>14</v>
      </c>
      <c r="E562" s="2" t="s">
        <v>15</v>
      </c>
      <c r="F562" s="2" t="s">
        <v>41</v>
      </c>
      <c r="G562" s="2" t="s">
        <v>17</v>
      </c>
      <c r="H562" s="2">
        <v>320000</v>
      </c>
      <c r="I562" s="2">
        <v>4</v>
      </c>
      <c r="J562" s="2" t="s">
        <v>43</v>
      </c>
      <c r="K562" s="2">
        <f t="shared" si="56"/>
        <v>256000</v>
      </c>
      <c r="L562" s="9">
        <f>Table_1[[#This Row],[Unit Price]]*Table_1[[#This Row],[Quantity]]</f>
        <v>1280000</v>
      </c>
      <c r="M562" s="8">
        <f>Table_1[[#This Row],[Cost Price]]*Table_1[[#This Row],[Quantity]]</f>
        <v>1024000</v>
      </c>
      <c r="N562">
        <f>Table_1[[#This Row],[Revenue]]-Table_1[[#This Row],[COGS]]</f>
        <v>256000</v>
      </c>
      <c r="O562" s="11">
        <f t="shared" si="57"/>
        <v>4656740000</v>
      </c>
      <c r="P562">
        <f t="shared" si="58"/>
        <v>3725392000</v>
      </c>
      <c r="Q562">
        <f t="shared" si="59"/>
        <v>931348000</v>
      </c>
      <c r="R562" s="7">
        <f t="shared" si="60"/>
        <v>2098</v>
      </c>
      <c r="S562" s="7">
        <f t="shared" si="61"/>
        <v>3</v>
      </c>
      <c r="T562" s="7">
        <f t="shared" si="62"/>
        <v>2098</v>
      </c>
    </row>
    <row r="563" spans="1:20" ht="14.25" customHeight="1" x14ac:dyDescent="0.35">
      <c r="A563" s="2" t="s">
        <v>59</v>
      </c>
      <c r="B563" s="2" t="s">
        <v>12</v>
      </c>
      <c r="C563" s="2" t="s">
        <v>13</v>
      </c>
      <c r="D563" s="2" t="s">
        <v>26</v>
      </c>
      <c r="E563" s="2" t="s">
        <v>22</v>
      </c>
      <c r="F563" s="2" t="s">
        <v>56</v>
      </c>
      <c r="G563" s="2" t="s">
        <v>36</v>
      </c>
      <c r="H563" s="2">
        <v>250000</v>
      </c>
      <c r="I563" s="2">
        <v>8</v>
      </c>
      <c r="J563" s="2" t="s">
        <v>27</v>
      </c>
      <c r="K563" s="2">
        <f t="shared" si="56"/>
        <v>200000</v>
      </c>
      <c r="L563" s="9">
        <f>Table_1[[#This Row],[Unit Price]]*Table_1[[#This Row],[Quantity]]</f>
        <v>2000000</v>
      </c>
      <c r="M563" s="8">
        <f>Table_1[[#This Row],[Cost Price]]*Table_1[[#This Row],[Quantity]]</f>
        <v>1600000</v>
      </c>
      <c r="N563">
        <f>Table_1[[#This Row],[Revenue]]-Table_1[[#This Row],[COGS]]</f>
        <v>400000</v>
      </c>
      <c r="O563" s="11">
        <f t="shared" si="57"/>
        <v>4656740000</v>
      </c>
      <c r="P563">
        <f t="shared" si="58"/>
        <v>3725392000</v>
      </c>
      <c r="Q563">
        <f t="shared" si="59"/>
        <v>931348000</v>
      </c>
      <c r="R563" s="7">
        <f t="shared" si="60"/>
        <v>2098</v>
      </c>
      <c r="S563" s="7">
        <f t="shared" si="61"/>
        <v>2</v>
      </c>
      <c r="T563" s="7">
        <f t="shared" si="62"/>
        <v>2098</v>
      </c>
    </row>
    <row r="564" spans="1:20" ht="14.25" customHeight="1" x14ac:dyDescent="0.35">
      <c r="A564" s="2" t="s">
        <v>76</v>
      </c>
      <c r="B564" s="2" t="s">
        <v>20</v>
      </c>
      <c r="C564" s="2" t="s">
        <v>21</v>
      </c>
      <c r="D564" s="2" t="s">
        <v>14</v>
      </c>
      <c r="E564" s="2" t="s">
        <v>22</v>
      </c>
      <c r="F564" s="2" t="s">
        <v>41</v>
      </c>
      <c r="G564" s="2" t="s">
        <v>17</v>
      </c>
      <c r="H564" s="2">
        <v>320000</v>
      </c>
      <c r="I564" s="2">
        <v>7</v>
      </c>
      <c r="J564" s="2" t="s">
        <v>54</v>
      </c>
      <c r="K564" s="2">
        <f t="shared" si="56"/>
        <v>256000</v>
      </c>
      <c r="L564" s="9">
        <f>Table_1[[#This Row],[Unit Price]]*Table_1[[#This Row],[Quantity]]</f>
        <v>2240000</v>
      </c>
      <c r="M564" s="8">
        <f>Table_1[[#This Row],[Cost Price]]*Table_1[[#This Row],[Quantity]]</f>
        <v>1792000</v>
      </c>
      <c r="N564">
        <f>Table_1[[#This Row],[Revenue]]-Table_1[[#This Row],[COGS]]</f>
        <v>448000</v>
      </c>
      <c r="O564" s="11">
        <f t="shared" si="57"/>
        <v>4656740000</v>
      </c>
      <c r="P564">
        <f t="shared" si="58"/>
        <v>3725392000</v>
      </c>
      <c r="Q564">
        <f t="shared" si="59"/>
        <v>931348000</v>
      </c>
      <c r="R564" s="7">
        <f t="shared" si="60"/>
        <v>2098</v>
      </c>
      <c r="S564" s="7">
        <f t="shared" si="61"/>
        <v>2</v>
      </c>
      <c r="T564" s="7">
        <f t="shared" si="62"/>
        <v>2098</v>
      </c>
    </row>
    <row r="565" spans="1:20" ht="14.25" customHeight="1" x14ac:dyDescent="0.35">
      <c r="A565" s="2" t="s">
        <v>64</v>
      </c>
      <c r="B565" s="2" t="s">
        <v>12</v>
      </c>
      <c r="C565" s="2" t="s">
        <v>21</v>
      </c>
      <c r="D565" s="2" t="s">
        <v>26</v>
      </c>
      <c r="E565" s="2" t="s">
        <v>22</v>
      </c>
      <c r="F565" s="2" t="s">
        <v>35</v>
      </c>
      <c r="G565" s="2" t="s">
        <v>36</v>
      </c>
      <c r="H565" s="2">
        <v>300000</v>
      </c>
      <c r="I565" s="2">
        <v>6</v>
      </c>
      <c r="J565" s="2" t="s">
        <v>27</v>
      </c>
      <c r="K565" s="2">
        <f t="shared" si="56"/>
        <v>240000</v>
      </c>
      <c r="L565" s="9">
        <f>Table_1[[#This Row],[Unit Price]]*Table_1[[#This Row],[Quantity]]</f>
        <v>1800000</v>
      </c>
      <c r="M565" s="8">
        <f>Table_1[[#This Row],[Cost Price]]*Table_1[[#This Row],[Quantity]]</f>
        <v>1440000</v>
      </c>
      <c r="N565">
        <f>Table_1[[#This Row],[Revenue]]-Table_1[[#This Row],[COGS]]</f>
        <v>360000</v>
      </c>
      <c r="O565" s="11">
        <f t="shared" si="57"/>
        <v>4656740000</v>
      </c>
      <c r="P565">
        <f t="shared" si="58"/>
        <v>3725392000</v>
      </c>
      <c r="Q565">
        <f t="shared" si="59"/>
        <v>931348000</v>
      </c>
      <c r="R565" s="7">
        <f t="shared" si="60"/>
        <v>2098</v>
      </c>
      <c r="S565" s="7">
        <f t="shared" si="61"/>
        <v>2</v>
      </c>
      <c r="T565" s="7">
        <f t="shared" si="62"/>
        <v>2098</v>
      </c>
    </row>
    <row r="566" spans="1:20" ht="14.25" customHeight="1" x14ac:dyDescent="0.35">
      <c r="A566" s="2" t="s">
        <v>77</v>
      </c>
      <c r="B566" s="2" t="s">
        <v>34</v>
      </c>
      <c r="C566" s="2" t="s">
        <v>38</v>
      </c>
      <c r="D566" s="2" t="s">
        <v>26</v>
      </c>
      <c r="E566" s="2" t="s">
        <v>22</v>
      </c>
      <c r="F566" s="2" t="s">
        <v>39</v>
      </c>
      <c r="G566" s="2" t="s">
        <v>24</v>
      </c>
      <c r="H566" s="2">
        <v>180000</v>
      </c>
      <c r="I566" s="2">
        <v>4</v>
      </c>
      <c r="J566" s="2" t="s">
        <v>18</v>
      </c>
      <c r="K566" s="2">
        <f t="shared" si="56"/>
        <v>144000</v>
      </c>
      <c r="L566" s="9">
        <f>Table_1[[#This Row],[Unit Price]]*Table_1[[#This Row],[Quantity]]</f>
        <v>720000</v>
      </c>
      <c r="M566" s="8">
        <f>Table_1[[#This Row],[Cost Price]]*Table_1[[#This Row],[Quantity]]</f>
        <v>576000</v>
      </c>
      <c r="N566">
        <f>Table_1[[#This Row],[Revenue]]-Table_1[[#This Row],[COGS]]</f>
        <v>144000</v>
      </c>
      <c r="O566" s="11">
        <f t="shared" si="57"/>
        <v>4656740000</v>
      </c>
      <c r="P566">
        <f t="shared" si="58"/>
        <v>3725392000</v>
      </c>
      <c r="Q566">
        <f t="shared" si="59"/>
        <v>931348000</v>
      </c>
      <c r="R566" s="7">
        <f t="shared" si="60"/>
        <v>2098</v>
      </c>
      <c r="S566" s="7">
        <f t="shared" si="61"/>
        <v>1</v>
      </c>
      <c r="T566" s="7">
        <f t="shared" si="62"/>
        <v>2098</v>
      </c>
    </row>
    <row r="567" spans="1:20" ht="14.25" customHeight="1" x14ac:dyDescent="0.35">
      <c r="A567" s="2" t="s">
        <v>131</v>
      </c>
      <c r="B567" s="2" t="s">
        <v>12</v>
      </c>
      <c r="C567" s="2" t="s">
        <v>13</v>
      </c>
      <c r="D567" s="2" t="s">
        <v>26</v>
      </c>
      <c r="E567" s="2" t="s">
        <v>15</v>
      </c>
      <c r="F567" s="2" t="s">
        <v>56</v>
      </c>
      <c r="G567" s="2" t="s">
        <v>36</v>
      </c>
      <c r="H567" s="2">
        <v>250000</v>
      </c>
      <c r="I567" s="2">
        <v>6</v>
      </c>
      <c r="J567" s="2" t="s">
        <v>43</v>
      </c>
      <c r="K567" s="2">
        <f t="shared" si="56"/>
        <v>200000</v>
      </c>
      <c r="L567" s="9">
        <f>Table_1[[#This Row],[Unit Price]]*Table_1[[#This Row],[Quantity]]</f>
        <v>1500000</v>
      </c>
      <c r="M567" s="8">
        <f>Table_1[[#This Row],[Cost Price]]*Table_1[[#This Row],[Quantity]]</f>
        <v>1200000</v>
      </c>
      <c r="N567">
        <f>Table_1[[#This Row],[Revenue]]-Table_1[[#This Row],[COGS]]</f>
        <v>300000</v>
      </c>
      <c r="O567" s="11">
        <f t="shared" si="57"/>
        <v>4656740000</v>
      </c>
      <c r="P567">
        <f t="shared" si="58"/>
        <v>3725392000</v>
      </c>
      <c r="Q567">
        <f t="shared" si="59"/>
        <v>931348000</v>
      </c>
      <c r="R567" s="7">
        <f t="shared" si="60"/>
        <v>2098</v>
      </c>
      <c r="S567" s="7">
        <f t="shared" si="61"/>
        <v>1</v>
      </c>
      <c r="T567" s="7">
        <f t="shared" si="62"/>
        <v>2098</v>
      </c>
    </row>
    <row r="568" spans="1:20" ht="14.25" customHeight="1" x14ac:dyDescent="0.35">
      <c r="A568" s="2" t="s">
        <v>65</v>
      </c>
      <c r="B568" s="2" t="s">
        <v>12</v>
      </c>
      <c r="C568" s="2" t="s">
        <v>30</v>
      </c>
      <c r="D568" s="2" t="s">
        <v>26</v>
      </c>
      <c r="E568" s="2" t="s">
        <v>15</v>
      </c>
      <c r="F568" s="2" t="s">
        <v>56</v>
      </c>
      <c r="G568" s="2" t="s">
        <v>36</v>
      </c>
      <c r="H568" s="2">
        <v>250000</v>
      </c>
      <c r="I568" s="2">
        <v>7</v>
      </c>
      <c r="J568" s="2" t="s">
        <v>43</v>
      </c>
      <c r="K568" s="2">
        <f t="shared" si="56"/>
        <v>200000</v>
      </c>
      <c r="L568" s="9">
        <f>Table_1[[#This Row],[Unit Price]]*Table_1[[#This Row],[Quantity]]</f>
        <v>1750000</v>
      </c>
      <c r="M568" s="8">
        <f>Table_1[[#This Row],[Cost Price]]*Table_1[[#This Row],[Quantity]]</f>
        <v>1400000</v>
      </c>
      <c r="N568">
        <f>Table_1[[#This Row],[Revenue]]-Table_1[[#This Row],[COGS]]</f>
        <v>350000</v>
      </c>
      <c r="O568" s="11">
        <f t="shared" si="57"/>
        <v>4656740000</v>
      </c>
      <c r="P568">
        <f t="shared" si="58"/>
        <v>3725392000</v>
      </c>
      <c r="Q568">
        <f t="shared" si="59"/>
        <v>931348000</v>
      </c>
      <c r="R568" s="7">
        <f t="shared" si="60"/>
        <v>2098</v>
      </c>
      <c r="S568" s="7">
        <f t="shared" si="61"/>
        <v>2</v>
      </c>
      <c r="T568" s="7">
        <f t="shared" si="62"/>
        <v>2098</v>
      </c>
    </row>
    <row r="569" spans="1:20" ht="14.25" customHeight="1" x14ac:dyDescent="0.35">
      <c r="A569" s="2" t="s">
        <v>89</v>
      </c>
      <c r="B569" s="2" t="s">
        <v>20</v>
      </c>
      <c r="C569" s="2" t="s">
        <v>21</v>
      </c>
      <c r="D569" s="2" t="s">
        <v>14</v>
      </c>
      <c r="E569" s="2" t="s">
        <v>22</v>
      </c>
      <c r="F569" s="2" t="s">
        <v>52</v>
      </c>
      <c r="G569" s="2" t="s">
        <v>36</v>
      </c>
      <c r="H569" s="2">
        <v>420000</v>
      </c>
      <c r="I569" s="2">
        <v>2</v>
      </c>
      <c r="J569" s="2" t="s">
        <v>18</v>
      </c>
      <c r="K569" s="2">
        <f t="shared" si="56"/>
        <v>336000</v>
      </c>
      <c r="L569" s="9">
        <f>Table_1[[#This Row],[Unit Price]]*Table_1[[#This Row],[Quantity]]</f>
        <v>840000</v>
      </c>
      <c r="M569" s="8">
        <f>Table_1[[#This Row],[Cost Price]]*Table_1[[#This Row],[Quantity]]</f>
        <v>672000</v>
      </c>
      <c r="N569">
        <f>Table_1[[#This Row],[Revenue]]-Table_1[[#This Row],[COGS]]</f>
        <v>168000</v>
      </c>
      <c r="O569" s="11">
        <f t="shared" si="57"/>
        <v>4656740000</v>
      </c>
      <c r="P569">
        <f t="shared" si="58"/>
        <v>3725392000</v>
      </c>
      <c r="Q569">
        <f t="shared" si="59"/>
        <v>931348000</v>
      </c>
      <c r="R569" s="7">
        <f t="shared" si="60"/>
        <v>2098</v>
      </c>
      <c r="S569" s="7">
        <f t="shared" si="61"/>
        <v>3</v>
      </c>
      <c r="T569" s="7">
        <f t="shared" si="62"/>
        <v>2098</v>
      </c>
    </row>
    <row r="570" spans="1:20" ht="14.25" customHeight="1" x14ac:dyDescent="0.35">
      <c r="A570" s="2" t="s">
        <v>153</v>
      </c>
      <c r="B570" s="2" t="s">
        <v>29</v>
      </c>
      <c r="C570" s="2" t="s">
        <v>21</v>
      </c>
      <c r="D570" s="2" t="s">
        <v>26</v>
      </c>
      <c r="E570" s="2" t="s">
        <v>15</v>
      </c>
      <c r="F570" s="2" t="s">
        <v>47</v>
      </c>
      <c r="G570" s="2" t="s">
        <v>36</v>
      </c>
      <c r="H570" s="2">
        <v>150000</v>
      </c>
      <c r="I570" s="2">
        <v>2</v>
      </c>
      <c r="J570" s="2" t="s">
        <v>27</v>
      </c>
      <c r="K570" s="2">
        <f t="shared" si="56"/>
        <v>120000</v>
      </c>
      <c r="L570" s="9">
        <f>Table_1[[#This Row],[Unit Price]]*Table_1[[#This Row],[Quantity]]</f>
        <v>300000</v>
      </c>
      <c r="M570" s="8">
        <f>Table_1[[#This Row],[Cost Price]]*Table_1[[#This Row],[Quantity]]</f>
        <v>240000</v>
      </c>
      <c r="N570">
        <f>Table_1[[#This Row],[Revenue]]-Table_1[[#This Row],[COGS]]</f>
        <v>60000</v>
      </c>
      <c r="O570" s="11">
        <f t="shared" si="57"/>
        <v>4656740000</v>
      </c>
      <c r="P570">
        <f t="shared" si="58"/>
        <v>3725392000</v>
      </c>
      <c r="Q570">
        <f t="shared" si="59"/>
        <v>931348000</v>
      </c>
      <c r="R570" s="7">
        <f t="shared" si="60"/>
        <v>2098</v>
      </c>
      <c r="S570" s="7">
        <f t="shared" si="61"/>
        <v>4</v>
      </c>
      <c r="T570" s="7">
        <f t="shared" si="62"/>
        <v>2098</v>
      </c>
    </row>
    <row r="571" spans="1:20" ht="14.25" customHeight="1" x14ac:dyDescent="0.35">
      <c r="A571" s="2" t="s">
        <v>94</v>
      </c>
      <c r="B571" s="2" t="s">
        <v>34</v>
      </c>
      <c r="C571" s="2" t="s">
        <v>21</v>
      </c>
      <c r="D571" s="2" t="s">
        <v>14</v>
      </c>
      <c r="E571" s="2" t="s">
        <v>15</v>
      </c>
      <c r="F571" s="2" t="s">
        <v>58</v>
      </c>
      <c r="G571" s="2" t="s">
        <v>24</v>
      </c>
      <c r="H571" s="2">
        <v>220000</v>
      </c>
      <c r="I571" s="2">
        <v>8</v>
      </c>
      <c r="J571" s="2" t="s">
        <v>54</v>
      </c>
      <c r="K571" s="2">
        <f t="shared" si="56"/>
        <v>176000</v>
      </c>
      <c r="L571" s="9">
        <f>Table_1[[#This Row],[Unit Price]]*Table_1[[#This Row],[Quantity]]</f>
        <v>1760000</v>
      </c>
      <c r="M571" s="8">
        <f>Table_1[[#This Row],[Cost Price]]*Table_1[[#This Row],[Quantity]]</f>
        <v>1408000</v>
      </c>
      <c r="N571">
        <f>Table_1[[#This Row],[Revenue]]-Table_1[[#This Row],[COGS]]</f>
        <v>352000</v>
      </c>
      <c r="O571" s="11">
        <f t="shared" si="57"/>
        <v>4656740000</v>
      </c>
      <c r="P571">
        <f t="shared" si="58"/>
        <v>3725392000</v>
      </c>
      <c r="Q571">
        <f t="shared" si="59"/>
        <v>931348000</v>
      </c>
      <c r="R571" s="7">
        <f t="shared" si="60"/>
        <v>2098</v>
      </c>
      <c r="S571" s="7">
        <f t="shared" si="61"/>
        <v>3</v>
      </c>
      <c r="T571" s="7">
        <f t="shared" si="62"/>
        <v>2098</v>
      </c>
    </row>
    <row r="572" spans="1:20" ht="14.25" customHeight="1" x14ac:dyDescent="0.35">
      <c r="A572" s="2" t="s">
        <v>141</v>
      </c>
      <c r="B572" s="2" t="s">
        <v>20</v>
      </c>
      <c r="C572" s="2" t="s">
        <v>13</v>
      </c>
      <c r="D572" s="2" t="s">
        <v>14</v>
      </c>
      <c r="E572" s="2" t="s">
        <v>22</v>
      </c>
      <c r="F572" s="2" t="s">
        <v>47</v>
      </c>
      <c r="G572" s="2" t="s">
        <v>36</v>
      </c>
      <c r="H572" s="2">
        <v>150000</v>
      </c>
      <c r="I572" s="2">
        <v>2</v>
      </c>
      <c r="J572" s="2" t="s">
        <v>32</v>
      </c>
      <c r="K572" s="2">
        <f t="shared" si="56"/>
        <v>120000</v>
      </c>
      <c r="L572" s="9">
        <f>Table_1[[#This Row],[Unit Price]]*Table_1[[#This Row],[Quantity]]</f>
        <v>300000</v>
      </c>
      <c r="M572" s="8">
        <f>Table_1[[#This Row],[Cost Price]]*Table_1[[#This Row],[Quantity]]</f>
        <v>240000</v>
      </c>
      <c r="N572">
        <f>Table_1[[#This Row],[Revenue]]-Table_1[[#This Row],[COGS]]</f>
        <v>60000</v>
      </c>
      <c r="O572" s="11">
        <f t="shared" si="57"/>
        <v>4656740000</v>
      </c>
      <c r="P572">
        <f t="shared" si="58"/>
        <v>3725392000</v>
      </c>
      <c r="Q572">
        <f t="shared" si="59"/>
        <v>931348000</v>
      </c>
      <c r="R572" s="7">
        <f t="shared" si="60"/>
        <v>2098</v>
      </c>
      <c r="S572" s="7">
        <f t="shared" si="61"/>
        <v>2</v>
      </c>
      <c r="T572" s="7">
        <f t="shared" si="62"/>
        <v>2098</v>
      </c>
    </row>
    <row r="573" spans="1:20" ht="14.25" customHeight="1" x14ac:dyDescent="0.35">
      <c r="A573" s="2" t="s">
        <v>157</v>
      </c>
      <c r="B573" s="2" t="s">
        <v>20</v>
      </c>
      <c r="C573" s="2" t="s">
        <v>21</v>
      </c>
      <c r="D573" s="2" t="s">
        <v>26</v>
      </c>
      <c r="E573" s="2" t="s">
        <v>15</v>
      </c>
      <c r="F573" s="2" t="s">
        <v>23</v>
      </c>
      <c r="G573" s="2" t="s">
        <v>24</v>
      </c>
      <c r="H573" s="2">
        <v>30000</v>
      </c>
      <c r="I573" s="2">
        <v>1</v>
      </c>
      <c r="J573" s="2" t="s">
        <v>43</v>
      </c>
      <c r="K573" s="2">
        <f t="shared" si="56"/>
        <v>24000</v>
      </c>
      <c r="L573" s="9">
        <f>Table_1[[#This Row],[Unit Price]]*Table_1[[#This Row],[Quantity]]</f>
        <v>30000</v>
      </c>
      <c r="M573" s="8">
        <f>Table_1[[#This Row],[Cost Price]]*Table_1[[#This Row],[Quantity]]</f>
        <v>24000</v>
      </c>
      <c r="N573">
        <f>Table_1[[#This Row],[Revenue]]-Table_1[[#This Row],[COGS]]</f>
        <v>6000</v>
      </c>
      <c r="O573" s="11">
        <f t="shared" si="57"/>
        <v>4656740000</v>
      </c>
      <c r="P573">
        <f t="shared" si="58"/>
        <v>3725392000</v>
      </c>
      <c r="Q573">
        <f t="shared" si="59"/>
        <v>931348000</v>
      </c>
      <c r="R573" s="7">
        <f t="shared" si="60"/>
        <v>2098</v>
      </c>
      <c r="S573" s="7">
        <f t="shared" si="61"/>
        <v>3</v>
      </c>
      <c r="T573" s="7">
        <f t="shared" si="62"/>
        <v>2098</v>
      </c>
    </row>
    <row r="574" spans="1:20" ht="14.25" customHeight="1" x14ac:dyDescent="0.35">
      <c r="A574" s="2" t="s">
        <v>28</v>
      </c>
      <c r="B574" s="2" t="s">
        <v>20</v>
      </c>
      <c r="C574" s="2" t="s">
        <v>13</v>
      </c>
      <c r="D574" s="2" t="s">
        <v>14</v>
      </c>
      <c r="E574" s="2" t="s">
        <v>22</v>
      </c>
      <c r="F574" s="2" t="s">
        <v>39</v>
      </c>
      <c r="G574" s="2" t="s">
        <v>24</v>
      </c>
      <c r="H574" s="2">
        <v>180000</v>
      </c>
      <c r="I574" s="2">
        <v>5</v>
      </c>
      <c r="J574" s="2" t="s">
        <v>18</v>
      </c>
      <c r="K574" s="2">
        <f t="shared" si="56"/>
        <v>144000</v>
      </c>
      <c r="L574" s="9">
        <f>Table_1[[#This Row],[Unit Price]]*Table_1[[#This Row],[Quantity]]</f>
        <v>900000</v>
      </c>
      <c r="M574" s="8">
        <f>Table_1[[#This Row],[Cost Price]]*Table_1[[#This Row],[Quantity]]</f>
        <v>720000</v>
      </c>
      <c r="N574">
        <f>Table_1[[#This Row],[Revenue]]-Table_1[[#This Row],[COGS]]</f>
        <v>180000</v>
      </c>
      <c r="O574" s="11">
        <f t="shared" si="57"/>
        <v>4656740000</v>
      </c>
      <c r="P574">
        <f t="shared" si="58"/>
        <v>3725392000</v>
      </c>
      <c r="Q574">
        <f t="shared" si="59"/>
        <v>931348000</v>
      </c>
      <c r="R574" s="7">
        <f t="shared" si="60"/>
        <v>2098</v>
      </c>
      <c r="S574" s="7">
        <f t="shared" si="61"/>
        <v>4</v>
      </c>
      <c r="T574" s="7">
        <f t="shared" si="62"/>
        <v>2098</v>
      </c>
    </row>
    <row r="575" spans="1:20" ht="14.25" customHeight="1" x14ac:dyDescent="0.35">
      <c r="A575" s="2" t="s">
        <v>49</v>
      </c>
      <c r="B575" s="2" t="s">
        <v>12</v>
      </c>
      <c r="C575" s="2" t="s">
        <v>30</v>
      </c>
      <c r="D575" s="2" t="s">
        <v>26</v>
      </c>
      <c r="E575" s="2" t="s">
        <v>22</v>
      </c>
      <c r="F575" s="2" t="s">
        <v>47</v>
      </c>
      <c r="G575" s="2" t="s">
        <v>36</v>
      </c>
      <c r="H575" s="2">
        <v>150000</v>
      </c>
      <c r="I575" s="2">
        <v>9</v>
      </c>
      <c r="J575" s="2" t="s">
        <v>50</v>
      </c>
      <c r="K575" s="2">
        <f t="shared" si="56"/>
        <v>120000</v>
      </c>
      <c r="L575" s="9">
        <f>Table_1[[#This Row],[Unit Price]]*Table_1[[#This Row],[Quantity]]</f>
        <v>1350000</v>
      </c>
      <c r="M575" s="8">
        <f>Table_1[[#This Row],[Cost Price]]*Table_1[[#This Row],[Quantity]]</f>
        <v>1080000</v>
      </c>
      <c r="N575">
        <f>Table_1[[#This Row],[Revenue]]-Table_1[[#This Row],[COGS]]</f>
        <v>270000</v>
      </c>
      <c r="O575" s="11">
        <f t="shared" si="57"/>
        <v>4656740000</v>
      </c>
      <c r="P575">
        <f t="shared" si="58"/>
        <v>3725392000</v>
      </c>
      <c r="Q575">
        <f t="shared" si="59"/>
        <v>931348000</v>
      </c>
      <c r="R575" s="7">
        <f t="shared" si="60"/>
        <v>2098</v>
      </c>
      <c r="S575" s="7">
        <f t="shared" si="61"/>
        <v>4</v>
      </c>
      <c r="T575" s="7">
        <f t="shared" si="62"/>
        <v>2098</v>
      </c>
    </row>
    <row r="576" spans="1:20" ht="14.25" customHeight="1" x14ac:dyDescent="0.35">
      <c r="A576" s="2" t="s">
        <v>64</v>
      </c>
      <c r="B576" s="2" t="s">
        <v>29</v>
      </c>
      <c r="C576" s="2" t="s">
        <v>21</v>
      </c>
      <c r="D576" s="2" t="s">
        <v>26</v>
      </c>
      <c r="E576" s="2" t="s">
        <v>22</v>
      </c>
      <c r="F576" s="2" t="s">
        <v>47</v>
      </c>
      <c r="G576" s="2" t="s">
        <v>36</v>
      </c>
      <c r="H576" s="2">
        <v>150000</v>
      </c>
      <c r="I576" s="2">
        <v>5</v>
      </c>
      <c r="J576" s="2" t="s">
        <v>50</v>
      </c>
      <c r="K576" s="2">
        <f t="shared" si="56"/>
        <v>120000</v>
      </c>
      <c r="L576" s="9">
        <f>Table_1[[#This Row],[Unit Price]]*Table_1[[#This Row],[Quantity]]</f>
        <v>750000</v>
      </c>
      <c r="M576" s="8">
        <f>Table_1[[#This Row],[Cost Price]]*Table_1[[#This Row],[Quantity]]</f>
        <v>600000</v>
      </c>
      <c r="N576">
        <f>Table_1[[#This Row],[Revenue]]-Table_1[[#This Row],[COGS]]</f>
        <v>150000</v>
      </c>
      <c r="O576" s="11">
        <f t="shared" si="57"/>
        <v>4656740000</v>
      </c>
      <c r="P576">
        <f t="shared" si="58"/>
        <v>3725392000</v>
      </c>
      <c r="Q576">
        <f t="shared" si="59"/>
        <v>931348000</v>
      </c>
      <c r="R576" s="7">
        <f t="shared" si="60"/>
        <v>2098</v>
      </c>
      <c r="S576" s="7">
        <f t="shared" si="61"/>
        <v>2</v>
      </c>
      <c r="T576" s="7">
        <f t="shared" si="62"/>
        <v>2098</v>
      </c>
    </row>
    <row r="577" spans="1:20" ht="14.25" customHeight="1" x14ac:dyDescent="0.35">
      <c r="A577" s="2" t="s">
        <v>122</v>
      </c>
      <c r="B577" s="2" t="s">
        <v>29</v>
      </c>
      <c r="C577" s="2" t="s">
        <v>13</v>
      </c>
      <c r="D577" s="2" t="s">
        <v>14</v>
      </c>
      <c r="E577" s="2" t="s">
        <v>15</v>
      </c>
      <c r="F577" s="2" t="s">
        <v>58</v>
      </c>
      <c r="G577" s="2" t="s">
        <v>24</v>
      </c>
      <c r="H577" s="2">
        <v>220000</v>
      </c>
      <c r="I577" s="2">
        <v>4</v>
      </c>
      <c r="J577" s="2" t="s">
        <v>54</v>
      </c>
      <c r="K577" s="2">
        <f t="shared" si="56"/>
        <v>176000</v>
      </c>
      <c r="L577" s="9">
        <f>Table_1[[#This Row],[Unit Price]]*Table_1[[#This Row],[Quantity]]</f>
        <v>880000</v>
      </c>
      <c r="M577" s="8">
        <f>Table_1[[#This Row],[Cost Price]]*Table_1[[#This Row],[Quantity]]</f>
        <v>704000</v>
      </c>
      <c r="N577">
        <f>Table_1[[#This Row],[Revenue]]-Table_1[[#This Row],[COGS]]</f>
        <v>176000</v>
      </c>
      <c r="O577" s="11">
        <f t="shared" si="57"/>
        <v>4656740000</v>
      </c>
      <c r="P577">
        <f t="shared" si="58"/>
        <v>3725392000</v>
      </c>
      <c r="Q577">
        <f t="shared" si="59"/>
        <v>931348000</v>
      </c>
      <c r="R577" s="7">
        <f t="shared" si="60"/>
        <v>2098</v>
      </c>
      <c r="S577" s="7">
        <f t="shared" si="61"/>
        <v>4</v>
      </c>
      <c r="T577" s="7">
        <f t="shared" si="62"/>
        <v>2098</v>
      </c>
    </row>
    <row r="578" spans="1:20" ht="14.25" customHeight="1" x14ac:dyDescent="0.35">
      <c r="A578" s="2" t="s">
        <v>118</v>
      </c>
      <c r="B578" s="2" t="s">
        <v>12</v>
      </c>
      <c r="C578" s="2" t="s">
        <v>30</v>
      </c>
      <c r="D578" s="2" t="s">
        <v>14</v>
      </c>
      <c r="E578" s="2" t="s">
        <v>15</v>
      </c>
      <c r="F578" s="2" t="s">
        <v>41</v>
      </c>
      <c r="G578" s="2" t="s">
        <v>17</v>
      </c>
      <c r="H578" s="2">
        <v>320000</v>
      </c>
      <c r="I578" s="2">
        <v>4</v>
      </c>
      <c r="J578" s="2" t="s">
        <v>18</v>
      </c>
      <c r="K578" s="2">
        <f t="shared" ref="K578:K641" si="63">H578-H578*0.2</f>
        <v>256000</v>
      </c>
      <c r="L578" s="9">
        <f>Table_1[[#This Row],[Unit Price]]*Table_1[[#This Row],[Quantity]]</f>
        <v>1280000</v>
      </c>
      <c r="M578" s="8">
        <f>Table_1[[#This Row],[Cost Price]]*Table_1[[#This Row],[Quantity]]</f>
        <v>1024000</v>
      </c>
      <c r="N578">
        <f>Table_1[[#This Row],[Revenue]]-Table_1[[#This Row],[COGS]]</f>
        <v>256000</v>
      </c>
      <c r="O578" s="11">
        <f t="shared" ref="O578:O641" si="64">SUM(L$2:L$1048576)</f>
        <v>4656740000</v>
      </c>
      <c r="P578">
        <f t="shared" ref="P578:P641" si="65">SUM(M:M)</f>
        <v>3725392000</v>
      </c>
      <c r="Q578">
        <f t="shared" ref="Q578:Q641" si="66">SUM(N:N)</f>
        <v>931348000</v>
      </c>
      <c r="R578" s="7">
        <f t="shared" ref="R578:R641" si="67">COUNTA(A$2:A$1048576)</f>
        <v>2098</v>
      </c>
      <c r="S578" s="7">
        <f t="shared" ref="S578:S641" si="68">MONTH(A578:A2066)</f>
        <v>1</v>
      </c>
      <c r="T578" s="7">
        <f t="shared" ref="T578:T641" si="69">COUNTA(A:A)-1</f>
        <v>2098</v>
      </c>
    </row>
    <row r="579" spans="1:20" ht="14.25" customHeight="1" x14ac:dyDescent="0.35">
      <c r="A579" s="2" t="s">
        <v>88</v>
      </c>
      <c r="B579" s="2" t="s">
        <v>12</v>
      </c>
      <c r="C579" s="2" t="s">
        <v>38</v>
      </c>
      <c r="D579" s="2" t="s">
        <v>26</v>
      </c>
      <c r="E579" s="2" t="s">
        <v>22</v>
      </c>
      <c r="F579" s="2" t="s">
        <v>41</v>
      </c>
      <c r="G579" s="2" t="s">
        <v>17</v>
      </c>
      <c r="H579" s="2">
        <v>320000</v>
      </c>
      <c r="I579" s="2">
        <v>8</v>
      </c>
      <c r="J579" s="2" t="s">
        <v>18</v>
      </c>
      <c r="K579" s="2">
        <f t="shared" si="63"/>
        <v>256000</v>
      </c>
      <c r="L579" s="9">
        <f>Table_1[[#This Row],[Unit Price]]*Table_1[[#This Row],[Quantity]]</f>
        <v>2560000</v>
      </c>
      <c r="M579" s="8">
        <f>Table_1[[#This Row],[Cost Price]]*Table_1[[#This Row],[Quantity]]</f>
        <v>2048000</v>
      </c>
      <c r="N579">
        <f>Table_1[[#This Row],[Revenue]]-Table_1[[#This Row],[COGS]]</f>
        <v>512000</v>
      </c>
      <c r="O579" s="11">
        <f t="shared" si="64"/>
        <v>4656740000</v>
      </c>
      <c r="P579">
        <f t="shared" si="65"/>
        <v>3725392000</v>
      </c>
      <c r="Q579">
        <f t="shared" si="66"/>
        <v>931348000</v>
      </c>
      <c r="R579" s="7">
        <f t="shared" si="67"/>
        <v>2098</v>
      </c>
      <c r="S579" s="7">
        <f t="shared" si="68"/>
        <v>3</v>
      </c>
      <c r="T579" s="7">
        <f t="shared" si="69"/>
        <v>2098</v>
      </c>
    </row>
    <row r="580" spans="1:20" ht="14.25" customHeight="1" x14ac:dyDescent="0.35">
      <c r="A580" s="2" t="s">
        <v>152</v>
      </c>
      <c r="B580" s="2" t="s">
        <v>34</v>
      </c>
      <c r="C580" s="2" t="s">
        <v>38</v>
      </c>
      <c r="D580" s="2" t="s">
        <v>14</v>
      </c>
      <c r="E580" s="2" t="s">
        <v>15</v>
      </c>
      <c r="F580" s="2" t="s">
        <v>31</v>
      </c>
      <c r="G580" s="2" t="s">
        <v>24</v>
      </c>
      <c r="H580" s="2">
        <v>60000</v>
      </c>
      <c r="I580" s="2">
        <v>9</v>
      </c>
      <c r="J580" s="2" t="s">
        <v>18</v>
      </c>
      <c r="K580" s="2">
        <f t="shared" si="63"/>
        <v>48000</v>
      </c>
      <c r="L580" s="9">
        <f>Table_1[[#This Row],[Unit Price]]*Table_1[[#This Row],[Quantity]]</f>
        <v>540000</v>
      </c>
      <c r="M580" s="8">
        <f>Table_1[[#This Row],[Cost Price]]*Table_1[[#This Row],[Quantity]]</f>
        <v>432000</v>
      </c>
      <c r="N580">
        <f>Table_1[[#This Row],[Revenue]]-Table_1[[#This Row],[COGS]]</f>
        <v>108000</v>
      </c>
      <c r="O580" s="11">
        <f t="shared" si="64"/>
        <v>4656740000</v>
      </c>
      <c r="P580">
        <f t="shared" si="65"/>
        <v>3725392000</v>
      </c>
      <c r="Q580">
        <f t="shared" si="66"/>
        <v>931348000</v>
      </c>
      <c r="R580" s="7">
        <f t="shared" si="67"/>
        <v>2098</v>
      </c>
      <c r="S580" s="7">
        <f t="shared" si="68"/>
        <v>4</v>
      </c>
      <c r="T580" s="7">
        <f t="shared" si="69"/>
        <v>2098</v>
      </c>
    </row>
    <row r="581" spans="1:20" ht="14.25" customHeight="1" x14ac:dyDescent="0.35">
      <c r="A581" s="2" t="s">
        <v>88</v>
      </c>
      <c r="B581" s="2" t="s">
        <v>20</v>
      </c>
      <c r="C581" s="2" t="s">
        <v>21</v>
      </c>
      <c r="D581" s="2" t="s">
        <v>14</v>
      </c>
      <c r="E581" s="2" t="s">
        <v>22</v>
      </c>
      <c r="F581" s="2" t="s">
        <v>35</v>
      </c>
      <c r="G581" s="2" t="s">
        <v>36</v>
      </c>
      <c r="H581" s="2">
        <v>300000</v>
      </c>
      <c r="I581" s="2">
        <v>10</v>
      </c>
      <c r="J581" s="2" t="s">
        <v>18</v>
      </c>
      <c r="K581" s="2">
        <f t="shared" si="63"/>
        <v>240000</v>
      </c>
      <c r="L581" s="9">
        <f>Table_1[[#This Row],[Unit Price]]*Table_1[[#This Row],[Quantity]]</f>
        <v>3000000</v>
      </c>
      <c r="M581" s="8">
        <f>Table_1[[#This Row],[Cost Price]]*Table_1[[#This Row],[Quantity]]</f>
        <v>2400000</v>
      </c>
      <c r="N581">
        <f>Table_1[[#This Row],[Revenue]]-Table_1[[#This Row],[COGS]]</f>
        <v>600000</v>
      </c>
      <c r="O581" s="11">
        <f t="shared" si="64"/>
        <v>4656740000</v>
      </c>
      <c r="P581">
        <f t="shared" si="65"/>
        <v>3725392000</v>
      </c>
      <c r="Q581">
        <f t="shared" si="66"/>
        <v>931348000</v>
      </c>
      <c r="R581" s="7">
        <f t="shared" si="67"/>
        <v>2098</v>
      </c>
      <c r="S581" s="7">
        <f t="shared" si="68"/>
        <v>3</v>
      </c>
      <c r="T581" s="7">
        <f t="shared" si="69"/>
        <v>2098</v>
      </c>
    </row>
    <row r="582" spans="1:20" ht="14.25" customHeight="1" x14ac:dyDescent="0.35">
      <c r="A582" s="2" t="s">
        <v>157</v>
      </c>
      <c r="B582" s="2" t="s">
        <v>34</v>
      </c>
      <c r="C582" s="2" t="s">
        <v>21</v>
      </c>
      <c r="D582" s="2" t="s">
        <v>26</v>
      </c>
      <c r="E582" s="2" t="s">
        <v>15</v>
      </c>
      <c r="F582" s="2" t="s">
        <v>47</v>
      </c>
      <c r="G582" s="2" t="s">
        <v>36</v>
      </c>
      <c r="H582" s="2">
        <v>150000</v>
      </c>
      <c r="I582" s="2">
        <v>6</v>
      </c>
      <c r="J582" s="2" t="s">
        <v>43</v>
      </c>
      <c r="K582" s="2">
        <f t="shared" si="63"/>
        <v>120000</v>
      </c>
      <c r="L582" s="9">
        <f>Table_1[[#This Row],[Unit Price]]*Table_1[[#This Row],[Quantity]]</f>
        <v>900000</v>
      </c>
      <c r="M582" s="8">
        <f>Table_1[[#This Row],[Cost Price]]*Table_1[[#This Row],[Quantity]]</f>
        <v>720000</v>
      </c>
      <c r="N582">
        <f>Table_1[[#This Row],[Revenue]]-Table_1[[#This Row],[COGS]]</f>
        <v>180000</v>
      </c>
      <c r="O582" s="11">
        <f t="shared" si="64"/>
        <v>4656740000</v>
      </c>
      <c r="P582">
        <f t="shared" si="65"/>
        <v>3725392000</v>
      </c>
      <c r="Q582">
        <f t="shared" si="66"/>
        <v>931348000</v>
      </c>
      <c r="R582" s="7">
        <f t="shared" si="67"/>
        <v>2098</v>
      </c>
      <c r="S582" s="7">
        <f t="shared" si="68"/>
        <v>3</v>
      </c>
      <c r="T582" s="7">
        <f t="shared" si="69"/>
        <v>2098</v>
      </c>
    </row>
    <row r="583" spans="1:20" ht="14.25" customHeight="1" x14ac:dyDescent="0.35">
      <c r="A583" s="2" t="s">
        <v>61</v>
      </c>
      <c r="B583" s="2" t="s">
        <v>29</v>
      </c>
      <c r="C583" s="2" t="s">
        <v>30</v>
      </c>
      <c r="D583" s="2" t="s">
        <v>26</v>
      </c>
      <c r="E583" s="2" t="s">
        <v>15</v>
      </c>
      <c r="F583" s="2" t="s">
        <v>39</v>
      </c>
      <c r="G583" s="2" t="s">
        <v>24</v>
      </c>
      <c r="H583" s="2">
        <v>180000</v>
      </c>
      <c r="I583" s="2">
        <v>8</v>
      </c>
      <c r="J583" s="2" t="s">
        <v>50</v>
      </c>
      <c r="K583" s="2">
        <f t="shared" si="63"/>
        <v>144000</v>
      </c>
      <c r="L583" s="9">
        <f>Table_1[[#This Row],[Unit Price]]*Table_1[[#This Row],[Quantity]]</f>
        <v>1440000</v>
      </c>
      <c r="M583" s="8">
        <f>Table_1[[#This Row],[Cost Price]]*Table_1[[#This Row],[Quantity]]</f>
        <v>1152000</v>
      </c>
      <c r="N583">
        <f>Table_1[[#This Row],[Revenue]]-Table_1[[#This Row],[COGS]]</f>
        <v>288000</v>
      </c>
      <c r="O583" s="11">
        <f t="shared" si="64"/>
        <v>4656740000</v>
      </c>
      <c r="P583">
        <f t="shared" si="65"/>
        <v>3725392000</v>
      </c>
      <c r="Q583">
        <f t="shared" si="66"/>
        <v>931348000</v>
      </c>
      <c r="R583" s="7">
        <f t="shared" si="67"/>
        <v>2098</v>
      </c>
      <c r="S583" s="7">
        <f t="shared" si="68"/>
        <v>5</v>
      </c>
      <c r="T583" s="7">
        <f t="shared" si="69"/>
        <v>2098</v>
      </c>
    </row>
    <row r="584" spans="1:20" ht="14.25" customHeight="1" x14ac:dyDescent="0.35">
      <c r="A584" s="2" t="s">
        <v>159</v>
      </c>
      <c r="B584" s="2" t="s">
        <v>20</v>
      </c>
      <c r="C584" s="2" t="s">
        <v>13</v>
      </c>
      <c r="D584" s="2" t="s">
        <v>14</v>
      </c>
      <c r="E584" s="2" t="s">
        <v>15</v>
      </c>
      <c r="F584" s="2" t="s">
        <v>31</v>
      </c>
      <c r="G584" s="2" t="s">
        <v>24</v>
      </c>
      <c r="H584" s="2">
        <v>60000</v>
      </c>
      <c r="I584" s="2">
        <v>7</v>
      </c>
      <c r="J584" s="2" t="s">
        <v>54</v>
      </c>
      <c r="K584" s="2">
        <f t="shared" si="63"/>
        <v>48000</v>
      </c>
      <c r="L584" s="9">
        <f>Table_1[[#This Row],[Unit Price]]*Table_1[[#This Row],[Quantity]]</f>
        <v>420000</v>
      </c>
      <c r="M584" s="8">
        <f>Table_1[[#This Row],[Cost Price]]*Table_1[[#This Row],[Quantity]]</f>
        <v>336000</v>
      </c>
      <c r="N584">
        <f>Table_1[[#This Row],[Revenue]]-Table_1[[#This Row],[COGS]]</f>
        <v>84000</v>
      </c>
      <c r="O584" s="11">
        <f t="shared" si="64"/>
        <v>4656740000</v>
      </c>
      <c r="P584">
        <f t="shared" si="65"/>
        <v>3725392000</v>
      </c>
      <c r="Q584">
        <f t="shared" si="66"/>
        <v>931348000</v>
      </c>
      <c r="R584" s="7">
        <f t="shared" si="67"/>
        <v>2098</v>
      </c>
      <c r="S584" s="7">
        <f t="shared" si="68"/>
        <v>2</v>
      </c>
      <c r="T584" s="7">
        <f t="shared" si="69"/>
        <v>2098</v>
      </c>
    </row>
    <row r="585" spans="1:20" ht="14.25" customHeight="1" x14ac:dyDescent="0.35">
      <c r="A585" s="2" t="s">
        <v>67</v>
      </c>
      <c r="B585" s="2" t="s">
        <v>20</v>
      </c>
      <c r="C585" s="2" t="s">
        <v>21</v>
      </c>
      <c r="D585" s="2" t="s">
        <v>14</v>
      </c>
      <c r="E585" s="2" t="s">
        <v>22</v>
      </c>
      <c r="F585" s="2" t="s">
        <v>47</v>
      </c>
      <c r="G585" s="2" t="s">
        <v>36</v>
      </c>
      <c r="H585" s="2">
        <v>150000</v>
      </c>
      <c r="I585" s="2">
        <v>9</v>
      </c>
      <c r="J585" s="2" t="s">
        <v>18</v>
      </c>
      <c r="K585" s="2">
        <f t="shared" si="63"/>
        <v>120000</v>
      </c>
      <c r="L585" s="9">
        <f>Table_1[[#This Row],[Unit Price]]*Table_1[[#This Row],[Quantity]]</f>
        <v>1350000</v>
      </c>
      <c r="M585" s="8">
        <f>Table_1[[#This Row],[Cost Price]]*Table_1[[#This Row],[Quantity]]</f>
        <v>1080000</v>
      </c>
      <c r="N585">
        <f>Table_1[[#This Row],[Revenue]]-Table_1[[#This Row],[COGS]]</f>
        <v>270000</v>
      </c>
      <c r="O585" s="11">
        <f t="shared" si="64"/>
        <v>4656740000</v>
      </c>
      <c r="P585">
        <f t="shared" si="65"/>
        <v>3725392000</v>
      </c>
      <c r="Q585">
        <f t="shared" si="66"/>
        <v>931348000</v>
      </c>
      <c r="R585" s="7">
        <f t="shared" si="67"/>
        <v>2098</v>
      </c>
      <c r="S585" s="7">
        <f t="shared" si="68"/>
        <v>3</v>
      </c>
      <c r="T585" s="7">
        <f t="shared" si="69"/>
        <v>2098</v>
      </c>
    </row>
    <row r="586" spans="1:20" ht="14.25" customHeight="1" x14ac:dyDescent="0.35">
      <c r="A586" s="2" t="s">
        <v>147</v>
      </c>
      <c r="B586" s="2" t="s">
        <v>20</v>
      </c>
      <c r="C586" s="2" t="s">
        <v>21</v>
      </c>
      <c r="D586" s="2" t="s">
        <v>14</v>
      </c>
      <c r="E586" s="2" t="s">
        <v>22</v>
      </c>
      <c r="F586" s="2" t="s">
        <v>39</v>
      </c>
      <c r="G586" s="2" t="s">
        <v>24</v>
      </c>
      <c r="H586" s="2">
        <v>180000</v>
      </c>
      <c r="I586" s="2">
        <v>4</v>
      </c>
      <c r="J586" s="2" t="s">
        <v>43</v>
      </c>
      <c r="K586" s="2">
        <f t="shared" si="63"/>
        <v>144000</v>
      </c>
      <c r="L586" s="9">
        <f>Table_1[[#This Row],[Unit Price]]*Table_1[[#This Row],[Quantity]]</f>
        <v>720000</v>
      </c>
      <c r="M586" s="8">
        <f>Table_1[[#This Row],[Cost Price]]*Table_1[[#This Row],[Quantity]]</f>
        <v>576000</v>
      </c>
      <c r="N586">
        <f>Table_1[[#This Row],[Revenue]]-Table_1[[#This Row],[COGS]]</f>
        <v>144000</v>
      </c>
      <c r="O586" s="11">
        <f t="shared" si="64"/>
        <v>4656740000</v>
      </c>
      <c r="P586">
        <f t="shared" si="65"/>
        <v>3725392000</v>
      </c>
      <c r="Q586">
        <f t="shared" si="66"/>
        <v>931348000</v>
      </c>
      <c r="R586" s="7">
        <f t="shared" si="67"/>
        <v>2098</v>
      </c>
      <c r="S586" s="7">
        <f t="shared" si="68"/>
        <v>4</v>
      </c>
      <c r="T586" s="7">
        <f t="shared" si="69"/>
        <v>2098</v>
      </c>
    </row>
    <row r="587" spans="1:20" ht="14.25" customHeight="1" x14ac:dyDescent="0.35">
      <c r="A587" s="2" t="s">
        <v>85</v>
      </c>
      <c r="B587" s="2" t="s">
        <v>12</v>
      </c>
      <c r="C587" s="2" t="s">
        <v>38</v>
      </c>
      <c r="D587" s="2" t="s">
        <v>14</v>
      </c>
      <c r="E587" s="2" t="s">
        <v>22</v>
      </c>
      <c r="F587" s="2" t="s">
        <v>39</v>
      </c>
      <c r="G587" s="2" t="s">
        <v>24</v>
      </c>
      <c r="H587" s="2">
        <v>180000</v>
      </c>
      <c r="I587" s="2">
        <v>1</v>
      </c>
      <c r="J587" s="2" t="s">
        <v>50</v>
      </c>
      <c r="K587" s="2">
        <f t="shared" si="63"/>
        <v>144000</v>
      </c>
      <c r="L587" s="9">
        <f>Table_1[[#This Row],[Unit Price]]*Table_1[[#This Row],[Quantity]]</f>
        <v>180000</v>
      </c>
      <c r="M587" s="8">
        <f>Table_1[[#This Row],[Cost Price]]*Table_1[[#This Row],[Quantity]]</f>
        <v>144000</v>
      </c>
      <c r="N587">
        <f>Table_1[[#This Row],[Revenue]]-Table_1[[#This Row],[COGS]]</f>
        <v>36000</v>
      </c>
      <c r="O587" s="11">
        <f t="shared" si="64"/>
        <v>4656740000</v>
      </c>
      <c r="P587">
        <f t="shared" si="65"/>
        <v>3725392000</v>
      </c>
      <c r="Q587">
        <f t="shared" si="66"/>
        <v>931348000</v>
      </c>
      <c r="R587" s="7">
        <f t="shared" si="67"/>
        <v>2098</v>
      </c>
      <c r="S587" s="7">
        <f t="shared" si="68"/>
        <v>1</v>
      </c>
      <c r="T587" s="7">
        <f t="shared" si="69"/>
        <v>2098</v>
      </c>
    </row>
    <row r="588" spans="1:20" ht="14.25" customHeight="1" x14ac:dyDescent="0.35">
      <c r="A588" s="2" t="s">
        <v>127</v>
      </c>
      <c r="B588" s="2" t="s">
        <v>12</v>
      </c>
      <c r="C588" s="2" t="s">
        <v>13</v>
      </c>
      <c r="D588" s="2" t="s">
        <v>14</v>
      </c>
      <c r="E588" s="2" t="s">
        <v>15</v>
      </c>
      <c r="F588" s="2" t="s">
        <v>31</v>
      </c>
      <c r="G588" s="2" t="s">
        <v>24</v>
      </c>
      <c r="H588" s="2">
        <v>60000</v>
      </c>
      <c r="I588" s="2">
        <v>6</v>
      </c>
      <c r="J588" s="2" t="s">
        <v>50</v>
      </c>
      <c r="K588" s="2">
        <f t="shared" si="63"/>
        <v>48000</v>
      </c>
      <c r="L588" s="9">
        <f>Table_1[[#This Row],[Unit Price]]*Table_1[[#This Row],[Quantity]]</f>
        <v>360000</v>
      </c>
      <c r="M588" s="8">
        <f>Table_1[[#This Row],[Cost Price]]*Table_1[[#This Row],[Quantity]]</f>
        <v>288000</v>
      </c>
      <c r="N588">
        <f>Table_1[[#This Row],[Revenue]]-Table_1[[#This Row],[COGS]]</f>
        <v>72000</v>
      </c>
      <c r="O588" s="11">
        <f t="shared" si="64"/>
        <v>4656740000</v>
      </c>
      <c r="P588">
        <f t="shared" si="65"/>
        <v>3725392000</v>
      </c>
      <c r="Q588">
        <f t="shared" si="66"/>
        <v>931348000</v>
      </c>
      <c r="R588" s="7">
        <f t="shared" si="67"/>
        <v>2098</v>
      </c>
      <c r="S588" s="7">
        <f t="shared" si="68"/>
        <v>4</v>
      </c>
      <c r="T588" s="7">
        <f t="shared" si="69"/>
        <v>2098</v>
      </c>
    </row>
    <row r="589" spans="1:20" ht="14.25" customHeight="1" x14ac:dyDescent="0.35">
      <c r="A589" s="2" t="s">
        <v>57</v>
      </c>
      <c r="B589" s="2" t="s">
        <v>20</v>
      </c>
      <c r="C589" s="2" t="s">
        <v>30</v>
      </c>
      <c r="D589" s="2" t="s">
        <v>26</v>
      </c>
      <c r="E589" s="2" t="s">
        <v>22</v>
      </c>
      <c r="F589" s="2" t="s">
        <v>41</v>
      </c>
      <c r="G589" s="2" t="s">
        <v>17</v>
      </c>
      <c r="H589" s="2">
        <v>320000</v>
      </c>
      <c r="I589" s="2">
        <v>8</v>
      </c>
      <c r="J589" s="2" t="s">
        <v>43</v>
      </c>
      <c r="K589" s="2">
        <f t="shared" si="63"/>
        <v>256000</v>
      </c>
      <c r="L589" s="9">
        <f>Table_1[[#This Row],[Unit Price]]*Table_1[[#This Row],[Quantity]]</f>
        <v>2560000</v>
      </c>
      <c r="M589" s="8">
        <f>Table_1[[#This Row],[Cost Price]]*Table_1[[#This Row],[Quantity]]</f>
        <v>2048000</v>
      </c>
      <c r="N589">
        <f>Table_1[[#This Row],[Revenue]]-Table_1[[#This Row],[COGS]]</f>
        <v>512000</v>
      </c>
      <c r="O589" s="11">
        <f t="shared" si="64"/>
        <v>4656740000</v>
      </c>
      <c r="P589">
        <f t="shared" si="65"/>
        <v>3725392000</v>
      </c>
      <c r="Q589">
        <f t="shared" si="66"/>
        <v>931348000</v>
      </c>
      <c r="R589" s="7">
        <f t="shared" si="67"/>
        <v>2098</v>
      </c>
      <c r="S589" s="7">
        <f t="shared" si="68"/>
        <v>2</v>
      </c>
      <c r="T589" s="7">
        <f t="shared" si="69"/>
        <v>2098</v>
      </c>
    </row>
    <row r="590" spans="1:20" ht="14.25" customHeight="1" x14ac:dyDescent="0.35">
      <c r="A590" s="2" t="s">
        <v>86</v>
      </c>
      <c r="B590" s="2" t="s">
        <v>20</v>
      </c>
      <c r="C590" s="2" t="s">
        <v>30</v>
      </c>
      <c r="D590" s="2" t="s">
        <v>14</v>
      </c>
      <c r="E590" s="2" t="s">
        <v>15</v>
      </c>
      <c r="F590" s="2" t="s">
        <v>39</v>
      </c>
      <c r="G590" s="2" t="s">
        <v>24</v>
      </c>
      <c r="H590" s="2">
        <v>180000</v>
      </c>
      <c r="I590" s="2">
        <v>6</v>
      </c>
      <c r="J590" s="2" t="s">
        <v>50</v>
      </c>
      <c r="K590" s="2">
        <f t="shared" si="63"/>
        <v>144000</v>
      </c>
      <c r="L590" s="9">
        <f>Table_1[[#This Row],[Unit Price]]*Table_1[[#This Row],[Quantity]]</f>
        <v>1080000</v>
      </c>
      <c r="M590" s="8">
        <f>Table_1[[#This Row],[Cost Price]]*Table_1[[#This Row],[Quantity]]</f>
        <v>864000</v>
      </c>
      <c r="N590">
        <f>Table_1[[#This Row],[Revenue]]-Table_1[[#This Row],[COGS]]</f>
        <v>216000</v>
      </c>
      <c r="O590" s="11">
        <f t="shared" si="64"/>
        <v>4656740000</v>
      </c>
      <c r="P590">
        <f t="shared" si="65"/>
        <v>3725392000</v>
      </c>
      <c r="Q590">
        <f t="shared" si="66"/>
        <v>931348000</v>
      </c>
      <c r="R590" s="7">
        <f t="shared" si="67"/>
        <v>2098</v>
      </c>
      <c r="S590" s="7">
        <f t="shared" si="68"/>
        <v>1</v>
      </c>
      <c r="T590" s="7">
        <f t="shared" si="69"/>
        <v>2098</v>
      </c>
    </row>
    <row r="591" spans="1:20" ht="14.25" customHeight="1" x14ac:dyDescent="0.35">
      <c r="A591" s="2" t="s">
        <v>136</v>
      </c>
      <c r="B591" s="2" t="s">
        <v>29</v>
      </c>
      <c r="C591" s="2" t="s">
        <v>21</v>
      </c>
      <c r="D591" s="2" t="s">
        <v>26</v>
      </c>
      <c r="E591" s="2" t="s">
        <v>15</v>
      </c>
      <c r="F591" s="2" t="s">
        <v>31</v>
      </c>
      <c r="G591" s="2" t="s">
        <v>24</v>
      </c>
      <c r="H591" s="2">
        <v>60000</v>
      </c>
      <c r="I591" s="2">
        <v>8</v>
      </c>
      <c r="J591" s="2" t="s">
        <v>27</v>
      </c>
      <c r="K591" s="2">
        <f t="shared" si="63"/>
        <v>48000</v>
      </c>
      <c r="L591" s="9">
        <f>Table_1[[#This Row],[Unit Price]]*Table_1[[#This Row],[Quantity]]</f>
        <v>480000</v>
      </c>
      <c r="M591" s="8">
        <f>Table_1[[#This Row],[Cost Price]]*Table_1[[#This Row],[Quantity]]</f>
        <v>384000</v>
      </c>
      <c r="N591">
        <f>Table_1[[#This Row],[Revenue]]-Table_1[[#This Row],[COGS]]</f>
        <v>96000</v>
      </c>
      <c r="O591" s="11">
        <f t="shared" si="64"/>
        <v>4656740000</v>
      </c>
      <c r="P591">
        <f t="shared" si="65"/>
        <v>3725392000</v>
      </c>
      <c r="Q591">
        <f t="shared" si="66"/>
        <v>931348000</v>
      </c>
      <c r="R591" s="7">
        <f t="shared" si="67"/>
        <v>2098</v>
      </c>
      <c r="S591" s="7">
        <f t="shared" si="68"/>
        <v>2</v>
      </c>
      <c r="T591" s="7">
        <f t="shared" si="69"/>
        <v>2098</v>
      </c>
    </row>
    <row r="592" spans="1:20" ht="14.25" customHeight="1" x14ac:dyDescent="0.35">
      <c r="A592" s="2" t="s">
        <v>99</v>
      </c>
      <c r="B592" s="2" t="s">
        <v>20</v>
      </c>
      <c r="C592" s="2" t="s">
        <v>21</v>
      </c>
      <c r="D592" s="2" t="s">
        <v>26</v>
      </c>
      <c r="E592" s="2" t="s">
        <v>15</v>
      </c>
      <c r="F592" s="2" t="s">
        <v>52</v>
      </c>
      <c r="G592" s="2" t="s">
        <v>36</v>
      </c>
      <c r="H592" s="2">
        <v>420000</v>
      </c>
      <c r="I592" s="2">
        <v>3</v>
      </c>
      <c r="J592" s="2" t="s">
        <v>18</v>
      </c>
      <c r="K592" s="2">
        <f t="shared" si="63"/>
        <v>336000</v>
      </c>
      <c r="L592" s="9">
        <f>Table_1[[#This Row],[Unit Price]]*Table_1[[#This Row],[Quantity]]</f>
        <v>1260000</v>
      </c>
      <c r="M592" s="8">
        <f>Table_1[[#This Row],[Cost Price]]*Table_1[[#This Row],[Quantity]]</f>
        <v>1008000</v>
      </c>
      <c r="N592">
        <f>Table_1[[#This Row],[Revenue]]-Table_1[[#This Row],[COGS]]</f>
        <v>252000</v>
      </c>
      <c r="O592" s="11">
        <f t="shared" si="64"/>
        <v>4656740000</v>
      </c>
      <c r="P592">
        <f t="shared" si="65"/>
        <v>3725392000</v>
      </c>
      <c r="Q592">
        <f t="shared" si="66"/>
        <v>931348000</v>
      </c>
      <c r="R592" s="7">
        <f t="shared" si="67"/>
        <v>2098</v>
      </c>
      <c r="S592" s="7">
        <f t="shared" si="68"/>
        <v>4</v>
      </c>
      <c r="T592" s="7">
        <f t="shared" si="69"/>
        <v>2098</v>
      </c>
    </row>
    <row r="593" spans="1:20" ht="14.25" customHeight="1" x14ac:dyDescent="0.35">
      <c r="A593" s="2" t="s">
        <v>151</v>
      </c>
      <c r="B593" s="2" t="s">
        <v>29</v>
      </c>
      <c r="C593" s="2" t="s">
        <v>30</v>
      </c>
      <c r="D593" s="2" t="s">
        <v>26</v>
      </c>
      <c r="E593" s="2" t="s">
        <v>15</v>
      </c>
      <c r="F593" s="2" t="s">
        <v>58</v>
      </c>
      <c r="G593" s="2" t="s">
        <v>24</v>
      </c>
      <c r="H593" s="2">
        <v>220000</v>
      </c>
      <c r="I593" s="2">
        <v>5</v>
      </c>
      <c r="J593" s="2" t="s">
        <v>27</v>
      </c>
      <c r="K593" s="2">
        <f t="shared" si="63"/>
        <v>176000</v>
      </c>
      <c r="L593" s="9">
        <f>Table_1[[#This Row],[Unit Price]]*Table_1[[#This Row],[Quantity]]</f>
        <v>1100000</v>
      </c>
      <c r="M593" s="8">
        <f>Table_1[[#This Row],[Cost Price]]*Table_1[[#This Row],[Quantity]]</f>
        <v>880000</v>
      </c>
      <c r="N593">
        <f>Table_1[[#This Row],[Revenue]]-Table_1[[#This Row],[COGS]]</f>
        <v>220000</v>
      </c>
      <c r="O593" s="11">
        <f t="shared" si="64"/>
        <v>4656740000</v>
      </c>
      <c r="P593">
        <f t="shared" si="65"/>
        <v>3725392000</v>
      </c>
      <c r="Q593">
        <f t="shared" si="66"/>
        <v>931348000</v>
      </c>
      <c r="R593" s="7">
        <f t="shared" si="67"/>
        <v>2098</v>
      </c>
      <c r="S593" s="7">
        <f t="shared" si="68"/>
        <v>1</v>
      </c>
      <c r="T593" s="7">
        <f t="shared" si="69"/>
        <v>2098</v>
      </c>
    </row>
    <row r="594" spans="1:20" ht="14.25" customHeight="1" x14ac:dyDescent="0.35">
      <c r="A594" s="2" t="s">
        <v>90</v>
      </c>
      <c r="B594" s="2" t="s">
        <v>12</v>
      </c>
      <c r="C594" s="2" t="s">
        <v>38</v>
      </c>
      <c r="D594" s="2" t="s">
        <v>14</v>
      </c>
      <c r="E594" s="2" t="s">
        <v>15</v>
      </c>
      <c r="F594" s="2" t="s">
        <v>31</v>
      </c>
      <c r="G594" s="2" t="s">
        <v>24</v>
      </c>
      <c r="H594" s="2">
        <v>60000</v>
      </c>
      <c r="I594" s="2">
        <v>6</v>
      </c>
      <c r="J594" s="2" t="s">
        <v>18</v>
      </c>
      <c r="K594" s="2">
        <f t="shared" si="63"/>
        <v>48000</v>
      </c>
      <c r="L594" s="9">
        <f>Table_1[[#This Row],[Unit Price]]*Table_1[[#This Row],[Quantity]]</f>
        <v>360000</v>
      </c>
      <c r="M594" s="8">
        <f>Table_1[[#This Row],[Cost Price]]*Table_1[[#This Row],[Quantity]]</f>
        <v>288000</v>
      </c>
      <c r="N594">
        <f>Table_1[[#This Row],[Revenue]]-Table_1[[#This Row],[COGS]]</f>
        <v>72000</v>
      </c>
      <c r="O594" s="11">
        <f t="shared" si="64"/>
        <v>4656740000</v>
      </c>
      <c r="P594">
        <f t="shared" si="65"/>
        <v>3725392000</v>
      </c>
      <c r="Q594">
        <f t="shared" si="66"/>
        <v>931348000</v>
      </c>
      <c r="R594" s="7">
        <f t="shared" si="67"/>
        <v>2098</v>
      </c>
      <c r="S594" s="7">
        <f t="shared" si="68"/>
        <v>3</v>
      </c>
      <c r="T594" s="7">
        <f t="shared" si="69"/>
        <v>2098</v>
      </c>
    </row>
    <row r="595" spans="1:20" ht="14.25" customHeight="1" x14ac:dyDescent="0.35">
      <c r="A595" s="2" t="s">
        <v>128</v>
      </c>
      <c r="B595" s="2" t="s">
        <v>12</v>
      </c>
      <c r="C595" s="2" t="s">
        <v>38</v>
      </c>
      <c r="D595" s="2" t="s">
        <v>14</v>
      </c>
      <c r="E595" s="2" t="s">
        <v>22</v>
      </c>
      <c r="F595" s="2" t="s">
        <v>31</v>
      </c>
      <c r="G595" s="2" t="s">
        <v>24</v>
      </c>
      <c r="H595" s="2">
        <v>60000</v>
      </c>
      <c r="I595" s="2">
        <v>8</v>
      </c>
      <c r="J595" s="2" t="s">
        <v>54</v>
      </c>
      <c r="K595" s="2">
        <f t="shared" si="63"/>
        <v>48000</v>
      </c>
      <c r="L595" s="9">
        <f>Table_1[[#This Row],[Unit Price]]*Table_1[[#This Row],[Quantity]]</f>
        <v>480000</v>
      </c>
      <c r="M595" s="8">
        <f>Table_1[[#This Row],[Cost Price]]*Table_1[[#This Row],[Quantity]]</f>
        <v>384000</v>
      </c>
      <c r="N595">
        <f>Table_1[[#This Row],[Revenue]]-Table_1[[#This Row],[COGS]]</f>
        <v>96000</v>
      </c>
      <c r="O595" s="11">
        <f t="shared" si="64"/>
        <v>4656740000</v>
      </c>
      <c r="P595">
        <f t="shared" si="65"/>
        <v>3725392000</v>
      </c>
      <c r="Q595">
        <f t="shared" si="66"/>
        <v>931348000</v>
      </c>
      <c r="R595" s="7">
        <f t="shared" si="67"/>
        <v>2098</v>
      </c>
      <c r="S595" s="7">
        <f t="shared" si="68"/>
        <v>4</v>
      </c>
      <c r="T595" s="7">
        <f t="shared" si="69"/>
        <v>2098</v>
      </c>
    </row>
    <row r="596" spans="1:20" ht="14.25" customHeight="1" x14ac:dyDescent="0.35">
      <c r="A596" s="2" t="s">
        <v>69</v>
      </c>
      <c r="B596" s="2" t="s">
        <v>12</v>
      </c>
      <c r="C596" s="2" t="s">
        <v>21</v>
      </c>
      <c r="D596" s="2" t="s">
        <v>26</v>
      </c>
      <c r="E596" s="2" t="s">
        <v>15</v>
      </c>
      <c r="F596" s="2" t="s">
        <v>23</v>
      </c>
      <c r="G596" s="2" t="s">
        <v>24</v>
      </c>
      <c r="H596" s="2">
        <v>30000</v>
      </c>
      <c r="I596" s="2">
        <v>2</v>
      </c>
      <c r="J596" s="2" t="s">
        <v>18</v>
      </c>
      <c r="K596" s="2">
        <f t="shared" si="63"/>
        <v>24000</v>
      </c>
      <c r="L596" s="9">
        <f>Table_1[[#This Row],[Unit Price]]*Table_1[[#This Row],[Quantity]]</f>
        <v>60000</v>
      </c>
      <c r="M596" s="8">
        <f>Table_1[[#This Row],[Cost Price]]*Table_1[[#This Row],[Quantity]]</f>
        <v>48000</v>
      </c>
      <c r="N596">
        <f>Table_1[[#This Row],[Revenue]]-Table_1[[#This Row],[COGS]]</f>
        <v>12000</v>
      </c>
      <c r="O596" s="11">
        <f t="shared" si="64"/>
        <v>4656740000</v>
      </c>
      <c r="P596">
        <f t="shared" si="65"/>
        <v>3725392000</v>
      </c>
      <c r="Q596">
        <f t="shared" si="66"/>
        <v>931348000</v>
      </c>
      <c r="R596" s="7">
        <f t="shared" si="67"/>
        <v>2098</v>
      </c>
      <c r="S596" s="7">
        <f t="shared" si="68"/>
        <v>1</v>
      </c>
      <c r="T596" s="7">
        <f t="shared" si="69"/>
        <v>2098</v>
      </c>
    </row>
    <row r="597" spans="1:20" ht="14.25" customHeight="1" x14ac:dyDescent="0.35">
      <c r="A597" s="2" t="s">
        <v>67</v>
      </c>
      <c r="B597" s="2" t="s">
        <v>20</v>
      </c>
      <c r="C597" s="2" t="s">
        <v>13</v>
      </c>
      <c r="D597" s="2" t="s">
        <v>26</v>
      </c>
      <c r="E597" s="2" t="s">
        <v>22</v>
      </c>
      <c r="F597" s="2" t="s">
        <v>35</v>
      </c>
      <c r="G597" s="2" t="s">
        <v>36</v>
      </c>
      <c r="H597" s="2">
        <v>300000</v>
      </c>
      <c r="I597" s="2">
        <v>3</v>
      </c>
      <c r="J597" s="2" t="s">
        <v>43</v>
      </c>
      <c r="K597" s="2">
        <f t="shared" si="63"/>
        <v>240000</v>
      </c>
      <c r="L597" s="9">
        <f>Table_1[[#This Row],[Unit Price]]*Table_1[[#This Row],[Quantity]]</f>
        <v>900000</v>
      </c>
      <c r="M597" s="8">
        <f>Table_1[[#This Row],[Cost Price]]*Table_1[[#This Row],[Quantity]]</f>
        <v>720000</v>
      </c>
      <c r="N597">
        <f>Table_1[[#This Row],[Revenue]]-Table_1[[#This Row],[COGS]]</f>
        <v>180000</v>
      </c>
      <c r="O597" s="11">
        <f t="shared" si="64"/>
        <v>4656740000</v>
      </c>
      <c r="P597">
        <f t="shared" si="65"/>
        <v>3725392000</v>
      </c>
      <c r="Q597">
        <f t="shared" si="66"/>
        <v>931348000</v>
      </c>
      <c r="R597" s="7">
        <f t="shared" si="67"/>
        <v>2098</v>
      </c>
      <c r="S597" s="7">
        <f t="shared" si="68"/>
        <v>3</v>
      </c>
      <c r="T597" s="7">
        <f t="shared" si="69"/>
        <v>2098</v>
      </c>
    </row>
    <row r="598" spans="1:20" ht="14.25" customHeight="1" x14ac:dyDescent="0.35">
      <c r="A598" s="2" t="s">
        <v>83</v>
      </c>
      <c r="B598" s="2" t="s">
        <v>34</v>
      </c>
      <c r="C598" s="2" t="s">
        <v>21</v>
      </c>
      <c r="D598" s="2" t="s">
        <v>26</v>
      </c>
      <c r="E598" s="2" t="s">
        <v>22</v>
      </c>
      <c r="F598" s="2" t="s">
        <v>56</v>
      </c>
      <c r="G598" s="2" t="s">
        <v>36</v>
      </c>
      <c r="H598" s="2">
        <v>250000</v>
      </c>
      <c r="I598" s="2">
        <v>3</v>
      </c>
      <c r="J598" s="2" t="s">
        <v>27</v>
      </c>
      <c r="K598" s="2">
        <f t="shared" si="63"/>
        <v>200000</v>
      </c>
      <c r="L598" s="9">
        <f>Table_1[[#This Row],[Unit Price]]*Table_1[[#This Row],[Quantity]]</f>
        <v>750000</v>
      </c>
      <c r="M598" s="8">
        <f>Table_1[[#This Row],[Cost Price]]*Table_1[[#This Row],[Quantity]]</f>
        <v>600000</v>
      </c>
      <c r="N598">
        <f>Table_1[[#This Row],[Revenue]]-Table_1[[#This Row],[COGS]]</f>
        <v>150000</v>
      </c>
      <c r="O598" s="11">
        <f t="shared" si="64"/>
        <v>4656740000</v>
      </c>
      <c r="P598">
        <f t="shared" si="65"/>
        <v>3725392000</v>
      </c>
      <c r="Q598">
        <f t="shared" si="66"/>
        <v>931348000</v>
      </c>
      <c r="R598" s="7">
        <f t="shared" si="67"/>
        <v>2098</v>
      </c>
      <c r="S598" s="7">
        <f t="shared" si="68"/>
        <v>1</v>
      </c>
      <c r="T598" s="7">
        <f t="shared" si="69"/>
        <v>2098</v>
      </c>
    </row>
    <row r="599" spans="1:20" ht="14.25" customHeight="1" x14ac:dyDescent="0.35">
      <c r="A599" s="2" t="s">
        <v>98</v>
      </c>
      <c r="B599" s="2" t="s">
        <v>34</v>
      </c>
      <c r="C599" s="2" t="s">
        <v>21</v>
      </c>
      <c r="D599" s="2" t="s">
        <v>26</v>
      </c>
      <c r="E599" s="2" t="s">
        <v>22</v>
      </c>
      <c r="F599" s="2" t="s">
        <v>52</v>
      </c>
      <c r="G599" s="2" t="s">
        <v>36</v>
      </c>
      <c r="H599" s="2">
        <v>420000</v>
      </c>
      <c r="I599" s="2">
        <v>1</v>
      </c>
      <c r="J599" s="2" t="s">
        <v>27</v>
      </c>
      <c r="K599" s="2">
        <f t="shared" si="63"/>
        <v>336000</v>
      </c>
      <c r="L599" s="9">
        <f>Table_1[[#This Row],[Unit Price]]*Table_1[[#This Row],[Quantity]]</f>
        <v>420000</v>
      </c>
      <c r="M599" s="8">
        <f>Table_1[[#This Row],[Cost Price]]*Table_1[[#This Row],[Quantity]]</f>
        <v>336000</v>
      </c>
      <c r="N599">
        <f>Table_1[[#This Row],[Revenue]]-Table_1[[#This Row],[COGS]]</f>
        <v>84000</v>
      </c>
      <c r="O599" s="11">
        <f t="shared" si="64"/>
        <v>4656740000</v>
      </c>
      <c r="P599">
        <f t="shared" si="65"/>
        <v>3725392000</v>
      </c>
      <c r="Q599">
        <f t="shared" si="66"/>
        <v>931348000</v>
      </c>
      <c r="R599" s="7">
        <f t="shared" si="67"/>
        <v>2098</v>
      </c>
      <c r="S599" s="7">
        <f t="shared" si="68"/>
        <v>4</v>
      </c>
      <c r="T599" s="7">
        <f t="shared" si="69"/>
        <v>2098</v>
      </c>
    </row>
    <row r="600" spans="1:20" ht="14.25" customHeight="1" x14ac:dyDescent="0.35">
      <c r="A600" s="2" t="s">
        <v>84</v>
      </c>
      <c r="B600" s="2" t="s">
        <v>29</v>
      </c>
      <c r="C600" s="2" t="s">
        <v>13</v>
      </c>
      <c r="D600" s="2" t="s">
        <v>26</v>
      </c>
      <c r="E600" s="2" t="s">
        <v>22</v>
      </c>
      <c r="F600" s="2" t="s">
        <v>23</v>
      </c>
      <c r="G600" s="2" t="s">
        <v>24</v>
      </c>
      <c r="H600" s="2">
        <v>30000</v>
      </c>
      <c r="I600" s="2">
        <v>1</v>
      </c>
      <c r="J600" s="2" t="s">
        <v>43</v>
      </c>
      <c r="K600" s="2">
        <f t="shared" si="63"/>
        <v>24000</v>
      </c>
      <c r="L600" s="9">
        <f>Table_1[[#This Row],[Unit Price]]*Table_1[[#This Row],[Quantity]]</f>
        <v>30000</v>
      </c>
      <c r="M600" s="8">
        <f>Table_1[[#This Row],[Cost Price]]*Table_1[[#This Row],[Quantity]]</f>
        <v>24000</v>
      </c>
      <c r="N600">
        <f>Table_1[[#This Row],[Revenue]]-Table_1[[#This Row],[COGS]]</f>
        <v>6000</v>
      </c>
      <c r="O600" s="11">
        <f t="shared" si="64"/>
        <v>4656740000</v>
      </c>
      <c r="P600">
        <f t="shared" si="65"/>
        <v>3725392000</v>
      </c>
      <c r="Q600">
        <f t="shared" si="66"/>
        <v>931348000</v>
      </c>
      <c r="R600" s="7">
        <f t="shared" si="67"/>
        <v>2098</v>
      </c>
      <c r="S600" s="7">
        <f t="shared" si="68"/>
        <v>4</v>
      </c>
      <c r="T600" s="7">
        <f t="shared" si="69"/>
        <v>2098</v>
      </c>
    </row>
    <row r="601" spans="1:20" ht="14.25" customHeight="1" x14ac:dyDescent="0.35">
      <c r="A601" s="2" t="s">
        <v>131</v>
      </c>
      <c r="B601" s="2" t="s">
        <v>29</v>
      </c>
      <c r="C601" s="2" t="s">
        <v>30</v>
      </c>
      <c r="D601" s="2" t="s">
        <v>14</v>
      </c>
      <c r="E601" s="2" t="s">
        <v>15</v>
      </c>
      <c r="F601" s="2" t="s">
        <v>23</v>
      </c>
      <c r="G601" s="2" t="s">
        <v>24</v>
      </c>
      <c r="H601" s="2">
        <v>30000</v>
      </c>
      <c r="I601" s="2">
        <v>8</v>
      </c>
      <c r="J601" s="2" t="s">
        <v>50</v>
      </c>
      <c r="K601" s="2">
        <f t="shared" si="63"/>
        <v>24000</v>
      </c>
      <c r="L601" s="9">
        <f>Table_1[[#This Row],[Unit Price]]*Table_1[[#This Row],[Quantity]]</f>
        <v>240000</v>
      </c>
      <c r="M601" s="8">
        <f>Table_1[[#This Row],[Cost Price]]*Table_1[[#This Row],[Quantity]]</f>
        <v>192000</v>
      </c>
      <c r="N601">
        <f>Table_1[[#This Row],[Revenue]]-Table_1[[#This Row],[COGS]]</f>
        <v>48000</v>
      </c>
      <c r="O601" s="11">
        <f t="shared" si="64"/>
        <v>4656740000</v>
      </c>
      <c r="P601">
        <f t="shared" si="65"/>
        <v>3725392000</v>
      </c>
      <c r="Q601">
        <f t="shared" si="66"/>
        <v>931348000</v>
      </c>
      <c r="R601" s="7">
        <f t="shared" si="67"/>
        <v>2098</v>
      </c>
      <c r="S601" s="7">
        <f t="shared" si="68"/>
        <v>1</v>
      </c>
      <c r="T601" s="7">
        <f t="shared" si="69"/>
        <v>2098</v>
      </c>
    </row>
    <row r="602" spans="1:20" ht="14.25" customHeight="1" x14ac:dyDescent="0.35">
      <c r="A602" s="2" t="s">
        <v>142</v>
      </c>
      <c r="B602" s="2" t="s">
        <v>34</v>
      </c>
      <c r="C602" s="2" t="s">
        <v>13</v>
      </c>
      <c r="D602" s="2" t="s">
        <v>26</v>
      </c>
      <c r="E602" s="2" t="s">
        <v>15</v>
      </c>
      <c r="F602" s="2" t="s">
        <v>56</v>
      </c>
      <c r="G602" s="2" t="s">
        <v>36</v>
      </c>
      <c r="H602" s="2">
        <v>250000</v>
      </c>
      <c r="I602" s="2">
        <v>10</v>
      </c>
      <c r="J602" s="2" t="s">
        <v>50</v>
      </c>
      <c r="K602" s="2">
        <f t="shared" si="63"/>
        <v>200000</v>
      </c>
      <c r="L602" s="9">
        <f>Table_1[[#This Row],[Unit Price]]*Table_1[[#This Row],[Quantity]]</f>
        <v>2500000</v>
      </c>
      <c r="M602" s="8">
        <f>Table_1[[#This Row],[Cost Price]]*Table_1[[#This Row],[Quantity]]</f>
        <v>2000000</v>
      </c>
      <c r="N602">
        <f>Table_1[[#This Row],[Revenue]]-Table_1[[#This Row],[COGS]]</f>
        <v>500000</v>
      </c>
      <c r="O602" s="11">
        <f t="shared" si="64"/>
        <v>4656740000</v>
      </c>
      <c r="P602">
        <f t="shared" si="65"/>
        <v>3725392000</v>
      </c>
      <c r="Q602">
        <f t="shared" si="66"/>
        <v>931348000</v>
      </c>
      <c r="R602" s="7">
        <f t="shared" si="67"/>
        <v>2098</v>
      </c>
      <c r="S602" s="7">
        <f t="shared" si="68"/>
        <v>4</v>
      </c>
      <c r="T602" s="7">
        <f t="shared" si="69"/>
        <v>2098</v>
      </c>
    </row>
    <row r="603" spans="1:20" ht="14.25" customHeight="1" x14ac:dyDescent="0.35">
      <c r="A603" s="2" t="s">
        <v>98</v>
      </c>
      <c r="B603" s="2" t="s">
        <v>34</v>
      </c>
      <c r="C603" s="2" t="s">
        <v>30</v>
      </c>
      <c r="D603" s="2" t="s">
        <v>26</v>
      </c>
      <c r="E603" s="2" t="s">
        <v>22</v>
      </c>
      <c r="F603" s="2" t="s">
        <v>47</v>
      </c>
      <c r="G603" s="2" t="s">
        <v>36</v>
      </c>
      <c r="H603" s="2">
        <v>150000</v>
      </c>
      <c r="I603" s="2">
        <v>10</v>
      </c>
      <c r="J603" s="2" t="s">
        <v>27</v>
      </c>
      <c r="K603" s="2">
        <f t="shared" si="63"/>
        <v>120000</v>
      </c>
      <c r="L603" s="9">
        <f>Table_1[[#This Row],[Unit Price]]*Table_1[[#This Row],[Quantity]]</f>
        <v>1500000</v>
      </c>
      <c r="M603" s="8">
        <f>Table_1[[#This Row],[Cost Price]]*Table_1[[#This Row],[Quantity]]</f>
        <v>1200000</v>
      </c>
      <c r="N603">
        <f>Table_1[[#This Row],[Revenue]]-Table_1[[#This Row],[COGS]]</f>
        <v>300000</v>
      </c>
      <c r="O603" s="11">
        <f t="shared" si="64"/>
        <v>4656740000</v>
      </c>
      <c r="P603">
        <f t="shared" si="65"/>
        <v>3725392000</v>
      </c>
      <c r="Q603">
        <f t="shared" si="66"/>
        <v>931348000</v>
      </c>
      <c r="R603" s="7">
        <f t="shared" si="67"/>
        <v>2098</v>
      </c>
      <c r="S603" s="7">
        <f t="shared" si="68"/>
        <v>4</v>
      </c>
      <c r="T603" s="7">
        <f t="shared" si="69"/>
        <v>2098</v>
      </c>
    </row>
    <row r="604" spans="1:20" ht="14.25" customHeight="1" x14ac:dyDescent="0.35">
      <c r="A604" s="2" t="s">
        <v>120</v>
      </c>
      <c r="B604" s="2" t="s">
        <v>20</v>
      </c>
      <c r="C604" s="2" t="s">
        <v>38</v>
      </c>
      <c r="D604" s="2" t="s">
        <v>14</v>
      </c>
      <c r="E604" s="2" t="s">
        <v>22</v>
      </c>
      <c r="F604" s="2" t="s">
        <v>56</v>
      </c>
      <c r="G604" s="2" t="s">
        <v>36</v>
      </c>
      <c r="H604" s="2">
        <v>250000</v>
      </c>
      <c r="I604" s="2">
        <v>8</v>
      </c>
      <c r="J604" s="2" t="s">
        <v>18</v>
      </c>
      <c r="K604" s="2">
        <f t="shared" si="63"/>
        <v>200000</v>
      </c>
      <c r="L604" s="9">
        <f>Table_1[[#This Row],[Unit Price]]*Table_1[[#This Row],[Quantity]]</f>
        <v>2000000</v>
      </c>
      <c r="M604" s="8">
        <f>Table_1[[#This Row],[Cost Price]]*Table_1[[#This Row],[Quantity]]</f>
        <v>1600000</v>
      </c>
      <c r="N604">
        <f>Table_1[[#This Row],[Revenue]]-Table_1[[#This Row],[COGS]]</f>
        <v>400000</v>
      </c>
      <c r="O604" s="11">
        <f t="shared" si="64"/>
        <v>4656740000</v>
      </c>
      <c r="P604">
        <f t="shared" si="65"/>
        <v>3725392000</v>
      </c>
      <c r="Q604">
        <f t="shared" si="66"/>
        <v>931348000</v>
      </c>
      <c r="R604" s="7">
        <f t="shared" si="67"/>
        <v>2098</v>
      </c>
      <c r="S604" s="7">
        <f t="shared" si="68"/>
        <v>3</v>
      </c>
      <c r="T604" s="7">
        <f t="shared" si="69"/>
        <v>2098</v>
      </c>
    </row>
    <row r="605" spans="1:20" ht="14.25" customHeight="1" x14ac:dyDescent="0.35">
      <c r="A605" s="2" t="s">
        <v>49</v>
      </c>
      <c r="B605" s="2" t="s">
        <v>34</v>
      </c>
      <c r="C605" s="2" t="s">
        <v>30</v>
      </c>
      <c r="D605" s="2" t="s">
        <v>14</v>
      </c>
      <c r="E605" s="2" t="s">
        <v>22</v>
      </c>
      <c r="F605" s="2" t="s">
        <v>56</v>
      </c>
      <c r="G605" s="2" t="s">
        <v>36</v>
      </c>
      <c r="H605" s="2">
        <v>250000</v>
      </c>
      <c r="I605" s="2">
        <v>9</v>
      </c>
      <c r="J605" s="2" t="s">
        <v>54</v>
      </c>
      <c r="K605" s="2">
        <f t="shared" si="63"/>
        <v>200000</v>
      </c>
      <c r="L605" s="9">
        <f>Table_1[[#This Row],[Unit Price]]*Table_1[[#This Row],[Quantity]]</f>
        <v>2250000</v>
      </c>
      <c r="M605" s="8">
        <f>Table_1[[#This Row],[Cost Price]]*Table_1[[#This Row],[Quantity]]</f>
        <v>1800000</v>
      </c>
      <c r="N605">
        <f>Table_1[[#This Row],[Revenue]]-Table_1[[#This Row],[COGS]]</f>
        <v>450000</v>
      </c>
      <c r="O605" s="11">
        <f t="shared" si="64"/>
        <v>4656740000</v>
      </c>
      <c r="P605">
        <f t="shared" si="65"/>
        <v>3725392000</v>
      </c>
      <c r="Q605">
        <f t="shared" si="66"/>
        <v>931348000</v>
      </c>
      <c r="R605" s="7">
        <f t="shared" si="67"/>
        <v>2098</v>
      </c>
      <c r="S605" s="7">
        <f t="shared" si="68"/>
        <v>4</v>
      </c>
      <c r="T605" s="7">
        <f t="shared" si="69"/>
        <v>2098</v>
      </c>
    </row>
    <row r="606" spans="1:20" ht="14.25" customHeight="1" x14ac:dyDescent="0.35">
      <c r="A606" s="2" t="s">
        <v>63</v>
      </c>
      <c r="B606" s="2" t="s">
        <v>34</v>
      </c>
      <c r="C606" s="2" t="s">
        <v>38</v>
      </c>
      <c r="D606" s="2" t="s">
        <v>14</v>
      </c>
      <c r="E606" s="2" t="s">
        <v>22</v>
      </c>
      <c r="F606" s="2" t="s">
        <v>52</v>
      </c>
      <c r="G606" s="2" t="s">
        <v>36</v>
      </c>
      <c r="H606" s="2">
        <v>420000</v>
      </c>
      <c r="I606" s="2">
        <v>10</v>
      </c>
      <c r="J606" s="2" t="s">
        <v>32</v>
      </c>
      <c r="K606" s="2">
        <f t="shared" si="63"/>
        <v>336000</v>
      </c>
      <c r="L606" s="9">
        <f>Table_1[[#This Row],[Unit Price]]*Table_1[[#This Row],[Quantity]]</f>
        <v>4200000</v>
      </c>
      <c r="M606" s="8">
        <f>Table_1[[#This Row],[Cost Price]]*Table_1[[#This Row],[Quantity]]</f>
        <v>3360000</v>
      </c>
      <c r="N606">
        <f>Table_1[[#This Row],[Revenue]]-Table_1[[#This Row],[COGS]]</f>
        <v>840000</v>
      </c>
      <c r="O606" s="11">
        <f t="shared" si="64"/>
        <v>4656740000</v>
      </c>
      <c r="P606">
        <f t="shared" si="65"/>
        <v>3725392000</v>
      </c>
      <c r="Q606">
        <f t="shared" si="66"/>
        <v>931348000</v>
      </c>
      <c r="R606" s="7">
        <f t="shared" si="67"/>
        <v>2098</v>
      </c>
      <c r="S606" s="7">
        <f t="shared" si="68"/>
        <v>4</v>
      </c>
      <c r="T606" s="7">
        <f t="shared" si="69"/>
        <v>2098</v>
      </c>
    </row>
    <row r="607" spans="1:20" ht="14.25" customHeight="1" x14ac:dyDescent="0.35">
      <c r="A607" s="2" t="s">
        <v>109</v>
      </c>
      <c r="B607" s="2" t="s">
        <v>12</v>
      </c>
      <c r="C607" s="2" t="s">
        <v>21</v>
      </c>
      <c r="D607" s="2" t="s">
        <v>26</v>
      </c>
      <c r="E607" s="2" t="s">
        <v>15</v>
      </c>
      <c r="F607" s="2" t="s">
        <v>16</v>
      </c>
      <c r="G607" s="2" t="s">
        <v>17</v>
      </c>
      <c r="H607" s="2">
        <v>85000</v>
      </c>
      <c r="I607" s="2">
        <v>4</v>
      </c>
      <c r="J607" s="2" t="s">
        <v>27</v>
      </c>
      <c r="K607" s="2">
        <f t="shared" si="63"/>
        <v>68000</v>
      </c>
      <c r="L607" s="9">
        <f>Table_1[[#This Row],[Unit Price]]*Table_1[[#This Row],[Quantity]]</f>
        <v>340000</v>
      </c>
      <c r="M607" s="8">
        <f>Table_1[[#This Row],[Cost Price]]*Table_1[[#This Row],[Quantity]]</f>
        <v>272000</v>
      </c>
      <c r="N607">
        <f>Table_1[[#This Row],[Revenue]]-Table_1[[#This Row],[COGS]]</f>
        <v>68000</v>
      </c>
      <c r="O607" s="11">
        <f t="shared" si="64"/>
        <v>4656740000</v>
      </c>
      <c r="P607">
        <f t="shared" si="65"/>
        <v>3725392000</v>
      </c>
      <c r="Q607">
        <f t="shared" si="66"/>
        <v>931348000</v>
      </c>
      <c r="R607" s="7">
        <f t="shared" si="67"/>
        <v>2098</v>
      </c>
      <c r="S607" s="7">
        <f t="shared" si="68"/>
        <v>2</v>
      </c>
      <c r="T607" s="7">
        <f t="shared" si="69"/>
        <v>2098</v>
      </c>
    </row>
    <row r="608" spans="1:20" ht="14.25" customHeight="1" x14ac:dyDescent="0.35">
      <c r="A608" s="2" t="s">
        <v>151</v>
      </c>
      <c r="B608" s="2" t="s">
        <v>20</v>
      </c>
      <c r="C608" s="2" t="s">
        <v>21</v>
      </c>
      <c r="D608" s="2" t="s">
        <v>14</v>
      </c>
      <c r="E608" s="2" t="s">
        <v>15</v>
      </c>
      <c r="F608" s="2" t="s">
        <v>39</v>
      </c>
      <c r="G608" s="2" t="s">
        <v>24</v>
      </c>
      <c r="H608" s="2">
        <v>180000</v>
      </c>
      <c r="I608" s="2">
        <v>1</v>
      </c>
      <c r="J608" s="2" t="s">
        <v>54</v>
      </c>
      <c r="K608" s="2">
        <f t="shared" si="63"/>
        <v>144000</v>
      </c>
      <c r="L608" s="9">
        <f>Table_1[[#This Row],[Unit Price]]*Table_1[[#This Row],[Quantity]]</f>
        <v>180000</v>
      </c>
      <c r="M608" s="8">
        <f>Table_1[[#This Row],[Cost Price]]*Table_1[[#This Row],[Quantity]]</f>
        <v>144000</v>
      </c>
      <c r="N608">
        <f>Table_1[[#This Row],[Revenue]]-Table_1[[#This Row],[COGS]]</f>
        <v>36000</v>
      </c>
      <c r="O608" s="11">
        <f t="shared" si="64"/>
        <v>4656740000</v>
      </c>
      <c r="P608">
        <f t="shared" si="65"/>
        <v>3725392000</v>
      </c>
      <c r="Q608">
        <f t="shared" si="66"/>
        <v>931348000</v>
      </c>
      <c r="R608" s="7">
        <f t="shared" si="67"/>
        <v>2098</v>
      </c>
      <c r="S608" s="7">
        <f t="shared" si="68"/>
        <v>1</v>
      </c>
      <c r="T608" s="7">
        <f t="shared" si="69"/>
        <v>2098</v>
      </c>
    </row>
    <row r="609" spans="1:20" ht="14.25" customHeight="1" x14ac:dyDescent="0.35">
      <c r="A609" s="2" t="s">
        <v>155</v>
      </c>
      <c r="B609" s="2" t="s">
        <v>29</v>
      </c>
      <c r="C609" s="2" t="s">
        <v>21</v>
      </c>
      <c r="D609" s="2" t="s">
        <v>14</v>
      </c>
      <c r="E609" s="2" t="s">
        <v>22</v>
      </c>
      <c r="F609" s="2" t="s">
        <v>39</v>
      </c>
      <c r="G609" s="2" t="s">
        <v>24</v>
      </c>
      <c r="H609" s="2">
        <v>180000</v>
      </c>
      <c r="I609" s="2">
        <v>9</v>
      </c>
      <c r="J609" s="2" t="s">
        <v>43</v>
      </c>
      <c r="K609" s="2">
        <f t="shared" si="63"/>
        <v>144000</v>
      </c>
      <c r="L609" s="9">
        <f>Table_1[[#This Row],[Unit Price]]*Table_1[[#This Row],[Quantity]]</f>
        <v>1620000</v>
      </c>
      <c r="M609" s="8">
        <f>Table_1[[#This Row],[Cost Price]]*Table_1[[#This Row],[Quantity]]</f>
        <v>1296000</v>
      </c>
      <c r="N609">
        <f>Table_1[[#This Row],[Revenue]]-Table_1[[#This Row],[COGS]]</f>
        <v>324000</v>
      </c>
      <c r="O609" s="11">
        <f t="shared" si="64"/>
        <v>4656740000</v>
      </c>
      <c r="P609">
        <f t="shared" si="65"/>
        <v>3725392000</v>
      </c>
      <c r="Q609">
        <f t="shared" si="66"/>
        <v>931348000</v>
      </c>
      <c r="R609" s="7">
        <f t="shared" si="67"/>
        <v>2098</v>
      </c>
      <c r="S609" s="7">
        <f t="shared" si="68"/>
        <v>1</v>
      </c>
      <c r="T609" s="7">
        <f t="shared" si="69"/>
        <v>2098</v>
      </c>
    </row>
    <row r="610" spans="1:20" ht="14.25" customHeight="1" x14ac:dyDescent="0.35">
      <c r="A610" s="2" t="s">
        <v>154</v>
      </c>
      <c r="B610" s="2" t="s">
        <v>20</v>
      </c>
      <c r="C610" s="2" t="s">
        <v>30</v>
      </c>
      <c r="D610" s="2" t="s">
        <v>26</v>
      </c>
      <c r="E610" s="2" t="s">
        <v>22</v>
      </c>
      <c r="F610" s="2" t="s">
        <v>47</v>
      </c>
      <c r="G610" s="2" t="s">
        <v>36</v>
      </c>
      <c r="H610" s="2">
        <v>150000</v>
      </c>
      <c r="I610" s="2">
        <v>10</v>
      </c>
      <c r="J610" s="2" t="s">
        <v>32</v>
      </c>
      <c r="K610" s="2">
        <f t="shared" si="63"/>
        <v>120000</v>
      </c>
      <c r="L610" s="9">
        <f>Table_1[[#This Row],[Unit Price]]*Table_1[[#This Row],[Quantity]]</f>
        <v>1500000</v>
      </c>
      <c r="M610" s="8">
        <f>Table_1[[#This Row],[Cost Price]]*Table_1[[#This Row],[Quantity]]</f>
        <v>1200000</v>
      </c>
      <c r="N610">
        <f>Table_1[[#This Row],[Revenue]]-Table_1[[#This Row],[COGS]]</f>
        <v>300000</v>
      </c>
      <c r="O610" s="11">
        <f t="shared" si="64"/>
        <v>4656740000</v>
      </c>
      <c r="P610">
        <f t="shared" si="65"/>
        <v>3725392000</v>
      </c>
      <c r="Q610">
        <f t="shared" si="66"/>
        <v>931348000</v>
      </c>
      <c r="R610" s="7">
        <f t="shared" si="67"/>
        <v>2098</v>
      </c>
      <c r="S610" s="7">
        <f t="shared" si="68"/>
        <v>2</v>
      </c>
      <c r="T610" s="7">
        <f t="shared" si="69"/>
        <v>2098</v>
      </c>
    </row>
    <row r="611" spans="1:20" ht="14.25" customHeight="1" x14ac:dyDescent="0.35">
      <c r="A611" s="2" t="s">
        <v>142</v>
      </c>
      <c r="B611" s="2" t="s">
        <v>20</v>
      </c>
      <c r="C611" s="2" t="s">
        <v>38</v>
      </c>
      <c r="D611" s="2" t="s">
        <v>26</v>
      </c>
      <c r="E611" s="2" t="s">
        <v>22</v>
      </c>
      <c r="F611" s="2" t="s">
        <v>35</v>
      </c>
      <c r="G611" s="2" t="s">
        <v>36</v>
      </c>
      <c r="H611" s="2">
        <v>300000</v>
      </c>
      <c r="I611" s="2">
        <v>1</v>
      </c>
      <c r="J611" s="2" t="s">
        <v>32</v>
      </c>
      <c r="K611" s="2">
        <f t="shared" si="63"/>
        <v>240000</v>
      </c>
      <c r="L611" s="9">
        <f>Table_1[[#This Row],[Unit Price]]*Table_1[[#This Row],[Quantity]]</f>
        <v>300000</v>
      </c>
      <c r="M611" s="8">
        <f>Table_1[[#This Row],[Cost Price]]*Table_1[[#This Row],[Quantity]]</f>
        <v>240000</v>
      </c>
      <c r="N611">
        <f>Table_1[[#This Row],[Revenue]]-Table_1[[#This Row],[COGS]]</f>
        <v>60000</v>
      </c>
      <c r="O611" s="11">
        <f t="shared" si="64"/>
        <v>4656740000</v>
      </c>
      <c r="P611">
        <f t="shared" si="65"/>
        <v>3725392000</v>
      </c>
      <c r="Q611">
        <f t="shared" si="66"/>
        <v>931348000</v>
      </c>
      <c r="R611" s="7">
        <f t="shared" si="67"/>
        <v>2098</v>
      </c>
      <c r="S611" s="7">
        <f t="shared" si="68"/>
        <v>4</v>
      </c>
      <c r="T611" s="7">
        <f t="shared" si="69"/>
        <v>2098</v>
      </c>
    </row>
    <row r="612" spans="1:20" ht="14.25" customHeight="1" x14ac:dyDescent="0.35">
      <c r="A612" s="2" t="s">
        <v>128</v>
      </c>
      <c r="B612" s="2" t="s">
        <v>29</v>
      </c>
      <c r="C612" s="2" t="s">
        <v>38</v>
      </c>
      <c r="D612" s="2" t="s">
        <v>14</v>
      </c>
      <c r="E612" s="2" t="s">
        <v>15</v>
      </c>
      <c r="F612" s="2" t="s">
        <v>47</v>
      </c>
      <c r="G612" s="2" t="s">
        <v>36</v>
      </c>
      <c r="H612" s="2">
        <v>150000</v>
      </c>
      <c r="I612" s="2">
        <v>8</v>
      </c>
      <c r="J612" s="2" t="s">
        <v>18</v>
      </c>
      <c r="K612" s="2">
        <f t="shared" si="63"/>
        <v>120000</v>
      </c>
      <c r="L612" s="9">
        <f>Table_1[[#This Row],[Unit Price]]*Table_1[[#This Row],[Quantity]]</f>
        <v>1200000</v>
      </c>
      <c r="M612" s="8">
        <f>Table_1[[#This Row],[Cost Price]]*Table_1[[#This Row],[Quantity]]</f>
        <v>960000</v>
      </c>
      <c r="N612">
        <f>Table_1[[#This Row],[Revenue]]-Table_1[[#This Row],[COGS]]</f>
        <v>240000</v>
      </c>
      <c r="O612" s="11">
        <f t="shared" si="64"/>
        <v>4656740000</v>
      </c>
      <c r="P612">
        <f t="shared" si="65"/>
        <v>3725392000</v>
      </c>
      <c r="Q612">
        <f t="shared" si="66"/>
        <v>931348000</v>
      </c>
      <c r="R612" s="7">
        <f t="shared" si="67"/>
        <v>2098</v>
      </c>
      <c r="S612" s="7">
        <f t="shared" si="68"/>
        <v>4</v>
      </c>
      <c r="T612" s="7">
        <f t="shared" si="69"/>
        <v>2098</v>
      </c>
    </row>
    <row r="613" spans="1:20" ht="14.25" customHeight="1" x14ac:dyDescent="0.35">
      <c r="A613" s="2" t="s">
        <v>44</v>
      </c>
      <c r="B613" s="2" t="s">
        <v>12</v>
      </c>
      <c r="C613" s="2" t="s">
        <v>38</v>
      </c>
      <c r="D613" s="2" t="s">
        <v>14</v>
      </c>
      <c r="E613" s="2" t="s">
        <v>22</v>
      </c>
      <c r="F613" s="2" t="s">
        <v>47</v>
      </c>
      <c r="G613" s="2" t="s">
        <v>36</v>
      </c>
      <c r="H613" s="2">
        <v>150000</v>
      </c>
      <c r="I613" s="2">
        <v>3</v>
      </c>
      <c r="J613" s="2" t="s">
        <v>43</v>
      </c>
      <c r="K613" s="2">
        <f t="shared" si="63"/>
        <v>120000</v>
      </c>
      <c r="L613" s="9">
        <f>Table_1[[#This Row],[Unit Price]]*Table_1[[#This Row],[Quantity]]</f>
        <v>450000</v>
      </c>
      <c r="M613" s="8">
        <f>Table_1[[#This Row],[Cost Price]]*Table_1[[#This Row],[Quantity]]</f>
        <v>360000</v>
      </c>
      <c r="N613">
        <f>Table_1[[#This Row],[Revenue]]-Table_1[[#This Row],[COGS]]</f>
        <v>90000</v>
      </c>
      <c r="O613" s="11">
        <f t="shared" si="64"/>
        <v>4656740000</v>
      </c>
      <c r="P613">
        <f t="shared" si="65"/>
        <v>3725392000</v>
      </c>
      <c r="Q613">
        <f t="shared" si="66"/>
        <v>931348000</v>
      </c>
      <c r="R613" s="7">
        <f t="shared" si="67"/>
        <v>2098</v>
      </c>
      <c r="S613" s="7">
        <f t="shared" si="68"/>
        <v>3</v>
      </c>
      <c r="T613" s="7">
        <f t="shared" si="69"/>
        <v>2098</v>
      </c>
    </row>
    <row r="614" spans="1:20" ht="14.25" customHeight="1" x14ac:dyDescent="0.35">
      <c r="A614" s="2" t="s">
        <v>116</v>
      </c>
      <c r="B614" s="2" t="s">
        <v>34</v>
      </c>
      <c r="C614" s="2" t="s">
        <v>38</v>
      </c>
      <c r="D614" s="2" t="s">
        <v>14</v>
      </c>
      <c r="E614" s="2" t="s">
        <v>22</v>
      </c>
      <c r="F614" s="2" t="s">
        <v>41</v>
      </c>
      <c r="G614" s="2" t="s">
        <v>17</v>
      </c>
      <c r="H614" s="2">
        <v>320000</v>
      </c>
      <c r="I614" s="2">
        <v>3</v>
      </c>
      <c r="J614" s="2" t="s">
        <v>18</v>
      </c>
      <c r="K614" s="2">
        <f t="shared" si="63"/>
        <v>256000</v>
      </c>
      <c r="L614" s="9">
        <f>Table_1[[#This Row],[Unit Price]]*Table_1[[#This Row],[Quantity]]</f>
        <v>960000</v>
      </c>
      <c r="M614" s="8">
        <f>Table_1[[#This Row],[Cost Price]]*Table_1[[#This Row],[Quantity]]</f>
        <v>768000</v>
      </c>
      <c r="N614">
        <f>Table_1[[#This Row],[Revenue]]-Table_1[[#This Row],[COGS]]</f>
        <v>192000</v>
      </c>
      <c r="O614" s="11">
        <f t="shared" si="64"/>
        <v>4656740000</v>
      </c>
      <c r="P614">
        <f t="shared" si="65"/>
        <v>3725392000</v>
      </c>
      <c r="Q614">
        <f t="shared" si="66"/>
        <v>931348000</v>
      </c>
      <c r="R614" s="7">
        <f t="shared" si="67"/>
        <v>2098</v>
      </c>
      <c r="S614" s="7">
        <f t="shared" si="68"/>
        <v>3</v>
      </c>
      <c r="T614" s="7">
        <f t="shared" si="69"/>
        <v>2098</v>
      </c>
    </row>
    <row r="615" spans="1:20" ht="14.25" customHeight="1" x14ac:dyDescent="0.35">
      <c r="A615" s="2" t="s">
        <v>91</v>
      </c>
      <c r="B615" s="2" t="s">
        <v>29</v>
      </c>
      <c r="C615" s="2" t="s">
        <v>30</v>
      </c>
      <c r="D615" s="2" t="s">
        <v>14</v>
      </c>
      <c r="E615" s="2" t="s">
        <v>15</v>
      </c>
      <c r="F615" s="2" t="s">
        <v>39</v>
      </c>
      <c r="G615" s="2" t="s">
        <v>24</v>
      </c>
      <c r="H615" s="2">
        <v>180000</v>
      </c>
      <c r="I615" s="2">
        <v>8</v>
      </c>
      <c r="J615" s="2" t="s">
        <v>18</v>
      </c>
      <c r="K615" s="2">
        <f t="shared" si="63"/>
        <v>144000</v>
      </c>
      <c r="L615" s="9">
        <f>Table_1[[#This Row],[Unit Price]]*Table_1[[#This Row],[Quantity]]</f>
        <v>1440000</v>
      </c>
      <c r="M615" s="8">
        <f>Table_1[[#This Row],[Cost Price]]*Table_1[[#This Row],[Quantity]]</f>
        <v>1152000</v>
      </c>
      <c r="N615">
        <f>Table_1[[#This Row],[Revenue]]-Table_1[[#This Row],[COGS]]</f>
        <v>288000</v>
      </c>
      <c r="O615" s="11">
        <f t="shared" si="64"/>
        <v>4656740000</v>
      </c>
      <c r="P615">
        <f t="shared" si="65"/>
        <v>3725392000</v>
      </c>
      <c r="Q615">
        <f t="shared" si="66"/>
        <v>931348000</v>
      </c>
      <c r="R615" s="7">
        <f t="shared" si="67"/>
        <v>2098</v>
      </c>
      <c r="S615" s="7">
        <f t="shared" si="68"/>
        <v>4</v>
      </c>
      <c r="T615" s="7">
        <f t="shared" si="69"/>
        <v>2098</v>
      </c>
    </row>
    <row r="616" spans="1:20" ht="14.25" customHeight="1" x14ac:dyDescent="0.35">
      <c r="A616" s="2" t="s">
        <v>121</v>
      </c>
      <c r="B616" s="2" t="s">
        <v>29</v>
      </c>
      <c r="C616" s="2" t="s">
        <v>30</v>
      </c>
      <c r="D616" s="2" t="s">
        <v>14</v>
      </c>
      <c r="E616" s="2" t="s">
        <v>22</v>
      </c>
      <c r="F616" s="2" t="s">
        <v>39</v>
      </c>
      <c r="G616" s="2" t="s">
        <v>24</v>
      </c>
      <c r="H616" s="2">
        <v>180000</v>
      </c>
      <c r="I616" s="2">
        <v>1</v>
      </c>
      <c r="J616" s="2" t="s">
        <v>27</v>
      </c>
      <c r="K616" s="2">
        <f t="shared" si="63"/>
        <v>144000</v>
      </c>
      <c r="L616" s="9">
        <f>Table_1[[#This Row],[Unit Price]]*Table_1[[#This Row],[Quantity]]</f>
        <v>180000</v>
      </c>
      <c r="M616" s="8">
        <f>Table_1[[#This Row],[Cost Price]]*Table_1[[#This Row],[Quantity]]</f>
        <v>144000</v>
      </c>
      <c r="N616">
        <f>Table_1[[#This Row],[Revenue]]-Table_1[[#This Row],[COGS]]</f>
        <v>36000</v>
      </c>
      <c r="O616" s="11">
        <f t="shared" si="64"/>
        <v>4656740000</v>
      </c>
      <c r="P616">
        <f t="shared" si="65"/>
        <v>3725392000</v>
      </c>
      <c r="Q616">
        <f t="shared" si="66"/>
        <v>931348000</v>
      </c>
      <c r="R616" s="7">
        <f t="shared" si="67"/>
        <v>2098</v>
      </c>
      <c r="S616" s="7">
        <f t="shared" si="68"/>
        <v>2</v>
      </c>
      <c r="T616" s="7">
        <f t="shared" si="69"/>
        <v>2098</v>
      </c>
    </row>
    <row r="617" spans="1:20" ht="14.25" customHeight="1" x14ac:dyDescent="0.35">
      <c r="A617" s="2" t="s">
        <v>139</v>
      </c>
      <c r="B617" s="2" t="s">
        <v>12</v>
      </c>
      <c r="C617" s="2" t="s">
        <v>21</v>
      </c>
      <c r="D617" s="2" t="s">
        <v>14</v>
      </c>
      <c r="E617" s="2" t="s">
        <v>22</v>
      </c>
      <c r="F617" s="2" t="s">
        <v>31</v>
      </c>
      <c r="G617" s="2" t="s">
        <v>24</v>
      </c>
      <c r="H617" s="2">
        <v>60000</v>
      </c>
      <c r="I617" s="2">
        <v>7</v>
      </c>
      <c r="J617" s="2" t="s">
        <v>50</v>
      </c>
      <c r="K617" s="2">
        <f t="shared" si="63"/>
        <v>48000</v>
      </c>
      <c r="L617" s="9">
        <f>Table_1[[#This Row],[Unit Price]]*Table_1[[#This Row],[Quantity]]</f>
        <v>420000</v>
      </c>
      <c r="M617" s="8">
        <f>Table_1[[#This Row],[Cost Price]]*Table_1[[#This Row],[Quantity]]</f>
        <v>336000</v>
      </c>
      <c r="N617">
        <f>Table_1[[#This Row],[Revenue]]-Table_1[[#This Row],[COGS]]</f>
        <v>84000</v>
      </c>
      <c r="O617" s="11">
        <f t="shared" si="64"/>
        <v>4656740000</v>
      </c>
      <c r="P617">
        <f t="shared" si="65"/>
        <v>3725392000</v>
      </c>
      <c r="Q617">
        <f t="shared" si="66"/>
        <v>931348000</v>
      </c>
      <c r="R617" s="7">
        <f t="shared" si="67"/>
        <v>2098</v>
      </c>
      <c r="S617" s="7">
        <f t="shared" si="68"/>
        <v>2</v>
      </c>
      <c r="T617" s="7">
        <f t="shared" si="69"/>
        <v>2098</v>
      </c>
    </row>
    <row r="618" spans="1:20" ht="14.25" customHeight="1" x14ac:dyDescent="0.35">
      <c r="A618" s="2" t="s">
        <v>62</v>
      </c>
      <c r="B618" s="2" t="s">
        <v>20</v>
      </c>
      <c r="C618" s="2" t="s">
        <v>30</v>
      </c>
      <c r="D618" s="2" t="s">
        <v>26</v>
      </c>
      <c r="E618" s="2" t="s">
        <v>22</v>
      </c>
      <c r="F618" s="2" t="s">
        <v>41</v>
      </c>
      <c r="G618" s="2" t="s">
        <v>17</v>
      </c>
      <c r="H618" s="2">
        <v>320000</v>
      </c>
      <c r="I618" s="2">
        <v>7</v>
      </c>
      <c r="J618" s="2" t="s">
        <v>27</v>
      </c>
      <c r="K618" s="2">
        <f t="shared" si="63"/>
        <v>256000</v>
      </c>
      <c r="L618" s="9">
        <f>Table_1[[#This Row],[Unit Price]]*Table_1[[#This Row],[Quantity]]</f>
        <v>2240000</v>
      </c>
      <c r="M618" s="8">
        <f>Table_1[[#This Row],[Cost Price]]*Table_1[[#This Row],[Quantity]]</f>
        <v>1792000</v>
      </c>
      <c r="N618">
        <f>Table_1[[#This Row],[Revenue]]-Table_1[[#This Row],[COGS]]</f>
        <v>448000</v>
      </c>
      <c r="O618" s="11">
        <f t="shared" si="64"/>
        <v>4656740000</v>
      </c>
      <c r="P618">
        <f t="shared" si="65"/>
        <v>3725392000</v>
      </c>
      <c r="Q618">
        <f t="shared" si="66"/>
        <v>931348000</v>
      </c>
      <c r="R618" s="7">
        <f t="shared" si="67"/>
        <v>2098</v>
      </c>
      <c r="S618" s="7">
        <f t="shared" si="68"/>
        <v>4</v>
      </c>
      <c r="T618" s="7">
        <f t="shared" si="69"/>
        <v>2098</v>
      </c>
    </row>
    <row r="619" spans="1:20" ht="14.25" customHeight="1" x14ac:dyDescent="0.35">
      <c r="A619" s="2" t="s">
        <v>148</v>
      </c>
      <c r="B619" s="2" t="s">
        <v>29</v>
      </c>
      <c r="C619" s="2" t="s">
        <v>21</v>
      </c>
      <c r="D619" s="2" t="s">
        <v>26</v>
      </c>
      <c r="E619" s="2" t="s">
        <v>15</v>
      </c>
      <c r="F619" s="2" t="s">
        <v>16</v>
      </c>
      <c r="G619" s="2" t="s">
        <v>17</v>
      </c>
      <c r="H619" s="2">
        <v>85000</v>
      </c>
      <c r="I619" s="2">
        <v>9</v>
      </c>
      <c r="J619" s="2" t="s">
        <v>27</v>
      </c>
      <c r="K619" s="2">
        <f t="shared" si="63"/>
        <v>68000</v>
      </c>
      <c r="L619" s="9">
        <f>Table_1[[#This Row],[Unit Price]]*Table_1[[#This Row],[Quantity]]</f>
        <v>765000</v>
      </c>
      <c r="M619" s="8">
        <f>Table_1[[#This Row],[Cost Price]]*Table_1[[#This Row],[Quantity]]</f>
        <v>612000</v>
      </c>
      <c r="N619">
        <f>Table_1[[#This Row],[Revenue]]-Table_1[[#This Row],[COGS]]</f>
        <v>153000</v>
      </c>
      <c r="O619" s="11">
        <f t="shared" si="64"/>
        <v>4656740000</v>
      </c>
      <c r="P619">
        <f t="shared" si="65"/>
        <v>3725392000</v>
      </c>
      <c r="Q619">
        <f t="shared" si="66"/>
        <v>931348000</v>
      </c>
      <c r="R619" s="7">
        <f t="shared" si="67"/>
        <v>2098</v>
      </c>
      <c r="S619" s="7">
        <f t="shared" si="68"/>
        <v>4</v>
      </c>
      <c r="T619" s="7">
        <f t="shared" si="69"/>
        <v>2098</v>
      </c>
    </row>
    <row r="620" spans="1:20" ht="14.25" customHeight="1" x14ac:dyDescent="0.35">
      <c r="A620" s="2" t="s">
        <v>108</v>
      </c>
      <c r="B620" s="2" t="s">
        <v>12</v>
      </c>
      <c r="C620" s="2" t="s">
        <v>21</v>
      </c>
      <c r="D620" s="2" t="s">
        <v>14</v>
      </c>
      <c r="E620" s="2" t="s">
        <v>15</v>
      </c>
      <c r="F620" s="2" t="s">
        <v>41</v>
      </c>
      <c r="G620" s="2" t="s">
        <v>17</v>
      </c>
      <c r="H620" s="2">
        <v>320000</v>
      </c>
      <c r="I620" s="2">
        <v>3</v>
      </c>
      <c r="J620" s="2" t="s">
        <v>50</v>
      </c>
      <c r="K620" s="2">
        <f t="shared" si="63"/>
        <v>256000</v>
      </c>
      <c r="L620" s="9">
        <f>Table_1[[#This Row],[Unit Price]]*Table_1[[#This Row],[Quantity]]</f>
        <v>960000</v>
      </c>
      <c r="M620" s="8">
        <f>Table_1[[#This Row],[Cost Price]]*Table_1[[#This Row],[Quantity]]</f>
        <v>768000</v>
      </c>
      <c r="N620">
        <f>Table_1[[#This Row],[Revenue]]-Table_1[[#This Row],[COGS]]</f>
        <v>192000</v>
      </c>
      <c r="O620" s="11">
        <f t="shared" si="64"/>
        <v>4656740000</v>
      </c>
      <c r="P620">
        <f t="shared" si="65"/>
        <v>3725392000</v>
      </c>
      <c r="Q620">
        <f t="shared" si="66"/>
        <v>931348000</v>
      </c>
      <c r="R620" s="7">
        <f t="shared" si="67"/>
        <v>2098</v>
      </c>
      <c r="S620" s="7">
        <f t="shared" si="68"/>
        <v>4</v>
      </c>
      <c r="T620" s="7">
        <f t="shared" si="69"/>
        <v>2098</v>
      </c>
    </row>
    <row r="621" spans="1:20" ht="14.25" customHeight="1" x14ac:dyDescent="0.35">
      <c r="A621" s="2" t="s">
        <v>69</v>
      </c>
      <c r="B621" s="2" t="s">
        <v>29</v>
      </c>
      <c r="C621" s="2" t="s">
        <v>38</v>
      </c>
      <c r="D621" s="2" t="s">
        <v>14</v>
      </c>
      <c r="E621" s="2" t="s">
        <v>15</v>
      </c>
      <c r="F621" s="2" t="s">
        <v>58</v>
      </c>
      <c r="G621" s="2" t="s">
        <v>24</v>
      </c>
      <c r="H621" s="2">
        <v>220000</v>
      </c>
      <c r="I621" s="2">
        <v>4</v>
      </c>
      <c r="J621" s="2" t="s">
        <v>50</v>
      </c>
      <c r="K621" s="2">
        <f t="shared" si="63"/>
        <v>176000</v>
      </c>
      <c r="L621" s="9">
        <f>Table_1[[#This Row],[Unit Price]]*Table_1[[#This Row],[Quantity]]</f>
        <v>880000</v>
      </c>
      <c r="M621" s="8">
        <f>Table_1[[#This Row],[Cost Price]]*Table_1[[#This Row],[Quantity]]</f>
        <v>704000</v>
      </c>
      <c r="N621">
        <f>Table_1[[#This Row],[Revenue]]-Table_1[[#This Row],[COGS]]</f>
        <v>176000</v>
      </c>
      <c r="O621" s="11">
        <f t="shared" si="64"/>
        <v>4656740000</v>
      </c>
      <c r="P621">
        <f t="shared" si="65"/>
        <v>3725392000</v>
      </c>
      <c r="Q621">
        <f t="shared" si="66"/>
        <v>931348000</v>
      </c>
      <c r="R621" s="7">
        <f t="shared" si="67"/>
        <v>2098</v>
      </c>
      <c r="S621" s="7">
        <f t="shared" si="68"/>
        <v>1</v>
      </c>
      <c r="T621" s="7">
        <f t="shared" si="69"/>
        <v>2098</v>
      </c>
    </row>
    <row r="622" spans="1:20" ht="14.25" customHeight="1" x14ac:dyDescent="0.35">
      <c r="A622" s="2" t="s">
        <v>70</v>
      </c>
      <c r="B622" s="2" t="s">
        <v>20</v>
      </c>
      <c r="C622" s="2" t="s">
        <v>30</v>
      </c>
      <c r="D622" s="2" t="s">
        <v>26</v>
      </c>
      <c r="E622" s="2" t="s">
        <v>15</v>
      </c>
      <c r="F622" s="2" t="s">
        <v>41</v>
      </c>
      <c r="G622" s="2" t="s">
        <v>17</v>
      </c>
      <c r="H622" s="2">
        <v>320000</v>
      </c>
      <c r="I622" s="2">
        <v>7</v>
      </c>
      <c r="J622" s="2" t="s">
        <v>43</v>
      </c>
      <c r="K622" s="2">
        <f t="shared" si="63"/>
        <v>256000</v>
      </c>
      <c r="L622" s="9">
        <f>Table_1[[#This Row],[Unit Price]]*Table_1[[#This Row],[Quantity]]</f>
        <v>2240000</v>
      </c>
      <c r="M622" s="8">
        <f>Table_1[[#This Row],[Cost Price]]*Table_1[[#This Row],[Quantity]]</f>
        <v>1792000</v>
      </c>
      <c r="N622">
        <f>Table_1[[#This Row],[Revenue]]-Table_1[[#This Row],[COGS]]</f>
        <v>448000</v>
      </c>
      <c r="O622" s="11">
        <f t="shared" si="64"/>
        <v>4656740000</v>
      </c>
      <c r="P622">
        <f t="shared" si="65"/>
        <v>3725392000</v>
      </c>
      <c r="Q622">
        <f t="shared" si="66"/>
        <v>931348000</v>
      </c>
      <c r="R622" s="7">
        <f t="shared" si="67"/>
        <v>2098</v>
      </c>
      <c r="S622" s="7">
        <f t="shared" si="68"/>
        <v>2</v>
      </c>
      <c r="T622" s="7">
        <f t="shared" si="69"/>
        <v>2098</v>
      </c>
    </row>
    <row r="623" spans="1:20" ht="14.25" customHeight="1" x14ac:dyDescent="0.35">
      <c r="A623" s="2" t="s">
        <v>148</v>
      </c>
      <c r="B623" s="2" t="s">
        <v>20</v>
      </c>
      <c r="C623" s="2" t="s">
        <v>13</v>
      </c>
      <c r="D623" s="2" t="s">
        <v>26</v>
      </c>
      <c r="E623" s="2" t="s">
        <v>15</v>
      </c>
      <c r="F623" s="2" t="s">
        <v>56</v>
      </c>
      <c r="G623" s="2" t="s">
        <v>36</v>
      </c>
      <c r="H623" s="2">
        <v>250000</v>
      </c>
      <c r="I623" s="2">
        <v>1</v>
      </c>
      <c r="J623" s="2" t="s">
        <v>32</v>
      </c>
      <c r="K623" s="2">
        <f t="shared" si="63"/>
        <v>200000</v>
      </c>
      <c r="L623" s="9">
        <f>Table_1[[#This Row],[Unit Price]]*Table_1[[#This Row],[Quantity]]</f>
        <v>250000</v>
      </c>
      <c r="M623" s="8">
        <f>Table_1[[#This Row],[Cost Price]]*Table_1[[#This Row],[Quantity]]</f>
        <v>200000</v>
      </c>
      <c r="N623">
        <f>Table_1[[#This Row],[Revenue]]-Table_1[[#This Row],[COGS]]</f>
        <v>50000</v>
      </c>
      <c r="O623" s="11">
        <f t="shared" si="64"/>
        <v>4656740000</v>
      </c>
      <c r="P623">
        <f t="shared" si="65"/>
        <v>3725392000</v>
      </c>
      <c r="Q623">
        <f t="shared" si="66"/>
        <v>931348000</v>
      </c>
      <c r="R623" s="7">
        <f t="shared" si="67"/>
        <v>2098</v>
      </c>
      <c r="S623" s="7">
        <f t="shared" si="68"/>
        <v>4</v>
      </c>
      <c r="T623" s="7">
        <f t="shared" si="69"/>
        <v>2098</v>
      </c>
    </row>
    <row r="624" spans="1:20" ht="14.25" customHeight="1" x14ac:dyDescent="0.35">
      <c r="A624" s="2" t="s">
        <v>48</v>
      </c>
      <c r="B624" s="2" t="s">
        <v>20</v>
      </c>
      <c r="C624" s="2" t="s">
        <v>30</v>
      </c>
      <c r="D624" s="2" t="s">
        <v>14</v>
      </c>
      <c r="E624" s="2" t="s">
        <v>22</v>
      </c>
      <c r="F624" s="2" t="s">
        <v>23</v>
      </c>
      <c r="G624" s="2" t="s">
        <v>24</v>
      </c>
      <c r="H624" s="2">
        <v>30000</v>
      </c>
      <c r="I624" s="2">
        <v>5</v>
      </c>
      <c r="J624" s="2" t="s">
        <v>32</v>
      </c>
      <c r="K624" s="2">
        <f t="shared" si="63"/>
        <v>24000</v>
      </c>
      <c r="L624" s="9">
        <f>Table_1[[#This Row],[Unit Price]]*Table_1[[#This Row],[Quantity]]</f>
        <v>150000</v>
      </c>
      <c r="M624" s="8">
        <f>Table_1[[#This Row],[Cost Price]]*Table_1[[#This Row],[Quantity]]</f>
        <v>120000</v>
      </c>
      <c r="N624">
        <f>Table_1[[#This Row],[Revenue]]-Table_1[[#This Row],[COGS]]</f>
        <v>30000</v>
      </c>
      <c r="O624" s="11">
        <f t="shared" si="64"/>
        <v>4656740000</v>
      </c>
      <c r="P624">
        <f t="shared" si="65"/>
        <v>3725392000</v>
      </c>
      <c r="Q624">
        <f t="shared" si="66"/>
        <v>931348000</v>
      </c>
      <c r="R624" s="7">
        <f t="shared" si="67"/>
        <v>2098</v>
      </c>
      <c r="S624" s="7">
        <f t="shared" si="68"/>
        <v>1</v>
      </c>
      <c r="T624" s="7">
        <f t="shared" si="69"/>
        <v>2098</v>
      </c>
    </row>
    <row r="625" spans="1:20" ht="14.25" customHeight="1" x14ac:dyDescent="0.35">
      <c r="A625" s="2" t="s">
        <v>156</v>
      </c>
      <c r="B625" s="2" t="s">
        <v>29</v>
      </c>
      <c r="C625" s="2" t="s">
        <v>30</v>
      </c>
      <c r="D625" s="2" t="s">
        <v>26</v>
      </c>
      <c r="E625" s="2" t="s">
        <v>15</v>
      </c>
      <c r="F625" s="2" t="s">
        <v>58</v>
      </c>
      <c r="G625" s="2" t="s">
        <v>24</v>
      </c>
      <c r="H625" s="2">
        <v>220000</v>
      </c>
      <c r="I625" s="2">
        <v>5</v>
      </c>
      <c r="J625" s="2" t="s">
        <v>27</v>
      </c>
      <c r="K625" s="2">
        <f t="shared" si="63"/>
        <v>176000</v>
      </c>
      <c r="L625" s="9">
        <f>Table_1[[#This Row],[Unit Price]]*Table_1[[#This Row],[Quantity]]</f>
        <v>1100000</v>
      </c>
      <c r="M625" s="8">
        <f>Table_1[[#This Row],[Cost Price]]*Table_1[[#This Row],[Quantity]]</f>
        <v>880000</v>
      </c>
      <c r="N625">
        <f>Table_1[[#This Row],[Revenue]]-Table_1[[#This Row],[COGS]]</f>
        <v>220000</v>
      </c>
      <c r="O625" s="11">
        <f t="shared" si="64"/>
        <v>4656740000</v>
      </c>
      <c r="P625">
        <f t="shared" si="65"/>
        <v>3725392000</v>
      </c>
      <c r="Q625">
        <f t="shared" si="66"/>
        <v>931348000</v>
      </c>
      <c r="R625" s="7">
        <f t="shared" si="67"/>
        <v>2098</v>
      </c>
      <c r="S625" s="7">
        <f t="shared" si="68"/>
        <v>3</v>
      </c>
      <c r="T625" s="7">
        <f t="shared" si="69"/>
        <v>2098</v>
      </c>
    </row>
    <row r="626" spans="1:20" ht="14.25" customHeight="1" x14ac:dyDescent="0.35">
      <c r="A626" s="2" t="s">
        <v>114</v>
      </c>
      <c r="B626" s="2" t="s">
        <v>34</v>
      </c>
      <c r="C626" s="2" t="s">
        <v>30</v>
      </c>
      <c r="D626" s="2" t="s">
        <v>26</v>
      </c>
      <c r="E626" s="2" t="s">
        <v>22</v>
      </c>
      <c r="F626" s="2" t="s">
        <v>56</v>
      </c>
      <c r="G626" s="2" t="s">
        <v>36</v>
      </c>
      <c r="H626" s="2">
        <v>250000</v>
      </c>
      <c r="I626" s="2">
        <v>4</v>
      </c>
      <c r="J626" s="2" t="s">
        <v>43</v>
      </c>
      <c r="K626" s="2">
        <f t="shared" si="63"/>
        <v>200000</v>
      </c>
      <c r="L626" s="9">
        <f>Table_1[[#This Row],[Unit Price]]*Table_1[[#This Row],[Quantity]]</f>
        <v>1000000</v>
      </c>
      <c r="M626" s="8">
        <f>Table_1[[#This Row],[Cost Price]]*Table_1[[#This Row],[Quantity]]</f>
        <v>800000</v>
      </c>
      <c r="N626">
        <f>Table_1[[#This Row],[Revenue]]-Table_1[[#This Row],[COGS]]</f>
        <v>200000</v>
      </c>
      <c r="O626" s="11">
        <f t="shared" si="64"/>
        <v>4656740000</v>
      </c>
      <c r="P626">
        <f t="shared" si="65"/>
        <v>3725392000</v>
      </c>
      <c r="Q626">
        <f t="shared" si="66"/>
        <v>931348000</v>
      </c>
      <c r="R626" s="7">
        <f t="shared" si="67"/>
        <v>2098</v>
      </c>
      <c r="S626" s="7">
        <f t="shared" si="68"/>
        <v>3</v>
      </c>
      <c r="T626" s="7">
        <f t="shared" si="69"/>
        <v>2098</v>
      </c>
    </row>
    <row r="627" spans="1:20" ht="14.25" customHeight="1" x14ac:dyDescent="0.35">
      <c r="A627" s="2" t="s">
        <v>160</v>
      </c>
      <c r="B627" s="2" t="s">
        <v>34</v>
      </c>
      <c r="C627" s="2" t="s">
        <v>13</v>
      </c>
      <c r="D627" s="2" t="s">
        <v>14</v>
      </c>
      <c r="E627" s="2" t="s">
        <v>22</v>
      </c>
      <c r="F627" s="2" t="s">
        <v>39</v>
      </c>
      <c r="G627" s="2" t="s">
        <v>24</v>
      </c>
      <c r="H627" s="2">
        <v>180000</v>
      </c>
      <c r="I627" s="2">
        <v>4</v>
      </c>
      <c r="J627" s="2" t="s">
        <v>18</v>
      </c>
      <c r="K627" s="2">
        <f t="shared" si="63"/>
        <v>144000</v>
      </c>
      <c r="L627" s="9">
        <f>Table_1[[#This Row],[Unit Price]]*Table_1[[#This Row],[Quantity]]</f>
        <v>720000</v>
      </c>
      <c r="M627" s="8">
        <f>Table_1[[#This Row],[Cost Price]]*Table_1[[#This Row],[Quantity]]</f>
        <v>576000</v>
      </c>
      <c r="N627">
        <f>Table_1[[#This Row],[Revenue]]-Table_1[[#This Row],[COGS]]</f>
        <v>144000</v>
      </c>
      <c r="O627" s="11">
        <f t="shared" si="64"/>
        <v>4656740000</v>
      </c>
      <c r="P627">
        <f t="shared" si="65"/>
        <v>3725392000</v>
      </c>
      <c r="Q627">
        <f t="shared" si="66"/>
        <v>931348000</v>
      </c>
      <c r="R627" s="7">
        <f t="shared" si="67"/>
        <v>2098</v>
      </c>
      <c r="S627" s="7">
        <f t="shared" si="68"/>
        <v>1</v>
      </c>
      <c r="T627" s="7">
        <f t="shared" si="69"/>
        <v>2098</v>
      </c>
    </row>
    <row r="628" spans="1:20" ht="14.25" customHeight="1" x14ac:dyDescent="0.35">
      <c r="A628" s="2" t="s">
        <v>150</v>
      </c>
      <c r="B628" s="2" t="s">
        <v>29</v>
      </c>
      <c r="C628" s="2" t="s">
        <v>13</v>
      </c>
      <c r="D628" s="2" t="s">
        <v>26</v>
      </c>
      <c r="E628" s="2" t="s">
        <v>22</v>
      </c>
      <c r="F628" s="2" t="s">
        <v>31</v>
      </c>
      <c r="G628" s="2" t="s">
        <v>24</v>
      </c>
      <c r="H628" s="2">
        <v>60000</v>
      </c>
      <c r="I628" s="2">
        <v>10</v>
      </c>
      <c r="J628" s="2" t="s">
        <v>27</v>
      </c>
      <c r="K628" s="2">
        <f t="shared" si="63"/>
        <v>48000</v>
      </c>
      <c r="L628" s="9">
        <f>Table_1[[#This Row],[Unit Price]]*Table_1[[#This Row],[Quantity]]</f>
        <v>600000</v>
      </c>
      <c r="M628" s="8">
        <f>Table_1[[#This Row],[Cost Price]]*Table_1[[#This Row],[Quantity]]</f>
        <v>480000</v>
      </c>
      <c r="N628">
        <f>Table_1[[#This Row],[Revenue]]-Table_1[[#This Row],[COGS]]</f>
        <v>120000</v>
      </c>
      <c r="O628" s="11">
        <f t="shared" si="64"/>
        <v>4656740000</v>
      </c>
      <c r="P628">
        <f t="shared" si="65"/>
        <v>3725392000</v>
      </c>
      <c r="Q628">
        <f t="shared" si="66"/>
        <v>931348000</v>
      </c>
      <c r="R628" s="7">
        <f t="shared" si="67"/>
        <v>2098</v>
      </c>
      <c r="S628" s="7">
        <f t="shared" si="68"/>
        <v>4</v>
      </c>
      <c r="T628" s="7">
        <f t="shared" si="69"/>
        <v>2098</v>
      </c>
    </row>
    <row r="629" spans="1:20" ht="14.25" customHeight="1" x14ac:dyDescent="0.35">
      <c r="A629" s="2" t="s">
        <v>92</v>
      </c>
      <c r="B629" s="2" t="s">
        <v>20</v>
      </c>
      <c r="C629" s="2" t="s">
        <v>30</v>
      </c>
      <c r="D629" s="2" t="s">
        <v>14</v>
      </c>
      <c r="E629" s="2" t="s">
        <v>15</v>
      </c>
      <c r="F629" s="2" t="s">
        <v>41</v>
      </c>
      <c r="G629" s="2" t="s">
        <v>17</v>
      </c>
      <c r="H629" s="2">
        <v>320000</v>
      </c>
      <c r="I629" s="2">
        <v>10</v>
      </c>
      <c r="J629" s="2" t="s">
        <v>18</v>
      </c>
      <c r="K629" s="2">
        <f t="shared" si="63"/>
        <v>256000</v>
      </c>
      <c r="L629" s="9">
        <f>Table_1[[#This Row],[Unit Price]]*Table_1[[#This Row],[Quantity]]</f>
        <v>3200000</v>
      </c>
      <c r="M629" s="8">
        <f>Table_1[[#This Row],[Cost Price]]*Table_1[[#This Row],[Quantity]]</f>
        <v>2560000</v>
      </c>
      <c r="N629">
        <f>Table_1[[#This Row],[Revenue]]-Table_1[[#This Row],[COGS]]</f>
        <v>640000</v>
      </c>
      <c r="O629" s="11">
        <f t="shared" si="64"/>
        <v>4656740000</v>
      </c>
      <c r="P629">
        <f t="shared" si="65"/>
        <v>3725392000</v>
      </c>
      <c r="Q629">
        <f t="shared" si="66"/>
        <v>931348000</v>
      </c>
      <c r="R629" s="7">
        <f t="shared" si="67"/>
        <v>2098</v>
      </c>
      <c r="S629" s="7">
        <f t="shared" si="68"/>
        <v>2</v>
      </c>
      <c r="T629" s="7">
        <f t="shared" si="69"/>
        <v>2098</v>
      </c>
    </row>
    <row r="630" spans="1:20" ht="14.25" customHeight="1" x14ac:dyDescent="0.35">
      <c r="A630" s="2" t="s">
        <v>112</v>
      </c>
      <c r="B630" s="2" t="s">
        <v>20</v>
      </c>
      <c r="C630" s="2" t="s">
        <v>30</v>
      </c>
      <c r="D630" s="2" t="s">
        <v>14</v>
      </c>
      <c r="E630" s="2" t="s">
        <v>22</v>
      </c>
      <c r="F630" s="2" t="s">
        <v>47</v>
      </c>
      <c r="G630" s="2" t="s">
        <v>36</v>
      </c>
      <c r="H630" s="2">
        <v>150000</v>
      </c>
      <c r="I630" s="2">
        <v>4</v>
      </c>
      <c r="J630" s="2" t="s">
        <v>32</v>
      </c>
      <c r="K630" s="2">
        <f t="shared" si="63"/>
        <v>120000</v>
      </c>
      <c r="L630" s="9">
        <f>Table_1[[#This Row],[Unit Price]]*Table_1[[#This Row],[Quantity]]</f>
        <v>600000</v>
      </c>
      <c r="M630" s="8">
        <f>Table_1[[#This Row],[Cost Price]]*Table_1[[#This Row],[Quantity]]</f>
        <v>480000</v>
      </c>
      <c r="N630">
        <f>Table_1[[#This Row],[Revenue]]-Table_1[[#This Row],[COGS]]</f>
        <v>120000</v>
      </c>
      <c r="O630" s="11">
        <f t="shared" si="64"/>
        <v>4656740000</v>
      </c>
      <c r="P630">
        <f t="shared" si="65"/>
        <v>3725392000</v>
      </c>
      <c r="Q630">
        <f t="shared" si="66"/>
        <v>931348000</v>
      </c>
      <c r="R630" s="7">
        <f t="shared" si="67"/>
        <v>2098</v>
      </c>
      <c r="S630" s="7">
        <f t="shared" si="68"/>
        <v>1</v>
      </c>
      <c r="T630" s="7">
        <f t="shared" si="69"/>
        <v>2098</v>
      </c>
    </row>
    <row r="631" spans="1:20" ht="14.25" customHeight="1" x14ac:dyDescent="0.35">
      <c r="A631" s="2" t="s">
        <v>139</v>
      </c>
      <c r="B631" s="2" t="s">
        <v>12</v>
      </c>
      <c r="C631" s="2" t="s">
        <v>13</v>
      </c>
      <c r="D631" s="2" t="s">
        <v>26</v>
      </c>
      <c r="E631" s="2" t="s">
        <v>22</v>
      </c>
      <c r="F631" s="2" t="s">
        <v>41</v>
      </c>
      <c r="G631" s="2" t="s">
        <v>17</v>
      </c>
      <c r="H631" s="2">
        <v>320000</v>
      </c>
      <c r="I631" s="2">
        <v>4</v>
      </c>
      <c r="J631" s="2" t="s">
        <v>18</v>
      </c>
      <c r="K631" s="2">
        <f t="shared" si="63"/>
        <v>256000</v>
      </c>
      <c r="L631" s="9">
        <f>Table_1[[#This Row],[Unit Price]]*Table_1[[#This Row],[Quantity]]</f>
        <v>1280000</v>
      </c>
      <c r="M631" s="8">
        <f>Table_1[[#This Row],[Cost Price]]*Table_1[[#This Row],[Quantity]]</f>
        <v>1024000</v>
      </c>
      <c r="N631">
        <f>Table_1[[#This Row],[Revenue]]-Table_1[[#This Row],[COGS]]</f>
        <v>256000</v>
      </c>
      <c r="O631" s="11">
        <f t="shared" si="64"/>
        <v>4656740000</v>
      </c>
      <c r="P631">
        <f t="shared" si="65"/>
        <v>3725392000</v>
      </c>
      <c r="Q631">
        <f t="shared" si="66"/>
        <v>931348000</v>
      </c>
      <c r="R631" s="7">
        <f t="shared" si="67"/>
        <v>2098</v>
      </c>
      <c r="S631" s="7">
        <f t="shared" si="68"/>
        <v>2</v>
      </c>
      <c r="T631" s="7">
        <f t="shared" si="69"/>
        <v>2098</v>
      </c>
    </row>
    <row r="632" spans="1:20" ht="14.25" customHeight="1" x14ac:dyDescent="0.35">
      <c r="A632" s="2" t="s">
        <v>104</v>
      </c>
      <c r="B632" s="2" t="s">
        <v>29</v>
      </c>
      <c r="C632" s="2" t="s">
        <v>21</v>
      </c>
      <c r="D632" s="2" t="s">
        <v>26</v>
      </c>
      <c r="E632" s="2" t="s">
        <v>15</v>
      </c>
      <c r="F632" s="2" t="s">
        <v>35</v>
      </c>
      <c r="G632" s="2" t="s">
        <v>36</v>
      </c>
      <c r="H632" s="2">
        <v>300000</v>
      </c>
      <c r="I632" s="2">
        <v>7</v>
      </c>
      <c r="J632" s="2" t="s">
        <v>50</v>
      </c>
      <c r="K632" s="2">
        <f t="shared" si="63"/>
        <v>240000</v>
      </c>
      <c r="L632" s="9">
        <f>Table_1[[#This Row],[Unit Price]]*Table_1[[#This Row],[Quantity]]</f>
        <v>2100000</v>
      </c>
      <c r="M632" s="8">
        <f>Table_1[[#This Row],[Cost Price]]*Table_1[[#This Row],[Quantity]]</f>
        <v>1680000</v>
      </c>
      <c r="N632">
        <f>Table_1[[#This Row],[Revenue]]-Table_1[[#This Row],[COGS]]</f>
        <v>420000</v>
      </c>
      <c r="O632" s="11">
        <f t="shared" si="64"/>
        <v>4656740000</v>
      </c>
      <c r="P632">
        <f t="shared" si="65"/>
        <v>3725392000</v>
      </c>
      <c r="Q632">
        <f t="shared" si="66"/>
        <v>931348000</v>
      </c>
      <c r="R632" s="7">
        <f t="shared" si="67"/>
        <v>2098</v>
      </c>
      <c r="S632" s="7">
        <f t="shared" si="68"/>
        <v>2</v>
      </c>
      <c r="T632" s="7">
        <f t="shared" si="69"/>
        <v>2098</v>
      </c>
    </row>
    <row r="633" spans="1:20" ht="14.25" customHeight="1" x14ac:dyDescent="0.35">
      <c r="A633" s="2" t="s">
        <v>70</v>
      </c>
      <c r="B633" s="2" t="s">
        <v>34</v>
      </c>
      <c r="C633" s="2" t="s">
        <v>13</v>
      </c>
      <c r="D633" s="2" t="s">
        <v>26</v>
      </c>
      <c r="E633" s="2" t="s">
        <v>22</v>
      </c>
      <c r="F633" s="2" t="s">
        <v>47</v>
      </c>
      <c r="G633" s="2" t="s">
        <v>36</v>
      </c>
      <c r="H633" s="2">
        <v>150000</v>
      </c>
      <c r="I633" s="2">
        <v>10</v>
      </c>
      <c r="J633" s="2" t="s">
        <v>18</v>
      </c>
      <c r="K633" s="2">
        <f t="shared" si="63"/>
        <v>120000</v>
      </c>
      <c r="L633" s="9">
        <f>Table_1[[#This Row],[Unit Price]]*Table_1[[#This Row],[Quantity]]</f>
        <v>1500000</v>
      </c>
      <c r="M633" s="8">
        <f>Table_1[[#This Row],[Cost Price]]*Table_1[[#This Row],[Quantity]]</f>
        <v>1200000</v>
      </c>
      <c r="N633">
        <f>Table_1[[#This Row],[Revenue]]-Table_1[[#This Row],[COGS]]</f>
        <v>300000</v>
      </c>
      <c r="O633" s="11">
        <f t="shared" si="64"/>
        <v>4656740000</v>
      </c>
      <c r="P633">
        <f t="shared" si="65"/>
        <v>3725392000</v>
      </c>
      <c r="Q633">
        <f t="shared" si="66"/>
        <v>931348000</v>
      </c>
      <c r="R633" s="7">
        <f t="shared" si="67"/>
        <v>2098</v>
      </c>
      <c r="S633" s="7">
        <f t="shared" si="68"/>
        <v>2</v>
      </c>
      <c r="T633" s="7">
        <f t="shared" si="69"/>
        <v>2098</v>
      </c>
    </row>
    <row r="634" spans="1:20" ht="14.25" customHeight="1" x14ac:dyDescent="0.35">
      <c r="A634" s="2" t="s">
        <v>44</v>
      </c>
      <c r="B634" s="2" t="s">
        <v>29</v>
      </c>
      <c r="C634" s="2" t="s">
        <v>21</v>
      </c>
      <c r="D634" s="2" t="s">
        <v>26</v>
      </c>
      <c r="E634" s="2" t="s">
        <v>15</v>
      </c>
      <c r="F634" s="2" t="s">
        <v>58</v>
      </c>
      <c r="G634" s="2" t="s">
        <v>24</v>
      </c>
      <c r="H634" s="2">
        <v>220000</v>
      </c>
      <c r="I634" s="2">
        <v>9</v>
      </c>
      <c r="J634" s="2" t="s">
        <v>18</v>
      </c>
      <c r="K634" s="2">
        <f t="shared" si="63"/>
        <v>176000</v>
      </c>
      <c r="L634" s="9">
        <f>Table_1[[#This Row],[Unit Price]]*Table_1[[#This Row],[Quantity]]</f>
        <v>1980000</v>
      </c>
      <c r="M634" s="8">
        <f>Table_1[[#This Row],[Cost Price]]*Table_1[[#This Row],[Quantity]]</f>
        <v>1584000</v>
      </c>
      <c r="N634">
        <f>Table_1[[#This Row],[Revenue]]-Table_1[[#This Row],[COGS]]</f>
        <v>396000</v>
      </c>
      <c r="O634" s="11">
        <f t="shared" si="64"/>
        <v>4656740000</v>
      </c>
      <c r="P634">
        <f t="shared" si="65"/>
        <v>3725392000</v>
      </c>
      <c r="Q634">
        <f t="shared" si="66"/>
        <v>931348000</v>
      </c>
      <c r="R634" s="7">
        <f t="shared" si="67"/>
        <v>2098</v>
      </c>
      <c r="S634" s="7">
        <f t="shared" si="68"/>
        <v>3</v>
      </c>
      <c r="T634" s="7">
        <f t="shared" si="69"/>
        <v>2098</v>
      </c>
    </row>
    <row r="635" spans="1:20" ht="14.25" customHeight="1" x14ac:dyDescent="0.35">
      <c r="A635" s="2" t="s">
        <v>71</v>
      </c>
      <c r="B635" s="2" t="s">
        <v>12</v>
      </c>
      <c r="C635" s="2" t="s">
        <v>38</v>
      </c>
      <c r="D635" s="2" t="s">
        <v>26</v>
      </c>
      <c r="E635" s="2" t="s">
        <v>22</v>
      </c>
      <c r="F635" s="2" t="s">
        <v>16</v>
      </c>
      <c r="G635" s="2" t="s">
        <v>17</v>
      </c>
      <c r="H635" s="2">
        <v>85000</v>
      </c>
      <c r="I635" s="2">
        <v>4</v>
      </c>
      <c r="J635" s="2" t="s">
        <v>32</v>
      </c>
      <c r="K635" s="2">
        <f t="shared" si="63"/>
        <v>68000</v>
      </c>
      <c r="L635" s="9">
        <f>Table_1[[#This Row],[Unit Price]]*Table_1[[#This Row],[Quantity]]</f>
        <v>340000</v>
      </c>
      <c r="M635" s="8">
        <f>Table_1[[#This Row],[Cost Price]]*Table_1[[#This Row],[Quantity]]</f>
        <v>272000</v>
      </c>
      <c r="N635">
        <f>Table_1[[#This Row],[Revenue]]-Table_1[[#This Row],[COGS]]</f>
        <v>68000</v>
      </c>
      <c r="O635" s="11">
        <f t="shared" si="64"/>
        <v>4656740000</v>
      </c>
      <c r="P635">
        <f t="shared" si="65"/>
        <v>3725392000</v>
      </c>
      <c r="Q635">
        <f t="shared" si="66"/>
        <v>931348000</v>
      </c>
      <c r="R635" s="7">
        <f t="shared" si="67"/>
        <v>2098</v>
      </c>
      <c r="S635" s="7">
        <f t="shared" si="68"/>
        <v>2</v>
      </c>
      <c r="T635" s="7">
        <f t="shared" si="69"/>
        <v>2098</v>
      </c>
    </row>
    <row r="636" spans="1:20" ht="14.25" customHeight="1" x14ac:dyDescent="0.35">
      <c r="A636" s="2" t="s">
        <v>102</v>
      </c>
      <c r="B636" s="2" t="s">
        <v>29</v>
      </c>
      <c r="C636" s="2" t="s">
        <v>30</v>
      </c>
      <c r="D636" s="2" t="s">
        <v>26</v>
      </c>
      <c r="E636" s="2" t="s">
        <v>15</v>
      </c>
      <c r="F636" s="2" t="s">
        <v>41</v>
      </c>
      <c r="G636" s="2" t="s">
        <v>17</v>
      </c>
      <c r="H636" s="2">
        <v>320000</v>
      </c>
      <c r="I636" s="2">
        <v>1</v>
      </c>
      <c r="J636" s="2" t="s">
        <v>54</v>
      </c>
      <c r="K636" s="2">
        <f t="shared" si="63"/>
        <v>256000</v>
      </c>
      <c r="L636" s="9">
        <f>Table_1[[#This Row],[Unit Price]]*Table_1[[#This Row],[Quantity]]</f>
        <v>320000</v>
      </c>
      <c r="M636" s="8">
        <f>Table_1[[#This Row],[Cost Price]]*Table_1[[#This Row],[Quantity]]</f>
        <v>256000</v>
      </c>
      <c r="N636">
        <f>Table_1[[#This Row],[Revenue]]-Table_1[[#This Row],[COGS]]</f>
        <v>64000</v>
      </c>
      <c r="O636" s="11">
        <f t="shared" si="64"/>
        <v>4656740000</v>
      </c>
      <c r="P636">
        <f t="shared" si="65"/>
        <v>3725392000</v>
      </c>
      <c r="Q636">
        <f t="shared" si="66"/>
        <v>931348000</v>
      </c>
      <c r="R636" s="7">
        <f t="shared" si="67"/>
        <v>2098</v>
      </c>
      <c r="S636" s="7">
        <f t="shared" si="68"/>
        <v>1</v>
      </c>
      <c r="T636" s="7">
        <f t="shared" si="69"/>
        <v>2098</v>
      </c>
    </row>
    <row r="637" spans="1:20" ht="14.25" customHeight="1" x14ac:dyDescent="0.35">
      <c r="A637" s="2" t="s">
        <v>48</v>
      </c>
      <c r="B637" s="2" t="s">
        <v>20</v>
      </c>
      <c r="C637" s="2" t="s">
        <v>38</v>
      </c>
      <c r="D637" s="2" t="s">
        <v>26</v>
      </c>
      <c r="E637" s="2" t="s">
        <v>22</v>
      </c>
      <c r="F637" s="2" t="s">
        <v>52</v>
      </c>
      <c r="G637" s="2" t="s">
        <v>36</v>
      </c>
      <c r="H637" s="2">
        <v>420000</v>
      </c>
      <c r="I637" s="2">
        <v>1</v>
      </c>
      <c r="J637" s="2" t="s">
        <v>43</v>
      </c>
      <c r="K637" s="2">
        <f t="shared" si="63"/>
        <v>336000</v>
      </c>
      <c r="L637" s="9">
        <f>Table_1[[#This Row],[Unit Price]]*Table_1[[#This Row],[Quantity]]</f>
        <v>420000</v>
      </c>
      <c r="M637" s="8">
        <f>Table_1[[#This Row],[Cost Price]]*Table_1[[#This Row],[Quantity]]</f>
        <v>336000</v>
      </c>
      <c r="N637">
        <f>Table_1[[#This Row],[Revenue]]-Table_1[[#This Row],[COGS]]</f>
        <v>84000</v>
      </c>
      <c r="O637" s="11">
        <f t="shared" si="64"/>
        <v>4656740000</v>
      </c>
      <c r="P637">
        <f t="shared" si="65"/>
        <v>3725392000</v>
      </c>
      <c r="Q637">
        <f t="shared" si="66"/>
        <v>931348000</v>
      </c>
      <c r="R637" s="7">
        <f t="shared" si="67"/>
        <v>2098</v>
      </c>
      <c r="S637" s="7">
        <f t="shared" si="68"/>
        <v>1</v>
      </c>
      <c r="T637" s="7">
        <f t="shared" si="69"/>
        <v>2098</v>
      </c>
    </row>
    <row r="638" spans="1:20" ht="14.25" customHeight="1" x14ac:dyDescent="0.35">
      <c r="A638" s="2" t="s">
        <v>19</v>
      </c>
      <c r="B638" s="2" t="s">
        <v>29</v>
      </c>
      <c r="C638" s="2" t="s">
        <v>30</v>
      </c>
      <c r="D638" s="2" t="s">
        <v>26</v>
      </c>
      <c r="E638" s="2" t="s">
        <v>22</v>
      </c>
      <c r="F638" s="2" t="s">
        <v>52</v>
      </c>
      <c r="G638" s="2" t="s">
        <v>36</v>
      </c>
      <c r="H638" s="2">
        <v>420000</v>
      </c>
      <c r="I638" s="2">
        <v>6</v>
      </c>
      <c r="J638" s="2" t="s">
        <v>27</v>
      </c>
      <c r="K638" s="2">
        <f t="shared" si="63"/>
        <v>336000</v>
      </c>
      <c r="L638" s="9">
        <f>Table_1[[#This Row],[Unit Price]]*Table_1[[#This Row],[Quantity]]</f>
        <v>2520000</v>
      </c>
      <c r="M638" s="8">
        <f>Table_1[[#This Row],[Cost Price]]*Table_1[[#This Row],[Quantity]]</f>
        <v>2016000</v>
      </c>
      <c r="N638">
        <f>Table_1[[#This Row],[Revenue]]-Table_1[[#This Row],[COGS]]</f>
        <v>504000</v>
      </c>
      <c r="O638" s="11">
        <f t="shared" si="64"/>
        <v>4656740000</v>
      </c>
      <c r="P638">
        <f t="shared" si="65"/>
        <v>3725392000</v>
      </c>
      <c r="Q638">
        <f t="shared" si="66"/>
        <v>931348000</v>
      </c>
      <c r="R638" s="7">
        <f t="shared" si="67"/>
        <v>2098</v>
      </c>
      <c r="S638" s="7">
        <f t="shared" si="68"/>
        <v>4</v>
      </c>
      <c r="T638" s="7">
        <f t="shared" si="69"/>
        <v>2098</v>
      </c>
    </row>
    <row r="639" spans="1:20" ht="14.25" customHeight="1" x14ac:dyDescent="0.35">
      <c r="A639" s="2" t="s">
        <v>121</v>
      </c>
      <c r="B639" s="2" t="s">
        <v>34</v>
      </c>
      <c r="C639" s="2" t="s">
        <v>21</v>
      </c>
      <c r="D639" s="2" t="s">
        <v>26</v>
      </c>
      <c r="E639" s="2" t="s">
        <v>15</v>
      </c>
      <c r="F639" s="2" t="s">
        <v>31</v>
      </c>
      <c r="G639" s="2" t="s">
        <v>24</v>
      </c>
      <c r="H639" s="2">
        <v>60000</v>
      </c>
      <c r="I639" s="2">
        <v>8</v>
      </c>
      <c r="J639" s="2" t="s">
        <v>50</v>
      </c>
      <c r="K639" s="2">
        <f t="shared" si="63"/>
        <v>48000</v>
      </c>
      <c r="L639" s="9">
        <f>Table_1[[#This Row],[Unit Price]]*Table_1[[#This Row],[Quantity]]</f>
        <v>480000</v>
      </c>
      <c r="M639" s="8">
        <f>Table_1[[#This Row],[Cost Price]]*Table_1[[#This Row],[Quantity]]</f>
        <v>384000</v>
      </c>
      <c r="N639">
        <f>Table_1[[#This Row],[Revenue]]-Table_1[[#This Row],[COGS]]</f>
        <v>96000</v>
      </c>
      <c r="O639" s="11">
        <f t="shared" si="64"/>
        <v>4656740000</v>
      </c>
      <c r="P639">
        <f t="shared" si="65"/>
        <v>3725392000</v>
      </c>
      <c r="Q639">
        <f t="shared" si="66"/>
        <v>931348000</v>
      </c>
      <c r="R639" s="7">
        <f t="shared" si="67"/>
        <v>2098</v>
      </c>
      <c r="S639" s="7">
        <f t="shared" si="68"/>
        <v>2</v>
      </c>
      <c r="T639" s="7">
        <f t="shared" si="69"/>
        <v>2098</v>
      </c>
    </row>
    <row r="640" spans="1:20" ht="14.25" customHeight="1" x14ac:dyDescent="0.35">
      <c r="A640" s="2" t="s">
        <v>124</v>
      </c>
      <c r="B640" s="2" t="s">
        <v>20</v>
      </c>
      <c r="C640" s="2" t="s">
        <v>13</v>
      </c>
      <c r="D640" s="2" t="s">
        <v>26</v>
      </c>
      <c r="E640" s="2" t="s">
        <v>22</v>
      </c>
      <c r="F640" s="2" t="s">
        <v>58</v>
      </c>
      <c r="G640" s="2" t="s">
        <v>24</v>
      </c>
      <c r="H640" s="2">
        <v>220000</v>
      </c>
      <c r="I640" s="2">
        <v>7</v>
      </c>
      <c r="J640" s="2" t="s">
        <v>18</v>
      </c>
      <c r="K640" s="2">
        <f t="shared" si="63"/>
        <v>176000</v>
      </c>
      <c r="L640" s="9">
        <f>Table_1[[#This Row],[Unit Price]]*Table_1[[#This Row],[Quantity]]</f>
        <v>1540000</v>
      </c>
      <c r="M640" s="8">
        <f>Table_1[[#This Row],[Cost Price]]*Table_1[[#This Row],[Quantity]]</f>
        <v>1232000</v>
      </c>
      <c r="N640">
        <f>Table_1[[#This Row],[Revenue]]-Table_1[[#This Row],[COGS]]</f>
        <v>308000</v>
      </c>
      <c r="O640" s="11">
        <f t="shared" si="64"/>
        <v>4656740000</v>
      </c>
      <c r="P640">
        <f t="shared" si="65"/>
        <v>3725392000</v>
      </c>
      <c r="Q640">
        <f t="shared" si="66"/>
        <v>931348000</v>
      </c>
      <c r="R640" s="7">
        <f t="shared" si="67"/>
        <v>2098</v>
      </c>
      <c r="S640" s="7">
        <f t="shared" si="68"/>
        <v>1</v>
      </c>
      <c r="T640" s="7">
        <f t="shared" si="69"/>
        <v>2098</v>
      </c>
    </row>
    <row r="641" spans="1:20" ht="14.25" customHeight="1" x14ac:dyDescent="0.35">
      <c r="A641" s="2" t="s">
        <v>62</v>
      </c>
      <c r="B641" s="2" t="s">
        <v>29</v>
      </c>
      <c r="C641" s="2" t="s">
        <v>13</v>
      </c>
      <c r="D641" s="2" t="s">
        <v>26</v>
      </c>
      <c r="E641" s="2" t="s">
        <v>15</v>
      </c>
      <c r="F641" s="2" t="s">
        <v>41</v>
      </c>
      <c r="G641" s="2" t="s">
        <v>17</v>
      </c>
      <c r="H641" s="2">
        <v>320000</v>
      </c>
      <c r="I641" s="2">
        <v>9</v>
      </c>
      <c r="J641" s="2" t="s">
        <v>43</v>
      </c>
      <c r="K641" s="2">
        <f t="shared" si="63"/>
        <v>256000</v>
      </c>
      <c r="L641" s="9">
        <f>Table_1[[#This Row],[Unit Price]]*Table_1[[#This Row],[Quantity]]</f>
        <v>2880000</v>
      </c>
      <c r="M641" s="8">
        <f>Table_1[[#This Row],[Cost Price]]*Table_1[[#This Row],[Quantity]]</f>
        <v>2304000</v>
      </c>
      <c r="N641">
        <f>Table_1[[#This Row],[Revenue]]-Table_1[[#This Row],[COGS]]</f>
        <v>576000</v>
      </c>
      <c r="O641" s="11">
        <f t="shared" si="64"/>
        <v>4656740000</v>
      </c>
      <c r="P641">
        <f t="shared" si="65"/>
        <v>3725392000</v>
      </c>
      <c r="Q641">
        <f t="shared" si="66"/>
        <v>931348000</v>
      </c>
      <c r="R641" s="7">
        <f t="shared" si="67"/>
        <v>2098</v>
      </c>
      <c r="S641" s="7">
        <f t="shared" si="68"/>
        <v>4</v>
      </c>
      <c r="T641" s="7">
        <f t="shared" si="69"/>
        <v>2098</v>
      </c>
    </row>
    <row r="642" spans="1:20" ht="14.25" customHeight="1" x14ac:dyDescent="0.35">
      <c r="A642" s="2" t="s">
        <v>80</v>
      </c>
      <c r="B642" s="2" t="s">
        <v>12</v>
      </c>
      <c r="C642" s="2" t="s">
        <v>38</v>
      </c>
      <c r="D642" s="2" t="s">
        <v>26</v>
      </c>
      <c r="E642" s="2" t="s">
        <v>22</v>
      </c>
      <c r="F642" s="2" t="s">
        <v>35</v>
      </c>
      <c r="G642" s="2" t="s">
        <v>36</v>
      </c>
      <c r="H642" s="2">
        <v>300000</v>
      </c>
      <c r="I642" s="2">
        <v>2</v>
      </c>
      <c r="J642" s="2" t="s">
        <v>50</v>
      </c>
      <c r="K642" s="2">
        <f t="shared" ref="K642:K705" si="70">H642-H642*0.2</f>
        <v>240000</v>
      </c>
      <c r="L642" s="9">
        <f>Table_1[[#This Row],[Unit Price]]*Table_1[[#This Row],[Quantity]]</f>
        <v>600000</v>
      </c>
      <c r="M642" s="8">
        <f>Table_1[[#This Row],[Cost Price]]*Table_1[[#This Row],[Quantity]]</f>
        <v>480000</v>
      </c>
      <c r="N642">
        <f>Table_1[[#This Row],[Revenue]]-Table_1[[#This Row],[COGS]]</f>
        <v>120000</v>
      </c>
      <c r="O642" s="11">
        <f t="shared" ref="O642:O705" si="71">SUM(L$2:L$1048576)</f>
        <v>4656740000</v>
      </c>
      <c r="P642">
        <f t="shared" ref="P642:P705" si="72">SUM(M:M)</f>
        <v>3725392000</v>
      </c>
      <c r="Q642">
        <f t="shared" ref="Q642:Q705" si="73">SUM(N:N)</f>
        <v>931348000</v>
      </c>
      <c r="R642" s="7">
        <f t="shared" ref="R642:R705" si="74">COUNTA(A$2:A$1048576)</f>
        <v>2098</v>
      </c>
      <c r="S642" s="7">
        <f t="shared" ref="S642:S705" si="75">MONTH(A642:A2130)</f>
        <v>2</v>
      </c>
      <c r="T642" s="7">
        <f t="shared" ref="T642:T705" si="76">COUNTA(A:A)-1</f>
        <v>2098</v>
      </c>
    </row>
    <row r="643" spans="1:20" ht="14.25" customHeight="1" x14ac:dyDescent="0.35">
      <c r="A643" s="2" t="s">
        <v>49</v>
      </c>
      <c r="B643" s="2" t="s">
        <v>29</v>
      </c>
      <c r="C643" s="2" t="s">
        <v>13</v>
      </c>
      <c r="D643" s="2" t="s">
        <v>26</v>
      </c>
      <c r="E643" s="2" t="s">
        <v>15</v>
      </c>
      <c r="F643" s="2" t="s">
        <v>56</v>
      </c>
      <c r="G643" s="2" t="s">
        <v>36</v>
      </c>
      <c r="H643" s="2">
        <v>250000</v>
      </c>
      <c r="I643" s="2">
        <v>4</v>
      </c>
      <c r="J643" s="2" t="s">
        <v>50</v>
      </c>
      <c r="K643" s="2">
        <f t="shared" si="70"/>
        <v>200000</v>
      </c>
      <c r="L643" s="9">
        <f>Table_1[[#This Row],[Unit Price]]*Table_1[[#This Row],[Quantity]]</f>
        <v>1000000</v>
      </c>
      <c r="M643" s="8">
        <f>Table_1[[#This Row],[Cost Price]]*Table_1[[#This Row],[Quantity]]</f>
        <v>800000</v>
      </c>
      <c r="N643">
        <f>Table_1[[#This Row],[Revenue]]-Table_1[[#This Row],[COGS]]</f>
        <v>200000</v>
      </c>
      <c r="O643" s="11">
        <f t="shared" si="71"/>
        <v>4656740000</v>
      </c>
      <c r="P643">
        <f t="shared" si="72"/>
        <v>3725392000</v>
      </c>
      <c r="Q643">
        <f t="shared" si="73"/>
        <v>931348000</v>
      </c>
      <c r="R643" s="7">
        <f t="shared" si="74"/>
        <v>2098</v>
      </c>
      <c r="S643" s="7">
        <f t="shared" si="75"/>
        <v>4</v>
      </c>
      <c r="T643" s="7">
        <f t="shared" si="76"/>
        <v>2098</v>
      </c>
    </row>
    <row r="644" spans="1:20" ht="14.25" customHeight="1" x14ac:dyDescent="0.35">
      <c r="A644" s="2" t="s">
        <v>71</v>
      </c>
      <c r="B644" s="2" t="s">
        <v>34</v>
      </c>
      <c r="C644" s="2" t="s">
        <v>21</v>
      </c>
      <c r="D644" s="2" t="s">
        <v>14</v>
      </c>
      <c r="E644" s="2" t="s">
        <v>15</v>
      </c>
      <c r="F644" s="2" t="s">
        <v>23</v>
      </c>
      <c r="G644" s="2" t="s">
        <v>24</v>
      </c>
      <c r="H644" s="2">
        <v>30000</v>
      </c>
      <c r="I644" s="2">
        <v>4</v>
      </c>
      <c r="J644" s="2" t="s">
        <v>50</v>
      </c>
      <c r="K644" s="2">
        <f t="shared" si="70"/>
        <v>24000</v>
      </c>
      <c r="L644" s="9">
        <f>Table_1[[#This Row],[Unit Price]]*Table_1[[#This Row],[Quantity]]</f>
        <v>120000</v>
      </c>
      <c r="M644" s="8">
        <f>Table_1[[#This Row],[Cost Price]]*Table_1[[#This Row],[Quantity]]</f>
        <v>96000</v>
      </c>
      <c r="N644">
        <f>Table_1[[#This Row],[Revenue]]-Table_1[[#This Row],[COGS]]</f>
        <v>24000</v>
      </c>
      <c r="O644" s="11">
        <f t="shared" si="71"/>
        <v>4656740000</v>
      </c>
      <c r="P644">
        <f t="shared" si="72"/>
        <v>3725392000</v>
      </c>
      <c r="Q644">
        <f t="shared" si="73"/>
        <v>931348000</v>
      </c>
      <c r="R644" s="7">
        <f t="shared" si="74"/>
        <v>2098</v>
      </c>
      <c r="S644" s="7">
        <f t="shared" si="75"/>
        <v>2</v>
      </c>
      <c r="T644" s="7">
        <f t="shared" si="76"/>
        <v>2098</v>
      </c>
    </row>
    <row r="645" spans="1:20" ht="14.25" customHeight="1" x14ac:dyDescent="0.35">
      <c r="A645" s="2" t="s">
        <v>144</v>
      </c>
      <c r="B645" s="2" t="s">
        <v>12</v>
      </c>
      <c r="C645" s="2" t="s">
        <v>21</v>
      </c>
      <c r="D645" s="2" t="s">
        <v>14</v>
      </c>
      <c r="E645" s="2" t="s">
        <v>22</v>
      </c>
      <c r="F645" s="2" t="s">
        <v>58</v>
      </c>
      <c r="G645" s="2" t="s">
        <v>24</v>
      </c>
      <c r="H645" s="2">
        <v>220000</v>
      </c>
      <c r="I645" s="2">
        <v>4</v>
      </c>
      <c r="J645" s="2" t="s">
        <v>18</v>
      </c>
      <c r="K645" s="2">
        <f t="shared" si="70"/>
        <v>176000</v>
      </c>
      <c r="L645" s="9">
        <f>Table_1[[#This Row],[Unit Price]]*Table_1[[#This Row],[Quantity]]</f>
        <v>880000</v>
      </c>
      <c r="M645" s="8">
        <f>Table_1[[#This Row],[Cost Price]]*Table_1[[#This Row],[Quantity]]</f>
        <v>704000</v>
      </c>
      <c r="N645">
        <f>Table_1[[#This Row],[Revenue]]-Table_1[[#This Row],[COGS]]</f>
        <v>176000</v>
      </c>
      <c r="O645" s="11">
        <f t="shared" si="71"/>
        <v>4656740000</v>
      </c>
      <c r="P645">
        <f t="shared" si="72"/>
        <v>3725392000</v>
      </c>
      <c r="Q645">
        <f t="shared" si="73"/>
        <v>931348000</v>
      </c>
      <c r="R645" s="7">
        <f t="shared" si="74"/>
        <v>2098</v>
      </c>
      <c r="S645" s="7">
        <f t="shared" si="75"/>
        <v>2</v>
      </c>
      <c r="T645" s="7">
        <f t="shared" si="76"/>
        <v>2098</v>
      </c>
    </row>
    <row r="646" spans="1:20" ht="14.25" customHeight="1" x14ac:dyDescent="0.35">
      <c r="A646" s="2" t="s">
        <v>37</v>
      </c>
      <c r="B646" s="2" t="s">
        <v>34</v>
      </c>
      <c r="C646" s="2" t="s">
        <v>38</v>
      </c>
      <c r="D646" s="2" t="s">
        <v>14</v>
      </c>
      <c r="E646" s="2" t="s">
        <v>22</v>
      </c>
      <c r="F646" s="2" t="s">
        <v>35</v>
      </c>
      <c r="G646" s="2" t="s">
        <v>36</v>
      </c>
      <c r="H646" s="2">
        <v>300000</v>
      </c>
      <c r="I646" s="2">
        <v>2</v>
      </c>
      <c r="J646" s="2" t="s">
        <v>50</v>
      </c>
      <c r="K646" s="2">
        <f t="shared" si="70"/>
        <v>240000</v>
      </c>
      <c r="L646" s="9">
        <f>Table_1[[#This Row],[Unit Price]]*Table_1[[#This Row],[Quantity]]</f>
        <v>600000</v>
      </c>
      <c r="M646" s="8">
        <f>Table_1[[#This Row],[Cost Price]]*Table_1[[#This Row],[Quantity]]</f>
        <v>480000</v>
      </c>
      <c r="N646">
        <f>Table_1[[#This Row],[Revenue]]-Table_1[[#This Row],[COGS]]</f>
        <v>120000</v>
      </c>
      <c r="O646" s="11">
        <f t="shared" si="71"/>
        <v>4656740000</v>
      </c>
      <c r="P646">
        <f t="shared" si="72"/>
        <v>3725392000</v>
      </c>
      <c r="Q646">
        <f t="shared" si="73"/>
        <v>931348000</v>
      </c>
      <c r="R646" s="7">
        <f t="shared" si="74"/>
        <v>2098</v>
      </c>
      <c r="S646" s="7">
        <f t="shared" si="75"/>
        <v>3</v>
      </c>
      <c r="T646" s="7">
        <f t="shared" si="76"/>
        <v>2098</v>
      </c>
    </row>
    <row r="647" spans="1:20" ht="14.25" customHeight="1" x14ac:dyDescent="0.35">
      <c r="A647" s="2" t="s">
        <v>87</v>
      </c>
      <c r="B647" s="2" t="s">
        <v>29</v>
      </c>
      <c r="C647" s="2" t="s">
        <v>21</v>
      </c>
      <c r="D647" s="2" t="s">
        <v>14</v>
      </c>
      <c r="E647" s="2" t="s">
        <v>15</v>
      </c>
      <c r="F647" s="2" t="s">
        <v>41</v>
      </c>
      <c r="G647" s="2" t="s">
        <v>17</v>
      </c>
      <c r="H647" s="2">
        <v>320000</v>
      </c>
      <c r="I647" s="2">
        <v>7</v>
      </c>
      <c r="J647" s="2" t="s">
        <v>27</v>
      </c>
      <c r="K647" s="2">
        <f t="shared" si="70"/>
        <v>256000</v>
      </c>
      <c r="L647" s="9">
        <f>Table_1[[#This Row],[Unit Price]]*Table_1[[#This Row],[Quantity]]</f>
        <v>2240000</v>
      </c>
      <c r="M647" s="8">
        <f>Table_1[[#This Row],[Cost Price]]*Table_1[[#This Row],[Quantity]]</f>
        <v>1792000</v>
      </c>
      <c r="N647">
        <f>Table_1[[#This Row],[Revenue]]-Table_1[[#This Row],[COGS]]</f>
        <v>448000</v>
      </c>
      <c r="O647" s="11">
        <f t="shared" si="71"/>
        <v>4656740000</v>
      </c>
      <c r="P647">
        <f t="shared" si="72"/>
        <v>3725392000</v>
      </c>
      <c r="Q647">
        <f t="shared" si="73"/>
        <v>931348000</v>
      </c>
      <c r="R647" s="7">
        <f t="shared" si="74"/>
        <v>2098</v>
      </c>
      <c r="S647" s="7">
        <f t="shared" si="75"/>
        <v>3</v>
      </c>
      <c r="T647" s="7">
        <f t="shared" si="76"/>
        <v>2098</v>
      </c>
    </row>
    <row r="648" spans="1:20" ht="14.25" customHeight="1" x14ac:dyDescent="0.35">
      <c r="A648" s="2" t="s">
        <v>158</v>
      </c>
      <c r="B648" s="2" t="s">
        <v>20</v>
      </c>
      <c r="C648" s="2" t="s">
        <v>38</v>
      </c>
      <c r="D648" s="2" t="s">
        <v>26</v>
      </c>
      <c r="E648" s="2" t="s">
        <v>15</v>
      </c>
      <c r="F648" s="2" t="s">
        <v>31</v>
      </c>
      <c r="G648" s="2" t="s">
        <v>24</v>
      </c>
      <c r="H648" s="2">
        <v>60000</v>
      </c>
      <c r="I648" s="2">
        <v>5</v>
      </c>
      <c r="J648" s="2" t="s">
        <v>32</v>
      </c>
      <c r="K648" s="2">
        <f t="shared" si="70"/>
        <v>48000</v>
      </c>
      <c r="L648" s="9">
        <f>Table_1[[#This Row],[Unit Price]]*Table_1[[#This Row],[Quantity]]</f>
        <v>300000</v>
      </c>
      <c r="M648" s="8">
        <f>Table_1[[#This Row],[Cost Price]]*Table_1[[#This Row],[Quantity]]</f>
        <v>240000</v>
      </c>
      <c r="N648">
        <f>Table_1[[#This Row],[Revenue]]-Table_1[[#This Row],[COGS]]</f>
        <v>60000</v>
      </c>
      <c r="O648" s="11">
        <f t="shared" si="71"/>
        <v>4656740000</v>
      </c>
      <c r="P648">
        <f t="shared" si="72"/>
        <v>3725392000</v>
      </c>
      <c r="Q648">
        <f t="shared" si="73"/>
        <v>931348000</v>
      </c>
      <c r="R648" s="7">
        <f t="shared" si="74"/>
        <v>2098</v>
      </c>
      <c r="S648" s="7">
        <f t="shared" si="75"/>
        <v>3</v>
      </c>
      <c r="T648" s="7">
        <f t="shared" si="76"/>
        <v>2098</v>
      </c>
    </row>
    <row r="649" spans="1:20" ht="14.25" customHeight="1" x14ac:dyDescent="0.35">
      <c r="A649" s="2" t="s">
        <v>65</v>
      </c>
      <c r="B649" s="2" t="s">
        <v>29</v>
      </c>
      <c r="C649" s="2" t="s">
        <v>30</v>
      </c>
      <c r="D649" s="2" t="s">
        <v>14</v>
      </c>
      <c r="E649" s="2" t="s">
        <v>15</v>
      </c>
      <c r="F649" s="2" t="s">
        <v>16</v>
      </c>
      <c r="G649" s="2" t="s">
        <v>17</v>
      </c>
      <c r="H649" s="2">
        <v>85000</v>
      </c>
      <c r="I649" s="2">
        <v>7</v>
      </c>
      <c r="J649" s="2" t="s">
        <v>43</v>
      </c>
      <c r="K649" s="2">
        <f t="shared" si="70"/>
        <v>68000</v>
      </c>
      <c r="L649" s="9">
        <f>Table_1[[#This Row],[Unit Price]]*Table_1[[#This Row],[Quantity]]</f>
        <v>595000</v>
      </c>
      <c r="M649" s="8">
        <f>Table_1[[#This Row],[Cost Price]]*Table_1[[#This Row],[Quantity]]</f>
        <v>476000</v>
      </c>
      <c r="N649">
        <f>Table_1[[#This Row],[Revenue]]-Table_1[[#This Row],[COGS]]</f>
        <v>119000</v>
      </c>
      <c r="O649" s="11">
        <f t="shared" si="71"/>
        <v>4656740000</v>
      </c>
      <c r="P649">
        <f t="shared" si="72"/>
        <v>3725392000</v>
      </c>
      <c r="Q649">
        <f t="shared" si="73"/>
        <v>931348000</v>
      </c>
      <c r="R649" s="7">
        <f t="shared" si="74"/>
        <v>2098</v>
      </c>
      <c r="S649" s="7">
        <f t="shared" si="75"/>
        <v>2</v>
      </c>
      <c r="T649" s="7">
        <f t="shared" si="76"/>
        <v>2098</v>
      </c>
    </row>
    <row r="650" spans="1:20" ht="14.25" customHeight="1" x14ac:dyDescent="0.35">
      <c r="A650" s="2" t="s">
        <v>87</v>
      </c>
      <c r="B650" s="2" t="s">
        <v>12</v>
      </c>
      <c r="C650" s="2" t="s">
        <v>21</v>
      </c>
      <c r="D650" s="2" t="s">
        <v>14</v>
      </c>
      <c r="E650" s="2" t="s">
        <v>22</v>
      </c>
      <c r="F650" s="2" t="s">
        <v>35</v>
      </c>
      <c r="G650" s="2" t="s">
        <v>36</v>
      </c>
      <c r="H650" s="2">
        <v>300000</v>
      </c>
      <c r="I650" s="2">
        <v>6</v>
      </c>
      <c r="J650" s="2" t="s">
        <v>54</v>
      </c>
      <c r="K650" s="2">
        <f t="shared" si="70"/>
        <v>240000</v>
      </c>
      <c r="L650" s="9">
        <f>Table_1[[#This Row],[Unit Price]]*Table_1[[#This Row],[Quantity]]</f>
        <v>1800000</v>
      </c>
      <c r="M650" s="8">
        <f>Table_1[[#This Row],[Cost Price]]*Table_1[[#This Row],[Quantity]]</f>
        <v>1440000</v>
      </c>
      <c r="N650">
        <f>Table_1[[#This Row],[Revenue]]-Table_1[[#This Row],[COGS]]</f>
        <v>360000</v>
      </c>
      <c r="O650" s="11">
        <f t="shared" si="71"/>
        <v>4656740000</v>
      </c>
      <c r="P650">
        <f t="shared" si="72"/>
        <v>3725392000</v>
      </c>
      <c r="Q650">
        <f t="shared" si="73"/>
        <v>931348000</v>
      </c>
      <c r="R650" s="7">
        <f t="shared" si="74"/>
        <v>2098</v>
      </c>
      <c r="S650" s="7">
        <f t="shared" si="75"/>
        <v>3</v>
      </c>
      <c r="T650" s="7">
        <f t="shared" si="76"/>
        <v>2098</v>
      </c>
    </row>
    <row r="651" spans="1:20" ht="14.25" customHeight="1" x14ac:dyDescent="0.35">
      <c r="A651" s="2" t="s">
        <v>90</v>
      </c>
      <c r="B651" s="2" t="s">
        <v>20</v>
      </c>
      <c r="C651" s="2" t="s">
        <v>30</v>
      </c>
      <c r="D651" s="2" t="s">
        <v>26</v>
      </c>
      <c r="E651" s="2" t="s">
        <v>15</v>
      </c>
      <c r="F651" s="2" t="s">
        <v>39</v>
      </c>
      <c r="G651" s="2" t="s">
        <v>24</v>
      </c>
      <c r="H651" s="2">
        <v>180000</v>
      </c>
      <c r="I651" s="2">
        <v>5</v>
      </c>
      <c r="J651" s="2" t="s">
        <v>32</v>
      </c>
      <c r="K651" s="2">
        <f t="shared" si="70"/>
        <v>144000</v>
      </c>
      <c r="L651" s="9">
        <f>Table_1[[#This Row],[Unit Price]]*Table_1[[#This Row],[Quantity]]</f>
        <v>900000</v>
      </c>
      <c r="M651" s="8">
        <f>Table_1[[#This Row],[Cost Price]]*Table_1[[#This Row],[Quantity]]</f>
        <v>720000</v>
      </c>
      <c r="N651">
        <f>Table_1[[#This Row],[Revenue]]-Table_1[[#This Row],[COGS]]</f>
        <v>180000</v>
      </c>
      <c r="O651" s="11">
        <f t="shared" si="71"/>
        <v>4656740000</v>
      </c>
      <c r="P651">
        <f t="shared" si="72"/>
        <v>3725392000</v>
      </c>
      <c r="Q651">
        <f t="shared" si="73"/>
        <v>931348000</v>
      </c>
      <c r="R651" s="7">
        <f t="shared" si="74"/>
        <v>2098</v>
      </c>
      <c r="S651" s="7">
        <f t="shared" si="75"/>
        <v>3</v>
      </c>
      <c r="T651" s="7">
        <f t="shared" si="76"/>
        <v>2098</v>
      </c>
    </row>
    <row r="652" spans="1:20" ht="14.25" customHeight="1" x14ac:dyDescent="0.35">
      <c r="A652" s="2" t="s">
        <v>122</v>
      </c>
      <c r="B652" s="2" t="s">
        <v>20</v>
      </c>
      <c r="C652" s="2" t="s">
        <v>21</v>
      </c>
      <c r="D652" s="2" t="s">
        <v>26</v>
      </c>
      <c r="E652" s="2" t="s">
        <v>22</v>
      </c>
      <c r="F652" s="2" t="s">
        <v>35</v>
      </c>
      <c r="G652" s="2" t="s">
        <v>36</v>
      </c>
      <c r="H652" s="2">
        <v>300000</v>
      </c>
      <c r="I652" s="2">
        <v>1</v>
      </c>
      <c r="J652" s="2" t="s">
        <v>50</v>
      </c>
      <c r="K652" s="2">
        <f t="shared" si="70"/>
        <v>240000</v>
      </c>
      <c r="L652" s="9">
        <f>Table_1[[#This Row],[Unit Price]]*Table_1[[#This Row],[Quantity]]</f>
        <v>300000</v>
      </c>
      <c r="M652" s="8">
        <f>Table_1[[#This Row],[Cost Price]]*Table_1[[#This Row],[Quantity]]</f>
        <v>240000</v>
      </c>
      <c r="N652">
        <f>Table_1[[#This Row],[Revenue]]-Table_1[[#This Row],[COGS]]</f>
        <v>60000</v>
      </c>
      <c r="O652" s="11">
        <f t="shared" si="71"/>
        <v>4656740000</v>
      </c>
      <c r="P652">
        <f t="shared" si="72"/>
        <v>3725392000</v>
      </c>
      <c r="Q652">
        <f t="shared" si="73"/>
        <v>931348000</v>
      </c>
      <c r="R652" s="7">
        <f t="shared" si="74"/>
        <v>2098</v>
      </c>
      <c r="S652" s="7">
        <f t="shared" si="75"/>
        <v>4</v>
      </c>
      <c r="T652" s="7">
        <f t="shared" si="76"/>
        <v>2098</v>
      </c>
    </row>
    <row r="653" spans="1:20" ht="14.25" customHeight="1" x14ac:dyDescent="0.35">
      <c r="A653" s="2" t="s">
        <v>45</v>
      </c>
      <c r="B653" s="2" t="s">
        <v>12</v>
      </c>
      <c r="C653" s="2" t="s">
        <v>13</v>
      </c>
      <c r="D653" s="2" t="s">
        <v>14</v>
      </c>
      <c r="E653" s="2" t="s">
        <v>22</v>
      </c>
      <c r="F653" s="2" t="s">
        <v>31</v>
      </c>
      <c r="G653" s="2" t="s">
        <v>24</v>
      </c>
      <c r="H653" s="2">
        <v>60000</v>
      </c>
      <c r="I653" s="2">
        <v>7</v>
      </c>
      <c r="J653" s="2" t="s">
        <v>27</v>
      </c>
      <c r="K653" s="2">
        <f t="shared" si="70"/>
        <v>48000</v>
      </c>
      <c r="L653" s="9">
        <f>Table_1[[#This Row],[Unit Price]]*Table_1[[#This Row],[Quantity]]</f>
        <v>420000</v>
      </c>
      <c r="M653" s="8">
        <f>Table_1[[#This Row],[Cost Price]]*Table_1[[#This Row],[Quantity]]</f>
        <v>336000</v>
      </c>
      <c r="N653">
        <f>Table_1[[#This Row],[Revenue]]-Table_1[[#This Row],[COGS]]</f>
        <v>84000</v>
      </c>
      <c r="O653" s="11">
        <f t="shared" si="71"/>
        <v>4656740000</v>
      </c>
      <c r="P653">
        <f t="shared" si="72"/>
        <v>3725392000</v>
      </c>
      <c r="Q653">
        <f t="shared" si="73"/>
        <v>931348000</v>
      </c>
      <c r="R653" s="7">
        <f t="shared" si="74"/>
        <v>2098</v>
      </c>
      <c r="S653" s="7">
        <f t="shared" si="75"/>
        <v>3</v>
      </c>
      <c r="T653" s="7">
        <f t="shared" si="76"/>
        <v>2098</v>
      </c>
    </row>
    <row r="654" spans="1:20" ht="14.25" customHeight="1" x14ac:dyDescent="0.35">
      <c r="A654" s="2" t="s">
        <v>155</v>
      </c>
      <c r="B654" s="2" t="s">
        <v>29</v>
      </c>
      <c r="C654" s="2" t="s">
        <v>30</v>
      </c>
      <c r="D654" s="2" t="s">
        <v>14</v>
      </c>
      <c r="E654" s="2" t="s">
        <v>15</v>
      </c>
      <c r="F654" s="2" t="s">
        <v>23</v>
      </c>
      <c r="G654" s="2" t="s">
        <v>24</v>
      </c>
      <c r="H654" s="2">
        <v>30000</v>
      </c>
      <c r="I654" s="2">
        <v>8</v>
      </c>
      <c r="J654" s="2" t="s">
        <v>32</v>
      </c>
      <c r="K654" s="2">
        <f t="shared" si="70"/>
        <v>24000</v>
      </c>
      <c r="L654" s="9">
        <f>Table_1[[#This Row],[Unit Price]]*Table_1[[#This Row],[Quantity]]</f>
        <v>240000</v>
      </c>
      <c r="M654" s="8">
        <f>Table_1[[#This Row],[Cost Price]]*Table_1[[#This Row],[Quantity]]</f>
        <v>192000</v>
      </c>
      <c r="N654">
        <f>Table_1[[#This Row],[Revenue]]-Table_1[[#This Row],[COGS]]</f>
        <v>48000</v>
      </c>
      <c r="O654" s="11">
        <f t="shared" si="71"/>
        <v>4656740000</v>
      </c>
      <c r="P654">
        <f t="shared" si="72"/>
        <v>3725392000</v>
      </c>
      <c r="Q654">
        <f t="shared" si="73"/>
        <v>931348000</v>
      </c>
      <c r="R654" s="7">
        <f t="shared" si="74"/>
        <v>2098</v>
      </c>
      <c r="S654" s="7">
        <f t="shared" si="75"/>
        <v>1</v>
      </c>
      <c r="T654" s="7">
        <f t="shared" si="76"/>
        <v>2098</v>
      </c>
    </row>
    <row r="655" spans="1:20" ht="14.25" customHeight="1" x14ac:dyDescent="0.35">
      <c r="A655" s="2" t="s">
        <v>142</v>
      </c>
      <c r="B655" s="2" t="s">
        <v>12</v>
      </c>
      <c r="C655" s="2" t="s">
        <v>21</v>
      </c>
      <c r="D655" s="2" t="s">
        <v>26</v>
      </c>
      <c r="E655" s="2" t="s">
        <v>15</v>
      </c>
      <c r="F655" s="2" t="s">
        <v>58</v>
      </c>
      <c r="G655" s="2" t="s">
        <v>24</v>
      </c>
      <c r="H655" s="2">
        <v>220000</v>
      </c>
      <c r="I655" s="2">
        <v>3</v>
      </c>
      <c r="J655" s="2" t="s">
        <v>43</v>
      </c>
      <c r="K655" s="2">
        <f t="shared" si="70"/>
        <v>176000</v>
      </c>
      <c r="L655" s="9">
        <f>Table_1[[#This Row],[Unit Price]]*Table_1[[#This Row],[Quantity]]</f>
        <v>660000</v>
      </c>
      <c r="M655" s="8">
        <f>Table_1[[#This Row],[Cost Price]]*Table_1[[#This Row],[Quantity]]</f>
        <v>528000</v>
      </c>
      <c r="N655">
        <f>Table_1[[#This Row],[Revenue]]-Table_1[[#This Row],[COGS]]</f>
        <v>132000</v>
      </c>
      <c r="O655" s="11">
        <f t="shared" si="71"/>
        <v>4656740000</v>
      </c>
      <c r="P655">
        <f t="shared" si="72"/>
        <v>3725392000</v>
      </c>
      <c r="Q655">
        <f t="shared" si="73"/>
        <v>931348000</v>
      </c>
      <c r="R655" s="7">
        <f t="shared" si="74"/>
        <v>2098</v>
      </c>
      <c r="S655" s="7">
        <f t="shared" si="75"/>
        <v>4</v>
      </c>
      <c r="T655" s="7">
        <f t="shared" si="76"/>
        <v>2098</v>
      </c>
    </row>
    <row r="656" spans="1:20" ht="14.25" customHeight="1" x14ac:dyDescent="0.35">
      <c r="A656" s="2" t="s">
        <v>84</v>
      </c>
      <c r="B656" s="2" t="s">
        <v>29</v>
      </c>
      <c r="C656" s="2" t="s">
        <v>21</v>
      </c>
      <c r="D656" s="2" t="s">
        <v>26</v>
      </c>
      <c r="E656" s="2" t="s">
        <v>15</v>
      </c>
      <c r="F656" s="2" t="s">
        <v>58</v>
      </c>
      <c r="G656" s="2" t="s">
        <v>24</v>
      </c>
      <c r="H656" s="2">
        <v>220000</v>
      </c>
      <c r="I656" s="2">
        <v>7</v>
      </c>
      <c r="J656" s="2" t="s">
        <v>43</v>
      </c>
      <c r="K656" s="2">
        <f t="shared" si="70"/>
        <v>176000</v>
      </c>
      <c r="L656" s="9">
        <f>Table_1[[#This Row],[Unit Price]]*Table_1[[#This Row],[Quantity]]</f>
        <v>1540000</v>
      </c>
      <c r="M656" s="8">
        <f>Table_1[[#This Row],[Cost Price]]*Table_1[[#This Row],[Quantity]]</f>
        <v>1232000</v>
      </c>
      <c r="N656">
        <f>Table_1[[#This Row],[Revenue]]-Table_1[[#This Row],[COGS]]</f>
        <v>308000</v>
      </c>
      <c r="O656" s="11">
        <f t="shared" si="71"/>
        <v>4656740000</v>
      </c>
      <c r="P656">
        <f t="shared" si="72"/>
        <v>3725392000</v>
      </c>
      <c r="Q656">
        <f t="shared" si="73"/>
        <v>931348000</v>
      </c>
      <c r="R656" s="7">
        <f t="shared" si="74"/>
        <v>2098</v>
      </c>
      <c r="S656" s="7">
        <f t="shared" si="75"/>
        <v>4</v>
      </c>
      <c r="T656" s="7">
        <f t="shared" si="76"/>
        <v>2098</v>
      </c>
    </row>
    <row r="657" spans="1:20" ht="14.25" customHeight="1" x14ac:dyDescent="0.35">
      <c r="A657" s="2" t="s">
        <v>103</v>
      </c>
      <c r="B657" s="2" t="s">
        <v>34</v>
      </c>
      <c r="C657" s="2" t="s">
        <v>13</v>
      </c>
      <c r="D657" s="2" t="s">
        <v>14</v>
      </c>
      <c r="E657" s="2" t="s">
        <v>22</v>
      </c>
      <c r="F657" s="2" t="s">
        <v>39</v>
      </c>
      <c r="G657" s="2" t="s">
        <v>24</v>
      </c>
      <c r="H657" s="2">
        <v>180000</v>
      </c>
      <c r="I657" s="2">
        <v>2</v>
      </c>
      <c r="J657" s="2" t="s">
        <v>27</v>
      </c>
      <c r="K657" s="2">
        <f t="shared" si="70"/>
        <v>144000</v>
      </c>
      <c r="L657" s="9">
        <f>Table_1[[#This Row],[Unit Price]]*Table_1[[#This Row],[Quantity]]</f>
        <v>360000</v>
      </c>
      <c r="M657" s="8">
        <f>Table_1[[#This Row],[Cost Price]]*Table_1[[#This Row],[Quantity]]</f>
        <v>288000</v>
      </c>
      <c r="N657">
        <f>Table_1[[#This Row],[Revenue]]-Table_1[[#This Row],[COGS]]</f>
        <v>72000</v>
      </c>
      <c r="O657" s="11">
        <f t="shared" si="71"/>
        <v>4656740000</v>
      </c>
      <c r="P657">
        <f t="shared" si="72"/>
        <v>3725392000</v>
      </c>
      <c r="Q657">
        <f t="shared" si="73"/>
        <v>931348000</v>
      </c>
      <c r="R657" s="7">
        <f t="shared" si="74"/>
        <v>2098</v>
      </c>
      <c r="S657" s="7">
        <f t="shared" si="75"/>
        <v>3</v>
      </c>
      <c r="T657" s="7">
        <f t="shared" si="76"/>
        <v>2098</v>
      </c>
    </row>
    <row r="658" spans="1:20" ht="14.25" customHeight="1" x14ac:dyDescent="0.35">
      <c r="A658" s="2" t="s">
        <v>40</v>
      </c>
      <c r="B658" s="2" t="s">
        <v>12</v>
      </c>
      <c r="C658" s="2" t="s">
        <v>30</v>
      </c>
      <c r="D658" s="2" t="s">
        <v>14</v>
      </c>
      <c r="E658" s="2" t="s">
        <v>22</v>
      </c>
      <c r="F658" s="2" t="s">
        <v>31</v>
      </c>
      <c r="G658" s="2" t="s">
        <v>24</v>
      </c>
      <c r="H658" s="2">
        <v>60000</v>
      </c>
      <c r="I658" s="2">
        <v>8</v>
      </c>
      <c r="J658" s="2" t="s">
        <v>50</v>
      </c>
      <c r="K658" s="2">
        <f t="shared" si="70"/>
        <v>48000</v>
      </c>
      <c r="L658" s="9">
        <f>Table_1[[#This Row],[Unit Price]]*Table_1[[#This Row],[Quantity]]</f>
        <v>480000</v>
      </c>
      <c r="M658" s="8">
        <f>Table_1[[#This Row],[Cost Price]]*Table_1[[#This Row],[Quantity]]</f>
        <v>384000</v>
      </c>
      <c r="N658">
        <f>Table_1[[#This Row],[Revenue]]-Table_1[[#This Row],[COGS]]</f>
        <v>96000</v>
      </c>
      <c r="O658" s="11">
        <f t="shared" si="71"/>
        <v>4656740000</v>
      </c>
      <c r="P658">
        <f t="shared" si="72"/>
        <v>3725392000</v>
      </c>
      <c r="Q658">
        <f t="shared" si="73"/>
        <v>931348000</v>
      </c>
      <c r="R658" s="7">
        <f t="shared" si="74"/>
        <v>2098</v>
      </c>
      <c r="S658" s="7">
        <f t="shared" si="75"/>
        <v>3</v>
      </c>
      <c r="T658" s="7">
        <f t="shared" si="76"/>
        <v>2098</v>
      </c>
    </row>
    <row r="659" spans="1:20" ht="14.25" customHeight="1" x14ac:dyDescent="0.35">
      <c r="A659" s="2" t="s">
        <v>69</v>
      </c>
      <c r="B659" s="2" t="s">
        <v>34</v>
      </c>
      <c r="C659" s="2" t="s">
        <v>21</v>
      </c>
      <c r="D659" s="2" t="s">
        <v>14</v>
      </c>
      <c r="E659" s="2" t="s">
        <v>15</v>
      </c>
      <c r="F659" s="2" t="s">
        <v>23</v>
      </c>
      <c r="G659" s="2" t="s">
        <v>24</v>
      </c>
      <c r="H659" s="2">
        <v>30000</v>
      </c>
      <c r="I659" s="2">
        <v>2</v>
      </c>
      <c r="J659" s="2" t="s">
        <v>43</v>
      </c>
      <c r="K659" s="2">
        <f t="shared" si="70"/>
        <v>24000</v>
      </c>
      <c r="L659" s="9">
        <f>Table_1[[#This Row],[Unit Price]]*Table_1[[#This Row],[Quantity]]</f>
        <v>60000</v>
      </c>
      <c r="M659" s="8">
        <f>Table_1[[#This Row],[Cost Price]]*Table_1[[#This Row],[Quantity]]</f>
        <v>48000</v>
      </c>
      <c r="N659">
        <f>Table_1[[#This Row],[Revenue]]-Table_1[[#This Row],[COGS]]</f>
        <v>12000</v>
      </c>
      <c r="O659" s="11">
        <f t="shared" si="71"/>
        <v>4656740000</v>
      </c>
      <c r="P659">
        <f t="shared" si="72"/>
        <v>3725392000</v>
      </c>
      <c r="Q659">
        <f t="shared" si="73"/>
        <v>931348000</v>
      </c>
      <c r="R659" s="7">
        <f t="shared" si="74"/>
        <v>2098</v>
      </c>
      <c r="S659" s="7">
        <f t="shared" si="75"/>
        <v>1</v>
      </c>
      <c r="T659" s="7">
        <f t="shared" si="76"/>
        <v>2098</v>
      </c>
    </row>
    <row r="660" spans="1:20" ht="14.25" customHeight="1" x14ac:dyDescent="0.35">
      <c r="A660" s="2" t="s">
        <v>82</v>
      </c>
      <c r="B660" s="2" t="s">
        <v>34</v>
      </c>
      <c r="C660" s="2" t="s">
        <v>21</v>
      </c>
      <c r="D660" s="2" t="s">
        <v>26</v>
      </c>
      <c r="E660" s="2" t="s">
        <v>15</v>
      </c>
      <c r="F660" s="2" t="s">
        <v>47</v>
      </c>
      <c r="G660" s="2" t="s">
        <v>36</v>
      </c>
      <c r="H660" s="2">
        <v>150000</v>
      </c>
      <c r="I660" s="2">
        <v>5</v>
      </c>
      <c r="J660" s="2" t="s">
        <v>43</v>
      </c>
      <c r="K660" s="2">
        <f t="shared" si="70"/>
        <v>120000</v>
      </c>
      <c r="L660" s="9">
        <f>Table_1[[#This Row],[Unit Price]]*Table_1[[#This Row],[Quantity]]</f>
        <v>750000</v>
      </c>
      <c r="M660" s="8">
        <f>Table_1[[#This Row],[Cost Price]]*Table_1[[#This Row],[Quantity]]</f>
        <v>600000</v>
      </c>
      <c r="N660">
        <f>Table_1[[#This Row],[Revenue]]-Table_1[[#This Row],[COGS]]</f>
        <v>150000</v>
      </c>
      <c r="O660" s="11">
        <f t="shared" si="71"/>
        <v>4656740000</v>
      </c>
      <c r="P660">
        <f t="shared" si="72"/>
        <v>3725392000</v>
      </c>
      <c r="Q660">
        <f t="shared" si="73"/>
        <v>931348000</v>
      </c>
      <c r="R660" s="7">
        <f t="shared" si="74"/>
        <v>2098</v>
      </c>
      <c r="S660" s="7">
        <f t="shared" si="75"/>
        <v>1</v>
      </c>
      <c r="T660" s="7">
        <f t="shared" si="76"/>
        <v>2098</v>
      </c>
    </row>
    <row r="661" spans="1:20" ht="14.25" customHeight="1" x14ac:dyDescent="0.35">
      <c r="A661" s="2" t="s">
        <v>107</v>
      </c>
      <c r="B661" s="2" t="s">
        <v>12</v>
      </c>
      <c r="C661" s="2" t="s">
        <v>21</v>
      </c>
      <c r="D661" s="2" t="s">
        <v>26</v>
      </c>
      <c r="E661" s="2" t="s">
        <v>22</v>
      </c>
      <c r="F661" s="2" t="s">
        <v>56</v>
      </c>
      <c r="G661" s="2" t="s">
        <v>36</v>
      </c>
      <c r="H661" s="2">
        <v>250000</v>
      </c>
      <c r="I661" s="2">
        <v>5</v>
      </c>
      <c r="J661" s="2" t="s">
        <v>43</v>
      </c>
      <c r="K661" s="2">
        <f t="shared" si="70"/>
        <v>200000</v>
      </c>
      <c r="L661" s="9">
        <f>Table_1[[#This Row],[Unit Price]]*Table_1[[#This Row],[Quantity]]</f>
        <v>1250000</v>
      </c>
      <c r="M661" s="8">
        <f>Table_1[[#This Row],[Cost Price]]*Table_1[[#This Row],[Quantity]]</f>
        <v>1000000</v>
      </c>
      <c r="N661">
        <f>Table_1[[#This Row],[Revenue]]-Table_1[[#This Row],[COGS]]</f>
        <v>250000</v>
      </c>
      <c r="O661" s="11">
        <f t="shared" si="71"/>
        <v>4656740000</v>
      </c>
      <c r="P661">
        <f t="shared" si="72"/>
        <v>3725392000</v>
      </c>
      <c r="Q661">
        <f t="shared" si="73"/>
        <v>931348000</v>
      </c>
      <c r="R661" s="7">
        <f t="shared" si="74"/>
        <v>2098</v>
      </c>
      <c r="S661" s="7">
        <f t="shared" si="75"/>
        <v>3</v>
      </c>
      <c r="T661" s="7">
        <f t="shared" si="76"/>
        <v>2098</v>
      </c>
    </row>
    <row r="662" spans="1:20" ht="14.25" customHeight="1" x14ac:dyDescent="0.35">
      <c r="A662" s="2" t="s">
        <v>25</v>
      </c>
      <c r="B662" s="2" t="s">
        <v>29</v>
      </c>
      <c r="C662" s="2" t="s">
        <v>13</v>
      </c>
      <c r="D662" s="2" t="s">
        <v>26</v>
      </c>
      <c r="E662" s="2" t="s">
        <v>15</v>
      </c>
      <c r="F662" s="2" t="s">
        <v>16</v>
      </c>
      <c r="G662" s="2" t="s">
        <v>17</v>
      </c>
      <c r="H662" s="2">
        <v>85000</v>
      </c>
      <c r="I662" s="2">
        <v>4</v>
      </c>
      <c r="J662" s="2" t="s">
        <v>27</v>
      </c>
      <c r="K662" s="2">
        <f t="shared" si="70"/>
        <v>68000</v>
      </c>
      <c r="L662" s="9">
        <f>Table_1[[#This Row],[Unit Price]]*Table_1[[#This Row],[Quantity]]</f>
        <v>340000</v>
      </c>
      <c r="M662" s="8">
        <f>Table_1[[#This Row],[Cost Price]]*Table_1[[#This Row],[Quantity]]</f>
        <v>272000</v>
      </c>
      <c r="N662">
        <f>Table_1[[#This Row],[Revenue]]-Table_1[[#This Row],[COGS]]</f>
        <v>68000</v>
      </c>
      <c r="O662" s="11">
        <f t="shared" si="71"/>
        <v>4656740000</v>
      </c>
      <c r="P662">
        <f t="shared" si="72"/>
        <v>3725392000</v>
      </c>
      <c r="Q662">
        <f t="shared" si="73"/>
        <v>931348000</v>
      </c>
      <c r="R662" s="7">
        <f t="shared" si="74"/>
        <v>2098</v>
      </c>
      <c r="S662" s="7">
        <f t="shared" si="75"/>
        <v>2</v>
      </c>
      <c r="T662" s="7">
        <f t="shared" si="76"/>
        <v>2098</v>
      </c>
    </row>
    <row r="663" spans="1:20" ht="14.25" customHeight="1" x14ac:dyDescent="0.35">
      <c r="A663" s="2" t="s">
        <v>156</v>
      </c>
      <c r="B663" s="2" t="s">
        <v>12</v>
      </c>
      <c r="C663" s="2" t="s">
        <v>30</v>
      </c>
      <c r="D663" s="2" t="s">
        <v>14</v>
      </c>
      <c r="E663" s="2" t="s">
        <v>22</v>
      </c>
      <c r="F663" s="2" t="s">
        <v>35</v>
      </c>
      <c r="G663" s="2" t="s">
        <v>36</v>
      </c>
      <c r="H663" s="2">
        <v>300000</v>
      </c>
      <c r="I663" s="2">
        <v>10</v>
      </c>
      <c r="J663" s="2" t="s">
        <v>27</v>
      </c>
      <c r="K663" s="2">
        <f t="shared" si="70"/>
        <v>240000</v>
      </c>
      <c r="L663" s="9">
        <f>Table_1[[#This Row],[Unit Price]]*Table_1[[#This Row],[Quantity]]</f>
        <v>3000000</v>
      </c>
      <c r="M663" s="8">
        <f>Table_1[[#This Row],[Cost Price]]*Table_1[[#This Row],[Quantity]]</f>
        <v>2400000</v>
      </c>
      <c r="N663">
        <f>Table_1[[#This Row],[Revenue]]-Table_1[[#This Row],[COGS]]</f>
        <v>600000</v>
      </c>
      <c r="O663" s="11">
        <f t="shared" si="71"/>
        <v>4656740000</v>
      </c>
      <c r="P663">
        <f t="shared" si="72"/>
        <v>3725392000</v>
      </c>
      <c r="Q663">
        <f t="shared" si="73"/>
        <v>931348000</v>
      </c>
      <c r="R663" s="7">
        <f t="shared" si="74"/>
        <v>2098</v>
      </c>
      <c r="S663" s="7">
        <f t="shared" si="75"/>
        <v>3</v>
      </c>
      <c r="T663" s="7">
        <f t="shared" si="76"/>
        <v>2098</v>
      </c>
    </row>
    <row r="664" spans="1:20" ht="14.25" customHeight="1" x14ac:dyDescent="0.35">
      <c r="A664" s="2" t="s">
        <v>138</v>
      </c>
      <c r="B664" s="2" t="s">
        <v>29</v>
      </c>
      <c r="C664" s="2" t="s">
        <v>13</v>
      </c>
      <c r="D664" s="2" t="s">
        <v>26</v>
      </c>
      <c r="E664" s="2" t="s">
        <v>15</v>
      </c>
      <c r="F664" s="2" t="s">
        <v>56</v>
      </c>
      <c r="G664" s="2" t="s">
        <v>36</v>
      </c>
      <c r="H664" s="2">
        <v>250000</v>
      </c>
      <c r="I664" s="2">
        <v>8</v>
      </c>
      <c r="J664" s="2" t="s">
        <v>54</v>
      </c>
      <c r="K664" s="2">
        <f t="shared" si="70"/>
        <v>200000</v>
      </c>
      <c r="L664" s="9">
        <f>Table_1[[#This Row],[Unit Price]]*Table_1[[#This Row],[Quantity]]</f>
        <v>2000000</v>
      </c>
      <c r="M664" s="8">
        <f>Table_1[[#This Row],[Cost Price]]*Table_1[[#This Row],[Quantity]]</f>
        <v>1600000</v>
      </c>
      <c r="N664">
        <f>Table_1[[#This Row],[Revenue]]-Table_1[[#This Row],[COGS]]</f>
        <v>400000</v>
      </c>
      <c r="O664" s="11">
        <f t="shared" si="71"/>
        <v>4656740000</v>
      </c>
      <c r="P664">
        <f t="shared" si="72"/>
        <v>3725392000</v>
      </c>
      <c r="Q664">
        <f t="shared" si="73"/>
        <v>931348000</v>
      </c>
      <c r="R664" s="7">
        <f t="shared" si="74"/>
        <v>2098</v>
      </c>
      <c r="S664" s="7">
        <f t="shared" si="75"/>
        <v>3</v>
      </c>
      <c r="T664" s="7">
        <f t="shared" si="76"/>
        <v>2098</v>
      </c>
    </row>
    <row r="665" spans="1:20" ht="14.25" customHeight="1" x14ac:dyDescent="0.35">
      <c r="A665" s="2" t="s">
        <v>148</v>
      </c>
      <c r="B665" s="2" t="s">
        <v>12</v>
      </c>
      <c r="C665" s="2" t="s">
        <v>21</v>
      </c>
      <c r="D665" s="2" t="s">
        <v>14</v>
      </c>
      <c r="E665" s="2" t="s">
        <v>22</v>
      </c>
      <c r="F665" s="2" t="s">
        <v>41</v>
      </c>
      <c r="G665" s="2" t="s">
        <v>17</v>
      </c>
      <c r="H665" s="2">
        <v>320000</v>
      </c>
      <c r="I665" s="2">
        <v>4</v>
      </c>
      <c r="J665" s="2" t="s">
        <v>54</v>
      </c>
      <c r="K665" s="2">
        <f t="shared" si="70"/>
        <v>256000</v>
      </c>
      <c r="L665" s="9">
        <f>Table_1[[#This Row],[Unit Price]]*Table_1[[#This Row],[Quantity]]</f>
        <v>1280000</v>
      </c>
      <c r="M665" s="8">
        <f>Table_1[[#This Row],[Cost Price]]*Table_1[[#This Row],[Quantity]]</f>
        <v>1024000</v>
      </c>
      <c r="N665">
        <f>Table_1[[#This Row],[Revenue]]-Table_1[[#This Row],[COGS]]</f>
        <v>256000</v>
      </c>
      <c r="O665" s="11">
        <f t="shared" si="71"/>
        <v>4656740000</v>
      </c>
      <c r="P665">
        <f t="shared" si="72"/>
        <v>3725392000</v>
      </c>
      <c r="Q665">
        <f t="shared" si="73"/>
        <v>931348000</v>
      </c>
      <c r="R665" s="7">
        <f t="shared" si="74"/>
        <v>2098</v>
      </c>
      <c r="S665" s="7">
        <f t="shared" si="75"/>
        <v>4</v>
      </c>
      <c r="T665" s="7">
        <f t="shared" si="76"/>
        <v>2098</v>
      </c>
    </row>
    <row r="666" spans="1:20" ht="14.25" customHeight="1" x14ac:dyDescent="0.35">
      <c r="A666" s="2" t="s">
        <v>142</v>
      </c>
      <c r="B666" s="2" t="s">
        <v>34</v>
      </c>
      <c r="C666" s="2" t="s">
        <v>21</v>
      </c>
      <c r="D666" s="2" t="s">
        <v>26</v>
      </c>
      <c r="E666" s="2" t="s">
        <v>22</v>
      </c>
      <c r="F666" s="2" t="s">
        <v>23</v>
      </c>
      <c r="G666" s="2" t="s">
        <v>24</v>
      </c>
      <c r="H666" s="2">
        <v>30000</v>
      </c>
      <c r="I666" s="2">
        <v>10</v>
      </c>
      <c r="J666" s="2" t="s">
        <v>32</v>
      </c>
      <c r="K666" s="2">
        <f t="shared" si="70"/>
        <v>24000</v>
      </c>
      <c r="L666" s="9">
        <f>Table_1[[#This Row],[Unit Price]]*Table_1[[#This Row],[Quantity]]</f>
        <v>300000</v>
      </c>
      <c r="M666" s="8">
        <f>Table_1[[#This Row],[Cost Price]]*Table_1[[#This Row],[Quantity]]</f>
        <v>240000</v>
      </c>
      <c r="N666">
        <f>Table_1[[#This Row],[Revenue]]-Table_1[[#This Row],[COGS]]</f>
        <v>60000</v>
      </c>
      <c r="O666" s="11">
        <f t="shared" si="71"/>
        <v>4656740000</v>
      </c>
      <c r="P666">
        <f t="shared" si="72"/>
        <v>3725392000</v>
      </c>
      <c r="Q666">
        <f t="shared" si="73"/>
        <v>931348000</v>
      </c>
      <c r="R666" s="7">
        <f t="shared" si="74"/>
        <v>2098</v>
      </c>
      <c r="S666" s="7">
        <f t="shared" si="75"/>
        <v>4</v>
      </c>
      <c r="T666" s="7">
        <f t="shared" si="76"/>
        <v>2098</v>
      </c>
    </row>
    <row r="667" spans="1:20" ht="14.25" customHeight="1" x14ac:dyDescent="0.35">
      <c r="A667" s="2" t="s">
        <v>91</v>
      </c>
      <c r="B667" s="2" t="s">
        <v>34</v>
      </c>
      <c r="C667" s="2" t="s">
        <v>13</v>
      </c>
      <c r="D667" s="2" t="s">
        <v>26</v>
      </c>
      <c r="E667" s="2" t="s">
        <v>15</v>
      </c>
      <c r="F667" s="2" t="s">
        <v>56</v>
      </c>
      <c r="G667" s="2" t="s">
        <v>36</v>
      </c>
      <c r="H667" s="2">
        <v>250000</v>
      </c>
      <c r="I667" s="2">
        <v>4</v>
      </c>
      <c r="J667" s="2" t="s">
        <v>50</v>
      </c>
      <c r="K667" s="2">
        <f t="shared" si="70"/>
        <v>200000</v>
      </c>
      <c r="L667" s="9">
        <f>Table_1[[#This Row],[Unit Price]]*Table_1[[#This Row],[Quantity]]</f>
        <v>1000000</v>
      </c>
      <c r="M667" s="8">
        <f>Table_1[[#This Row],[Cost Price]]*Table_1[[#This Row],[Quantity]]</f>
        <v>800000</v>
      </c>
      <c r="N667">
        <f>Table_1[[#This Row],[Revenue]]-Table_1[[#This Row],[COGS]]</f>
        <v>200000</v>
      </c>
      <c r="O667" s="11">
        <f t="shared" si="71"/>
        <v>4656740000</v>
      </c>
      <c r="P667">
        <f t="shared" si="72"/>
        <v>3725392000</v>
      </c>
      <c r="Q667">
        <f t="shared" si="73"/>
        <v>931348000</v>
      </c>
      <c r="R667" s="7">
        <f t="shared" si="74"/>
        <v>2098</v>
      </c>
      <c r="S667" s="7">
        <f t="shared" si="75"/>
        <v>4</v>
      </c>
      <c r="T667" s="7">
        <f t="shared" si="76"/>
        <v>2098</v>
      </c>
    </row>
    <row r="668" spans="1:20" ht="14.25" customHeight="1" x14ac:dyDescent="0.35">
      <c r="A668" s="2" t="s">
        <v>100</v>
      </c>
      <c r="B668" s="2" t="s">
        <v>20</v>
      </c>
      <c r="C668" s="2" t="s">
        <v>13</v>
      </c>
      <c r="D668" s="2" t="s">
        <v>26</v>
      </c>
      <c r="E668" s="2" t="s">
        <v>15</v>
      </c>
      <c r="F668" s="2" t="s">
        <v>41</v>
      </c>
      <c r="G668" s="2" t="s">
        <v>17</v>
      </c>
      <c r="H668" s="2">
        <v>320000</v>
      </c>
      <c r="I668" s="2">
        <v>5</v>
      </c>
      <c r="J668" s="2" t="s">
        <v>32</v>
      </c>
      <c r="K668" s="2">
        <f t="shared" si="70"/>
        <v>256000</v>
      </c>
      <c r="L668" s="9">
        <f>Table_1[[#This Row],[Unit Price]]*Table_1[[#This Row],[Quantity]]</f>
        <v>1600000</v>
      </c>
      <c r="M668" s="8">
        <f>Table_1[[#This Row],[Cost Price]]*Table_1[[#This Row],[Quantity]]</f>
        <v>1280000</v>
      </c>
      <c r="N668">
        <f>Table_1[[#This Row],[Revenue]]-Table_1[[#This Row],[COGS]]</f>
        <v>320000</v>
      </c>
      <c r="O668" s="11">
        <f t="shared" si="71"/>
        <v>4656740000</v>
      </c>
      <c r="P668">
        <f t="shared" si="72"/>
        <v>3725392000</v>
      </c>
      <c r="Q668">
        <f t="shared" si="73"/>
        <v>931348000</v>
      </c>
      <c r="R668" s="7">
        <f t="shared" si="74"/>
        <v>2098</v>
      </c>
      <c r="S668" s="7">
        <f t="shared" si="75"/>
        <v>1</v>
      </c>
      <c r="T668" s="7">
        <f t="shared" si="76"/>
        <v>2098</v>
      </c>
    </row>
    <row r="669" spans="1:20" ht="14.25" customHeight="1" x14ac:dyDescent="0.35">
      <c r="A669" s="2" t="s">
        <v>53</v>
      </c>
      <c r="B669" s="2" t="s">
        <v>20</v>
      </c>
      <c r="C669" s="2" t="s">
        <v>21</v>
      </c>
      <c r="D669" s="2" t="s">
        <v>14</v>
      </c>
      <c r="E669" s="2" t="s">
        <v>22</v>
      </c>
      <c r="F669" s="2" t="s">
        <v>41</v>
      </c>
      <c r="G669" s="2" t="s">
        <v>17</v>
      </c>
      <c r="H669" s="2">
        <v>320000</v>
      </c>
      <c r="I669" s="2">
        <v>9</v>
      </c>
      <c r="J669" s="2" t="s">
        <v>54</v>
      </c>
      <c r="K669" s="2">
        <f t="shared" si="70"/>
        <v>256000</v>
      </c>
      <c r="L669" s="9">
        <f>Table_1[[#This Row],[Unit Price]]*Table_1[[#This Row],[Quantity]]</f>
        <v>2880000</v>
      </c>
      <c r="M669" s="8">
        <f>Table_1[[#This Row],[Cost Price]]*Table_1[[#This Row],[Quantity]]</f>
        <v>2304000</v>
      </c>
      <c r="N669">
        <f>Table_1[[#This Row],[Revenue]]-Table_1[[#This Row],[COGS]]</f>
        <v>576000</v>
      </c>
      <c r="O669" s="11">
        <f t="shared" si="71"/>
        <v>4656740000</v>
      </c>
      <c r="P669">
        <f t="shared" si="72"/>
        <v>3725392000</v>
      </c>
      <c r="Q669">
        <f t="shared" si="73"/>
        <v>931348000</v>
      </c>
      <c r="R669" s="7">
        <f t="shared" si="74"/>
        <v>2098</v>
      </c>
      <c r="S669" s="7">
        <f t="shared" si="75"/>
        <v>3</v>
      </c>
      <c r="T669" s="7">
        <f t="shared" si="76"/>
        <v>2098</v>
      </c>
    </row>
    <row r="670" spans="1:20" ht="14.25" customHeight="1" x14ac:dyDescent="0.35">
      <c r="A670" s="2" t="s">
        <v>89</v>
      </c>
      <c r="B670" s="2" t="s">
        <v>20</v>
      </c>
      <c r="C670" s="2" t="s">
        <v>21</v>
      </c>
      <c r="D670" s="2" t="s">
        <v>14</v>
      </c>
      <c r="E670" s="2" t="s">
        <v>15</v>
      </c>
      <c r="F670" s="2" t="s">
        <v>39</v>
      </c>
      <c r="G670" s="2" t="s">
        <v>24</v>
      </c>
      <c r="H670" s="2">
        <v>180000</v>
      </c>
      <c r="I670" s="2">
        <v>1</v>
      </c>
      <c r="J670" s="2" t="s">
        <v>50</v>
      </c>
      <c r="K670" s="2">
        <f t="shared" si="70"/>
        <v>144000</v>
      </c>
      <c r="L670" s="9">
        <f>Table_1[[#This Row],[Unit Price]]*Table_1[[#This Row],[Quantity]]</f>
        <v>180000</v>
      </c>
      <c r="M670" s="8">
        <f>Table_1[[#This Row],[Cost Price]]*Table_1[[#This Row],[Quantity]]</f>
        <v>144000</v>
      </c>
      <c r="N670">
        <f>Table_1[[#This Row],[Revenue]]-Table_1[[#This Row],[COGS]]</f>
        <v>36000</v>
      </c>
      <c r="O670" s="11">
        <f t="shared" si="71"/>
        <v>4656740000</v>
      </c>
      <c r="P670">
        <f t="shared" si="72"/>
        <v>3725392000</v>
      </c>
      <c r="Q670">
        <f t="shared" si="73"/>
        <v>931348000</v>
      </c>
      <c r="R670" s="7">
        <f t="shared" si="74"/>
        <v>2098</v>
      </c>
      <c r="S670" s="7">
        <f t="shared" si="75"/>
        <v>3</v>
      </c>
      <c r="T670" s="7">
        <f t="shared" si="76"/>
        <v>2098</v>
      </c>
    </row>
    <row r="671" spans="1:20" ht="14.25" customHeight="1" x14ac:dyDescent="0.35">
      <c r="A671" s="2" t="s">
        <v>78</v>
      </c>
      <c r="B671" s="2" t="s">
        <v>29</v>
      </c>
      <c r="C671" s="2" t="s">
        <v>13</v>
      </c>
      <c r="D671" s="2" t="s">
        <v>14</v>
      </c>
      <c r="E671" s="2" t="s">
        <v>15</v>
      </c>
      <c r="F671" s="2" t="s">
        <v>23</v>
      </c>
      <c r="G671" s="2" t="s">
        <v>24</v>
      </c>
      <c r="H671" s="2">
        <v>30000</v>
      </c>
      <c r="I671" s="2">
        <v>7</v>
      </c>
      <c r="J671" s="2" t="s">
        <v>32</v>
      </c>
      <c r="K671" s="2">
        <f t="shared" si="70"/>
        <v>24000</v>
      </c>
      <c r="L671" s="9">
        <f>Table_1[[#This Row],[Unit Price]]*Table_1[[#This Row],[Quantity]]</f>
        <v>210000</v>
      </c>
      <c r="M671" s="8">
        <f>Table_1[[#This Row],[Cost Price]]*Table_1[[#This Row],[Quantity]]</f>
        <v>168000</v>
      </c>
      <c r="N671">
        <f>Table_1[[#This Row],[Revenue]]-Table_1[[#This Row],[COGS]]</f>
        <v>42000</v>
      </c>
      <c r="O671" s="11">
        <f t="shared" si="71"/>
        <v>4656740000</v>
      </c>
      <c r="P671">
        <f t="shared" si="72"/>
        <v>3725392000</v>
      </c>
      <c r="Q671">
        <f t="shared" si="73"/>
        <v>931348000</v>
      </c>
      <c r="R671" s="7">
        <f t="shared" si="74"/>
        <v>2098</v>
      </c>
      <c r="S671" s="7">
        <f t="shared" si="75"/>
        <v>4</v>
      </c>
      <c r="T671" s="7">
        <f t="shared" si="76"/>
        <v>2098</v>
      </c>
    </row>
    <row r="672" spans="1:20" ht="14.25" customHeight="1" x14ac:dyDescent="0.35">
      <c r="A672" s="2" t="s">
        <v>19</v>
      </c>
      <c r="B672" s="2" t="s">
        <v>34</v>
      </c>
      <c r="C672" s="2" t="s">
        <v>38</v>
      </c>
      <c r="D672" s="2" t="s">
        <v>26</v>
      </c>
      <c r="E672" s="2" t="s">
        <v>22</v>
      </c>
      <c r="F672" s="2" t="s">
        <v>58</v>
      </c>
      <c r="G672" s="2" t="s">
        <v>24</v>
      </c>
      <c r="H672" s="2">
        <v>220000</v>
      </c>
      <c r="I672" s="2">
        <v>5</v>
      </c>
      <c r="J672" s="2" t="s">
        <v>43</v>
      </c>
      <c r="K672" s="2">
        <f t="shared" si="70"/>
        <v>176000</v>
      </c>
      <c r="L672" s="9">
        <f>Table_1[[#This Row],[Unit Price]]*Table_1[[#This Row],[Quantity]]</f>
        <v>1100000</v>
      </c>
      <c r="M672" s="8">
        <f>Table_1[[#This Row],[Cost Price]]*Table_1[[#This Row],[Quantity]]</f>
        <v>880000</v>
      </c>
      <c r="N672">
        <f>Table_1[[#This Row],[Revenue]]-Table_1[[#This Row],[COGS]]</f>
        <v>220000</v>
      </c>
      <c r="O672" s="11">
        <f t="shared" si="71"/>
        <v>4656740000</v>
      </c>
      <c r="P672">
        <f t="shared" si="72"/>
        <v>3725392000</v>
      </c>
      <c r="Q672">
        <f t="shared" si="73"/>
        <v>931348000</v>
      </c>
      <c r="R672" s="7">
        <f t="shared" si="74"/>
        <v>2098</v>
      </c>
      <c r="S672" s="7">
        <f t="shared" si="75"/>
        <v>4</v>
      </c>
      <c r="T672" s="7">
        <f t="shared" si="76"/>
        <v>2098</v>
      </c>
    </row>
    <row r="673" spans="1:20" ht="14.25" customHeight="1" x14ac:dyDescent="0.35">
      <c r="A673" s="2" t="s">
        <v>64</v>
      </c>
      <c r="B673" s="2" t="s">
        <v>34</v>
      </c>
      <c r="C673" s="2" t="s">
        <v>38</v>
      </c>
      <c r="D673" s="2" t="s">
        <v>26</v>
      </c>
      <c r="E673" s="2" t="s">
        <v>15</v>
      </c>
      <c r="F673" s="2" t="s">
        <v>39</v>
      </c>
      <c r="G673" s="2" t="s">
        <v>24</v>
      </c>
      <c r="H673" s="2">
        <v>180000</v>
      </c>
      <c r="I673" s="2">
        <v>4</v>
      </c>
      <c r="J673" s="2" t="s">
        <v>54</v>
      </c>
      <c r="K673" s="2">
        <f t="shared" si="70"/>
        <v>144000</v>
      </c>
      <c r="L673" s="9">
        <f>Table_1[[#This Row],[Unit Price]]*Table_1[[#This Row],[Quantity]]</f>
        <v>720000</v>
      </c>
      <c r="M673" s="8">
        <f>Table_1[[#This Row],[Cost Price]]*Table_1[[#This Row],[Quantity]]</f>
        <v>576000</v>
      </c>
      <c r="N673">
        <f>Table_1[[#This Row],[Revenue]]-Table_1[[#This Row],[COGS]]</f>
        <v>144000</v>
      </c>
      <c r="O673" s="11">
        <f t="shared" si="71"/>
        <v>4656740000</v>
      </c>
      <c r="P673">
        <f t="shared" si="72"/>
        <v>3725392000</v>
      </c>
      <c r="Q673">
        <f t="shared" si="73"/>
        <v>931348000</v>
      </c>
      <c r="R673" s="7">
        <f t="shared" si="74"/>
        <v>2098</v>
      </c>
      <c r="S673" s="7">
        <f t="shared" si="75"/>
        <v>2</v>
      </c>
      <c r="T673" s="7">
        <f t="shared" si="76"/>
        <v>2098</v>
      </c>
    </row>
    <row r="674" spans="1:20" ht="14.25" customHeight="1" x14ac:dyDescent="0.35">
      <c r="A674" s="2" t="s">
        <v>72</v>
      </c>
      <c r="B674" s="2" t="s">
        <v>29</v>
      </c>
      <c r="C674" s="2" t="s">
        <v>13</v>
      </c>
      <c r="D674" s="2" t="s">
        <v>26</v>
      </c>
      <c r="E674" s="2" t="s">
        <v>15</v>
      </c>
      <c r="F674" s="2" t="s">
        <v>39</v>
      </c>
      <c r="G674" s="2" t="s">
        <v>24</v>
      </c>
      <c r="H674" s="2">
        <v>180000</v>
      </c>
      <c r="I674" s="2">
        <v>2</v>
      </c>
      <c r="J674" s="2" t="s">
        <v>32</v>
      </c>
      <c r="K674" s="2">
        <f t="shared" si="70"/>
        <v>144000</v>
      </c>
      <c r="L674" s="9">
        <f>Table_1[[#This Row],[Unit Price]]*Table_1[[#This Row],[Quantity]]</f>
        <v>360000</v>
      </c>
      <c r="M674" s="8">
        <f>Table_1[[#This Row],[Cost Price]]*Table_1[[#This Row],[Quantity]]</f>
        <v>288000</v>
      </c>
      <c r="N674">
        <f>Table_1[[#This Row],[Revenue]]-Table_1[[#This Row],[COGS]]</f>
        <v>72000</v>
      </c>
      <c r="O674" s="11">
        <f t="shared" si="71"/>
        <v>4656740000</v>
      </c>
      <c r="P674">
        <f t="shared" si="72"/>
        <v>3725392000</v>
      </c>
      <c r="Q674">
        <f t="shared" si="73"/>
        <v>931348000</v>
      </c>
      <c r="R674" s="7">
        <f t="shared" si="74"/>
        <v>2098</v>
      </c>
      <c r="S674" s="7">
        <f t="shared" si="75"/>
        <v>3</v>
      </c>
      <c r="T674" s="7">
        <f t="shared" si="76"/>
        <v>2098</v>
      </c>
    </row>
    <row r="675" spans="1:20" ht="14.25" customHeight="1" x14ac:dyDescent="0.35">
      <c r="A675" s="2" t="s">
        <v>57</v>
      </c>
      <c r="B675" s="2" t="s">
        <v>12</v>
      </c>
      <c r="C675" s="2" t="s">
        <v>30</v>
      </c>
      <c r="D675" s="2" t="s">
        <v>26</v>
      </c>
      <c r="E675" s="2" t="s">
        <v>15</v>
      </c>
      <c r="F675" s="2" t="s">
        <v>58</v>
      </c>
      <c r="G675" s="2" t="s">
        <v>24</v>
      </c>
      <c r="H675" s="2">
        <v>220000</v>
      </c>
      <c r="I675" s="2">
        <v>2</v>
      </c>
      <c r="J675" s="2" t="s">
        <v>50</v>
      </c>
      <c r="K675" s="2">
        <f t="shared" si="70"/>
        <v>176000</v>
      </c>
      <c r="L675" s="9">
        <f>Table_1[[#This Row],[Unit Price]]*Table_1[[#This Row],[Quantity]]</f>
        <v>440000</v>
      </c>
      <c r="M675" s="8">
        <f>Table_1[[#This Row],[Cost Price]]*Table_1[[#This Row],[Quantity]]</f>
        <v>352000</v>
      </c>
      <c r="N675">
        <f>Table_1[[#This Row],[Revenue]]-Table_1[[#This Row],[COGS]]</f>
        <v>88000</v>
      </c>
      <c r="O675" s="11">
        <f t="shared" si="71"/>
        <v>4656740000</v>
      </c>
      <c r="P675">
        <f t="shared" si="72"/>
        <v>3725392000</v>
      </c>
      <c r="Q675">
        <f t="shared" si="73"/>
        <v>931348000</v>
      </c>
      <c r="R675" s="7">
        <f t="shared" si="74"/>
        <v>2098</v>
      </c>
      <c r="S675" s="7">
        <f t="shared" si="75"/>
        <v>2</v>
      </c>
      <c r="T675" s="7">
        <f t="shared" si="76"/>
        <v>2098</v>
      </c>
    </row>
    <row r="676" spans="1:20" ht="14.25" customHeight="1" x14ac:dyDescent="0.35">
      <c r="A676" s="2" t="s">
        <v>128</v>
      </c>
      <c r="B676" s="2" t="s">
        <v>12</v>
      </c>
      <c r="C676" s="2" t="s">
        <v>21</v>
      </c>
      <c r="D676" s="2" t="s">
        <v>26</v>
      </c>
      <c r="E676" s="2" t="s">
        <v>22</v>
      </c>
      <c r="F676" s="2" t="s">
        <v>31</v>
      </c>
      <c r="G676" s="2" t="s">
        <v>24</v>
      </c>
      <c r="H676" s="2">
        <v>60000</v>
      </c>
      <c r="I676" s="2">
        <v>10</v>
      </c>
      <c r="J676" s="2" t="s">
        <v>50</v>
      </c>
      <c r="K676" s="2">
        <f t="shared" si="70"/>
        <v>48000</v>
      </c>
      <c r="L676" s="9">
        <f>Table_1[[#This Row],[Unit Price]]*Table_1[[#This Row],[Quantity]]</f>
        <v>600000</v>
      </c>
      <c r="M676" s="8">
        <f>Table_1[[#This Row],[Cost Price]]*Table_1[[#This Row],[Quantity]]</f>
        <v>480000</v>
      </c>
      <c r="N676">
        <f>Table_1[[#This Row],[Revenue]]-Table_1[[#This Row],[COGS]]</f>
        <v>120000</v>
      </c>
      <c r="O676" s="11">
        <f t="shared" si="71"/>
        <v>4656740000</v>
      </c>
      <c r="P676">
        <f t="shared" si="72"/>
        <v>3725392000</v>
      </c>
      <c r="Q676">
        <f t="shared" si="73"/>
        <v>931348000</v>
      </c>
      <c r="R676" s="7">
        <f t="shared" si="74"/>
        <v>2098</v>
      </c>
      <c r="S676" s="7">
        <f t="shared" si="75"/>
        <v>4</v>
      </c>
      <c r="T676" s="7">
        <f t="shared" si="76"/>
        <v>2098</v>
      </c>
    </row>
    <row r="677" spans="1:20" ht="14.25" customHeight="1" x14ac:dyDescent="0.35">
      <c r="A677" s="2" t="s">
        <v>96</v>
      </c>
      <c r="B677" s="2" t="s">
        <v>34</v>
      </c>
      <c r="C677" s="2" t="s">
        <v>13</v>
      </c>
      <c r="D677" s="2" t="s">
        <v>14</v>
      </c>
      <c r="E677" s="2" t="s">
        <v>22</v>
      </c>
      <c r="F677" s="2" t="s">
        <v>23</v>
      </c>
      <c r="G677" s="2" t="s">
        <v>24</v>
      </c>
      <c r="H677" s="2">
        <v>30000</v>
      </c>
      <c r="I677" s="2">
        <v>2</v>
      </c>
      <c r="J677" s="2" t="s">
        <v>54</v>
      </c>
      <c r="K677" s="2">
        <f t="shared" si="70"/>
        <v>24000</v>
      </c>
      <c r="L677" s="9">
        <f>Table_1[[#This Row],[Unit Price]]*Table_1[[#This Row],[Quantity]]</f>
        <v>60000</v>
      </c>
      <c r="M677" s="8">
        <f>Table_1[[#This Row],[Cost Price]]*Table_1[[#This Row],[Quantity]]</f>
        <v>48000</v>
      </c>
      <c r="N677">
        <f>Table_1[[#This Row],[Revenue]]-Table_1[[#This Row],[COGS]]</f>
        <v>12000</v>
      </c>
      <c r="O677" s="11">
        <f t="shared" si="71"/>
        <v>4656740000</v>
      </c>
      <c r="P677">
        <f t="shared" si="72"/>
        <v>3725392000</v>
      </c>
      <c r="Q677">
        <f t="shared" si="73"/>
        <v>931348000</v>
      </c>
      <c r="R677" s="7">
        <f t="shared" si="74"/>
        <v>2098</v>
      </c>
      <c r="S677" s="7">
        <f t="shared" si="75"/>
        <v>2</v>
      </c>
      <c r="T677" s="7">
        <f t="shared" si="76"/>
        <v>2098</v>
      </c>
    </row>
    <row r="678" spans="1:20" ht="14.25" customHeight="1" x14ac:dyDescent="0.35">
      <c r="A678" s="2" t="s">
        <v>143</v>
      </c>
      <c r="B678" s="2" t="s">
        <v>20</v>
      </c>
      <c r="C678" s="2" t="s">
        <v>21</v>
      </c>
      <c r="D678" s="2" t="s">
        <v>26</v>
      </c>
      <c r="E678" s="2" t="s">
        <v>15</v>
      </c>
      <c r="F678" s="2" t="s">
        <v>35</v>
      </c>
      <c r="G678" s="2" t="s">
        <v>36</v>
      </c>
      <c r="H678" s="2">
        <v>300000</v>
      </c>
      <c r="I678" s="2">
        <v>3</v>
      </c>
      <c r="J678" s="2" t="s">
        <v>27</v>
      </c>
      <c r="K678" s="2">
        <f t="shared" si="70"/>
        <v>240000</v>
      </c>
      <c r="L678" s="9">
        <f>Table_1[[#This Row],[Unit Price]]*Table_1[[#This Row],[Quantity]]</f>
        <v>900000</v>
      </c>
      <c r="M678" s="8">
        <f>Table_1[[#This Row],[Cost Price]]*Table_1[[#This Row],[Quantity]]</f>
        <v>720000</v>
      </c>
      <c r="N678">
        <f>Table_1[[#This Row],[Revenue]]-Table_1[[#This Row],[COGS]]</f>
        <v>180000</v>
      </c>
      <c r="O678" s="11">
        <f t="shared" si="71"/>
        <v>4656740000</v>
      </c>
      <c r="P678">
        <f t="shared" si="72"/>
        <v>3725392000</v>
      </c>
      <c r="Q678">
        <f t="shared" si="73"/>
        <v>931348000</v>
      </c>
      <c r="R678" s="7">
        <f t="shared" si="74"/>
        <v>2098</v>
      </c>
      <c r="S678" s="7">
        <f t="shared" si="75"/>
        <v>1</v>
      </c>
      <c r="T678" s="7">
        <f t="shared" si="76"/>
        <v>2098</v>
      </c>
    </row>
    <row r="679" spans="1:20" ht="14.25" customHeight="1" x14ac:dyDescent="0.35">
      <c r="A679" s="2" t="s">
        <v>72</v>
      </c>
      <c r="B679" s="2" t="s">
        <v>29</v>
      </c>
      <c r="C679" s="2" t="s">
        <v>30</v>
      </c>
      <c r="D679" s="2" t="s">
        <v>14</v>
      </c>
      <c r="E679" s="2" t="s">
        <v>22</v>
      </c>
      <c r="F679" s="2" t="s">
        <v>23</v>
      </c>
      <c r="G679" s="2" t="s">
        <v>24</v>
      </c>
      <c r="H679" s="2">
        <v>30000</v>
      </c>
      <c r="I679" s="2">
        <v>8</v>
      </c>
      <c r="J679" s="2" t="s">
        <v>18</v>
      </c>
      <c r="K679" s="2">
        <f t="shared" si="70"/>
        <v>24000</v>
      </c>
      <c r="L679" s="9">
        <f>Table_1[[#This Row],[Unit Price]]*Table_1[[#This Row],[Quantity]]</f>
        <v>240000</v>
      </c>
      <c r="M679" s="8">
        <f>Table_1[[#This Row],[Cost Price]]*Table_1[[#This Row],[Quantity]]</f>
        <v>192000</v>
      </c>
      <c r="N679">
        <f>Table_1[[#This Row],[Revenue]]-Table_1[[#This Row],[COGS]]</f>
        <v>48000</v>
      </c>
      <c r="O679" s="11">
        <f t="shared" si="71"/>
        <v>4656740000</v>
      </c>
      <c r="P679">
        <f t="shared" si="72"/>
        <v>3725392000</v>
      </c>
      <c r="Q679">
        <f t="shared" si="73"/>
        <v>931348000</v>
      </c>
      <c r="R679" s="7">
        <f t="shared" si="74"/>
        <v>2098</v>
      </c>
      <c r="S679" s="7">
        <f t="shared" si="75"/>
        <v>3</v>
      </c>
      <c r="T679" s="7">
        <f t="shared" si="76"/>
        <v>2098</v>
      </c>
    </row>
    <row r="680" spans="1:20" ht="14.25" customHeight="1" x14ac:dyDescent="0.35">
      <c r="A680" s="2" t="s">
        <v>60</v>
      </c>
      <c r="B680" s="2" t="s">
        <v>34</v>
      </c>
      <c r="C680" s="2" t="s">
        <v>13</v>
      </c>
      <c r="D680" s="2" t="s">
        <v>14</v>
      </c>
      <c r="E680" s="2" t="s">
        <v>15</v>
      </c>
      <c r="F680" s="2" t="s">
        <v>35</v>
      </c>
      <c r="G680" s="2" t="s">
        <v>36</v>
      </c>
      <c r="H680" s="2">
        <v>300000</v>
      </c>
      <c r="I680" s="2">
        <v>7</v>
      </c>
      <c r="J680" s="2" t="s">
        <v>18</v>
      </c>
      <c r="K680" s="2">
        <f t="shared" si="70"/>
        <v>240000</v>
      </c>
      <c r="L680" s="9">
        <f>Table_1[[#This Row],[Unit Price]]*Table_1[[#This Row],[Quantity]]</f>
        <v>2100000</v>
      </c>
      <c r="M680" s="8">
        <f>Table_1[[#This Row],[Cost Price]]*Table_1[[#This Row],[Quantity]]</f>
        <v>1680000</v>
      </c>
      <c r="N680">
        <f>Table_1[[#This Row],[Revenue]]-Table_1[[#This Row],[COGS]]</f>
        <v>420000</v>
      </c>
      <c r="O680" s="11">
        <f t="shared" si="71"/>
        <v>4656740000</v>
      </c>
      <c r="P680">
        <f t="shared" si="72"/>
        <v>3725392000</v>
      </c>
      <c r="Q680">
        <f t="shared" si="73"/>
        <v>931348000</v>
      </c>
      <c r="R680" s="7">
        <f t="shared" si="74"/>
        <v>2098</v>
      </c>
      <c r="S680" s="7">
        <f t="shared" si="75"/>
        <v>3</v>
      </c>
      <c r="T680" s="7">
        <f t="shared" si="76"/>
        <v>2098</v>
      </c>
    </row>
    <row r="681" spans="1:20" ht="14.25" customHeight="1" x14ac:dyDescent="0.35">
      <c r="A681" s="2" t="s">
        <v>117</v>
      </c>
      <c r="B681" s="2" t="s">
        <v>20</v>
      </c>
      <c r="C681" s="2" t="s">
        <v>13</v>
      </c>
      <c r="D681" s="2" t="s">
        <v>14</v>
      </c>
      <c r="E681" s="2" t="s">
        <v>15</v>
      </c>
      <c r="F681" s="2" t="s">
        <v>23</v>
      </c>
      <c r="G681" s="2" t="s">
        <v>24</v>
      </c>
      <c r="H681" s="2">
        <v>30000</v>
      </c>
      <c r="I681" s="2">
        <v>2</v>
      </c>
      <c r="J681" s="2" t="s">
        <v>43</v>
      </c>
      <c r="K681" s="2">
        <f t="shared" si="70"/>
        <v>24000</v>
      </c>
      <c r="L681" s="9">
        <f>Table_1[[#This Row],[Unit Price]]*Table_1[[#This Row],[Quantity]]</f>
        <v>60000</v>
      </c>
      <c r="M681" s="8">
        <f>Table_1[[#This Row],[Cost Price]]*Table_1[[#This Row],[Quantity]]</f>
        <v>48000</v>
      </c>
      <c r="N681">
        <f>Table_1[[#This Row],[Revenue]]-Table_1[[#This Row],[COGS]]</f>
        <v>12000</v>
      </c>
      <c r="O681" s="11">
        <f t="shared" si="71"/>
        <v>4656740000</v>
      </c>
      <c r="P681">
        <f t="shared" si="72"/>
        <v>3725392000</v>
      </c>
      <c r="Q681">
        <f t="shared" si="73"/>
        <v>931348000</v>
      </c>
      <c r="R681" s="7">
        <f t="shared" si="74"/>
        <v>2098</v>
      </c>
      <c r="S681" s="7">
        <f t="shared" si="75"/>
        <v>4</v>
      </c>
      <c r="T681" s="7">
        <f t="shared" si="76"/>
        <v>2098</v>
      </c>
    </row>
    <row r="682" spans="1:20" ht="14.25" customHeight="1" x14ac:dyDescent="0.35">
      <c r="A682" s="2" t="s">
        <v>89</v>
      </c>
      <c r="B682" s="2" t="s">
        <v>20</v>
      </c>
      <c r="C682" s="2" t="s">
        <v>13</v>
      </c>
      <c r="D682" s="2" t="s">
        <v>26</v>
      </c>
      <c r="E682" s="2" t="s">
        <v>22</v>
      </c>
      <c r="F682" s="2" t="s">
        <v>58</v>
      </c>
      <c r="G682" s="2" t="s">
        <v>24</v>
      </c>
      <c r="H682" s="2">
        <v>220000</v>
      </c>
      <c r="I682" s="2">
        <v>8</v>
      </c>
      <c r="J682" s="2" t="s">
        <v>32</v>
      </c>
      <c r="K682" s="2">
        <f t="shared" si="70"/>
        <v>176000</v>
      </c>
      <c r="L682" s="9">
        <f>Table_1[[#This Row],[Unit Price]]*Table_1[[#This Row],[Quantity]]</f>
        <v>1760000</v>
      </c>
      <c r="M682" s="8">
        <f>Table_1[[#This Row],[Cost Price]]*Table_1[[#This Row],[Quantity]]</f>
        <v>1408000</v>
      </c>
      <c r="N682">
        <f>Table_1[[#This Row],[Revenue]]-Table_1[[#This Row],[COGS]]</f>
        <v>352000</v>
      </c>
      <c r="O682" s="11">
        <f t="shared" si="71"/>
        <v>4656740000</v>
      </c>
      <c r="P682">
        <f t="shared" si="72"/>
        <v>3725392000</v>
      </c>
      <c r="Q682">
        <f t="shared" si="73"/>
        <v>931348000</v>
      </c>
      <c r="R682" s="7">
        <f t="shared" si="74"/>
        <v>2098</v>
      </c>
      <c r="S682" s="7">
        <f t="shared" si="75"/>
        <v>3</v>
      </c>
      <c r="T682" s="7">
        <f t="shared" si="76"/>
        <v>2098</v>
      </c>
    </row>
    <row r="683" spans="1:20" ht="14.25" customHeight="1" x14ac:dyDescent="0.35">
      <c r="A683" s="2" t="s">
        <v>150</v>
      </c>
      <c r="B683" s="2" t="s">
        <v>12</v>
      </c>
      <c r="C683" s="2" t="s">
        <v>30</v>
      </c>
      <c r="D683" s="2" t="s">
        <v>14</v>
      </c>
      <c r="E683" s="2" t="s">
        <v>15</v>
      </c>
      <c r="F683" s="2" t="s">
        <v>31</v>
      </c>
      <c r="G683" s="2" t="s">
        <v>24</v>
      </c>
      <c r="H683" s="2">
        <v>60000</v>
      </c>
      <c r="I683" s="2">
        <v>1</v>
      </c>
      <c r="J683" s="2" t="s">
        <v>18</v>
      </c>
      <c r="K683" s="2">
        <f t="shared" si="70"/>
        <v>48000</v>
      </c>
      <c r="L683" s="9">
        <f>Table_1[[#This Row],[Unit Price]]*Table_1[[#This Row],[Quantity]]</f>
        <v>60000</v>
      </c>
      <c r="M683" s="8">
        <f>Table_1[[#This Row],[Cost Price]]*Table_1[[#This Row],[Quantity]]</f>
        <v>48000</v>
      </c>
      <c r="N683">
        <f>Table_1[[#This Row],[Revenue]]-Table_1[[#This Row],[COGS]]</f>
        <v>12000</v>
      </c>
      <c r="O683" s="11">
        <f t="shared" si="71"/>
        <v>4656740000</v>
      </c>
      <c r="P683">
        <f t="shared" si="72"/>
        <v>3725392000</v>
      </c>
      <c r="Q683">
        <f t="shared" si="73"/>
        <v>931348000</v>
      </c>
      <c r="R683" s="7">
        <f t="shared" si="74"/>
        <v>2098</v>
      </c>
      <c r="S683" s="7">
        <f t="shared" si="75"/>
        <v>4</v>
      </c>
      <c r="T683" s="7">
        <f t="shared" si="76"/>
        <v>2098</v>
      </c>
    </row>
    <row r="684" spans="1:20" ht="14.25" customHeight="1" x14ac:dyDescent="0.35">
      <c r="A684" s="2" t="s">
        <v>67</v>
      </c>
      <c r="B684" s="2" t="s">
        <v>29</v>
      </c>
      <c r="C684" s="2" t="s">
        <v>30</v>
      </c>
      <c r="D684" s="2" t="s">
        <v>26</v>
      </c>
      <c r="E684" s="2" t="s">
        <v>15</v>
      </c>
      <c r="F684" s="2" t="s">
        <v>16</v>
      </c>
      <c r="G684" s="2" t="s">
        <v>17</v>
      </c>
      <c r="H684" s="2">
        <v>85000</v>
      </c>
      <c r="I684" s="2">
        <v>9</v>
      </c>
      <c r="J684" s="2" t="s">
        <v>50</v>
      </c>
      <c r="K684" s="2">
        <f t="shared" si="70"/>
        <v>68000</v>
      </c>
      <c r="L684" s="9">
        <f>Table_1[[#This Row],[Unit Price]]*Table_1[[#This Row],[Quantity]]</f>
        <v>765000</v>
      </c>
      <c r="M684" s="8">
        <f>Table_1[[#This Row],[Cost Price]]*Table_1[[#This Row],[Quantity]]</f>
        <v>612000</v>
      </c>
      <c r="N684">
        <f>Table_1[[#This Row],[Revenue]]-Table_1[[#This Row],[COGS]]</f>
        <v>153000</v>
      </c>
      <c r="O684" s="11">
        <f t="shared" si="71"/>
        <v>4656740000</v>
      </c>
      <c r="P684">
        <f t="shared" si="72"/>
        <v>3725392000</v>
      </c>
      <c r="Q684">
        <f t="shared" si="73"/>
        <v>931348000</v>
      </c>
      <c r="R684" s="7">
        <f t="shared" si="74"/>
        <v>2098</v>
      </c>
      <c r="S684" s="7">
        <f t="shared" si="75"/>
        <v>3</v>
      </c>
      <c r="T684" s="7">
        <f t="shared" si="76"/>
        <v>2098</v>
      </c>
    </row>
    <row r="685" spans="1:20" ht="14.25" customHeight="1" x14ac:dyDescent="0.35">
      <c r="A685" s="2" t="s">
        <v>64</v>
      </c>
      <c r="B685" s="2" t="s">
        <v>20</v>
      </c>
      <c r="C685" s="2" t="s">
        <v>21</v>
      </c>
      <c r="D685" s="2" t="s">
        <v>14</v>
      </c>
      <c r="E685" s="2" t="s">
        <v>22</v>
      </c>
      <c r="F685" s="2" t="s">
        <v>16</v>
      </c>
      <c r="G685" s="2" t="s">
        <v>17</v>
      </c>
      <c r="H685" s="2">
        <v>85000</v>
      </c>
      <c r="I685" s="2">
        <v>4</v>
      </c>
      <c r="J685" s="2" t="s">
        <v>43</v>
      </c>
      <c r="K685" s="2">
        <f t="shared" si="70"/>
        <v>68000</v>
      </c>
      <c r="L685" s="9">
        <f>Table_1[[#This Row],[Unit Price]]*Table_1[[#This Row],[Quantity]]</f>
        <v>340000</v>
      </c>
      <c r="M685" s="8">
        <f>Table_1[[#This Row],[Cost Price]]*Table_1[[#This Row],[Quantity]]</f>
        <v>272000</v>
      </c>
      <c r="N685">
        <f>Table_1[[#This Row],[Revenue]]-Table_1[[#This Row],[COGS]]</f>
        <v>68000</v>
      </c>
      <c r="O685" s="11">
        <f t="shared" si="71"/>
        <v>4656740000</v>
      </c>
      <c r="P685">
        <f t="shared" si="72"/>
        <v>3725392000</v>
      </c>
      <c r="Q685">
        <f t="shared" si="73"/>
        <v>931348000</v>
      </c>
      <c r="R685" s="7">
        <f t="shared" si="74"/>
        <v>2098</v>
      </c>
      <c r="S685" s="7">
        <f t="shared" si="75"/>
        <v>2</v>
      </c>
      <c r="T685" s="7">
        <f t="shared" si="76"/>
        <v>2098</v>
      </c>
    </row>
    <row r="686" spans="1:20" ht="14.25" customHeight="1" x14ac:dyDescent="0.35">
      <c r="A686" s="2" t="s">
        <v>137</v>
      </c>
      <c r="B686" s="2" t="s">
        <v>20</v>
      </c>
      <c r="C686" s="2" t="s">
        <v>38</v>
      </c>
      <c r="D686" s="2" t="s">
        <v>26</v>
      </c>
      <c r="E686" s="2" t="s">
        <v>22</v>
      </c>
      <c r="F686" s="2" t="s">
        <v>39</v>
      </c>
      <c r="G686" s="2" t="s">
        <v>24</v>
      </c>
      <c r="H686" s="2">
        <v>180000</v>
      </c>
      <c r="I686" s="2">
        <v>6</v>
      </c>
      <c r="J686" s="2" t="s">
        <v>18</v>
      </c>
      <c r="K686" s="2">
        <f t="shared" si="70"/>
        <v>144000</v>
      </c>
      <c r="L686" s="9">
        <f>Table_1[[#This Row],[Unit Price]]*Table_1[[#This Row],[Quantity]]</f>
        <v>1080000</v>
      </c>
      <c r="M686" s="8">
        <f>Table_1[[#This Row],[Cost Price]]*Table_1[[#This Row],[Quantity]]</f>
        <v>864000</v>
      </c>
      <c r="N686">
        <f>Table_1[[#This Row],[Revenue]]-Table_1[[#This Row],[COGS]]</f>
        <v>216000</v>
      </c>
      <c r="O686" s="11">
        <f t="shared" si="71"/>
        <v>4656740000</v>
      </c>
      <c r="P686">
        <f t="shared" si="72"/>
        <v>3725392000</v>
      </c>
      <c r="Q686">
        <f t="shared" si="73"/>
        <v>931348000</v>
      </c>
      <c r="R686" s="7">
        <f t="shared" si="74"/>
        <v>2098</v>
      </c>
      <c r="S686" s="7">
        <f t="shared" si="75"/>
        <v>1</v>
      </c>
      <c r="T686" s="7">
        <f t="shared" si="76"/>
        <v>2098</v>
      </c>
    </row>
    <row r="687" spans="1:20" ht="14.25" customHeight="1" x14ac:dyDescent="0.35">
      <c r="A687" s="2" t="s">
        <v>66</v>
      </c>
      <c r="B687" s="2" t="s">
        <v>12</v>
      </c>
      <c r="C687" s="2" t="s">
        <v>38</v>
      </c>
      <c r="D687" s="2" t="s">
        <v>14</v>
      </c>
      <c r="E687" s="2" t="s">
        <v>15</v>
      </c>
      <c r="F687" s="2" t="s">
        <v>39</v>
      </c>
      <c r="G687" s="2" t="s">
        <v>24</v>
      </c>
      <c r="H687" s="2">
        <v>180000</v>
      </c>
      <c r="I687" s="2">
        <v>2</v>
      </c>
      <c r="J687" s="2" t="s">
        <v>54</v>
      </c>
      <c r="K687" s="2">
        <f t="shared" si="70"/>
        <v>144000</v>
      </c>
      <c r="L687" s="9">
        <f>Table_1[[#This Row],[Unit Price]]*Table_1[[#This Row],[Quantity]]</f>
        <v>360000</v>
      </c>
      <c r="M687" s="8">
        <f>Table_1[[#This Row],[Cost Price]]*Table_1[[#This Row],[Quantity]]</f>
        <v>288000</v>
      </c>
      <c r="N687">
        <f>Table_1[[#This Row],[Revenue]]-Table_1[[#This Row],[COGS]]</f>
        <v>72000</v>
      </c>
      <c r="O687" s="11">
        <f t="shared" si="71"/>
        <v>4656740000</v>
      </c>
      <c r="P687">
        <f t="shared" si="72"/>
        <v>3725392000</v>
      </c>
      <c r="Q687">
        <f t="shared" si="73"/>
        <v>931348000</v>
      </c>
      <c r="R687" s="7">
        <f t="shared" si="74"/>
        <v>2098</v>
      </c>
      <c r="S687" s="7">
        <f t="shared" si="75"/>
        <v>3</v>
      </c>
      <c r="T687" s="7">
        <f t="shared" si="76"/>
        <v>2098</v>
      </c>
    </row>
    <row r="688" spans="1:20" ht="14.25" customHeight="1" x14ac:dyDescent="0.35">
      <c r="A688" s="2" t="s">
        <v>131</v>
      </c>
      <c r="B688" s="2" t="s">
        <v>34</v>
      </c>
      <c r="C688" s="2" t="s">
        <v>13</v>
      </c>
      <c r="D688" s="2" t="s">
        <v>14</v>
      </c>
      <c r="E688" s="2" t="s">
        <v>15</v>
      </c>
      <c r="F688" s="2" t="s">
        <v>31</v>
      </c>
      <c r="G688" s="2" t="s">
        <v>24</v>
      </c>
      <c r="H688" s="2">
        <v>60000</v>
      </c>
      <c r="I688" s="2">
        <v>8</v>
      </c>
      <c r="J688" s="2" t="s">
        <v>32</v>
      </c>
      <c r="K688" s="2">
        <f t="shared" si="70"/>
        <v>48000</v>
      </c>
      <c r="L688" s="9">
        <f>Table_1[[#This Row],[Unit Price]]*Table_1[[#This Row],[Quantity]]</f>
        <v>480000</v>
      </c>
      <c r="M688" s="8">
        <f>Table_1[[#This Row],[Cost Price]]*Table_1[[#This Row],[Quantity]]</f>
        <v>384000</v>
      </c>
      <c r="N688">
        <f>Table_1[[#This Row],[Revenue]]-Table_1[[#This Row],[COGS]]</f>
        <v>96000</v>
      </c>
      <c r="O688" s="11">
        <f t="shared" si="71"/>
        <v>4656740000</v>
      </c>
      <c r="P688">
        <f t="shared" si="72"/>
        <v>3725392000</v>
      </c>
      <c r="Q688">
        <f t="shared" si="73"/>
        <v>931348000</v>
      </c>
      <c r="R688" s="7">
        <f t="shared" si="74"/>
        <v>2098</v>
      </c>
      <c r="S688" s="7">
        <f t="shared" si="75"/>
        <v>1</v>
      </c>
      <c r="T688" s="7">
        <f t="shared" si="76"/>
        <v>2098</v>
      </c>
    </row>
    <row r="689" spans="1:20" ht="14.25" customHeight="1" x14ac:dyDescent="0.35">
      <c r="A689" s="2" t="s">
        <v>69</v>
      </c>
      <c r="B689" s="2" t="s">
        <v>34</v>
      </c>
      <c r="C689" s="2" t="s">
        <v>38</v>
      </c>
      <c r="D689" s="2" t="s">
        <v>14</v>
      </c>
      <c r="E689" s="2" t="s">
        <v>15</v>
      </c>
      <c r="F689" s="2" t="s">
        <v>41</v>
      </c>
      <c r="G689" s="2" t="s">
        <v>17</v>
      </c>
      <c r="H689" s="2">
        <v>320000</v>
      </c>
      <c r="I689" s="2">
        <v>4</v>
      </c>
      <c r="J689" s="2" t="s">
        <v>43</v>
      </c>
      <c r="K689" s="2">
        <f t="shared" si="70"/>
        <v>256000</v>
      </c>
      <c r="L689" s="9">
        <f>Table_1[[#This Row],[Unit Price]]*Table_1[[#This Row],[Quantity]]</f>
        <v>1280000</v>
      </c>
      <c r="M689" s="8">
        <f>Table_1[[#This Row],[Cost Price]]*Table_1[[#This Row],[Quantity]]</f>
        <v>1024000</v>
      </c>
      <c r="N689">
        <f>Table_1[[#This Row],[Revenue]]-Table_1[[#This Row],[COGS]]</f>
        <v>256000</v>
      </c>
      <c r="O689" s="11">
        <f t="shared" si="71"/>
        <v>4656740000</v>
      </c>
      <c r="P689">
        <f t="shared" si="72"/>
        <v>3725392000</v>
      </c>
      <c r="Q689">
        <f t="shared" si="73"/>
        <v>931348000</v>
      </c>
      <c r="R689" s="7">
        <f t="shared" si="74"/>
        <v>2098</v>
      </c>
      <c r="S689" s="7">
        <f t="shared" si="75"/>
        <v>1</v>
      </c>
      <c r="T689" s="7">
        <f t="shared" si="76"/>
        <v>2098</v>
      </c>
    </row>
    <row r="690" spans="1:20" ht="14.25" customHeight="1" x14ac:dyDescent="0.35">
      <c r="A690" s="2" t="s">
        <v>122</v>
      </c>
      <c r="B690" s="2" t="s">
        <v>20</v>
      </c>
      <c r="C690" s="2" t="s">
        <v>21</v>
      </c>
      <c r="D690" s="2" t="s">
        <v>26</v>
      </c>
      <c r="E690" s="2" t="s">
        <v>15</v>
      </c>
      <c r="F690" s="2" t="s">
        <v>39</v>
      </c>
      <c r="G690" s="2" t="s">
        <v>24</v>
      </c>
      <c r="H690" s="2">
        <v>180000</v>
      </c>
      <c r="I690" s="2">
        <v>3</v>
      </c>
      <c r="J690" s="2" t="s">
        <v>27</v>
      </c>
      <c r="K690" s="2">
        <f t="shared" si="70"/>
        <v>144000</v>
      </c>
      <c r="L690" s="9">
        <f>Table_1[[#This Row],[Unit Price]]*Table_1[[#This Row],[Quantity]]</f>
        <v>540000</v>
      </c>
      <c r="M690" s="8">
        <f>Table_1[[#This Row],[Cost Price]]*Table_1[[#This Row],[Quantity]]</f>
        <v>432000</v>
      </c>
      <c r="N690">
        <f>Table_1[[#This Row],[Revenue]]-Table_1[[#This Row],[COGS]]</f>
        <v>108000</v>
      </c>
      <c r="O690" s="11">
        <f t="shared" si="71"/>
        <v>4656740000</v>
      </c>
      <c r="P690">
        <f t="shared" si="72"/>
        <v>3725392000</v>
      </c>
      <c r="Q690">
        <f t="shared" si="73"/>
        <v>931348000</v>
      </c>
      <c r="R690" s="7">
        <f t="shared" si="74"/>
        <v>2098</v>
      </c>
      <c r="S690" s="7">
        <f t="shared" si="75"/>
        <v>4</v>
      </c>
      <c r="T690" s="7">
        <f t="shared" si="76"/>
        <v>2098</v>
      </c>
    </row>
    <row r="691" spans="1:20" ht="14.25" customHeight="1" x14ac:dyDescent="0.35">
      <c r="A691" s="2" t="s">
        <v>107</v>
      </c>
      <c r="B691" s="2" t="s">
        <v>20</v>
      </c>
      <c r="C691" s="2" t="s">
        <v>13</v>
      </c>
      <c r="D691" s="2" t="s">
        <v>14</v>
      </c>
      <c r="E691" s="2" t="s">
        <v>22</v>
      </c>
      <c r="F691" s="2" t="s">
        <v>47</v>
      </c>
      <c r="G691" s="2" t="s">
        <v>36</v>
      </c>
      <c r="H691" s="2">
        <v>150000</v>
      </c>
      <c r="I691" s="2">
        <v>9</v>
      </c>
      <c r="J691" s="2" t="s">
        <v>32</v>
      </c>
      <c r="K691" s="2">
        <f t="shared" si="70"/>
        <v>120000</v>
      </c>
      <c r="L691" s="9">
        <f>Table_1[[#This Row],[Unit Price]]*Table_1[[#This Row],[Quantity]]</f>
        <v>1350000</v>
      </c>
      <c r="M691" s="8">
        <f>Table_1[[#This Row],[Cost Price]]*Table_1[[#This Row],[Quantity]]</f>
        <v>1080000</v>
      </c>
      <c r="N691">
        <f>Table_1[[#This Row],[Revenue]]-Table_1[[#This Row],[COGS]]</f>
        <v>270000</v>
      </c>
      <c r="O691" s="11">
        <f t="shared" si="71"/>
        <v>4656740000</v>
      </c>
      <c r="P691">
        <f t="shared" si="72"/>
        <v>3725392000</v>
      </c>
      <c r="Q691">
        <f t="shared" si="73"/>
        <v>931348000</v>
      </c>
      <c r="R691" s="7">
        <f t="shared" si="74"/>
        <v>2098</v>
      </c>
      <c r="S691" s="7">
        <f t="shared" si="75"/>
        <v>3</v>
      </c>
      <c r="T691" s="7">
        <f t="shared" si="76"/>
        <v>2098</v>
      </c>
    </row>
    <row r="692" spans="1:20" ht="14.25" customHeight="1" x14ac:dyDescent="0.35">
      <c r="A692" s="2" t="s">
        <v>125</v>
      </c>
      <c r="B692" s="2" t="s">
        <v>20</v>
      </c>
      <c r="C692" s="2" t="s">
        <v>21</v>
      </c>
      <c r="D692" s="2" t="s">
        <v>26</v>
      </c>
      <c r="E692" s="2" t="s">
        <v>22</v>
      </c>
      <c r="F692" s="2" t="s">
        <v>16</v>
      </c>
      <c r="G692" s="2" t="s">
        <v>17</v>
      </c>
      <c r="H692" s="2">
        <v>85000</v>
      </c>
      <c r="I692" s="2">
        <v>4</v>
      </c>
      <c r="J692" s="2" t="s">
        <v>18</v>
      </c>
      <c r="K692" s="2">
        <f t="shared" si="70"/>
        <v>68000</v>
      </c>
      <c r="L692" s="9">
        <f>Table_1[[#This Row],[Unit Price]]*Table_1[[#This Row],[Quantity]]</f>
        <v>340000</v>
      </c>
      <c r="M692" s="8">
        <f>Table_1[[#This Row],[Cost Price]]*Table_1[[#This Row],[Quantity]]</f>
        <v>272000</v>
      </c>
      <c r="N692">
        <f>Table_1[[#This Row],[Revenue]]-Table_1[[#This Row],[COGS]]</f>
        <v>68000</v>
      </c>
      <c r="O692" s="11">
        <f t="shared" si="71"/>
        <v>4656740000</v>
      </c>
      <c r="P692">
        <f t="shared" si="72"/>
        <v>3725392000</v>
      </c>
      <c r="Q692">
        <f t="shared" si="73"/>
        <v>931348000</v>
      </c>
      <c r="R692" s="7">
        <f t="shared" si="74"/>
        <v>2098</v>
      </c>
      <c r="S692" s="7">
        <f t="shared" si="75"/>
        <v>4</v>
      </c>
      <c r="T692" s="7">
        <f t="shared" si="76"/>
        <v>2098</v>
      </c>
    </row>
    <row r="693" spans="1:20" ht="14.25" customHeight="1" x14ac:dyDescent="0.35">
      <c r="A693" s="2" t="s">
        <v>128</v>
      </c>
      <c r="B693" s="2" t="s">
        <v>29</v>
      </c>
      <c r="C693" s="2" t="s">
        <v>30</v>
      </c>
      <c r="D693" s="2" t="s">
        <v>14</v>
      </c>
      <c r="E693" s="2" t="s">
        <v>15</v>
      </c>
      <c r="F693" s="2" t="s">
        <v>58</v>
      </c>
      <c r="G693" s="2" t="s">
        <v>24</v>
      </c>
      <c r="H693" s="2">
        <v>220000</v>
      </c>
      <c r="I693" s="2">
        <v>4</v>
      </c>
      <c r="J693" s="2" t="s">
        <v>18</v>
      </c>
      <c r="K693" s="2">
        <f t="shared" si="70"/>
        <v>176000</v>
      </c>
      <c r="L693" s="9">
        <f>Table_1[[#This Row],[Unit Price]]*Table_1[[#This Row],[Quantity]]</f>
        <v>880000</v>
      </c>
      <c r="M693" s="8">
        <f>Table_1[[#This Row],[Cost Price]]*Table_1[[#This Row],[Quantity]]</f>
        <v>704000</v>
      </c>
      <c r="N693">
        <f>Table_1[[#This Row],[Revenue]]-Table_1[[#This Row],[COGS]]</f>
        <v>176000</v>
      </c>
      <c r="O693" s="11">
        <f t="shared" si="71"/>
        <v>4656740000</v>
      </c>
      <c r="P693">
        <f t="shared" si="72"/>
        <v>3725392000</v>
      </c>
      <c r="Q693">
        <f t="shared" si="73"/>
        <v>931348000</v>
      </c>
      <c r="R693" s="7">
        <f t="shared" si="74"/>
        <v>2098</v>
      </c>
      <c r="S693" s="7">
        <f t="shared" si="75"/>
        <v>4</v>
      </c>
      <c r="T693" s="7">
        <f t="shared" si="76"/>
        <v>2098</v>
      </c>
    </row>
    <row r="694" spans="1:20" ht="14.25" customHeight="1" x14ac:dyDescent="0.35">
      <c r="A694" s="2" t="s">
        <v>75</v>
      </c>
      <c r="B694" s="2" t="s">
        <v>34</v>
      </c>
      <c r="C694" s="2" t="s">
        <v>13</v>
      </c>
      <c r="D694" s="2" t="s">
        <v>14</v>
      </c>
      <c r="E694" s="2" t="s">
        <v>15</v>
      </c>
      <c r="F694" s="2" t="s">
        <v>23</v>
      </c>
      <c r="G694" s="2" t="s">
        <v>24</v>
      </c>
      <c r="H694" s="2">
        <v>30000</v>
      </c>
      <c r="I694" s="2">
        <v>8</v>
      </c>
      <c r="J694" s="2" t="s">
        <v>50</v>
      </c>
      <c r="K694" s="2">
        <f t="shared" si="70"/>
        <v>24000</v>
      </c>
      <c r="L694" s="9">
        <f>Table_1[[#This Row],[Unit Price]]*Table_1[[#This Row],[Quantity]]</f>
        <v>240000</v>
      </c>
      <c r="M694" s="8">
        <f>Table_1[[#This Row],[Cost Price]]*Table_1[[#This Row],[Quantity]]</f>
        <v>192000</v>
      </c>
      <c r="N694">
        <f>Table_1[[#This Row],[Revenue]]-Table_1[[#This Row],[COGS]]</f>
        <v>48000</v>
      </c>
      <c r="O694" s="11">
        <f t="shared" si="71"/>
        <v>4656740000</v>
      </c>
      <c r="P694">
        <f t="shared" si="72"/>
        <v>3725392000</v>
      </c>
      <c r="Q694">
        <f t="shared" si="73"/>
        <v>931348000</v>
      </c>
      <c r="R694" s="7">
        <f t="shared" si="74"/>
        <v>2098</v>
      </c>
      <c r="S694" s="7">
        <f t="shared" si="75"/>
        <v>2</v>
      </c>
      <c r="T694" s="7">
        <f t="shared" si="76"/>
        <v>2098</v>
      </c>
    </row>
    <row r="695" spans="1:20" ht="14.25" customHeight="1" x14ac:dyDescent="0.35">
      <c r="A695" s="2" t="s">
        <v>143</v>
      </c>
      <c r="B695" s="2" t="s">
        <v>29</v>
      </c>
      <c r="C695" s="2" t="s">
        <v>13</v>
      </c>
      <c r="D695" s="2" t="s">
        <v>14</v>
      </c>
      <c r="E695" s="2" t="s">
        <v>15</v>
      </c>
      <c r="F695" s="2" t="s">
        <v>16</v>
      </c>
      <c r="G695" s="2" t="s">
        <v>17</v>
      </c>
      <c r="H695" s="2">
        <v>85000</v>
      </c>
      <c r="I695" s="2">
        <v>4</v>
      </c>
      <c r="J695" s="2" t="s">
        <v>18</v>
      </c>
      <c r="K695" s="2">
        <f t="shared" si="70"/>
        <v>68000</v>
      </c>
      <c r="L695" s="9">
        <f>Table_1[[#This Row],[Unit Price]]*Table_1[[#This Row],[Quantity]]</f>
        <v>340000</v>
      </c>
      <c r="M695" s="8">
        <f>Table_1[[#This Row],[Cost Price]]*Table_1[[#This Row],[Quantity]]</f>
        <v>272000</v>
      </c>
      <c r="N695">
        <f>Table_1[[#This Row],[Revenue]]-Table_1[[#This Row],[COGS]]</f>
        <v>68000</v>
      </c>
      <c r="O695" s="11">
        <f t="shared" si="71"/>
        <v>4656740000</v>
      </c>
      <c r="P695">
        <f t="shared" si="72"/>
        <v>3725392000</v>
      </c>
      <c r="Q695">
        <f t="shared" si="73"/>
        <v>931348000</v>
      </c>
      <c r="R695" s="7">
        <f t="shared" si="74"/>
        <v>2098</v>
      </c>
      <c r="S695" s="7">
        <f t="shared" si="75"/>
        <v>1</v>
      </c>
      <c r="T695" s="7">
        <f t="shared" si="76"/>
        <v>2098</v>
      </c>
    </row>
    <row r="696" spans="1:20" ht="14.25" customHeight="1" x14ac:dyDescent="0.35">
      <c r="A696" s="2" t="s">
        <v>74</v>
      </c>
      <c r="B696" s="2" t="s">
        <v>34</v>
      </c>
      <c r="C696" s="2" t="s">
        <v>13</v>
      </c>
      <c r="D696" s="2" t="s">
        <v>14</v>
      </c>
      <c r="E696" s="2" t="s">
        <v>15</v>
      </c>
      <c r="F696" s="2" t="s">
        <v>35</v>
      </c>
      <c r="G696" s="2" t="s">
        <v>36</v>
      </c>
      <c r="H696" s="2">
        <v>300000</v>
      </c>
      <c r="I696" s="2">
        <v>2</v>
      </c>
      <c r="J696" s="2" t="s">
        <v>32</v>
      </c>
      <c r="K696" s="2">
        <f t="shared" si="70"/>
        <v>240000</v>
      </c>
      <c r="L696" s="9">
        <f>Table_1[[#This Row],[Unit Price]]*Table_1[[#This Row],[Quantity]]</f>
        <v>600000</v>
      </c>
      <c r="M696" s="8">
        <f>Table_1[[#This Row],[Cost Price]]*Table_1[[#This Row],[Quantity]]</f>
        <v>480000</v>
      </c>
      <c r="N696">
        <f>Table_1[[#This Row],[Revenue]]-Table_1[[#This Row],[COGS]]</f>
        <v>120000</v>
      </c>
      <c r="O696" s="11">
        <f t="shared" si="71"/>
        <v>4656740000</v>
      </c>
      <c r="P696">
        <f t="shared" si="72"/>
        <v>3725392000</v>
      </c>
      <c r="Q696">
        <f t="shared" si="73"/>
        <v>931348000</v>
      </c>
      <c r="R696" s="7">
        <f t="shared" si="74"/>
        <v>2098</v>
      </c>
      <c r="S696" s="7">
        <f t="shared" si="75"/>
        <v>2</v>
      </c>
      <c r="T696" s="7">
        <f t="shared" si="76"/>
        <v>2098</v>
      </c>
    </row>
    <row r="697" spans="1:20" ht="14.25" customHeight="1" x14ac:dyDescent="0.35">
      <c r="A697" s="2" t="s">
        <v>157</v>
      </c>
      <c r="B697" s="2" t="s">
        <v>12</v>
      </c>
      <c r="C697" s="2" t="s">
        <v>30</v>
      </c>
      <c r="D697" s="2" t="s">
        <v>26</v>
      </c>
      <c r="E697" s="2" t="s">
        <v>22</v>
      </c>
      <c r="F697" s="2" t="s">
        <v>16</v>
      </c>
      <c r="G697" s="2" t="s">
        <v>17</v>
      </c>
      <c r="H697" s="2">
        <v>85000</v>
      </c>
      <c r="I697" s="2">
        <v>2</v>
      </c>
      <c r="J697" s="2" t="s">
        <v>50</v>
      </c>
      <c r="K697" s="2">
        <f t="shared" si="70"/>
        <v>68000</v>
      </c>
      <c r="L697" s="9">
        <f>Table_1[[#This Row],[Unit Price]]*Table_1[[#This Row],[Quantity]]</f>
        <v>170000</v>
      </c>
      <c r="M697" s="8">
        <f>Table_1[[#This Row],[Cost Price]]*Table_1[[#This Row],[Quantity]]</f>
        <v>136000</v>
      </c>
      <c r="N697">
        <f>Table_1[[#This Row],[Revenue]]-Table_1[[#This Row],[COGS]]</f>
        <v>34000</v>
      </c>
      <c r="O697" s="11">
        <f t="shared" si="71"/>
        <v>4656740000</v>
      </c>
      <c r="P697">
        <f t="shared" si="72"/>
        <v>3725392000</v>
      </c>
      <c r="Q697">
        <f t="shared" si="73"/>
        <v>931348000</v>
      </c>
      <c r="R697" s="7">
        <f t="shared" si="74"/>
        <v>2098</v>
      </c>
      <c r="S697" s="7">
        <f t="shared" si="75"/>
        <v>3</v>
      </c>
      <c r="T697" s="7">
        <f t="shared" si="76"/>
        <v>2098</v>
      </c>
    </row>
    <row r="698" spans="1:20" ht="14.25" customHeight="1" x14ac:dyDescent="0.35">
      <c r="A698" s="2" t="s">
        <v>28</v>
      </c>
      <c r="B698" s="2" t="s">
        <v>12</v>
      </c>
      <c r="C698" s="2" t="s">
        <v>13</v>
      </c>
      <c r="D698" s="2" t="s">
        <v>26</v>
      </c>
      <c r="E698" s="2" t="s">
        <v>15</v>
      </c>
      <c r="F698" s="2" t="s">
        <v>52</v>
      </c>
      <c r="G698" s="2" t="s">
        <v>36</v>
      </c>
      <c r="H698" s="2">
        <v>420000</v>
      </c>
      <c r="I698" s="2">
        <v>5</v>
      </c>
      <c r="J698" s="2" t="s">
        <v>18</v>
      </c>
      <c r="K698" s="2">
        <f t="shared" si="70"/>
        <v>336000</v>
      </c>
      <c r="L698" s="9">
        <f>Table_1[[#This Row],[Unit Price]]*Table_1[[#This Row],[Quantity]]</f>
        <v>2100000</v>
      </c>
      <c r="M698" s="8">
        <f>Table_1[[#This Row],[Cost Price]]*Table_1[[#This Row],[Quantity]]</f>
        <v>1680000</v>
      </c>
      <c r="N698">
        <f>Table_1[[#This Row],[Revenue]]-Table_1[[#This Row],[COGS]]</f>
        <v>420000</v>
      </c>
      <c r="O698" s="11">
        <f t="shared" si="71"/>
        <v>4656740000</v>
      </c>
      <c r="P698">
        <f t="shared" si="72"/>
        <v>3725392000</v>
      </c>
      <c r="Q698">
        <f t="shared" si="73"/>
        <v>931348000</v>
      </c>
      <c r="R698" s="7">
        <f t="shared" si="74"/>
        <v>2098</v>
      </c>
      <c r="S698" s="7">
        <f t="shared" si="75"/>
        <v>4</v>
      </c>
      <c r="T698" s="7">
        <f t="shared" si="76"/>
        <v>2098</v>
      </c>
    </row>
    <row r="699" spans="1:20" ht="14.25" customHeight="1" x14ac:dyDescent="0.35">
      <c r="A699" s="2" t="s">
        <v>127</v>
      </c>
      <c r="B699" s="2" t="s">
        <v>29</v>
      </c>
      <c r="C699" s="2" t="s">
        <v>30</v>
      </c>
      <c r="D699" s="2" t="s">
        <v>26</v>
      </c>
      <c r="E699" s="2" t="s">
        <v>15</v>
      </c>
      <c r="F699" s="2" t="s">
        <v>35</v>
      </c>
      <c r="G699" s="2" t="s">
        <v>36</v>
      </c>
      <c r="H699" s="2">
        <v>300000</v>
      </c>
      <c r="I699" s="2">
        <v>8</v>
      </c>
      <c r="J699" s="2" t="s">
        <v>27</v>
      </c>
      <c r="K699" s="2">
        <f t="shared" si="70"/>
        <v>240000</v>
      </c>
      <c r="L699" s="9">
        <f>Table_1[[#This Row],[Unit Price]]*Table_1[[#This Row],[Quantity]]</f>
        <v>2400000</v>
      </c>
      <c r="M699" s="8">
        <f>Table_1[[#This Row],[Cost Price]]*Table_1[[#This Row],[Quantity]]</f>
        <v>1920000</v>
      </c>
      <c r="N699">
        <f>Table_1[[#This Row],[Revenue]]-Table_1[[#This Row],[COGS]]</f>
        <v>480000</v>
      </c>
      <c r="O699" s="11">
        <f t="shared" si="71"/>
        <v>4656740000</v>
      </c>
      <c r="P699">
        <f t="shared" si="72"/>
        <v>3725392000</v>
      </c>
      <c r="Q699">
        <f t="shared" si="73"/>
        <v>931348000</v>
      </c>
      <c r="R699" s="7">
        <f t="shared" si="74"/>
        <v>2098</v>
      </c>
      <c r="S699" s="7">
        <f t="shared" si="75"/>
        <v>4</v>
      </c>
      <c r="T699" s="7">
        <f t="shared" si="76"/>
        <v>2098</v>
      </c>
    </row>
    <row r="700" spans="1:20" ht="14.25" customHeight="1" x14ac:dyDescent="0.35">
      <c r="A700" s="2" t="s">
        <v>128</v>
      </c>
      <c r="B700" s="2" t="s">
        <v>12</v>
      </c>
      <c r="C700" s="2" t="s">
        <v>21</v>
      </c>
      <c r="D700" s="2" t="s">
        <v>26</v>
      </c>
      <c r="E700" s="2" t="s">
        <v>22</v>
      </c>
      <c r="F700" s="2" t="s">
        <v>31</v>
      </c>
      <c r="G700" s="2" t="s">
        <v>24</v>
      </c>
      <c r="H700" s="2">
        <v>60000</v>
      </c>
      <c r="I700" s="2">
        <v>1</v>
      </c>
      <c r="J700" s="2" t="s">
        <v>18</v>
      </c>
      <c r="K700" s="2">
        <f t="shared" si="70"/>
        <v>48000</v>
      </c>
      <c r="L700" s="9">
        <f>Table_1[[#This Row],[Unit Price]]*Table_1[[#This Row],[Quantity]]</f>
        <v>60000</v>
      </c>
      <c r="M700" s="8">
        <f>Table_1[[#This Row],[Cost Price]]*Table_1[[#This Row],[Quantity]]</f>
        <v>48000</v>
      </c>
      <c r="N700">
        <f>Table_1[[#This Row],[Revenue]]-Table_1[[#This Row],[COGS]]</f>
        <v>12000</v>
      </c>
      <c r="O700" s="11">
        <f t="shared" si="71"/>
        <v>4656740000</v>
      </c>
      <c r="P700">
        <f t="shared" si="72"/>
        <v>3725392000</v>
      </c>
      <c r="Q700">
        <f t="shared" si="73"/>
        <v>931348000</v>
      </c>
      <c r="R700" s="7">
        <f t="shared" si="74"/>
        <v>2098</v>
      </c>
      <c r="S700" s="7">
        <f t="shared" si="75"/>
        <v>4</v>
      </c>
      <c r="T700" s="7">
        <f t="shared" si="76"/>
        <v>2098</v>
      </c>
    </row>
    <row r="701" spans="1:20" ht="14.25" customHeight="1" x14ac:dyDescent="0.35">
      <c r="A701" s="2" t="s">
        <v>25</v>
      </c>
      <c r="B701" s="2" t="s">
        <v>12</v>
      </c>
      <c r="C701" s="2" t="s">
        <v>30</v>
      </c>
      <c r="D701" s="2" t="s">
        <v>14</v>
      </c>
      <c r="E701" s="2" t="s">
        <v>15</v>
      </c>
      <c r="F701" s="2" t="s">
        <v>56</v>
      </c>
      <c r="G701" s="2" t="s">
        <v>36</v>
      </c>
      <c r="H701" s="2">
        <v>250000</v>
      </c>
      <c r="I701" s="2">
        <v>8</v>
      </c>
      <c r="J701" s="2" t="s">
        <v>18</v>
      </c>
      <c r="K701" s="2">
        <f t="shared" si="70"/>
        <v>200000</v>
      </c>
      <c r="L701" s="9">
        <f>Table_1[[#This Row],[Unit Price]]*Table_1[[#This Row],[Quantity]]</f>
        <v>2000000</v>
      </c>
      <c r="M701" s="8">
        <f>Table_1[[#This Row],[Cost Price]]*Table_1[[#This Row],[Quantity]]</f>
        <v>1600000</v>
      </c>
      <c r="N701">
        <f>Table_1[[#This Row],[Revenue]]-Table_1[[#This Row],[COGS]]</f>
        <v>400000</v>
      </c>
      <c r="O701" s="11">
        <f t="shared" si="71"/>
        <v>4656740000</v>
      </c>
      <c r="P701">
        <f t="shared" si="72"/>
        <v>3725392000</v>
      </c>
      <c r="Q701">
        <f t="shared" si="73"/>
        <v>931348000</v>
      </c>
      <c r="R701" s="7">
        <f t="shared" si="74"/>
        <v>2098</v>
      </c>
      <c r="S701" s="7">
        <f t="shared" si="75"/>
        <v>2</v>
      </c>
      <c r="T701" s="7">
        <f t="shared" si="76"/>
        <v>2098</v>
      </c>
    </row>
    <row r="702" spans="1:20" ht="14.25" customHeight="1" x14ac:dyDescent="0.35">
      <c r="A702" s="2" t="s">
        <v>123</v>
      </c>
      <c r="B702" s="2" t="s">
        <v>12</v>
      </c>
      <c r="C702" s="2" t="s">
        <v>21</v>
      </c>
      <c r="D702" s="2" t="s">
        <v>26</v>
      </c>
      <c r="E702" s="2" t="s">
        <v>15</v>
      </c>
      <c r="F702" s="2" t="s">
        <v>35</v>
      </c>
      <c r="G702" s="2" t="s">
        <v>36</v>
      </c>
      <c r="H702" s="2">
        <v>300000</v>
      </c>
      <c r="I702" s="2">
        <v>4</v>
      </c>
      <c r="J702" s="2" t="s">
        <v>18</v>
      </c>
      <c r="K702" s="2">
        <f t="shared" si="70"/>
        <v>240000</v>
      </c>
      <c r="L702" s="9">
        <f>Table_1[[#This Row],[Unit Price]]*Table_1[[#This Row],[Quantity]]</f>
        <v>1200000</v>
      </c>
      <c r="M702" s="8">
        <f>Table_1[[#This Row],[Cost Price]]*Table_1[[#This Row],[Quantity]]</f>
        <v>960000</v>
      </c>
      <c r="N702">
        <f>Table_1[[#This Row],[Revenue]]-Table_1[[#This Row],[COGS]]</f>
        <v>240000</v>
      </c>
      <c r="O702" s="11">
        <f t="shared" si="71"/>
        <v>4656740000</v>
      </c>
      <c r="P702">
        <f t="shared" si="72"/>
        <v>3725392000</v>
      </c>
      <c r="Q702">
        <f t="shared" si="73"/>
        <v>931348000</v>
      </c>
      <c r="R702" s="7">
        <f t="shared" si="74"/>
        <v>2098</v>
      </c>
      <c r="S702" s="7">
        <f t="shared" si="75"/>
        <v>4</v>
      </c>
      <c r="T702" s="7">
        <f t="shared" si="76"/>
        <v>2098</v>
      </c>
    </row>
    <row r="703" spans="1:20" ht="14.25" customHeight="1" x14ac:dyDescent="0.35">
      <c r="A703" s="2" t="s">
        <v>121</v>
      </c>
      <c r="B703" s="2" t="s">
        <v>20</v>
      </c>
      <c r="C703" s="2" t="s">
        <v>30</v>
      </c>
      <c r="D703" s="2" t="s">
        <v>26</v>
      </c>
      <c r="E703" s="2" t="s">
        <v>15</v>
      </c>
      <c r="F703" s="2" t="s">
        <v>35</v>
      </c>
      <c r="G703" s="2" t="s">
        <v>36</v>
      </c>
      <c r="H703" s="2">
        <v>300000</v>
      </c>
      <c r="I703" s="2">
        <v>10</v>
      </c>
      <c r="J703" s="2" t="s">
        <v>50</v>
      </c>
      <c r="K703" s="2">
        <f t="shared" si="70"/>
        <v>240000</v>
      </c>
      <c r="L703" s="9">
        <f>Table_1[[#This Row],[Unit Price]]*Table_1[[#This Row],[Quantity]]</f>
        <v>3000000</v>
      </c>
      <c r="M703" s="8">
        <f>Table_1[[#This Row],[Cost Price]]*Table_1[[#This Row],[Quantity]]</f>
        <v>2400000</v>
      </c>
      <c r="N703">
        <f>Table_1[[#This Row],[Revenue]]-Table_1[[#This Row],[COGS]]</f>
        <v>600000</v>
      </c>
      <c r="O703" s="11">
        <f t="shared" si="71"/>
        <v>4656740000</v>
      </c>
      <c r="P703">
        <f t="shared" si="72"/>
        <v>3725392000</v>
      </c>
      <c r="Q703">
        <f t="shared" si="73"/>
        <v>931348000</v>
      </c>
      <c r="R703" s="7">
        <f t="shared" si="74"/>
        <v>2098</v>
      </c>
      <c r="S703" s="7">
        <f t="shared" si="75"/>
        <v>2</v>
      </c>
      <c r="T703" s="7">
        <f t="shared" si="76"/>
        <v>2098</v>
      </c>
    </row>
    <row r="704" spans="1:20" ht="14.25" customHeight="1" x14ac:dyDescent="0.35">
      <c r="A704" s="2" t="s">
        <v>131</v>
      </c>
      <c r="B704" s="2" t="s">
        <v>29</v>
      </c>
      <c r="C704" s="2" t="s">
        <v>21</v>
      </c>
      <c r="D704" s="2" t="s">
        <v>14</v>
      </c>
      <c r="E704" s="2" t="s">
        <v>15</v>
      </c>
      <c r="F704" s="2" t="s">
        <v>35</v>
      </c>
      <c r="G704" s="2" t="s">
        <v>36</v>
      </c>
      <c r="H704" s="2">
        <v>300000</v>
      </c>
      <c r="I704" s="2">
        <v>2</v>
      </c>
      <c r="J704" s="2" t="s">
        <v>54</v>
      </c>
      <c r="K704" s="2">
        <f t="shared" si="70"/>
        <v>240000</v>
      </c>
      <c r="L704" s="9">
        <f>Table_1[[#This Row],[Unit Price]]*Table_1[[#This Row],[Quantity]]</f>
        <v>600000</v>
      </c>
      <c r="M704" s="8">
        <f>Table_1[[#This Row],[Cost Price]]*Table_1[[#This Row],[Quantity]]</f>
        <v>480000</v>
      </c>
      <c r="N704">
        <f>Table_1[[#This Row],[Revenue]]-Table_1[[#This Row],[COGS]]</f>
        <v>120000</v>
      </c>
      <c r="O704" s="11">
        <f t="shared" si="71"/>
        <v>4656740000</v>
      </c>
      <c r="P704">
        <f t="shared" si="72"/>
        <v>3725392000</v>
      </c>
      <c r="Q704">
        <f t="shared" si="73"/>
        <v>931348000</v>
      </c>
      <c r="R704" s="7">
        <f t="shared" si="74"/>
        <v>2098</v>
      </c>
      <c r="S704" s="7">
        <f t="shared" si="75"/>
        <v>1</v>
      </c>
      <c r="T704" s="7">
        <f t="shared" si="76"/>
        <v>2098</v>
      </c>
    </row>
    <row r="705" spans="1:20" ht="14.25" customHeight="1" x14ac:dyDescent="0.35">
      <c r="A705" s="2" t="s">
        <v>159</v>
      </c>
      <c r="B705" s="2" t="s">
        <v>12</v>
      </c>
      <c r="C705" s="2" t="s">
        <v>38</v>
      </c>
      <c r="D705" s="2" t="s">
        <v>14</v>
      </c>
      <c r="E705" s="2" t="s">
        <v>22</v>
      </c>
      <c r="F705" s="2" t="s">
        <v>16</v>
      </c>
      <c r="G705" s="2" t="s">
        <v>17</v>
      </c>
      <c r="H705" s="2">
        <v>85000</v>
      </c>
      <c r="I705" s="2">
        <v>2</v>
      </c>
      <c r="J705" s="2" t="s">
        <v>43</v>
      </c>
      <c r="K705" s="2">
        <f t="shared" si="70"/>
        <v>68000</v>
      </c>
      <c r="L705" s="9">
        <f>Table_1[[#This Row],[Unit Price]]*Table_1[[#This Row],[Quantity]]</f>
        <v>170000</v>
      </c>
      <c r="M705" s="8">
        <f>Table_1[[#This Row],[Cost Price]]*Table_1[[#This Row],[Quantity]]</f>
        <v>136000</v>
      </c>
      <c r="N705">
        <f>Table_1[[#This Row],[Revenue]]-Table_1[[#This Row],[COGS]]</f>
        <v>34000</v>
      </c>
      <c r="O705" s="11">
        <f t="shared" si="71"/>
        <v>4656740000</v>
      </c>
      <c r="P705">
        <f t="shared" si="72"/>
        <v>3725392000</v>
      </c>
      <c r="Q705">
        <f t="shared" si="73"/>
        <v>931348000</v>
      </c>
      <c r="R705" s="7">
        <f t="shared" si="74"/>
        <v>2098</v>
      </c>
      <c r="S705" s="7">
        <f t="shared" si="75"/>
        <v>2</v>
      </c>
      <c r="T705" s="7">
        <f t="shared" si="76"/>
        <v>2098</v>
      </c>
    </row>
    <row r="706" spans="1:20" ht="14.25" customHeight="1" x14ac:dyDescent="0.35">
      <c r="A706" s="2" t="s">
        <v>84</v>
      </c>
      <c r="B706" s="2" t="s">
        <v>34</v>
      </c>
      <c r="C706" s="2" t="s">
        <v>21</v>
      </c>
      <c r="D706" s="2" t="s">
        <v>14</v>
      </c>
      <c r="E706" s="2" t="s">
        <v>15</v>
      </c>
      <c r="F706" s="2" t="s">
        <v>41</v>
      </c>
      <c r="G706" s="2" t="s">
        <v>17</v>
      </c>
      <c r="H706" s="2">
        <v>320000</v>
      </c>
      <c r="I706" s="2">
        <v>3</v>
      </c>
      <c r="J706" s="2" t="s">
        <v>32</v>
      </c>
      <c r="K706" s="2">
        <f t="shared" ref="K706:K769" si="77">H706-H706*0.2</f>
        <v>256000</v>
      </c>
      <c r="L706" s="9">
        <f>Table_1[[#This Row],[Unit Price]]*Table_1[[#This Row],[Quantity]]</f>
        <v>960000</v>
      </c>
      <c r="M706" s="8">
        <f>Table_1[[#This Row],[Cost Price]]*Table_1[[#This Row],[Quantity]]</f>
        <v>768000</v>
      </c>
      <c r="N706">
        <f>Table_1[[#This Row],[Revenue]]-Table_1[[#This Row],[COGS]]</f>
        <v>192000</v>
      </c>
      <c r="O706" s="11">
        <f t="shared" ref="O706:O769" si="78">SUM(L$2:L$1048576)</f>
        <v>4656740000</v>
      </c>
      <c r="P706">
        <f t="shared" ref="P706:P769" si="79">SUM(M:M)</f>
        <v>3725392000</v>
      </c>
      <c r="Q706">
        <f t="shared" ref="Q706:Q769" si="80">SUM(N:N)</f>
        <v>931348000</v>
      </c>
      <c r="R706" s="7">
        <f t="shared" ref="R706:R769" si="81">COUNTA(A$2:A$1048576)</f>
        <v>2098</v>
      </c>
      <c r="S706" s="7">
        <f t="shared" ref="S706:S769" si="82">MONTH(A706:A2194)</f>
        <v>4</v>
      </c>
      <c r="T706" s="7">
        <f t="shared" ref="T706:T769" si="83">COUNTA(A:A)-1</f>
        <v>2098</v>
      </c>
    </row>
    <row r="707" spans="1:20" ht="14.25" customHeight="1" x14ac:dyDescent="0.35">
      <c r="A707" s="2" t="s">
        <v>109</v>
      </c>
      <c r="B707" s="2" t="s">
        <v>12</v>
      </c>
      <c r="C707" s="2" t="s">
        <v>30</v>
      </c>
      <c r="D707" s="2" t="s">
        <v>14</v>
      </c>
      <c r="E707" s="2" t="s">
        <v>22</v>
      </c>
      <c r="F707" s="2" t="s">
        <v>47</v>
      </c>
      <c r="G707" s="2" t="s">
        <v>36</v>
      </c>
      <c r="H707" s="2">
        <v>150000</v>
      </c>
      <c r="I707" s="2">
        <v>4</v>
      </c>
      <c r="J707" s="2" t="s">
        <v>18</v>
      </c>
      <c r="K707" s="2">
        <f t="shared" si="77"/>
        <v>120000</v>
      </c>
      <c r="L707" s="9">
        <f>Table_1[[#This Row],[Unit Price]]*Table_1[[#This Row],[Quantity]]</f>
        <v>600000</v>
      </c>
      <c r="M707" s="8">
        <f>Table_1[[#This Row],[Cost Price]]*Table_1[[#This Row],[Quantity]]</f>
        <v>480000</v>
      </c>
      <c r="N707">
        <f>Table_1[[#This Row],[Revenue]]-Table_1[[#This Row],[COGS]]</f>
        <v>120000</v>
      </c>
      <c r="O707" s="11">
        <f t="shared" si="78"/>
        <v>4656740000</v>
      </c>
      <c r="P707">
        <f t="shared" si="79"/>
        <v>3725392000</v>
      </c>
      <c r="Q707">
        <f t="shared" si="80"/>
        <v>931348000</v>
      </c>
      <c r="R707" s="7">
        <f t="shared" si="81"/>
        <v>2098</v>
      </c>
      <c r="S707" s="7">
        <f t="shared" si="82"/>
        <v>2</v>
      </c>
      <c r="T707" s="7">
        <f t="shared" si="83"/>
        <v>2098</v>
      </c>
    </row>
    <row r="708" spans="1:20" ht="14.25" customHeight="1" x14ac:dyDescent="0.35">
      <c r="A708" s="2" t="s">
        <v>132</v>
      </c>
      <c r="B708" s="2" t="s">
        <v>12</v>
      </c>
      <c r="C708" s="2" t="s">
        <v>30</v>
      </c>
      <c r="D708" s="2" t="s">
        <v>26</v>
      </c>
      <c r="E708" s="2" t="s">
        <v>22</v>
      </c>
      <c r="F708" s="2" t="s">
        <v>31</v>
      </c>
      <c r="G708" s="2" t="s">
        <v>24</v>
      </c>
      <c r="H708" s="2">
        <v>60000</v>
      </c>
      <c r="I708" s="2">
        <v>8</v>
      </c>
      <c r="J708" s="2" t="s">
        <v>32</v>
      </c>
      <c r="K708" s="2">
        <f t="shared" si="77"/>
        <v>48000</v>
      </c>
      <c r="L708" s="9">
        <f>Table_1[[#This Row],[Unit Price]]*Table_1[[#This Row],[Quantity]]</f>
        <v>480000</v>
      </c>
      <c r="M708" s="8">
        <f>Table_1[[#This Row],[Cost Price]]*Table_1[[#This Row],[Quantity]]</f>
        <v>384000</v>
      </c>
      <c r="N708">
        <f>Table_1[[#This Row],[Revenue]]-Table_1[[#This Row],[COGS]]</f>
        <v>96000</v>
      </c>
      <c r="O708" s="11">
        <f t="shared" si="78"/>
        <v>4656740000</v>
      </c>
      <c r="P708">
        <f t="shared" si="79"/>
        <v>3725392000</v>
      </c>
      <c r="Q708">
        <f t="shared" si="80"/>
        <v>931348000</v>
      </c>
      <c r="R708" s="7">
        <f t="shared" si="81"/>
        <v>2098</v>
      </c>
      <c r="S708" s="7">
        <f t="shared" si="82"/>
        <v>1</v>
      </c>
      <c r="T708" s="7">
        <f t="shared" si="83"/>
        <v>2098</v>
      </c>
    </row>
    <row r="709" spans="1:20" ht="14.25" customHeight="1" x14ac:dyDescent="0.35">
      <c r="A709" s="2" t="s">
        <v>66</v>
      </c>
      <c r="B709" s="2" t="s">
        <v>34</v>
      </c>
      <c r="C709" s="2" t="s">
        <v>13</v>
      </c>
      <c r="D709" s="2" t="s">
        <v>26</v>
      </c>
      <c r="E709" s="2" t="s">
        <v>22</v>
      </c>
      <c r="F709" s="2" t="s">
        <v>16</v>
      </c>
      <c r="G709" s="2" t="s">
        <v>17</v>
      </c>
      <c r="H709" s="2">
        <v>85000</v>
      </c>
      <c r="I709" s="2">
        <v>2</v>
      </c>
      <c r="J709" s="2" t="s">
        <v>18</v>
      </c>
      <c r="K709" s="2">
        <f t="shared" si="77"/>
        <v>68000</v>
      </c>
      <c r="L709" s="9">
        <f>Table_1[[#This Row],[Unit Price]]*Table_1[[#This Row],[Quantity]]</f>
        <v>170000</v>
      </c>
      <c r="M709" s="8">
        <f>Table_1[[#This Row],[Cost Price]]*Table_1[[#This Row],[Quantity]]</f>
        <v>136000</v>
      </c>
      <c r="N709">
        <f>Table_1[[#This Row],[Revenue]]-Table_1[[#This Row],[COGS]]</f>
        <v>34000</v>
      </c>
      <c r="O709" s="11">
        <f t="shared" si="78"/>
        <v>4656740000</v>
      </c>
      <c r="P709">
        <f t="shared" si="79"/>
        <v>3725392000</v>
      </c>
      <c r="Q709">
        <f t="shared" si="80"/>
        <v>931348000</v>
      </c>
      <c r="R709" s="7">
        <f t="shared" si="81"/>
        <v>2098</v>
      </c>
      <c r="S709" s="7">
        <f t="shared" si="82"/>
        <v>3</v>
      </c>
      <c r="T709" s="7">
        <f t="shared" si="83"/>
        <v>2098</v>
      </c>
    </row>
    <row r="710" spans="1:20" ht="14.25" customHeight="1" x14ac:dyDescent="0.35">
      <c r="A710" s="2" t="s">
        <v>19</v>
      </c>
      <c r="B710" s="2" t="s">
        <v>34</v>
      </c>
      <c r="C710" s="2" t="s">
        <v>21</v>
      </c>
      <c r="D710" s="2" t="s">
        <v>26</v>
      </c>
      <c r="E710" s="2" t="s">
        <v>22</v>
      </c>
      <c r="F710" s="2" t="s">
        <v>35</v>
      </c>
      <c r="G710" s="2" t="s">
        <v>36</v>
      </c>
      <c r="H710" s="2">
        <v>300000</v>
      </c>
      <c r="I710" s="2">
        <v>8</v>
      </c>
      <c r="J710" s="2" t="s">
        <v>27</v>
      </c>
      <c r="K710" s="2">
        <f t="shared" si="77"/>
        <v>240000</v>
      </c>
      <c r="L710" s="9">
        <f>Table_1[[#This Row],[Unit Price]]*Table_1[[#This Row],[Quantity]]</f>
        <v>2400000</v>
      </c>
      <c r="M710" s="8">
        <f>Table_1[[#This Row],[Cost Price]]*Table_1[[#This Row],[Quantity]]</f>
        <v>1920000</v>
      </c>
      <c r="N710">
        <f>Table_1[[#This Row],[Revenue]]-Table_1[[#This Row],[COGS]]</f>
        <v>480000</v>
      </c>
      <c r="O710" s="11">
        <f t="shared" si="78"/>
        <v>4656740000</v>
      </c>
      <c r="P710">
        <f t="shared" si="79"/>
        <v>3725392000</v>
      </c>
      <c r="Q710">
        <f t="shared" si="80"/>
        <v>931348000</v>
      </c>
      <c r="R710" s="7">
        <f t="shared" si="81"/>
        <v>2098</v>
      </c>
      <c r="S710" s="7">
        <f t="shared" si="82"/>
        <v>4</v>
      </c>
      <c r="T710" s="7">
        <f t="shared" si="83"/>
        <v>2098</v>
      </c>
    </row>
    <row r="711" spans="1:20" ht="14.25" customHeight="1" x14ac:dyDescent="0.35">
      <c r="A711" s="2" t="s">
        <v>108</v>
      </c>
      <c r="B711" s="2" t="s">
        <v>34</v>
      </c>
      <c r="C711" s="2" t="s">
        <v>13</v>
      </c>
      <c r="D711" s="2" t="s">
        <v>14</v>
      </c>
      <c r="E711" s="2" t="s">
        <v>15</v>
      </c>
      <c r="F711" s="2" t="s">
        <v>41</v>
      </c>
      <c r="G711" s="2" t="s">
        <v>17</v>
      </c>
      <c r="H711" s="2">
        <v>320000</v>
      </c>
      <c r="I711" s="2">
        <v>5</v>
      </c>
      <c r="J711" s="2" t="s">
        <v>50</v>
      </c>
      <c r="K711" s="2">
        <f t="shared" si="77"/>
        <v>256000</v>
      </c>
      <c r="L711" s="9">
        <f>Table_1[[#This Row],[Unit Price]]*Table_1[[#This Row],[Quantity]]</f>
        <v>1600000</v>
      </c>
      <c r="M711" s="8">
        <f>Table_1[[#This Row],[Cost Price]]*Table_1[[#This Row],[Quantity]]</f>
        <v>1280000</v>
      </c>
      <c r="N711">
        <f>Table_1[[#This Row],[Revenue]]-Table_1[[#This Row],[COGS]]</f>
        <v>320000</v>
      </c>
      <c r="O711" s="11">
        <f t="shared" si="78"/>
        <v>4656740000</v>
      </c>
      <c r="P711">
        <f t="shared" si="79"/>
        <v>3725392000</v>
      </c>
      <c r="Q711">
        <f t="shared" si="80"/>
        <v>931348000</v>
      </c>
      <c r="R711" s="7">
        <f t="shared" si="81"/>
        <v>2098</v>
      </c>
      <c r="S711" s="7">
        <f t="shared" si="82"/>
        <v>4</v>
      </c>
      <c r="T711" s="7">
        <f t="shared" si="83"/>
        <v>2098</v>
      </c>
    </row>
    <row r="712" spans="1:20" ht="14.25" customHeight="1" x14ac:dyDescent="0.35">
      <c r="A712" s="2" t="s">
        <v>131</v>
      </c>
      <c r="B712" s="2" t="s">
        <v>12</v>
      </c>
      <c r="C712" s="2" t="s">
        <v>21</v>
      </c>
      <c r="D712" s="2" t="s">
        <v>26</v>
      </c>
      <c r="E712" s="2" t="s">
        <v>22</v>
      </c>
      <c r="F712" s="2" t="s">
        <v>23</v>
      </c>
      <c r="G712" s="2" t="s">
        <v>24</v>
      </c>
      <c r="H712" s="2">
        <v>30000</v>
      </c>
      <c r="I712" s="2">
        <v>3</v>
      </c>
      <c r="J712" s="2" t="s">
        <v>27</v>
      </c>
      <c r="K712" s="2">
        <f t="shared" si="77"/>
        <v>24000</v>
      </c>
      <c r="L712" s="9">
        <f>Table_1[[#This Row],[Unit Price]]*Table_1[[#This Row],[Quantity]]</f>
        <v>90000</v>
      </c>
      <c r="M712" s="8">
        <f>Table_1[[#This Row],[Cost Price]]*Table_1[[#This Row],[Quantity]]</f>
        <v>72000</v>
      </c>
      <c r="N712">
        <f>Table_1[[#This Row],[Revenue]]-Table_1[[#This Row],[COGS]]</f>
        <v>18000</v>
      </c>
      <c r="O712" s="11">
        <f t="shared" si="78"/>
        <v>4656740000</v>
      </c>
      <c r="P712">
        <f t="shared" si="79"/>
        <v>3725392000</v>
      </c>
      <c r="Q712">
        <f t="shared" si="80"/>
        <v>931348000</v>
      </c>
      <c r="R712" s="7">
        <f t="shared" si="81"/>
        <v>2098</v>
      </c>
      <c r="S712" s="7">
        <f t="shared" si="82"/>
        <v>1</v>
      </c>
      <c r="T712" s="7">
        <f t="shared" si="83"/>
        <v>2098</v>
      </c>
    </row>
    <row r="713" spans="1:20" ht="14.25" customHeight="1" x14ac:dyDescent="0.35">
      <c r="A713" s="2" t="s">
        <v>61</v>
      </c>
      <c r="B713" s="2" t="s">
        <v>29</v>
      </c>
      <c r="C713" s="2" t="s">
        <v>13</v>
      </c>
      <c r="D713" s="2" t="s">
        <v>14</v>
      </c>
      <c r="E713" s="2" t="s">
        <v>22</v>
      </c>
      <c r="F713" s="2" t="s">
        <v>23</v>
      </c>
      <c r="G713" s="2" t="s">
        <v>24</v>
      </c>
      <c r="H713" s="2">
        <v>30000</v>
      </c>
      <c r="I713" s="2">
        <v>1</v>
      </c>
      <c r="J713" s="2" t="s">
        <v>27</v>
      </c>
      <c r="K713" s="2">
        <f t="shared" si="77"/>
        <v>24000</v>
      </c>
      <c r="L713" s="9">
        <f>Table_1[[#This Row],[Unit Price]]*Table_1[[#This Row],[Quantity]]</f>
        <v>30000</v>
      </c>
      <c r="M713" s="8">
        <f>Table_1[[#This Row],[Cost Price]]*Table_1[[#This Row],[Quantity]]</f>
        <v>24000</v>
      </c>
      <c r="N713">
        <f>Table_1[[#This Row],[Revenue]]-Table_1[[#This Row],[COGS]]</f>
        <v>6000</v>
      </c>
      <c r="O713" s="11">
        <f t="shared" si="78"/>
        <v>4656740000</v>
      </c>
      <c r="P713">
        <f t="shared" si="79"/>
        <v>3725392000</v>
      </c>
      <c r="Q713">
        <f t="shared" si="80"/>
        <v>931348000</v>
      </c>
      <c r="R713" s="7">
        <f t="shared" si="81"/>
        <v>2098</v>
      </c>
      <c r="S713" s="7">
        <f t="shared" si="82"/>
        <v>5</v>
      </c>
      <c r="T713" s="7">
        <f t="shared" si="83"/>
        <v>2098</v>
      </c>
    </row>
    <row r="714" spans="1:20" ht="14.25" customHeight="1" x14ac:dyDescent="0.35">
      <c r="A714" s="2" t="s">
        <v>72</v>
      </c>
      <c r="B714" s="2" t="s">
        <v>29</v>
      </c>
      <c r="C714" s="2" t="s">
        <v>38</v>
      </c>
      <c r="D714" s="2" t="s">
        <v>26</v>
      </c>
      <c r="E714" s="2" t="s">
        <v>22</v>
      </c>
      <c r="F714" s="2" t="s">
        <v>47</v>
      </c>
      <c r="G714" s="2" t="s">
        <v>36</v>
      </c>
      <c r="H714" s="2">
        <v>150000</v>
      </c>
      <c r="I714" s="2">
        <v>3</v>
      </c>
      <c r="J714" s="2" t="s">
        <v>27</v>
      </c>
      <c r="K714" s="2">
        <f t="shared" si="77"/>
        <v>120000</v>
      </c>
      <c r="L714" s="9">
        <f>Table_1[[#This Row],[Unit Price]]*Table_1[[#This Row],[Quantity]]</f>
        <v>450000</v>
      </c>
      <c r="M714" s="8">
        <f>Table_1[[#This Row],[Cost Price]]*Table_1[[#This Row],[Quantity]]</f>
        <v>360000</v>
      </c>
      <c r="N714">
        <f>Table_1[[#This Row],[Revenue]]-Table_1[[#This Row],[COGS]]</f>
        <v>90000</v>
      </c>
      <c r="O714" s="11">
        <f t="shared" si="78"/>
        <v>4656740000</v>
      </c>
      <c r="P714">
        <f t="shared" si="79"/>
        <v>3725392000</v>
      </c>
      <c r="Q714">
        <f t="shared" si="80"/>
        <v>931348000</v>
      </c>
      <c r="R714" s="7">
        <f t="shared" si="81"/>
        <v>2098</v>
      </c>
      <c r="S714" s="7">
        <f t="shared" si="82"/>
        <v>3</v>
      </c>
      <c r="T714" s="7">
        <f t="shared" si="83"/>
        <v>2098</v>
      </c>
    </row>
    <row r="715" spans="1:20" ht="14.25" customHeight="1" x14ac:dyDescent="0.35">
      <c r="A715" s="2" t="s">
        <v>62</v>
      </c>
      <c r="B715" s="2" t="s">
        <v>29</v>
      </c>
      <c r="C715" s="2" t="s">
        <v>30</v>
      </c>
      <c r="D715" s="2" t="s">
        <v>14</v>
      </c>
      <c r="E715" s="2" t="s">
        <v>15</v>
      </c>
      <c r="F715" s="2" t="s">
        <v>23</v>
      </c>
      <c r="G715" s="2" t="s">
        <v>24</v>
      </c>
      <c r="H715" s="2">
        <v>30000</v>
      </c>
      <c r="I715" s="2">
        <v>5</v>
      </c>
      <c r="J715" s="2" t="s">
        <v>43</v>
      </c>
      <c r="K715" s="2">
        <f t="shared" si="77"/>
        <v>24000</v>
      </c>
      <c r="L715" s="9">
        <f>Table_1[[#This Row],[Unit Price]]*Table_1[[#This Row],[Quantity]]</f>
        <v>150000</v>
      </c>
      <c r="M715" s="8">
        <f>Table_1[[#This Row],[Cost Price]]*Table_1[[#This Row],[Quantity]]</f>
        <v>120000</v>
      </c>
      <c r="N715">
        <f>Table_1[[#This Row],[Revenue]]-Table_1[[#This Row],[COGS]]</f>
        <v>30000</v>
      </c>
      <c r="O715" s="11">
        <f t="shared" si="78"/>
        <v>4656740000</v>
      </c>
      <c r="P715">
        <f t="shared" si="79"/>
        <v>3725392000</v>
      </c>
      <c r="Q715">
        <f t="shared" si="80"/>
        <v>931348000</v>
      </c>
      <c r="R715" s="7">
        <f t="shared" si="81"/>
        <v>2098</v>
      </c>
      <c r="S715" s="7">
        <f t="shared" si="82"/>
        <v>4</v>
      </c>
      <c r="T715" s="7">
        <f t="shared" si="83"/>
        <v>2098</v>
      </c>
    </row>
    <row r="716" spans="1:20" ht="14.25" customHeight="1" x14ac:dyDescent="0.35">
      <c r="A716" s="2" t="s">
        <v>42</v>
      </c>
      <c r="B716" s="2" t="s">
        <v>34</v>
      </c>
      <c r="C716" s="2" t="s">
        <v>38</v>
      </c>
      <c r="D716" s="2" t="s">
        <v>26</v>
      </c>
      <c r="E716" s="2" t="s">
        <v>22</v>
      </c>
      <c r="F716" s="2" t="s">
        <v>39</v>
      </c>
      <c r="G716" s="2" t="s">
        <v>24</v>
      </c>
      <c r="H716" s="2">
        <v>180000</v>
      </c>
      <c r="I716" s="2">
        <v>4</v>
      </c>
      <c r="J716" s="2" t="s">
        <v>27</v>
      </c>
      <c r="K716" s="2">
        <f t="shared" si="77"/>
        <v>144000</v>
      </c>
      <c r="L716" s="9">
        <f>Table_1[[#This Row],[Unit Price]]*Table_1[[#This Row],[Quantity]]</f>
        <v>720000</v>
      </c>
      <c r="M716" s="8">
        <f>Table_1[[#This Row],[Cost Price]]*Table_1[[#This Row],[Quantity]]</f>
        <v>576000</v>
      </c>
      <c r="N716">
        <f>Table_1[[#This Row],[Revenue]]-Table_1[[#This Row],[COGS]]</f>
        <v>144000</v>
      </c>
      <c r="O716" s="11">
        <f t="shared" si="78"/>
        <v>4656740000</v>
      </c>
      <c r="P716">
        <f t="shared" si="79"/>
        <v>3725392000</v>
      </c>
      <c r="Q716">
        <f t="shared" si="80"/>
        <v>931348000</v>
      </c>
      <c r="R716" s="7">
        <f t="shared" si="81"/>
        <v>2098</v>
      </c>
      <c r="S716" s="7">
        <f t="shared" si="82"/>
        <v>2</v>
      </c>
      <c r="T716" s="7">
        <f t="shared" si="83"/>
        <v>2098</v>
      </c>
    </row>
    <row r="717" spans="1:20" ht="14.25" customHeight="1" x14ac:dyDescent="0.35">
      <c r="A717" s="2" t="s">
        <v>145</v>
      </c>
      <c r="B717" s="2" t="s">
        <v>29</v>
      </c>
      <c r="C717" s="2" t="s">
        <v>30</v>
      </c>
      <c r="D717" s="2" t="s">
        <v>26</v>
      </c>
      <c r="E717" s="2" t="s">
        <v>22</v>
      </c>
      <c r="F717" s="2" t="s">
        <v>39</v>
      </c>
      <c r="G717" s="2" t="s">
        <v>24</v>
      </c>
      <c r="H717" s="2">
        <v>180000</v>
      </c>
      <c r="I717" s="2">
        <v>3</v>
      </c>
      <c r="J717" s="2" t="s">
        <v>54</v>
      </c>
      <c r="K717" s="2">
        <f t="shared" si="77"/>
        <v>144000</v>
      </c>
      <c r="L717" s="9">
        <f>Table_1[[#This Row],[Unit Price]]*Table_1[[#This Row],[Quantity]]</f>
        <v>540000</v>
      </c>
      <c r="M717" s="8">
        <f>Table_1[[#This Row],[Cost Price]]*Table_1[[#This Row],[Quantity]]</f>
        <v>432000</v>
      </c>
      <c r="N717">
        <f>Table_1[[#This Row],[Revenue]]-Table_1[[#This Row],[COGS]]</f>
        <v>108000</v>
      </c>
      <c r="O717" s="11">
        <f t="shared" si="78"/>
        <v>4656740000</v>
      </c>
      <c r="P717">
        <f t="shared" si="79"/>
        <v>3725392000</v>
      </c>
      <c r="Q717">
        <f t="shared" si="80"/>
        <v>931348000</v>
      </c>
      <c r="R717" s="7">
        <f t="shared" si="81"/>
        <v>2098</v>
      </c>
      <c r="S717" s="7">
        <f t="shared" si="82"/>
        <v>1</v>
      </c>
      <c r="T717" s="7">
        <f t="shared" si="83"/>
        <v>2098</v>
      </c>
    </row>
    <row r="718" spans="1:20" ht="14.25" customHeight="1" x14ac:dyDescent="0.35">
      <c r="A718" s="2" t="s">
        <v>110</v>
      </c>
      <c r="B718" s="2" t="s">
        <v>20</v>
      </c>
      <c r="C718" s="2" t="s">
        <v>21</v>
      </c>
      <c r="D718" s="2" t="s">
        <v>26</v>
      </c>
      <c r="E718" s="2" t="s">
        <v>22</v>
      </c>
      <c r="F718" s="2" t="s">
        <v>35</v>
      </c>
      <c r="G718" s="2" t="s">
        <v>36</v>
      </c>
      <c r="H718" s="2">
        <v>300000</v>
      </c>
      <c r="I718" s="2">
        <v>8</v>
      </c>
      <c r="J718" s="2" t="s">
        <v>18</v>
      </c>
      <c r="K718" s="2">
        <f t="shared" si="77"/>
        <v>240000</v>
      </c>
      <c r="L718" s="9">
        <f>Table_1[[#This Row],[Unit Price]]*Table_1[[#This Row],[Quantity]]</f>
        <v>2400000</v>
      </c>
      <c r="M718" s="8">
        <f>Table_1[[#This Row],[Cost Price]]*Table_1[[#This Row],[Quantity]]</f>
        <v>1920000</v>
      </c>
      <c r="N718">
        <f>Table_1[[#This Row],[Revenue]]-Table_1[[#This Row],[COGS]]</f>
        <v>480000</v>
      </c>
      <c r="O718" s="11">
        <f t="shared" si="78"/>
        <v>4656740000</v>
      </c>
      <c r="P718">
        <f t="shared" si="79"/>
        <v>3725392000</v>
      </c>
      <c r="Q718">
        <f t="shared" si="80"/>
        <v>931348000</v>
      </c>
      <c r="R718" s="7">
        <f t="shared" si="81"/>
        <v>2098</v>
      </c>
      <c r="S718" s="7">
        <f t="shared" si="82"/>
        <v>2</v>
      </c>
      <c r="T718" s="7">
        <f t="shared" si="83"/>
        <v>2098</v>
      </c>
    </row>
    <row r="719" spans="1:20" ht="14.25" customHeight="1" x14ac:dyDescent="0.35">
      <c r="A719" s="2" t="s">
        <v>64</v>
      </c>
      <c r="B719" s="2" t="s">
        <v>20</v>
      </c>
      <c r="C719" s="2" t="s">
        <v>38</v>
      </c>
      <c r="D719" s="2" t="s">
        <v>26</v>
      </c>
      <c r="E719" s="2" t="s">
        <v>15</v>
      </c>
      <c r="F719" s="2" t="s">
        <v>16</v>
      </c>
      <c r="G719" s="2" t="s">
        <v>17</v>
      </c>
      <c r="H719" s="2">
        <v>85000</v>
      </c>
      <c r="I719" s="2">
        <v>8</v>
      </c>
      <c r="J719" s="2" t="s">
        <v>27</v>
      </c>
      <c r="K719" s="2">
        <f t="shared" si="77"/>
        <v>68000</v>
      </c>
      <c r="L719" s="9">
        <f>Table_1[[#This Row],[Unit Price]]*Table_1[[#This Row],[Quantity]]</f>
        <v>680000</v>
      </c>
      <c r="M719" s="8">
        <f>Table_1[[#This Row],[Cost Price]]*Table_1[[#This Row],[Quantity]]</f>
        <v>544000</v>
      </c>
      <c r="N719">
        <f>Table_1[[#This Row],[Revenue]]-Table_1[[#This Row],[COGS]]</f>
        <v>136000</v>
      </c>
      <c r="O719" s="11">
        <f t="shared" si="78"/>
        <v>4656740000</v>
      </c>
      <c r="P719">
        <f t="shared" si="79"/>
        <v>3725392000</v>
      </c>
      <c r="Q719">
        <f t="shared" si="80"/>
        <v>931348000</v>
      </c>
      <c r="R719" s="7">
        <f t="shared" si="81"/>
        <v>2098</v>
      </c>
      <c r="S719" s="7">
        <f t="shared" si="82"/>
        <v>2</v>
      </c>
      <c r="T719" s="7">
        <f t="shared" si="83"/>
        <v>2098</v>
      </c>
    </row>
    <row r="720" spans="1:20" ht="14.25" customHeight="1" x14ac:dyDescent="0.35">
      <c r="A720" s="2" t="s">
        <v>75</v>
      </c>
      <c r="B720" s="2" t="s">
        <v>34</v>
      </c>
      <c r="C720" s="2" t="s">
        <v>21</v>
      </c>
      <c r="D720" s="2" t="s">
        <v>14</v>
      </c>
      <c r="E720" s="2" t="s">
        <v>22</v>
      </c>
      <c r="F720" s="2" t="s">
        <v>39</v>
      </c>
      <c r="G720" s="2" t="s">
        <v>24</v>
      </c>
      <c r="H720" s="2">
        <v>180000</v>
      </c>
      <c r="I720" s="2">
        <v>1</v>
      </c>
      <c r="J720" s="2" t="s">
        <v>18</v>
      </c>
      <c r="K720" s="2">
        <f t="shared" si="77"/>
        <v>144000</v>
      </c>
      <c r="L720" s="9">
        <f>Table_1[[#This Row],[Unit Price]]*Table_1[[#This Row],[Quantity]]</f>
        <v>180000</v>
      </c>
      <c r="M720" s="8">
        <f>Table_1[[#This Row],[Cost Price]]*Table_1[[#This Row],[Quantity]]</f>
        <v>144000</v>
      </c>
      <c r="N720">
        <f>Table_1[[#This Row],[Revenue]]-Table_1[[#This Row],[COGS]]</f>
        <v>36000</v>
      </c>
      <c r="O720" s="11">
        <f t="shared" si="78"/>
        <v>4656740000</v>
      </c>
      <c r="P720">
        <f t="shared" si="79"/>
        <v>3725392000</v>
      </c>
      <c r="Q720">
        <f t="shared" si="80"/>
        <v>931348000</v>
      </c>
      <c r="R720" s="7">
        <f t="shared" si="81"/>
        <v>2098</v>
      </c>
      <c r="S720" s="7">
        <f t="shared" si="82"/>
        <v>2</v>
      </c>
      <c r="T720" s="7">
        <f t="shared" si="83"/>
        <v>2098</v>
      </c>
    </row>
    <row r="721" spans="1:20" ht="14.25" customHeight="1" x14ac:dyDescent="0.35">
      <c r="A721" s="2" t="s">
        <v>93</v>
      </c>
      <c r="B721" s="2" t="s">
        <v>29</v>
      </c>
      <c r="C721" s="2" t="s">
        <v>13</v>
      </c>
      <c r="D721" s="2" t="s">
        <v>26</v>
      </c>
      <c r="E721" s="2" t="s">
        <v>15</v>
      </c>
      <c r="F721" s="2" t="s">
        <v>52</v>
      </c>
      <c r="G721" s="2" t="s">
        <v>36</v>
      </c>
      <c r="H721" s="2">
        <v>420000</v>
      </c>
      <c r="I721" s="2">
        <v>6</v>
      </c>
      <c r="J721" s="2" t="s">
        <v>27</v>
      </c>
      <c r="K721" s="2">
        <f t="shared" si="77"/>
        <v>336000</v>
      </c>
      <c r="L721" s="9">
        <f>Table_1[[#This Row],[Unit Price]]*Table_1[[#This Row],[Quantity]]</f>
        <v>2520000</v>
      </c>
      <c r="M721" s="8">
        <f>Table_1[[#This Row],[Cost Price]]*Table_1[[#This Row],[Quantity]]</f>
        <v>2016000</v>
      </c>
      <c r="N721">
        <f>Table_1[[#This Row],[Revenue]]-Table_1[[#This Row],[COGS]]</f>
        <v>504000</v>
      </c>
      <c r="O721" s="11">
        <f t="shared" si="78"/>
        <v>4656740000</v>
      </c>
      <c r="P721">
        <f t="shared" si="79"/>
        <v>3725392000</v>
      </c>
      <c r="Q721">
        <f t="shared" si="80"/>
        <v>931348000</v>
      </c>
      <c r="R721" s="7">
        <f t="shared" si="81"/>
        <v>2098</v>
      </c>
      <c r="S721" s="7">
        <f t="shared" si="82"/>
        <v>4</v>
      </c>
      <c r="T721" s="7">
        <f t="shared" si="83"/>
        <v>2098</v>
      </c>
    </row>
    <row r="722" spans="1:20" ht="14.25" customHeight="1" x14ac:dyDescent="0.35">
      <c r="A722" s="2" t="s">
        <v>125</v>
      </c>
      <c r="B722" s="2" t="s">
        <v>12</v>
      </c>
      <c r="C722" s="2" t="s">
        <v>38</v>
      </c>
      <c r="D722" s="2" t="s">
        <v>14</v>
      </c>
      <c r="E722" s="2" t="s">
        <v>22</v>
      </c>
      <c r="F722" s="2" t="s">
        <v>52</v>
      </c>
      <c r="G722" s="2" t="s">
        <v>36</v>
      </c>
      <c r="H722" s="2">
        <v>420000</v>
      </c>
      <c r="I722" s="2">
        <v>4</v>
      </c>
      <c r="J722" s="2" t="s">
        <v>50</v>
      </c>
      <c r="K722" s="2">
        <f t="shared" si="77"/>
        <v>336000</v>
      </c>
      <c r="L722" s="9">
        <f>Table_1[[#This Row],[Unit Price]]*Table_1[[#This Row],[Quantity]]</f>
        <v>1680000</v>
      </c>
      <c r="M722" s="8">
        <f>Table_1[[#This Row],[Cost Price]]*Table_1[[#This Row],[Quantity]]</f>
        <v>1344000</v>
      </c>
      <c r="N722">
        <f>Table_1[[#This Row],[Revenue]]-Table_1[[#This Row],[COGS]]</f>
        <v>336000</v>
      </c>
      <c r="O722" s="11">
        <f t="shared" si="78"/>
        <v>4656740000</v>
      </c>
      <c r="P722">
        <f t="shared" si="79"/>
        <v>3725392000</v>
      </c>
      <c r="Q722">
        <f t="shared" si="80"/>
        <v>931348000</v>
      </c>
      <c r="R722" s="7">
        <f t="shared" si="81"/>
        <v>2098</v>
      </c>
      <c r="S722" s="7">
        <f t="shared" si="82"/>
        <v>4</v>
      </c>
      <c r="T722" s="7">
        <f t="shared" si="83"/>
        <v>2098</v>
      </c>
    </row>
    <row r="723" spans="1:20" ht="14.25" customHeight="1" x14ac:dyDescent="0.35">
      <c r="A723" s="2" t="s">
        <v>87</v>
      </c>
      <c r="B723" s="2" t="s">
        <v>20</v>
      </c>
      <c r="C723" s="2" t="s">
        <v>38</v>
      </c>
      <c r="D723" s="2" t="s">
        <v>26</v>
      </c>
      <c r="E723" s="2" t="s">
        <v>22</v>
      </c>
      <c r="F723" s="2" t="s">
        <v>39</v>
      </c>
      <c r="G723" s="2" t="s">
        <v>24</v>
      </c>
      <c r="H723" s="2">
        <v>180000</v>
      </c>
      <c r="I723" s="2">
        <v>3</v>
      </c>
      <c r="J723" s="2" t="s">
        <v>27</v>
      </c>
      <c r="K723" s="2">
        <f t="shared" si="77"/>
        <v>144000</v>
      </c>
      <c r="L723" s="9">
        <f>Table_1[[#This Row],[Unit Price]]*Table_1[[#This Row],[Quantity]]</f>
        <v>540000</v>
      </c>
      <c r="M723" s="8">
        <f>Table_1[[#This Row],[Cost Price]]*Table_1[[#This Row],[Quantity]]</f>
        <v>432000</v>
      </c>
      <c r="N723">
        <f>Table_1[[#This Row],[Revenue]]-Table_1[[#This Row],[COGS]]</f>
        <v>108000</v>
      </c>
      <c r="O723" s="11">
        <f t="shared" si="78"/>
        <v>4656740000</v>
      </c>
      <c r="P723">
        <f t="shared" si="79"/>
        <v>3725392000</v>
      </c>
      <c r="Q723">
        <f t="shared" si="80"/>
        <v>931348000</v>
      </c>
      <c r="R723" s="7">
        <f t="shared" si="81"/>
        <v>2098</v>
      </c>
      <c r="S723" s="7">
        <f t="shared" si="82"/>
        <v>3</v>
      </c>
      <c r="T723" s="7">
        <f t="shared" si="83"/>
        <v>2098</v>
      </c>
    </row>
    <row r="724" spans="1:20" ht="14.25" customHeight="1" x14ac:dyDescent="0.35">
      <c r="A724" s="2" t="s">
        <v>51</v>
      </c>
      <c r="B724" s="2" t="s">
        <v>29</v>
      </c>
      <c r="C724" s="2" t="s">
        <v>21</v>
      </c>
      <c r="D724" s="2" t="s">
        <v>14</v>
      </c>
      <c r="E724" s="2" t="s">
        <v>15</v>
      </c>
      <c r="F724" s="2" t="s">
        <v>31</v>
      </c>
      <c r="G724" s="2" t="s">
        <v>24</v>
      </c>
      <c r="H724" s="2">
        <v>60000</v>
      </c>
      <c r="I724" s="2">
        <v>3</v>
      </c>
      <c r="J724" s="2" t="s">
        <v>27</v>
      </c>
      <c r="K724" s="2">
        <f t="shared" si="77"/>
        <v>48000</v>
      </c>
      <c r="L724" s="9">
        <f>Table_1[[#This Row],[Unit Price]]*Table_1[[#This Row],[Quantity]]</f>
        <v>180000</v>
      </c>
      <c r="M724" s="8">
        <f>Table_1[[#This Row],[Cost Price]]*Table_1[[#This Row],[Quantity]]</f>
        <v>144000</v>
      </c>
      <c r="N724">
        <f>Table_1[[#This Row],[Revenue]]-Table_1[[#This Row],[COGS]]</f>
        <v>36000</v>
      </c>
      <c r="O724" s="11">
        <f t="shared" si="78"/>
        <v>4656740000</v>
      </c>
      <c r="P724">
        <f t="shared" si="79"/>
        <v>3725392000</v>
      </c>
      <c r="Q724">
        <f t="shared" si="80"/>
        <v>931348000</v>
      </c>
      <c r="R724" s="7">
        <f t="shared" si="81"/>
        <v>2098</v>
      </c>
      <c r="S724" s="7">
        <f t="shared" si="82"/>
        <v>3</v>
      </c>
      <c r="T724" s="7">
        <f t="shared" si="83"/>
        <v>2098</v>
      </c>
    </row>
    <row r="725" spans="1:20" ht="14.25" customHeight="1" x14ac:dyDescent="0.35">
      <c r="A725" s="2" t="s">
        <v>83</v>
      </c>
      <c r="B725" s="2" t="s">
        <v>20</v>
      </c>
      <c r="C725" s="2" t="s">
        <v>38</v>
      </c>
      <c r="D725" s="2" t="s">
        <v>14</v>
      </c>
      <c r="E725" s="2" t="s">
        <v>22</v>
      </c>
      <c r="F725" s="2" t="s">
        <v>47</v>
      </c>
      <c r="G725" s="2" t="s">
        <v>36</v>
      </c>
      <c r="H725" s="2">
        <v>150000</v>
      </c>
      <c r="I725" s="2">
        <v>1</v>
      </c>
      <c r="J725" s="2" t="s">
        <v>32</v>
      </c>
      <c r="K725" s="2">
        <f t="shared" si="77"/>
        <v>120000</v>
      </c>
      <c r="L725" s="9">
        <f>Table_1[[#This Row],[Unit Price]]*Table_1[[#This Row],[Quantity]]</f>
        <v>150000</v>
      </c>
      <c r="M725" s="8">
        <f>Table_1[[#This Row],[Cost Price]]*Table_1[[#This Row],[Quantity]]</f>
        <v>120000</v>
      </c>
      <c r="N725">
        <f>Table_1[[#This Row],[Revenue]]-Table_1[[#This Row],[COGS]]</f>
        <v>30000</v>
      </c>
      <c r="O725" s="11">
        <f t="shared" si="78"/>
        <v>4656740000</v>
      </c>
      <c r="P725">
        <f t="shared" si="79"/>
        <v>3725392000</v>
      </c>
      <c r="Q725">
        <f t="shared" si="80"/>
        <v>931348000</v>
      </c>
      <c r="R725" s="7">
        <f t="shared" si="81"/>
        <v>2098</v>
      </c>
      <c r="S725" s="7">
        <f t="shared" si="82"/>
        <v>1</v>
      </c>
      <c r="T725" s="7">
        <f t="shared" si="83"/>
        <v>2098</v>
      </c>
    </row>
    <row r="726" spans="1:20" ht="14.25" customHeight="1" x14ac:dyDescent="0.35">
      <c r="A726" s="2" t="s">
        <v>118</v>
      </c>
      <c r="B726" s="2" t="s">
        <v>29</v>
      </c>
      <c r="C726" s="2" t="s">
        <v>13</v>
      </c>
      <c r="D726" s="2" t="s">
        <v>26</v>
      </c>
      <c r="E726" s="2" t="s">
        <v>15</v>
      </c>
      <c r="F726" s="2" t="s">
        <v>52</v>
      </c>
      <c r="G726" s="2" t="s">
        <v>36</v>
      </c>
      <c r="H726" s="2">
        <v>420000</v>
      </c>
      <c r="I726" s="2">
        <v>4</v>
      </c>
      <c r="J726" s="2" t="s">
        <v>27</v>
      </c>
      <c r="K726" s="2">
        <f t="shared" si="77"/>
        <v>336000</v>
      </c>
      <c r="L726" s="9">
        <f>Table_1[[#This Row],[Unit Price]]*Table_1[[#This Row],[Quantity]]</f>
        <v>1680000</v>
      </c>
      <c r="M726" s="8">
        <f>Table_1[[#This Row],[Cost Price]]*Table_1[[#This Row],[Quantity]]</f>
        <v>1344000</v>
      </c>
      <c r="N726">
        <f>Table_1[[#This Row],[Revenue]]-Table_1[[#This Row],[COGS]]</f>
        <v>336000</v>
      </c>
      <c r="O726" s="11">
        <f t="shared" si="78"/>
        <v>4656740000</v>
      </c>
      <c r="P726">
        <f t="shared" si="79"/>
        <v>3725392000</v>
      </c>
      <c r="Q726">
        <f t="shared" si="80"/>
        <v>931348000</v>
      </c>
      <c r="R726" s="7">
        <f t="shared" si="81"/>
        <v>2098</v>
      </c>
      <c r="S726" s="7">
        <f t="shared" si="82"/>
        <v>1</v>
      </c>
      <c r="T726" s="7">
        <f t="shared" si="83"/>
        <v>2098</v>
      </c>
    </row>
    <row r="727" spans="1:20" ht="14.25" customHeight="1" x14ac:dyDescent="0.35">
      <c r="A727" s="2" t="s">
        <v>99</v>
      </c>
      <c r="B727" s="2" t="s">
        <v>34</v>
      </c>
      <c r="C727" s="2" t="s">
        <v>21</v>
      </c>
      <c r="D727" s="2" t="s">
        <v>26</v>
      </c>
      <c r="E727" s="2" t="s">
        <v>15</v>
      </c>
      <c r="F727" s="2" t="s">
        <v>56</v>
      </c>
      <c r="G727" s="2" t="s">
        <v>36</v>
      </c>
      <c r="H727" s="2">
        <v>250000</v>
      </c>
      <c r="I727" s="2">
        <v>6</v>
      </c>
      <c r="J727" s="2" t="s">
        <v>32</v>
      </c>
      <c r="K727" s="2">
        <f t="shared" si="77"/>
        <v>200000</v>
      </c>
      <c r="L727" s="9">
        <f>Table_1[[#This Row],[Unit Price]]*Table_1[[#This Row],[Quantity]]</f>
        <v>1500000</v>
      </c>
      <c r="M727" s="8">
        <f>Table_1[[#This Row],[Cost Price]]*Table_1[[#This Row],[Quantity]]</f>
        <v>1200000</v>
      </c>
      <c r="N727">
        <f>Table_1[[#This Row],[Revenue]]-Table_1[[#This Row],[COGS]]</f>
        <v>300000</v>
      </c>
      <c r="O727" s="11">
        <f t="shared" si="78"/>
        <v>4656740000</v>
      </c>
      <c r="P727">
        <f t="shared" si="79"/>
        <v>3725392000</v>
      </c>
      <c r="Q727">
        <f t="shared" si="80"/>
        <v>931348000</v>
      </c>
      <c r="R727" s="7">
        <f t="shared" si="81"/>
        <v>2098</v>
      </c>
      <c r="S727" s="7">
        <f t="shared" si="82"/>
        <v>4</v>
      </c>
      <c r="T727" s="7">
        <f t="shared" si="83"/>
        <v>2098</v>
      </c>
    </row>
    <row r="728" spans="1:20" ht="14.25" customHeight="1" x14ac:dyDescent="0.35">
      <c r="A728" s="2" t="s">
        <v>103</v>
      </c>
      <c r="B728" s="2" t="s">
        <v>29</v>
      </c>
      <c r="C728" s="2" t="s">
        <v>13</v>
      </c>
      <c r="D728" s="2" t="s">
        <v>26</v>
      </c>
      <c r="E728" s="2" t="s">
        <v>22</v>
      </c>
      <c r="F728" s="2" t="s">
        <v>41</v>
      </c>
      <c r="G728" s="2" t="s">
        <v>17</v>
      </c>
      <c r="H728" s="2">
        <v>320000</v>
      </c>
      <c r="I728" s="2">
        <v>1</v>
      </c>
      <c r="J728" s="2" t="s">
        <v>43</v>
      </c>
      <c r="K728" s="2">
        <f t="shared" si="77"/>
        <v>256000</v>
      </c>
      <c r="L728" s="9">
        <f>Table_1[[#This Row],[Unit Price]]*Table_1[[#This Row],[Quantity]]</f>
        <v>320000</v>
      </c>
      <c r="M728" s="8">
        <f>Table_1[[#This Row],[Cost Price]]*Table_1[[#This Row],[Quantity]]</f>
        <v>256000</v>
      </c>
      <c r="N728">
        <f>Table_1[[#This Row],[Revenue]]-Table_1[[#This Row],[COGS]]</f>
        <v>64000</v>
      </c>
      <c r="O728" s="11">
        <f t="shared" si="78"/>
        <v>4656740000</v>
      </c>
      <c r="P728">
        <f t="shared" si="79"/>
        <v>3725392000</v>
      </c>
      <c r="Q728">
        <f t="shared" si="80"/>
        <v>931348000</v>
      </c>
      <c r="R728" s="7">
        <f t="shared" si="81"/>
        <v>2098</v>
      </c>
      <c r="S728" s="7">
        <f t="shared" si="82"/>
        <v>3</v>
      </c>
      <c r="T728" s="7">
        <f t="shared" si="83"/>
        <v>2098</v>
      </c>
    </row>
    <row r="729" spans="1:20" ht="14.25" customHeight="1" x14ac:dyDescent="0.35">
      <c r="A729" s="2" t="s">
        <v>100</v>
      </c>
      <c r="B729" s="2" t="s">
        <v>34</v>
      </c>
      <c r="C729" s="2" t="s">
        <v>38</v>
      </c>
      <c r="D729" s="2" t="s">
        <v>26</v>
      </c>
      <c r="E729" s="2" t="s">
        <v>22</v>
      </c>
      <c r="F729" s="2" t="s">
        <v>58</v>
      </c>
      <c r="G729" s="2" t="s">
        <v>24</v>
      </c>
      <c r="H729" s="2">
        <v>220000</v>
      </c>
      <c r="I729" s="2">
        <v>10</v>
      </c>
      <c r="J729" s="2" t="s">
        <v>54</v>
      </c>
      <c r="K729" s="2">
        <f t="shared" si="77"/>
        <v>176000</v>
      </c>
      <c r="L729" s="9">
        <f>Table_1[[#This Row],[Unit Price]]*Table_1[[#This Row],[Quantity]]</f>
        <v>2200000</v>
      </c>
      <c r="M729" s="8">
        <f>Table_1[[#This Row],[Cost Price]]*Table_1[[#This Row],[Quantity]]</f>
        <v>1760000</v>
      </c>
      <c r="N729">
        <f>Table_1[[#This Row],[Revenue]]-Table_1[[#This Row],[COGS]]</f>
        <v>440000</v>
      </c>
      <c r="O729" s="11">
        <f t="shared" si="78"/>
        <v>4656740000</v>
      </c>
      <c r="P729">
        <f t="shared" si="79"/>
        <v>3725392000</v>
      </c>
      <c r="Q729">
        <f t="shared" si="80"/>
        <v>931348000</v>
      </c>
      <c r="R729" s="7">
        <f t="shared" si="81"/>
        <v>2098</v>
      </c>
      <c r="S729" s="7">
        <f t="shared" si="82"/>
        <v>1</v>
      </c>
      <c r="T729" s="7">
        <f t="shared" si="83"/>
        <v>2098</v>
      </c>
    </row>
    <row r="730" spans="1:20" ht="14.25" customHeight="1" x14ac:dyDescent="0.35">
      <c r="A730" s="2" t="s">
        <v>63</v>
      </c>
      <c r="B730" s="2" t="s">
        <v>34</v>
      </c>
      <c r="C730" s="2" t="s">
        <v>21</v>
      </c>
      <c r="D730" s="2" t="s">
        <v>14</v>
      </c>
      <c r="E730" s="2" t="s">
        <v>15</v>
      </c>
      <c r="F730" s="2" t="s">
        <v>58</v>
      </c>
      <c r="G730" s="2" t="s">
        <v>24</v>
      </c>
      <c r="H730" s="2">
        <v>220000</v>
      </c>
      <c r="I730" s="2">
        <v>5</v>
      </c>
      <c r="J730" s="2" t="s">
        <v>27</v>
      </c>
      <c r="K730" s="2">
        <f t="shared" si="77"/>
        <v>176000</v>
      </c>
      <c r="L730" s="9">
        <f>Table_1[[#This Row],[Unit Price]]*Table_1[[#This Row],[Quantity]]</f>
        <v>1100000</v>
      </c>
      <c r="M730" s="8">
        <f>Table_1[[#This Row],[Cost Price]]*Table_1[[#This Row],[Quantity]]</f>
        <v>880000</v>
      </c>
      <c r="N730">
        <f>Table_1[[#This Row],[Revenue]]-Table_1[[#This Row],[COGS]]</f>
        <v>220000</v>
      </c>
      <c r="O730" s="11">
        <f t="shared" si="78"/>
        <v>4656740000</v>
      </c>
      <c r="P730">
        <f t="shared" si="79"/>
        <v>3725392000</v>
      </c>
      <c r="Q730">
        <f t="shared" si="80"/>
        <v>931348000</v>
      </c>
      <c r="R730" s="7">
        <f t="shared" si="81"/>
        <v>2098</v>
      </c>
      <c r="S730" s="7">
        <f t="shared" si="82"/>
        <v>4</v>
      </c>
      <c r="T730" s="7">
        <f t="shared" si="83"/>
        <v>2098</v>
      </c>
    </row>
    <row r="731" spans="1:20" ht="14.25" customHeight="1" x14ac:dyDescent="0.35">
      <c r="A731" s="2" t="s">
        <v>95</v>
      </c>
      <c r="B731" s="2" t="s">
        <v>29</v>
      </c>
      <c r="C731" s="2" t="s">
        <v>30</v>
      </c>
      <c r="D731" s="2" t="s">
        <v>26</v>
      </c>
      <c r="E731" s="2" t="s">
        <v>22</v>
      </c>
      <c r="F731" s="2" t="s">
        <v>58</v>
      </c>
      <c r="G731" s="2" t="s">
        <v>24</v>
      </c>
      <c r="H731" s="2">
        <v>220000</v>
      </c>
      <c r="I731" s="2">
        <v>8</v>
      </c>
      <c r="J731" s="2" t="s">
        <v>54</v>
      </c>
      <c r="K731" s="2">
        <f t="shared" si="77"/>
        <v>176000</v>
      </c>
      <c r="L731" s="9">
        <f>Table_1[[#This Row],[Unit Price]]*Table_1[[#This Row],[Quantity]]</f>
        <v>1760000</v>
      </c>
      <c r="M731" s="8">
        <f>Table_1[[#This Row],[Cost Price]]*Table_1[[#This Row],[Quantity]]</f>
        <v>1408000</v>
      </c>
      <c r="N731">
        <f>Table_1[[#This Row],[Revenue]]-Table_1[[#This Row],[COGS]]</f>
        <v>352000</v>
      </c>
      <c r="O731" s="11">
        <f t="shared" si="78"/>
        <v>4656740000</v>
      </c>
      <c r="P731">
        <f t="shared" si="79"/>
        <v>3725392000</v>
      </c>
      <c r="Q731">
        <f t="shared" si="80"/>
        <v>931348000</v>
      </c>
      <c r="R731" s="7">
        <f t="shared" si="81"/>
        <v>2098</v>
      </c>
      <c r="S731" s="7">
        <f t="shared" si="82"/>
        <v>1</v>
      </c>
      <c r="T731" s="7">
        <f t="shared" si="83"/>
        <v>2098</v>
      </c>
    </row>
    <row r="732" spans="1:20" ht="14.25" customHeight="1" x14ac:dyDescent="0.35">
      <c r="A732" s="2" t="s">
        <v>149</v>
      </c>
      <c r="B732" s="2" t="s">
        <v>20</v>
      </c>
      <c r="C732" s="2" t="s">
        <v>13</v>
      </c>
      <c r="D732" s="2" t="s">
        <v>14</v>
      </c>
      <c r="E732" s="2" t="s">
        <v>15</v>
      </c>
      <c r="F732" s="2" t="s">
        <v>58</v>
      </c>
      <c r="G732" s="2" t="s">
        <v>24</v>
      </c>
      <c r="H732" s="2">
        <v>220000</v>
      </c>
      <c r="I732" s="2">
        <v>9</v>
      </c>
      <c r="J732" s="2" t="s">
        <v>32</v>
      </c>
      <c r="K732" s="2">
        <f t="shared" si="77"/>
        <v>176000</v>
      </c>
      <c r="L732" s="9">
        <f>Table_1[[#This Row],[Unit Price]]*Table_1[[#This Row],[Quantity]]</f>
        <v>1980000</v>
      </c>
      <c r="M732" s="8">
        <f>Table_1[[#This Row],[Cost Price]]*Table_1[[#This Row],[Quantity]]</f>
        <v>1584000</v>
      </c>
      <c r="N732">
        <f>Table_1[[#This Row],[Revenue]]-Table_1[[#This Row],[COGS]]</f>
        <v>396000</v>
      </c>
      <c r="O732" s="11">
        <f t="shared" si="78"/>
        <v>4656740000</v>
      </c>
      <c r="P732">
        <f t="shared" si="79"/>
        <v>3725392000</v>
      </c>
      <c r="Q732">
        <f t="shared" si="80"/>
        <v>931348000</v>
      </c>
      <c r="R732" s="7">
        <f t="shared" si="81"/>
        <v>2098</v>
      </c>
      <c r="S732" s="7">
        <f t="shared" si="82"/>
        <v>3</v>
      </c>
      <c r="T732" s="7">
        <f t="shared" si="83"/>
        <v>2098</v>
      </c>
    </row>
    <row r="733" spans="1:20" ht="14.25" customHeight="1" x14ac:dyDescent="0.35">
      <c r="A733" s="2" t="s">
        <v>105</v>
      </c>
      <c r="B733" s="2" t="s">
        <v>34</v>
      </c>
      <c r="C733" s="2" t="s">
        <v>30</v>
      </c>
      <c r="D733" s="2" t="s">
        <v>26</v>
      </c>
      <c r="E733" s="2" t="s">
        <v>15</v>
      </c>
      <c r="F733" s="2" t="s">
        <v>35</v>
      </c>
      <c r="G733" s="2" t="s">
        <v>36</v>
      </c>
      <c r="H733" s="2">
        <v>300000</v>
      </c>
      <c r="I733" s="2">
        <v>7</v>
      </c>
      <c r="J733" s="2" t="s">
        <v>54</v>
      </c>
      <c r="K733" s="2">
        <f t="shared" si="77"/>
        <v>240000</v>
      </c>
      <c r="L733" s="9">
        <f>Table_1[[#This Row],[Unit Price]]*Table_1[[#This Row],[Quantity]]</f>
        <v>2100000</v>
      </c>
      <c r="M733" s="8">
        <f>Table_1[[#This Row],[Cost Price]]*Table_1[[#This Row],[Quantity]]</f>
        <v>1680000</v>
      </c>
      <c r="N733">
        <f>Table_1[[#This Row],[Revenue]]-Table_1[[#This Row],[COGS]]</f>
        <v>420000</v>
      </c>
      <c r="O733" s="11">
        <f t="shared" si="78"/>
        <v>4656740000</v>
      </c>
      <c r="P733">
        <f t="shared" si="79"/>
        <v>3725392000</v>
      </c>
      <c r="Q733">
        <f t="shared" si="80"/>
        <v>931348000</v>
      </c>
      <c r="R733" s="7">
        <f t="shared" si="81"/>
        <v>2098</v>
      </c>
      <c r="S733" s="7">
        <f t="shared" si="82"/>
        <v>3</v>
      </c>
      <c r="T733" s="7">
        <f t="shared" si="83"/>
        <v>2098</v>
      </c>
    </row>
    <row r="734" spans="1:20" ht="14.25" customHeight="1" x14ac:dyDescent="0.35">
      <c r="A734" s="2" t="s">
        <v>89</v>
      </c>
      <c r="B734" s="2" t="s">
        <v>12</v>
      </c>
      <c r="C734" s="2" t="s">
        <v>38</v>
      </c>
      <c r="D734" s="2" t="s">
        <v>14</v>
      </c>
      <c r="E734" s="2" t="s">
        <v>15</v>
      </c>
      <c r="F734" s="2" t="s">
        <v>52</v>
      </c>
      <c r="G734" s="2" t="s">
        <v>36</v>
      </c>
      <c r="H734" s="2">
        <v>420000</v>
      </c>
      <c r="I734" s="2">
        <v>1</v>
      </c>
      <c r="J734" s="2" t="s">
        <v>32</v>
      </c>
      <c r="K734" s="2">
        <f t="shared" si="77"/>
        <v>336000</v>
      </c>
      <c r="L734" s="9">
        <f>Table_1[[#This Row],[Unit Price]]*Table_1[[#This Row],[Quantity]]</f>
        <v>420000</v>
      </c>
      <c r="M734" s="8">
        <f>Table_1[[#This Row],[Cost Price]]*Table_1[[#This Row],[Quantity]]</f>
        <v>336000</v>
      </c>
      <c r="N734">
        <f>Table_1[[#This Row],[Revenue]]-Table_1[[#This Row],[COGS]]</f>
        <v>84000</v>
      </c>
      <c r="O734" s="11">
        <f t="shared" si="78"/>
        <v>4656740000</v>
      </c>
      <c r="P734">
        <f t="shared" si="79"/>
        <v>3725392000</v>
      </c>
      <c r="Q734">
        <f t="shared" si="80"/>
        <v>931348000</v>
      </c>
      <c r="R734" s="7">
        <f t="shared" si="81"/>
        <v>2098</v>
      </c>
      <c r="S734" s="7">
        <f t="shared" si="82"/>
        <v>3</v>
      </c>
      <c r="T734" s="7">
        <f t="shared" si="83"/>
        <v>2098</v>
      </c>
    </row>
    <row r="735" spans="1:20" ht="14.25" customHeight="1" x14ac:dyDescent="0.35">
      <c r="A735" s="2" t="s">
        <v>74</v>
      </c>
      <c r="B735" s="2" t="s">
        <v>12</v>
      </c>
      <c r="C735" s="2" t="s">
        <v>21</v>
      </c>
      <c r="D735" s="2" t="s">
        <v>26</v>
      </c>
      <c r="E735" s="2" t="s">
        <v>22</v>
      </c>
      <c r="F735" s="2" t="s">
        <v>39</v>
      </c>
      <c r="G735" s="2" t="s">
        <v>24</v>
      </c>
      <c r="H735" s="2">
        <v>180000</v>
      </c>
      <c r="I735" s="2">
        <v>6</v>
      </c>
      <c r="J735" s="2" t="s">
        <v>32</v>
      </c>
      <c r="K735" s="2">
        <f t="shared" si="77"/>
        <v>144000</v>
      </c>
      <c r="L735" s="9">
        <f>Table_1[[#This Row],[Unit Price]]*Table_1[[#This Row],[Quantity]]</f>
        <v>1080000</v>
      </c>
      <c r="M735" s="8">
        <f>Table_1[[#This Row],[Cost Price]]*Table_1[[#This Row],[Quantity]]</f>
        <v>864000</v>
      </c>
      <c r="N735">
        <f>Table_1[[#This Row],[Revenue]]-Table_1[[#This Row],[COGS]]</f>
        <v>216000</v>
      </c>
      <c r="O735" s="11">
        <f t="shared" si="78"/>
        <v>4656740000</v>
      </c>
      <c r="P735">
        <f t="shared" si="79"/>
        <v>3725392000</v>
      </c>
      <c r="Q735">
        <f t="shared" si="80"/>
        <v>931348000</v>
      </c>
      <c r="R735" s="7">
        <f t="shared" si="81"/>
        <v>2098</v>
      </c>
      <c r="S735" s="7">
        <f t="shared" si="82"/>
        <v>2</v>
      </c>
      <c r="T735" s="7">
        <f t="shared" si="83"/>
        <v>2098</v>
      </c>
    </row>
    <row r="736" spans="1:20" ht="14.25" customHeight="1" x14ac:dyDescent="0.35">
      <c r="A736" s="2" t="s">
        <v>84</v>
      </c>
      <c r="B736" s="2" t="s">
        <v>34</v>
      </c>
      <c r="C736" s="2" t="s">
        <v>13</v>
      </c>
      <c r="D736" s="2" t="s">
        <v>14</v>
      </c>
      <c r="E736" s="2" t="s">
        <v>15</v>
      </c>
      <c r="F736" s="2" t="s">
        <v>56</v>
      </c>
      <c r="G736" s="2" t="s">
        <v>36</v>
      </c>
      <c r="H736" s="2">
        <v>250000</v>
      </c>
      <c r="I736" s="2">
        <v>3</v>
      </c>
      <c r="J736" s="2" t="s">
        <v>32</v>
      </c>
      <c r="K736" s="2">
        <f t="shared" si="77"/>
        <v>200000</v>
      </c>
      <c r="L736" s="9">
        <f>Table_1[[#This Row],[Unit Price]]*Table_1[[#This Row],[Quantity]]</f>
        <v>750000</v>
      </c>
      <c r="M736" s="8">
        <f>Table_1[[#This Row],[Cost Price]]*Table_1[[#This Row],[Quantity]]</f>
        <v>600000</v>
      </c>
      <c r="N736">
        <f>Table_1[[#This Row],[Revenue]]-Table_1[[#This Row],[COGS]]</f>
        <v>150000</v>
      </c>
      <c r="O736" s="11">
        <f t="shared" si="78"/>
        <v>4656740000</v>
      </c>
      <c r="P736">
        <f t="shared" si="79"/>
        <v>3725392000</v>
      </c>
      <c r="Q736">
        <f t="shared" si="80"/>
        <v>931348000</v>
      </c>
      <c r="R736" s="7">
        <f t="shared" si="81"/>
        <v>2098</v>
      </c>
      <c r="S736" s="7">
        <f t="shared" si="82"/>
        <v>4</v>
      </c>
      <c r="T736" s="7">
        <f t="shared" si="83"/>
        <v>2098</v>
      </c>
    </row>
    <row r="737" spans="1:20" ht="14.25" customHeight="1" x14ac:dyDescent="0.35">
      <c r="A737" s="2" t="s">
        <v>123</v>
      </c>
      <c r="B737" s="2" t="s">
        <v>34</v>
      </c>
      <c r="C737" s="2" t="s">
        <v>38</v>
      </c>
      <c r="D737" s="2" t="s">
        <v>14</v>
      </c>
      <c r="E737" s="2" t="s">
        <v>15</v>
      </c>
      <c r="F737" s="2" t="s">
        <v>41</v>
      </c>
      <c r="G737" s="2" t="s">
        <v>17</v>
      </c>
      <c r="H737" s="2">
        <v>320000</v>
      </c>
      <c r="I737" s="2">
        <v>2</v>
      </c>
      <c r="J737" s="2" t="s">
        <v>18</v>
      </c>
      <c r="K737" s="2">
        <f t="shared" si="77"/>
        <v>256000</v>
      </c>
      <c r="L737" s="9">
        <f>Table_1[[#This Row],[Unit Price]]*Table_1[[#This Row],[Quantity]]</f>
        <v>640000</v>
      </c>
      <c r="M737" s="8">
        <f>Table_1[[#This Row],[Cost Price]]*Table_1[[#This Row],[Quantity]]</f>
        <v>512000</v>
      </c>
      <c r="N737">
        <f>Table_1[[#This Row],[Revenue]]-Table_1[[#This Row],[COGS]]</f>
        <v>128000</v>
      </c>
      <c r="O737" s="11">
        <f t="shared" si="78"/>
        <v>4656740000</v>
      </c>
      <c r="P737">
        <f t="shared" si="79"/>
        <v>3725392000</v>
      </c>
      <c r="Q737">
        <f t="shared" si="80"/>
        <v>931348000</v>
      </c>
      <c r="R737" s="7">
        <f t="shared" si="81"/>
        <v>2098</v>
      </c>
      <c r="S737" s="7">
        <f t="shared" si="82"/>
        <v>4</v>
      </c>
      <c r="T737" s="7">
        <f t="shared" si="83"/>
        <v>2098</v>
      </c>
    </row>
    <row r="738" spans="1:20" ht="14.25" customHeight="1" x14ac:dyDescent="0.35">
      <c r="A738" s="2" t="s">
        <v>49</v>
      </c>
      <c r="B738" s="2" t="s">
        <v>20</v>
      </c>
      <c r="C738" s="2" t="s">
        <v>21</v>
      </c>
      <c r="D738" s="2" t="s">
        <v>26</v>
      </c>
      <c r="E738" s="2" t="s">
        <v>15</v>
      </c>
      <c r="F738" s="2" t="s">
        <v>31</v>
      </c>
      <c r="G738" s="2" t="s">
        <v>24</v>
      </c>
      <c r="H738" s="2">
        <v>60000</v>
      </c>
      <c r="I738" s="2">
        <v>3</v>
      </c>
      <c r="J738" s="2" t="s">
        <v>27</v>
      </c>
      <c r="K738" s="2">
        <f t="shared" si="77"/>
        <v>48000</v>
      </c>
      <c r="L738" s="9">
        <f>Table_1[[#This Row],[Unit Price]]*Table_1[[#This Row],[Quantity]]</f>
        <v>180000</v>
      </c>
      <c r="M738" s="8">
        <f>Table_1[[#This Row],[Cost Price]]*Table_1[[#This Row],[Quantity]]</f>
        <v>144000</v>
      </c>
      <c r="N738">
        <f>Table_1[[#This Row],[Revenue]]-Table_1[[#This Row],[COGS]]</f>
        <v>36000</v>
      </c>
      <c r="O738" s="11">
        <f t="shared" si="78"/>
        <v>4656740000</v>
      </c>
      <c r="P738">
        <f t="shared" si="79"/>
        <v>3725392000</v>
      </c>
      <c r="Q738">
        <f t="shared" si="80"/>
        <v>931348000</v>
      </c>
      <c r="R738" s="7">
        <f t="shared" si="81"/>
        <v>2098</v>
      </c>
      <c r="S738" s="7">
        <f t="shared" si="82"/>
        <v>4</v>
      </c>
      <c r="T738" s="7">
        <f t="shared" si="83"/>
        <v>2098</v>
      </c>
    </row>
    <row r="739" spans="1:20" ht="14.25" customHeight="1" x14ac:dyDescent="0.35">
      <c r="A739" s="2" t="s">
        <v>128</v>
      </c>
      <c r="B739" s="2" t="s">
        <v>29</v>
      </c>
      <c r="C739" s="2" t="s">
        <v>38</v>
      </c>
      <c r="D739" s="2" t="s">
        <v>26</v>
      </c>
      <c r="E739" s="2" t="s">
        <v>22</v>
      </c>
      <c r="F739" s="2" t="s">
        <v>23</v>
      </c>
      <c r="G739" s="2" t="s">
        <v>24</v>
      </c>
      <c r="H739" s="2">
        <v>30000</v>
      </c>
      <c r="I739" s="2">
        <v>9</v>
      </c>
      <c r="J739" s="2" t="s">
        <v>27</v>
      </c>
      <c r="K739" s="2">
        <f t="shared" si="77"/>
        <v>24000</v>
      </c>
      <c r="L739" s="9">
        <f>Table_1[[#This Row],[Unit Price]]*Table_1[[#This Row],[Quantity]]</f>
        <v>270000</v>
      </c>
      <c r="M739" s="8">
        <f>Table_1[[#This Row],[Cost Price]]*Table_1[[#This Row],[Quantity]]</f>
        <v>216000</v>
      </c>
      <c r="N739">
        <f>Table_1[[#This Row],[Revenue]]-Table_1[[#This Row],[COGS]]</f>
        <v>54000</v>
      </c>
      <c r="O739" s="11">
        <f t="shared" si="78"/>
        <v>4656740000</v>
      </c>
      <c r="P739">
        <f t="shared" si="79"/>
        <v>3725392000</v>
      </c>
      <c r="Q739">
        <f t="shared" si="80"/>
        <v>931348000</v>
      </c>
      <c r="R739" s="7">
        <f t="shared" si="81"/>
        <v>2098</v>
      </c>
      <c r="S739" s="7">
        <f t="shared" si="82"/>
        <v>4</v>
      </c>
      <c r="T739" s="7">
        <f t="shared" si="83"/>
        <v>2098</v>
      </c>
    </row>
    <row r="740" spans="1:20" ht="14.25" customHeight="1" x14ac:dyDescent="0.35">
      <c r="A740" s="2" t="s">
        <v>42</v>
      </c>
      <c r="B740" s="2" t="s">
        <v>20</v>
      </c>
      <c r="C740" s="2" t="s">
        <v>30</v>
      </c>
      <c r="D740" s="2" t="s">
        <v>26</v>
      </c>
      <c r="E740" s="2" t="s">
        <v>22</v>
      </c>
      <c r="F740" s="2" t="s">
        <v>39</v>
      </c>
      <c r="G740" s="2" t="s">
        <v>24</v>
      </c>
      <c r="H740" s="2">
        <v>180000</v>
      </c>
      <c r="I740" s="2">
        <v>6</v>
      </c>
      <c r="J740" s="2" t="s">
        <v>27</v>
      </c>
      <c r="K740" s="2">
        <f t="shared" si="77"/>
        <v>144000</v>
      </c>
      <c r="L740" s="9">
        <f>Table_1[[#This Row],[Unit Price]]*Table_1[[#This Row],[Quantity]]</f>
        <v>1080000</v>
      </c>
      <c r="M740" s="8">
        <f>Table_1[[#This Row],[Cost Price]]*Table_1[[#This Row],[Quantity]]</f>
        <v>864000</v>
      </c>
      <c r="N740">
        <f>Table_1[[#This Row],[Revenue]]-Table_1[[#This Row],[COGS]]</f>
        <v>216000</v>
      </c>
      <c r="O740" s="11">
        <f t="shared" si="78"/>
        <v>4656740000</v>
      </c>
      <c r="P740">
        <f t="shared" si="79"/>
        <v>3725392000</v>
      </c>
      <c r="Q740">
        <f t="shared" si="80"/>
        <v>931348000</v>
      </c>
      <c r="R740" s="7">
        <f t="shared" si="81"/>
        <v>2098</v>
      </c>
      <c r="S740" s="7">
        <f t="shared" si="82"/>
        <v>2</v>
      </c>
      <c r="T740" s="7">
        <f t="shared" si="83"/>
        <v>2098</v>
      </c>
    </row>
    <row r="741" spans="1:20" ht="14.25" customHeight="1" x14ac:dyDescent="0.35">
      <c r="A741" s="2" t="s">
        <v>84</v>
      </c>
      <c r="B741" s="2" t="s">
        <v>29</v>
      </c>
      <c r="C741" s="2" t="s">
        <v>30</v>
      </c>
      <c r="D741" s="2" t="s">
        <v>26</v>
      </c>
      <c r="E741" s="2" t="s">
        <v>15</v>
      </c>
      <c r="F741" s="2" t="s">
        <v>31</v>
      </c>
      <c r="G741" s="2" t="s">
        <v>24</v>
      </c>
      <c r="H741" s="2">
        <v>60000</v>
      </c>
      <c r="I741" s="2">
        <v>8</v>
      </c>
      <c r="J741" s="2" t="s">
        <v>50</v>
      </c>
      <c r="K741" s="2">
        <f t="shared" si="77"/>
        <v>48000</v>
      </c>
      <c r="L741" s="9">
        <f>Table_1[[#This Row],[Unit Price]]*Table_1[[#This Row],[Quantity]]</f>
        <v>480000</v>
      </c>
      <c r="M741" s="8">
        <f>Table_1[[#This Row],[Cost Price]]*Table_1[[#This Row],[Quantity]]</f>
        <v>384000</v>
      </c>
      <c r="N741">
        <f>Table_1[[#This Row],[Revenue]]-Table_1[[#This Row],[COGS]]</f>
        <v>96000</v>
      </c>
      <c r="O741" s="11">
        <f t="shared" si="78"/>
        <v>4656740000</v>
      </c>
      <c r="P741">
        <f t="shared" si="79"/>
        <v>3725392000</v>
      </c>
      <c r="Q741">
        <f t="shared" si="80"/>
        <v>931348000</v>
      </c>
      <c r="R741" s="7">
        <f t="shared" si="81"/>
        <v>2098</v>
      </c>
      <c r="S741" s="7">
        <f t="shared" si="82"/>
        <v>4</v>
      </c>
      <c r="T741" s="7">
        <f t="shared" si="83"/>
        <v>2098</v>
      </c>
    </row>
    <row r="742" spans="1:20" ht="14.25" customHeight="1" x14ac:dyDescent="0.35">
      <c r="A742" s="2" t="s">
        <v>82</v>
      </c>
      <c r="B742" s="2" t="s">
        <v>29</v>
      </c>
      <c r="C742" s="2" t="s">
        <v>30</v>
      </c>
      <c r="D742" s="2" t="s">
        <v>26</v>
      </c>
      <c r="E742" s="2" t="s">
        <v>15</v>
      </c>
      <c r="F742" s="2" t="s">
        <v>31</v>
      </c>
      <c r="G742" s="2" t="s">
        <v>24</v>
      </c>
      <c r="H742" s="2">
        <v>60000</v>
      </c>
      <c r="I742" s="2">
        <v>8</v>
      </c>
      <c r="J742" s="2" t="s">
        <v>54</v>
      </c>
      <c r="K742" s="2">
        <f t="shared" si="77"/>
        <v>48000</v>
      </c>
      <c r="L742" s="9">
        <f>Table_1[[#This Row],[Unit Price]]*Table_1[[#This Row],[Quantity]]</f>
        <v>480000</v>
      </c>
      <c r="M742" s="8">
        <f>Table_1[[#This Row],[Cost Price]]*Table_1[[#This Row],[Quantity]]</f>
        <v>384000</v>
      </c>
      <c r="N742">
        <f>Table_1[[#This Row],[Revenue]]-Table_1[[#This Row],[COGS]]</f>
        <v>96000</v>
      </c>
      <c r="O742" s="11">
        <f t="shared" si="78"/>
        <v>4656740000</v>
      </c>
      <c r="P742">
        <f t="shared" si="79"/>
        <v>3725392000</v>
      </c>
      <c r="Q742">
        <f t="shared" si="80"/>
        <v>931348000</v>
      </c>
      <c r="R742" s="7">
        <f t="shared" si="81"/>
        <v>2098</v>
      </c>
      <c r="S742" s="7">
        <f t="shared" si="82"/>
        <v>1</v>
      </c>
      <c r="T742" s="7">
        <f t="shared" si="83"/>
        <v>2098</v>
      </c>
    </row>
    <row r="743" spans="1:20" ht="14.25" customHeight="1" x14ac:dyDescent="0.35">
      <c r="A743" s="2" t="s">
        <v>91</v>
      </c>
      <c r="B743" s="2" t="s">
        <v>29</v>
      </c>
      <c r="C743" s="2" t="s">
        <v>30</v>
      </c>
      <c r="D743" s="2" t="s">
        <v>26</v>
      </c>
      <c r="E743" s="2" t="s">
        <v>22</v>
      </c>
      <c r="F743" s="2" t="s">
        <v>56</v>
      </c>
      <c r="G743" s="2" t="s">
        <v>36</v>
      </c>
      <c r="H743" s="2">
        <v>250000</v>
      </c>
      <c r="I743" s="2">
        <v>3</v>
      </c>
      <c r="J743" s="2" t="s">
        <v>43</v>
      </c>
      <c r="K743" s="2">
        <f t="shared" si="77"/>
        <v>200000</v>
      </c>
      <c r="L743" s="9">
        <f>Table_1[[#This Row],[Unit Price]]*Table_1[[#This Row],[Quantity]]</f>
        <v>750000</v>
      </c>
      <c r="M743" s="8">
        <f>Table_1[[#This Row],[Cost Price]]*Table_1[[#This Row],[Quantity]]</f>
        <v>600000</v>
      </c>
      <c r="N743">
        <f>Table_1[[#This Row],[Revenue]]-Table_1[[#This Row],[COGS]]</f>
        <v>150000</v>
      </c>
      <c r="O743" s="11">
        <f t="shared" si="78"/>
        <v>4656740000</v>
      </c>
      <c r="P743">
        <f t="shared" si="79"/>
        <v>3725392000</v>
      </c>
      <c r="Q743">
        <f t="shared" si="80"/>
        <v>931348000</v>
      </c>
      <c r="R743" s="7">
        <f t="shared" si="81"/>
        <v>2098</v>
      </c>
      <c r="S743" s="7">
        <f t="shared" si="82"/>
        <v>4</v>
      </c>
      <c r="T743" s="7">
        <f t="shared" si="83"/>
        <v>2098</v>
      </c>
    </row>
    <row r="744" spans="1:20" ht="14.25" customHeight="1" x14ac:dyDescent="0.35">
      <c r="A744" s="2" t="s">
        <v>118</v>
      </c>
      <c r="B744" s="2" t="s">
        <v>34</v>
      </c>
      <c r="C744" s="2" t="s">
        <v>30</v>
      </c>
      <c r="D744" s="2" t="s">
        <v>26</v>
      </c>
      <c r="E744" s="2" t="s">
        <v>22</v>
      </c>
      <c r="F744" s="2" t="s">
        <v>16</v>
      </c>
      <c r="G744" s="2" t="s">
        <v>17</v>
      </c>
      <c r="H744" s="2">
        <v>85000</v>
      </c>
      <c r="I744" s="2">
        <v>6</v>
      </c>
      <c r="J744" s="2" t="s">
        <v>50</v>
      </c>
      <c r="K744" s="2">
        <f t="shared" si="77"/>
        <v>68000</v>
      </c>
      <c r="L744" s="9">
        <f>Table_1[[#This Row],[Unit Price]]*Table_1[[#This Row],[Quantity]]</f>
        <v>510000</v>
      </c>
      <c r="M744" s="8">
        <f>Table_1[[#This Row],[Cost Price]]*Table_1[[#This Row],[Quantity]]</f>
        <v>408000</v>
      </c>
      <c r="N744">
        <f>Table_1[[#This Row],[Revenue]]-Table_1[[#This Row],[COGS]]</f>
        <v>102000</v>
      </c>
      <c r="O744" s="11">
        <f t="shared" si="78"/>
        <v>4656740000</v>
      </c>
      <c r="P744">
        <f t="shared" si="79"/>
        <v>3725392000</v>
      </c>
      <c r="Q744">
        <f t="shared" si="80"/>
        <v>931348000</v>
      </c>
      <c r="R744" s="7">
        <f t="shared" si="81"/>
        <v>2098</v>
      </c>
      <c r="S744" s="7">
        <f t="shared" si="82"/>
        <v>1</v>
      </c>
      <c r="T744" s="7">
        <f t="shared" si="83"/>
        <v>2098</v>
      </c>
    </row>
    <row r="745" spans="1:20" ht="14.25" customHeight="1" x14ac:dyDescent="0.35">
      <c r="A745" s="2" t="s">
        <v>102</v>
      </c>
      <c r="B745" s="2" t="s">
        <v>20</v>
      </c>
      <c r="C745" s="2" t="s">
        <v>38</v>
      </c>
      <c r="D745" s="2" t="s">
        <v>26</v>
      </c>
      <c r="E745" s="2" t="s">
        <v>15</v>
      </c>
      <c r="F745" s="2" t="s">
        <v>58</v>
      </c>
      <c r="G745" s="2" t="s">
        <v>24</v>
      </c>
      <c r="H745" s="2">
        <v>220000</v>
      </c>
      <c r="I745" s="2">
        <v>9</v>
      </c>
      <c r="J745" s="2" t="s">
        <v>32</v>
      </c>
      <c r="K745" s="2">
        <f t="shared" si="77"/>
        <v>176000</v>
      </c>
      <c r="L745" s="9">
        <f>Table_1[[#This Row],[Unit Price]]*Table_1[[#This Row],[Quantity]]</f>
        <v>1980000</v>
      </c>
      <c r="M745" s="8">
        <f>Table_1[[#This Row],[Cost Price]]*Table_1[[#This Row],[Quantity]]</f>
        <v>1584000</v>
      </c>
      <c r="N745">
        <f>Table_1[[#This Row],[Revenue]]-Table_1[[#This Row],[COGS]]</f>
        <v>396000</v>
      </c>
      <c r="O745" s="11">
        <f t="shared" si="78"/>
        <v>4656740000</v>
      </c>
      <c r="P745">
        <f t="shared" si="79"/>
        <v>3725392000</v>
      </c>
      <c r="Q745">
        <f t="shared" si="80"/>
        <v>931348000</v>
      </c>
      <c r="R745" s="7">
        <f t="shared" si="81"/>
        <v>2098</v>
      </c>
      <c r="S745" s="7">
        <f t="shared" si="82"/>
        <v>1</v>
      </c>
      <c r="T745" s="7">
        <f t="shared" si="83"/>
        <v>2098</v>
      </c>
    </row>
    <row r="746" spans="1:20" ht="14.25" customHeight="1" x14ac:dyDescent="0.35">
      <c r="A746" s="2" t="s">
        <v>79</v>
      </c>
      <c r="B746" s="2" t="s">
        <v>34</v>
      </c>
      <c r="C746" s="2" t="s">
        <v>38</v>
      </c>
      <c r="D746" s="2" t="s">
        <v>26</v>
      </c>
      <c r="E746" s="2" t="s">
        <v>22</v>
      </c>
      <c r="F746" s="2" t="s">
        <v>56</v>
      </c>
      <c r="G746" s="2" t="s">
        <v>36</v>
      </c>
      <c r="H746" s="2">
        <v>250000</v>
      </c>
      <c r="I746" s="2">
        <v>4</v>
      </c>
      <c r="J746" s="2" t="s">
        <v>32</v>
      </c>
      <c r="K746" s="2">
        <f t="shared" si="77"/>
        <v>200000</v>
      </c>
      <c r="L746" s="9">
        <f>Table_1[[#This Row],[Unit Price]]*Table_1[[#This Row],[Quantity]]</f>
        <v>1000000</v>
      </c>
      <c r="M746" s="8">
        <f>Table_1[[#This Row],[Cost Price]]*Table_1[[#This Row],[Quantity]]</f>
        <v>800000</v>
      </c>
      <c r="N746">
        <f>Table_1[[#This Row],[Revenue]]-Table_1[[#This Row],[COGS]]</f>
        <v>200000</v>
      </c>
      <c r="O746" s="11">
        <f t="shared" si="78"/>
        <v>4656740000</v>
      </c>
      <c r="P746">
        <f t="shared" si="79"/>
        <v>3725392000</v>
      </c>
      <c r="Q746">
        <f t="shared" si="80"/>
        <v>931348000</v>
      </c>
      <c r="R746" s="7">
        <f t="shared" si="81"/>
        <v>2098</v>
      </c>
      <c r="S746" s="7">
        <f t="shared" si="82"/>
        <v>1</v>
      </c>
      <c r="T746" s="7">
        <f t="shared" si="83"/>
        <v>2098</v>
      </c>
    </row>
    <row r="747" spans="1:20" ht="14.25" customHeight="1" x14ac:dyDescent="0.35">
      <c r="A747" s="2" t="s">
        <v>53</v>
      </c>
      <c r="B747" s="2" t="s">
        <v>29</v>
      </c>
      <c r="C747" s="2" t="s">
        <v>30</v>
      </c>
      <c r="D747" s="2" t="s">
        <v>26</v>
      </c>
      <c r="E747" s="2" t="s">
        <v>22</v>
      </c>
      <c r="F747" s="2" t="s">
        <v>56</v>
      </c>
      <c r="G747" s="2" t="s">
        <v>36</v>
      </c>
      <c r="H747" s="2">
        <v>250000</v>
      </c>
      <c r="I747" s="2">
        <v>3</v>
      </c>
      <c r="J747" s="2" t="s">
        <v>18</v>
      </c>
      <c r="K747" s="2">
        <f t="shared" si="77"/>
        <v>200000</v>
      </c>
      <c r="L747" s="9">
        <f>Table_1[[#This Row],[Unit Price]]*Table_1[[#This Row],[Quantity]]</f>
        <v>750000</v>
      </c>
      <c r="M747" s="8">
        <f>Table_1[[#This Row],[Cost Price]]*Table_1[[#This Row],[Quantity]]</f>
        <v>600000</v>
      </c>
      <c r="N747">
        <f>Table_1[[#This Row],[Revenue]]-Table_1[[#This Row],[COGS]]</f>
        <v>150000</v>
      </c>
      <c r="O747" s="11">
        <f t="shared" si="78"/>
        <v>4656740000</v>
      </c>
      <c r="P747">
        <f t="shared" si="79"/>
        <v>3725392000</v>
      </c>
      <c r="Q747">
        <f t="shared" si="80"/>
        <v>931348000</v>
      </c>
      <c r="R747" s="7">
        <f t="shared" si="81"/>
        <v>2098</v>
      </c>
      <c r="S747" s="7">
        <f t="shared" si="82"/>
        <v>3</v>
      </c>
      <c r="T747" s="7">
        <f t="shared" si="83"/>
        <v>2098</v>
      </c>
    </row>
    <row r="748" spans="1:20" ht="14.25" customHeight="1" x14ac:dyDescent="0.35">
      <c r="A748" s="2" t="s">
        <v>46</v>
      </c>
      <c r="B748" s="2" t="s">
        <v>29</v>
      </c>
      <c r="C748" s="2" t="s">
        <v>38</v>
      </c>
      <c r="D748" s="2" t="s">
        <v>26</v>
      </c>
      <c r="E748" s="2" t="s">
        <v>22</v>
      </c>
      <c r="F748" s="2" t="s">
        <v>23</v>
      </c>
      <c r="G748" s="2" t="s">
        <v>24</v>
      </c>
      <c r="H748" s="2">
        <v>30000</v>
      </c>
      <c r="I748" s="2">
        <v>10</v>
      </c>
      <c r="J748" s="2" t="s">
        <v>18</v>
      </c>
      <c r="K748" s="2">
        <f t="shared" si="77"/>
        <v>24000</v>
      </c>
      <c r="L748" s="9">
        <f>Table_1[[#This Row],[Unit Price]]*Table_1[[#This Row],[Quantity]]</f>
        <v>300000</v>
      </c>
      <c r="M748" s="8">
        <f>Table_1[[#This Row],[Cost Price]]*Table_1[[#This Row],[Quantity]]</f>
        <v>240000</v>
      </c>
      <c r="N748">
        <f>Table_1[[#This Row],[Revenue]]-Table_1[[#This Row],[COGS]]</f>
        <v>60000</v>
      </c>
      <c r="O748" s="11">
        <f t="shared" si="78"/>
        <v>4656740000</v>
      </c>
      <c r="P748">
        <f t="shared" si="79"/>
        <v>3725392000</v>
      </c>
      <c r="Q748">
        <f t="shared" si="80"/>
        <v>931348000</v>
      </c>
      <c r="R748" s="7">
        <f t="shared" si="81"/>
        <v>2098</v>
      </c>
      <c r="S748" s="7">
        <f t="shared" si="82"/>
        <v>1</v>
      </c>
      <c r="T748" s="7">
        <f t="shared" si="83"/>
        <v>2098</v>
      </c>
    </row>
    <row r="749" spans="1:20" ht="14.25" customHeight="1" x14ac:dyDescent="0.35">
      <c r="A749" s="2" t="s">
        <v>61</v>
      </c>
      <c r="B749" s="2" t="s">
        <v>34</v>
      </c>
      <c r="C749" s="2" t="s">
        <v>30</v>
      </c>
      <c r="D749" s="2" t="s">
        <v>26</v>
      </c>
      <c r="E749" s="2" t="s">
        <v>22</v>
      </c>
      <c r="F749" s="2" t="s">
        <v>35</v>
      </c>
      <c r="G749" s="2" t="s">
        <v>36</v>
      </c>
      <c r="H749" s="2">
        <v>300000</v>
      </c>
      <c r="I749" s="2">
        <v>4</v>
      </c>
      <c r="J749" s="2" t="s">
        <v>54</v>
      </c>
      <c r="K749" s="2">
        <f t="shared" si="77"/>
        <v>240000</v>
      </c>
      <c r="L749" s="9">
        <f>Table_1[[#This Row],[Unit Price]]*Table_1[[#This Row],[Quantity]]</f>
        <v>1200000</v>
      </c>
      <c r="M749" s="8">
        <f>Table_1[[#This Row],[Cost Price]]*Table_1[[#This Row],[Quantity]]</f>
        <v>960000</v>
      </c>
      <c r="N749">
        <f>Table_1[[#This Row],[Revenue]]-Table_1[[#This Row],[COGS]]</f>
        <v>240000</v>
      </c>
      <c r="O749" s="11">
        <f t="shared" si="78"/>
        <v>4656740000</v>
      </c>
      <c r="P749">
        <f t="shared" si="79"/>
        <v>3725392000</v>
      </c>
      <c r="Q749">
        <f t="shared" si="80"/>
        <v>931348000</v>
      </c>
      <c r="R749" s="7">
        <f t="shared" si="81"/>
        <v>2098</v>
      </c>
      <c r="S749" s="7">
        <f t="shared" si="82"/>
        <v>5</v>
      </c>
      <c r="T749" s="7">
        <f t="shared" si="83"/>
        <v>2098</v>
      </c>
    </row>
    <row r="750" spans="1:20" ht="14.25" customHeight="1" x14ac:dyDescent="0.35">
      <c r="A750" s="2" t="s">
        <v>91</v>
      </c>
      <c r="B750" s="2" t="s">
        <v>29</v>
      </c>
      <c r="C750" s="2" t="s">
        <v>13</v>
      </c>
      <c r="D750" s="2" t="s">
        <v>26</v>
      </c>
      <c r="E750" s="2" t="s">
        <v>22</v>
      </c>
      <c r="F750" s="2" t="s">
        <v>41</v>
      </c>
      <c r="G750" s="2" t="s">
        <v>17</v>
      </c>
      <c r="H750" s="2">
        <v>320000</v>
      </c>
      <c r="I750" s="2">
        <v>2</v>
      </c>
      <c r="J750" s="2" t="s">
        <v>43</v>
      </c>
      <c r="K750" s="2">
        <f t="shared" si="77"/>
        <v>256000</v>
      </c>
      <c r="L750" s="9">
        <f>Table_1[[#This Row],[Unit Price]]*Table_1[[#This Row],[Quantity]]</f>
        <v>640000</v>
      </c>
      <c r="M750" s="8">
        <f>Table_1[[#This Row],[Cost Price]]*Table_1[[#This Row],[Quantity]]</f>
        <v>512000</v>
      </c>
      <c r="N750">
        <f>Table_1[[#This Row],[Revenue]]-Table_1[[#This Row],[COGS]]</f>
        <v>128000</v>
      </c>
      <c r="O750" s="11">
        <f t="shared" si="78"/>
        <v>4656740000</v>
      </c>
      <c r="P750">
        <f t="shared" si="79"/>
        <v>3725392000</v>
      </c>
      <c r="Q750">
        <f t="shared" si="80"/>
        <v>931348000</v>
      </c>
      <c r="R750" s="7">
        <f t="shared" si="81"/>
        <v>2098</v>
      </c>
      <c r="S750" s="7">
        <f t="shared" si="82"/>
        <v>4</v>
      </c>
      <c r="T750" s="7">
        <f t="shared" si="83"/>
        <v>2098</v>
      </c>
    </row>
    <row r="751" spans="1:20" ht="14.25" customHeight="1" x14ac:dyDescent="0.35">
      <c r="A751" s="2" t="s">
        <v>85</v>
      </c>
      <c r="B751" s="2" t="s">
        <v>29</v>
      </c>
      <c r="C751" s="2" t="s">
        <v>38</v>
      </c>
      <c r="D751" s="2" t="s">
        <v>26</v>
      </c>
      <c r="E751" s="2" t="s">
        <v>22</v>
      </c>
      <c r="F751" s="2" t="s">
        <v>52</v>
      </c>
      <c r="G751" s="2" t="s">
        <v>36</v>
      </c>
      <c r="H751" s="2">
        <v>420000</v>
      </c>
      <c r="I751" s="2">
        <v>8</v>
      </c>
      <c r="J751" s="2" t="s">
        <v>54</v>
      </c>
      <c r="K751" s="2">
        <f t="shared" si="77"/>
        <v>336000</v>
      </c>
      <c r="L751" s="9">
        <f>Table_1[[#This Row],[Unit Price]]*Table_1[[#This Row],[Quantity]]</f>
        <v>3360000</v>
      </c>
      <c r="M751" s="8">
        <f>Table_1[[#This Row],[Cost Price]]*Table_1[[#This Row],[Quantity]]</f>
        <v>2688000</v>
      </c>
      <c r="N751">
        <f>Table_1[[#This Row],[Revenue]]-Table_1[[#This Row],[COGS]]</f>
        <v>672000</v>
      </c>
      <c r="O751" s="11">
        <f t="shared" si="78"/>
        <v>4656740000</v>
      </c>
      <c r="P751">
        <f t="shared" si="79"/>
        <v>3725392000</v>
      </c>
      <c r="Q751">
        <f t="shared" si="80"/>
        <v>931348000</v>
      </c>
      <c r="R751" s="7">
        <f t="shared" si="81"/>
        <v>2098</v>
      </c>
      <c r="S751" s="7">
        <f t="shared" si="82"/>
        <v>1</v>
      </c>
      <c r="T751" s="7">
        <f t="shared" si="83"/>
        <v>2098</v>
      </c>
    </row>
    <row r="752" spans="1:20" ht="14.25" customHeight="1" x14ac:dyDescent="0.35">
      <c r="A752" s="2" t="s">
        <v>109</v>
      </c>
      <c r="B752" s="2" t="s">
        <v>29</v>
      </c>
      <c r="C752" s="2" t="s">
        <v>38</v>
      </c>
      <c r="D752" s="2" t="s">
        <v>26</v>
      </c>
      <c r="E752" s="2" t="s">
        <v>22</v>
      </c>
      <c r="F752" s="2" t="s">
        <v>23</v>
      </c>
      <c r="G752" s="2" t="s">
        <v>24</v>
      </c>
      <c r="H752" s="2">
        <v>30000</v>
      </c>
      <c r="I752" s="2">
        <v>2</v>
      </c>
      <c r="J752" s="2" t="s">
        <v>27</v>
      </c>
      <c r="K752" s="2">
        <f t="shared" si="77"/>
        <v>24000</v>
      </c>
      <c r="L752" s="9">
        <f>Table_1[[#This Row],[Unit Price]]*Table_1[[#This Row],[Quantity]]</f>
        <v>60000</v>
      </c>
      <c r="M752" s="8">
        <f>Table_1[[#This Row],[Cost Price]]*Table_1[[#This Row],[Quantity]]</f>
        <v>48000</v>
      </c>
      <c r="N752">
        <f>Table_1[[#This Row],[Revenue]]-Table_1[[#This Row],[COGS]]</f>
        <v>12000</v>
      </c>
      <c r="O752" s="11">
        <f t="shared" si="78"/>
        <v>4656740000</v>
      </c>
      <c r="P752">
        <f t="shared" si="79"/>
        <v>3725392000</v>
      </c>
      <c r="Q752">
        <f t="shared" si="80"/>
        <v>931348000</v>
      </c>
      <c r="R752" s="7">
        <f t="shared" si="81"/>
        <v>2098</v>
      </c>
      <c r="S752" s="7">
        <f t="shared" si="82"/>
        <v>2</v>
      </c>
      <c r="T752" s="7">
        <f t="shared" si="83"/>
        <v>2098</v>
      </c>
    </row>
    <row r="753" spans="1:20" ht="14.25" customHeight="1" x14ac:dyDescent="0.35">
      <c r="A753" s="2" t="s">
        <v>73</v>
      </c>
      <c r="B753" s="2" t="s">
        <v>34</v>
      </c>
      <c r="C753" s="2" t="s">
        <v>38</v>
      </c>
      <c r="D753" s="2" t="s">
        <v>26</v>
      </c>
      <c r="E753" s="2" t="s">
        <v>22</v>
      </c>
      <c r="F753" s="2" t="s">
        <v>47</v>
      </c>
      <c r="G753" s="2" t="s">
        <v>36</v>
      </c>
      <c r="H753" s="2">
        <v>150000</v>
      </c>
      <c r="I753" s="2">
        <v>3</v>
      </c>
      <c r="J753" s="2" t="s">
        <v>18</v>
      </c>
      <c r="K753" s="2">
        <f t="shared" si="77"/>
        <v>120000</v>
      </c>
      <c r="L753" s="9">
        <f>Table_1[[#This Row],[Unit Price]]*Table_1[[#This Row],[Quantity]]</f>
        <v>450000</v>
      </c>
      <c r="M753" s="8">
        <f>Table_1[[#This Row],[Cost Price]]*Table_1[[#This Row],[Quantity]]</f>
        <v>360000</v>
      </c>
      <c r="N753">
        <f>Table_1[[#This Row],[Revenue]]-Table_1[[#This Row],[COGS]]</f>
        <v>90000</v>
      </c>
      <c r="O753" s="11">
        <f t="shared" si="78"/>
        <v>4656740000</v>
      </c>
      <c r="P753">
        <f t="shared" si="79"/>
        <v>3725392000</v>
      </c>
      <c r="Q753">
        <f t="shared" si="80"/>
        <v>931348000</v>
      </c>
      <c r="R753" s="7">
        <f t="shared" si="81"/>
        <v>2098</v>
      </c>
      <c r="S753" s="7">
        <f t="shared" si="82"/>
        <v>2</v>
      </c>
      <c r="T753" s="7">
        <f t="shared" si="83"/>
        <v>2098</v>
      </c>
    </row>
    <row r="754" spans="1:20" ht="14.25" customHeight="1" x14ac:dyDescent="0.35">
      <c r="A754" s="2" t="s">
        <v>103</v>
      </c>
      <c r="B754" s="2" t="s">
        <v>29</v>
      </c>
      <c r="C754" s="2" t="s">
        <v>21</v>
      </c>
      <c r="D754" s="2" t="s">
        <v>26</v>
      </c>
      <c r="E754" s="2" t="s">
        <v>22</v>
      </c>
      <c r="F754" s="2" t="s">
        <v>58</v>
      </c>
      <c r="G754" s="2" t="s">
        <v>24</v>
      </c>
      <c r="H754" s="2">
        <v>220000</v>
      </c>
      <c r="I754" s="2">
        <v>6</v>
      </c>
      <c r="J754" s="2" t="s">
        <v>27</v>
      </c>
      <c r="K754" s="2">
        <f t="shared" si="77"/>
        <v>176000</v>
      </c>
      <c r="L754" s="9">
        <f>Table_1[[#This Row],[Unit Price]]*Table_1[[#This Row],[Quantity]]</f>
        <v>1320000</v>
      </c>
      <c r="M754" s="8">
        <f>Table_1[[#This Row],[Cost Price]]*Table_1[[#This Row],[Quantity]]</f>
        <v>1056000</v>
      </c>
      <c r="N754">
        <f>Table_1[[#This Row],[Revenue]]-Table_1[[#This Row],[COGS]]</f>
        <v>264000</v>
      </c>
      <c r="O754" s="11">
        <f t="shared" si="78"/>
        <v>4656740000</v>
      </c>
      <c r="P754">
        <f t="shared" si="79"/>
        <v>3725392000</v>
      </c>
      <c r="Q754">
        <f t="shared" si="80"/>
        <v>931348000</v>
      </c>
      <c r="R754" s="7">
        <f t="shared" si="81"/>
        <v>2098</v>
      </c>
      <c r="S754" s="7">
        <f t="shared" si="82"/>
        <v>3</v>
      </c>
      <c r="T754" s="7">
        <f t="shared" si="83"/>
        <v>2098</v>
      </c>
    </row>
    <row r="755" spans="1:20" ht="14.25" customHeight="1" x14ac:dyDescent="0.35">
      <c r="A755" s="2" t="s">
        <v>84</v>
      </c>
      <c r="B755" s="2" t="s">
        <v>12</v>
      </c>
      <c r="C755" s="2" t="s">
        <v>13</v>
      </c>
      <c r="D755" s="2" t="s">
        <v>26</v>
      </c>
      <c r="E755" s="2" t="s">
        <v>15</v>
      </c>
      <c r="F755" s="2" t="s">
        <v>31</v>
      </c>
      <c r="G755" s="2" t="s">
        <v>24</v>
      </c>
      <c r="H755" s="2">
        <v>60000</v>
      </c>
      <c r="I755" s="2">
        <v>7</v>
      </c>
      <c r="J755" s="2" t="s">
        <v>43</v>
      </c>
      <c r="K755" s="2">
        <f t="shared" si="77"/>
        <v>48000</v>
      </c>
      <c r="L755" s="9">
        <f>Table_1[[#This Row],[Unit Price]]*Table_1[[#This Row],[Quantity]]</f>
        <v>420000</v>
      </c>
      <c r="M755" s="8">
        <f>Table_1[[#This Row],[Cost Price]]*Table_1[[#This Row],[Quantity]]</f>
        <v>336000</v>
      </c>
      <c r="N755">
        <f>Table_1[[#This Row],[Revenue]]-Table_1[[#This Row],[COGS]]</f>
        <v>84000</v>
      </c>
      <c r="O755" s="11">
        <f t="shared" si="78"/>
        <v>4656740000</v>
      </c>
      <c r="P755">
        <f t="shared" si="79"/>
        <v>3725392000</v>
      </c>
      <c r="Q755">
        <f t="shared" si="80"/>
        <v>931348000</v>
      </c>
      <c r="R755" s="7">
        <f t="shared" si="81"/>
        <v>2098</v>
      </c>
      <c r="S755" s="7">
        <f t="shared" si="82"/>
        <v>4</v>
      </c>
      <c r="T755" s="7">
        <f t="shared" si="83"/>
        <v>2098</v>
      </c>
    </row>
    <row r="756" spans="1:20" ht="14.25" customHeight="1" x14ac:dyDescent="0.35">
      <c r="A756" s="2" t="s">
        <v>144</v>
      </c>
      <c r="B756" s="2" t="s">
        <v>29</v>
      </c>
      <c r="C756" s="2" t="s">
        <v>13</v>
      </c>
      <c r="D756" s="2" t="s">
        <v>14</v>
      </c>
      <c r="E756" s="2" t="s">
        <v>15</v>
      </c>
      <c r="F756" s="2" t="s">
        <v>16</v>
      </c>
      <c r="G756" s="2" t="s">
        <v>17</v>
      </c>
      <c r="H756" s="2">
        <v>85000</v>
      </c>
      <c r="I756" s="2">
        <v>7</v>
      </c>
      <c r="J756" s="2" t="s">
        <v>43</v>
      </c>
      <c r="K756" s="2">
        <f t="shared" si="77"/>
        <v>68000</v>
      </c>
      <c r="L756" s="9">
        <f>Table_1[[#This Row],[Unit Price]]*Table_1[[#This Row],[Quantity]]</f>
        <v>595000</v>
      </c>
      <c r="M756" s="8">
        <f>Table_1[[#This Row],[Cost Price]]*Table_1[[#This Row],[Quantity]]</f>
        <v>476000</v>
      </c>
      <c r="N756">
        <f>Table_1[[#This Row],[Revenue]]-Table_1[[#This Row],[COGS]]</f>
        <v>119000</v>
      </c>
      <c r="O756" s="11">
        <f t="shared" si="78"/>
        <v>4656740000</v>
      </c>
      <c r="P756">
        <f t="shared" si="79"/>
        <v>3725392000</v>
      </c>
      <c r="Q756">
        <f t="shared" si="80"/>
        <v>931348000</v>
      </c>
      <c r="R756" s="7">
        <f t="shared" si="81"/>
        <v>2098</v>
      </c>
      <c r="S756" s="7">
        <f t="shared" si="82"/>
        <v>2</v>
      </c>
      <c r="T756" s="7">
        <f t="shared" si="83"/>
        <v>2098</v>
      </c>
    </row>
    <row r="757" spans="1:20" ht="14.25" customHeight="1" x14ac:dyDescent="0.35">
      <c r="A757" s="2" t="s">
        <v>68</v>
      </c>
      <c r="B757" s="2" t="s">
        <v>12</v>
      </c>
      <c r="C757" s="2" t="s">
        <v>21</v>
      </c>
      <c r="D757" s="2" t="s">
        <v>14</v>
      </c>
      <c r="E757" s="2" t="s">
        <v>15</v>
      </c>
      <c r="F757" s="2" t="s">
        <v>52</v>
      </c>
      <c r="G757" s="2" t="s">
        <v>36</v>
      </c>
      <c r="H757" s="2">
        <v>420000</v>
      </c>
      <c r="I757" s="2">
        <v>6</v>
      </c>
      <c r="J757" s="2" t="s">
        <v>18</v>
      </c>
      <c r="K757" s="2">
        <f t="shared" si="77"/>
        <v>336000</v>
      </c>
      <c r="L757" s="9">
        <f>Table_1[[#This Row],[Unit Price]]*Table_1[[#This Row],[Quantity]]</f>
        <v>2520000</v>
      </c>
      <c r="M757" s="8">
        <f>Table_1[[#This Row],[Cost Price]]*Table_1[[#This Row],[Quantity]]</f>
        <v>2016000</v>
      </c>
      <c r="N757">
        <f>Table_1[[#This Row],[Revenue]]-Table_1[[#This Row],[COGS]]</f>
        <v>504000</v>
      </c>
      <c r="O757" s="11">
        <f t="shared" si="78"/>
        <v>4656740000</v>
      </c>
      <c r="P757">
        <f t="shared" si="79"/>
        <v>3725392000</v>
      </c>
      <c r="Q757">
        <f t="shared" si="80"/>
        <v>931348000</v>
      </c>
      <c r="R757" s="7">
        <f t="shared" si="81"/>
        <v>2098</v>
      </c>
      <c r="S757" s="7">
        <f t="shared" si="82"/>
        <v>1</v>
      </c>
      <c r="T757" s="7">
        <f t="shared" si="83"/>
        <v>2098</v>
      </c>
    </row>
    <row r="758" spans="1:20" ht="14.25" customHeight="1" x14ac:dyDescent="0.35">
      <c r="A758" s="2" t="s">
        <v>63</v>
      </c>
      <c r="B758" s="2" t="s">
        <v>12</v>
      </c>
      <c r="C758" s="2" t="s">
        <v>13</v>
      </c>
      <c r="D758" s="2" t="s">
        <v>14</v>
      </c>
      <c r="E758" s="2" t="s">
        <v>22</v>
      </c>
      <c r="F758" s="2" t="s">
        <v>35</v>
      </c>
      <c r="G758" s="2" t="s">
        <v>36</v>
      </c>
      <c r="H758" s="2">
        <v>300000</v>
      </c>
      <c r="I758" s="2">
        <v>3</v>
      </c>
      <c r="J758" s="2" t="s">
        <v>32</v>
      </c>
      <c r="K758" s="2">
        <f t="shared" si="77"/>
        <v>240000</v>
      </c>
      <c r="L758" s="9">
        <f>Table_1[[#This Row],[Unit Price]]*Table_1[[#This Row],[Quantity]]</f>
        <v>900000</v>
      </c>
      <c r="M758" s="8">
        <f>Table_1[[#This Row],[Cost Price]]*Table_1[[#This Row],[Quantity]]</f>
        <v>720000</v>
      </c>
      <c r="N758">
        <f>Table_1[[#This Row],[Revenue]]-Table_1[[#This Row],[COGS]]</f>
        <v>180000</v>
      </c>
      <c r="O758" s="11">
        <f t="shared" si="78"/>
        <v>4656740000</v>
      </c>
      <c r="P758">
        <f t="shared" si="79"/>
        <v>3725392000</v>
      </c>
      <c r="Q758">
        <f t="shared" si="80"/>
        <v>931348000</v>
      </c>
      <c r="R758" s="7">
        <f t="shared" si="81"/>
        <v>2098</v>
      </c>
      <c r="S758" s="7">
        <f t="shared" si="82"/>
        <v>4</v>
      </c>
      <c r="T758" s="7">
        <f t="shared" si="83"/>
        <v>2098</v>
      </c>
    </row>
    <row r="759" spans="1:20" ht="14.25" customHeight="1" x14ac:dyDescent="0.35">
      <c r="A759" s="2" t="s">
        <v>161</v>
      </c>
      <c r="B759" s="2" t="s">
        <v>34</v>
      </c>
      <c r="C759" s="2" t="s">
        <v>38</v>
      </c>
      <c r="D759" s="2" t="s">
        <v>14</v>
      </c>
      <c r="E759" s="2" t="s">
        <v>15</v>
      </c>
      <c r="F759" s="2" t="s">
        <v>58</v>
      </c>
      <c r="G759" s="2" t="s">
        <v>24</v>
      </c>
      <c r="H759" s="2">
        <v>220000</v>
      </c>
      <c r="I759" s="2">
        <v>10</v>
      </c>
      <c r="J759" s="2" t="s">
        <v>18</v>
      </c>
      <c r="K759" s="2">
        <f t="shared" si="77"/>
        <v>176000</v>
      </c>
      <c r="L759" s="9">
        <f>Table_1[[#This Row],[Unit Price]]*Table_1[[#This Row],[Quantity]]</f>
        <v>2200000</v>
      </c>
      <c r="M759" s="8">
        <f>Table_1[[#This Row],[Cost Price]]*Table_1[[#This Row],[Quantity]]</f>
        <v>1760000</v>
      </c>
      <c r="N759">
        <f>Table_1[[#This Row],[Revenue]]-Table_1[[#This Row],[COGS]]</f>
        <v>440000</v>
      </c>
      <c r="O759" s="11">
        <f t="shared" si="78"/>
        <v>4656740000</v>
      </c>
      <c r="P759">
        <f t="shared" si="79"/>
        <v>3725392000</v>
      </c>
      <c r="Q759">
        <f t="shared" si="80"/>
        <v>931348000</v>
      </c>
      <c r="R759" s="7">
        <f t="shared" si="81"/>
        <v>2098</v>
      </c>
      <c r="S759" s="7">
        <f t="shared" si="82"/>
        <v>1</v>
      </c>
      <c r="T759" s="7">
        <f t="shared" si="83"/>
        <v>2098</v>
      </c>
    </row>
    <row r="760" spans="1:20" ht="14.25" customHeight="1" x14ac:dyDescent="0.35">
      <c r="A760" s="2" t="s">
        <v>25</v>
      </c>
      <c r="B760" s="2" t="s">
        <v>34</v>
      </c>
      <c r="C760" s="2" t="s">
        <v>13</v>
      </c>
      <c r="D760" s="2" t="s">
        <v>26</v>
      </c>
      <c r="E760" s="2" t="s">
        <v>22</v>
      </c>
      <c r="F760" s="2" t="s">
        <v>16</v>
      </c>
      <c r="G760" s="2" t="s">
        <v>17</v>
      </c>
      <c r="H760" s="2">
        <v>85000</v>
      </c>
      <c r="I760" s="2">
        <v>4</v>
      </c>
      <c r="J760" s="2" t="s">
        <v>43</v>
      </c>
      <c r="K760" s="2">
        <f t="shared" si="77"/>
        <v>68000</v>
      </c>
      <c r="L760" s="9">
        <f>Table_1[[#This Row],[Unit Price]]*Table_1[[#This Row],[Quantity]]</f>
        <v>340000</v>
      </c>
      <c r="M760" s="8">
        <f>Table_1[[#This Row],[Cost Price]]*Table_1[[#This Row],[Quantity]]</f>
        <v>272000</v>
      </c>
      <c r="N760">
        <f>Table_1[[#This Row],[Revenue]]-Table_1[[#This Row],[COGS]]</f>
        <v>68000</v>
      </c>
      <c r="O760" s="11">
        <f t="shared" si="78"/>
        <v>4656740000</v>
      </c>
      <c r="P760">
        <f t="shared" si="79"/>
        <v>3725392000</v>
      </c>
      <c r="Q760">
        <f t="shared" si="80"/>
        <v>931348000</v>
      </c>
      <c r="R760" s="7">
        <f t="shared" si="81"/>
        <v>2098</v>
      </c>
      <c r="S760" s="7">
        <f t="shared" si="82"/>
        <v>2</v>
      </c>
      <c r="T760" s="7">
        <f t="shared" si="83"/>
        <v>2098</v>
      </c>
    </row>
    <row r="761" spans="1:20" ht="14.25" customHeight="1" x14ac:dyDescent="0.35">
      <c r="A761" s="2" t="s">
        <v>156</v>
      </c>
      <c r="B761" s="2" t="s">
        <v>34</v>
      </c>
      <c r="C761" s="2" t="s">
        <v>21</v>
      </c>
      <c r="D761" s="2" t="s">
        <v>14</v>
      </c>
      <c r="E761" s="2" t="s">
        <v>22</v>
      </c>
      <c r="F761" s="2" t="s">
        <v>41</v>
      </c>
      <c r="G761" s="2" t="s">
        <v>17</v>
      </c>
      <c r="H761" s="2">
        <v>320000</v>
      </c>
      <c r="I761" s="2">
        <v>4</v>
      </c>
      <c r="J761" s="2" t="s">
        <v>54</v>
      </c>
      <c r="K761" s="2">
        <f t="shared" si="77"/>
        <v>256000</v>
      </c>
      <c r="L761" s="9">
        <f>Table_1[[#This Row],[Unit Price]]*Table_1[[#This Row],[Quantity]]</f>
        <v>1280000</v>
      </c>
      <c r="M761" s="8">
        <f>Table_1[[#This Row],[Cost Price]]*Table_1[[#This Row],[Quantity]]</f>
        <v>1024000</v>
      </c>
      <c r="N761">
        <f>Table_1[[#This Row],[Revenue]]-Table_1[[#This Row],[COGS]]</f>
        <v>256000</v>
      </c>
      <c r="O761" s="11">
        <f t="shared" si="78"/>
        <v>4656740000</v>
      </c>
      <c r="P761">
        <f t="shared" si="79"/>
        <v>3725392000</v>
      </c>
      <c r="Q761">
        <f t="shared" si="80"/>
        <v>931348000</v>
      </c>
      <c r="R761" s="7">
        <f t="shared" si="81"/>
        <v>2098</v>
      </c>
      <c r="S761" s="7">
        <f t="shared" si="82"/>
        <v>3</v>
      </c>
      <c r="T761" s="7">
        <f t="shared" si="83"/>
        <v>2098</v>
      </c>
    </row>
    <row r="762" spans="1:20" ht="14.25" customHeight="1" x14ac:dyDescent="0.35">
      <c r="A762" s="2" t="s">
        <v>124</v>
      </c>
      <c r="B762" s="2" t="s">
        <v>29</v>
      </c>
      <c r="C762" s="2" t="s">
        <v>38</v>
      </c>
      <c r="D762" s="2" t="s">
        <v>14</v>
      </c>
      <c r="E762" s="2" t="s">
        <v>22</v>
      </c>
      <c r="F762" s="2" t="s">
        <v>47</v>
      </c>
      <c r="G762" s="2" t="s">
        <v>36</v>
      </c>
      <c r="H762" s="2">
        <v>150000</v>
      </c>
      <c r="I762" s="2">
        <v>6</v>
      </c>
      <c r="J762" s="2" t="s">
        <v>54</v>
      </c>
      <c r="K762" s="2">
        <f t="shared" si="77"/>
        <v>120000</v>
      </c>
      <c r="L762" s="9">
        <f>Table_1[[#This Row],[Unit Price]]*Table_1[[#This Row],[Quantity]]</f>
        <v>900000</v>
      </c>
      <c r="M762" s="8">
        <f>Table_1[[#This Row],[Cost Price]]*Table_1[[#This Row],[Quantity]]</f>
        <v>720000</v>
      </c>
      <c r="N762">
        <f>Table_1[[#This Row],[Revenue]]-Table_1[[#This Row],[COGS]]</f>
        <v>180000</v>
      </c>
      <c r="O762" s="11">
        <f t="shared" si="78"/>
        <v>4656740000</v>
      </c>
      <c r="P762">
        <f t="shared" si="79"/>
        <v>3725392000</v>
      </c>
      <c r="Q762">
        <f t="shared" si="80"/>
        <v>931348000</v>
      </c>
      <c r="R762" s="7">
        <f t="shared" si="81"/>
        <v>2098</v>
      </c>
      <c r="S762" s="7">
        <f t="shared" si="82"/>
        <v>1</v>
      </c>
      <c r="T762" s="7">
        <f t="shared" si="83"/>
        <v>2098</v>
      </c>
    </row>
    <row r="763" spans="1:20" ht="14.25" customHeight="1" x14ac:dyDescent="0.35">
      <c r="A763" s="2" t="s">
        <v>124</v>
      </c>
      <c r="B763" s="2" t="s">
        <v>12</v>
      </c>
      <c r="C763" s="2" t="s">
        <v>21</v>
      </c>
      <c r="D763" s="2" t="s">
        <v>14</v>
      </c>
      <c r="E763" s="2" t="s">
        <v>22</v>
      </c>
      <c r="F763" s="2" t="s">
        <v>41</v>
      </c>
      <c r="G763" s="2" t="s">
        <v>17</v>
      </c>
      <c r="H763" s="2">
        <v>320000</v>
      </c>
      <c r="I763" s="2">
        <v>2</v>
      </c>
      <c r="J763" s="2" t="s">
        <v>54</v>
      </c>
      <c r="K763" s="2">
        <f t="shared" si="77"/>
        <v>256000</v>
      </c>
      <c r="L763" s="9">
        <f>Table_1[[#This Row],[Unit Price]]*Table_1[[#This Row],[Quantity]]</f>
        <v>640000</v>
      </c>
      <c r="M763" s="8">
        <f>Table_1[[#This Row],[Cost Price]]*Table_1[[#This Row],[Quantity]]</f>
        <v>512000</v>
      </c>
      <c r="N763">
        <f>Table_1[[#This Row],[Revenue]]-Table_1[[#This Row],[COGS]]</f>
        <v>128000</v>
      </c>
      <c r="O763" s="11">
        <f t="shared" si="78"/>
        <v>4656740000</v>
      </c>
      <c r="P763">
        <f t="shared" si="79"/>
        <v>3725392000</v>
      </c>
      <c r="Q763">
        <f t="shared" si="80"/>
        <v>931348000</v>
      </c>
      <c r="R763" s="7">
        <f t="shared" si="81"/>
        <v>2098</v>
      </c>
      <c r="S763" s="7">
        <f t="shared" si="82"/>
        <v>1</v>
      </c>
      <c r="T763" s="7">
        <f t="shared" si="83"/>
        <v>2098</v>
      </c>
    </row>
    <row r="764" spans="1:20" ht="14.25" customHeight="1" x14ac:dyDescent="0.35">
      <c r="A764" s="2" t="s">
        <v>133</v>
      </c>
      <c r="B764" s="2" t="s">
        <v>34</v>
      </c>
      <c r="C764" s="2" t="s">
        <v>30</v>
      </c>
      <c r="D764" s="2" t="s">
        <v>14</v>
      </c>
      <c r="E764" s="2" t="s">
        <v>15</v>
      </c>
      <c r="F764" s="2" t="s">
        <v>41</v>
      </c>
      <c r="G764" s="2" t="s">
        <v>17</v>
      </c>
      <c r="H764" s="2">
        <v>320000</v>
      </c>
      <c r="I764" s="2">
        <v>10</v>
      </c>
      <c r="J764" s="2" t="s">
        <v>54</v>
      </c>
      <c r="K764" s="2">
        <f t="shared" si="77"/>
        <v>256000</v>
      </c>
      <c r="L764" s="9">
        <f>Table_1[[#This Row],[Unit Price]]*Table_1[[#This Row],[Quantity]]</f>
        <v>3200000</v>
      </c>
      <c r="M764" s="8">
        <f>Table_1[[#This Row],[Cost Price]]*Table_1[[#This Row],[Quantity]]</f>
        <v>2560000</v>
      </c>
      <c r="N764">
        <f>Table_1[[#This Row],[Revenue]]-Table_1[[#This Row],[COGS]]</f>
        <v>640000</v>
      </c>
      <c r="O764" s="11">
        <f t="shared" si="78"/>
        <v>4656740000</v>
      </c>
      <c r="P764">
        <f t="shared" si="79"/>
        <v>3725392000</v>
      </c>
      <c r="Q764">
        <f t="shared" si="80"/>
        <v>931348000</v>
      </c>
      <c r="R764" s="7">
        <f t="shared" si="81"/>
        <v>2098</v>
      </c>
      <c r="S764" s="7">
        <f t="shared" si="82"/>
        <v>2</v>
      </c>
      <c r="T764" s="7">
        <f t="shared" si="83"/>
        <v>2098</v>
      </c>
    </row>
    <row r="765" spans="1:20" ht="14.25" customHeight="1" x14ac:dyDescent="0.35">
      <c r="A765" s="2" t="s">
        <v>141</v>
      </c>
      <c r="B765" s="2" t="s">
        <v>29</v>
      </c>
      <c r="C765" s="2" t="s">
        <v>21</v>
      </c>
      <c r="D765" s="2" t="s">
        <v>26</v>
      </c>
      <c r="E765" s="2" t="s">
        <v>15</v>
      </c>
      <c r="F765" s="2" t="s">
        <v>52</v>
      </c>
      <c r="G765" s="2" t="s">
        <v>36</v>
      </c>
      <c r="H765" s="2">
        <v>420000</v>
      </c>
      <c r="I765" s="2">
        <v>8</v>
      </c>
      <c r="J765" s="2" t="s">
        <v>18</v>
      </c>
      <c r="K765" s="2">
        <f t="shared" si="77"/>
        <v>336000</v>
      </c>
      <c r="L765" s="9">
        <f>Table_1[[#This Row],[Unit Price]]*Table_1[[#This Row],[Quantity]]</f>
        <v>3360000</v>
      </c>
      <c r="M765" s="8">
        <f>Table_1[[#This Row],[Cost Price]]*Table_1[[#This Row],[Quantity]]</f>
        <v>2688000</v>
      </c>
      <c r="N765">
        <f>Table_1[[#This Row],[Revenue]]-Table_1[[#This Row],[COGS]]</f>
        <v>672000</v>
      </c>
      <c r="O765" s="11">
        <f t="shared" si="78"/>
        <v>4656740000</v>
      </c>
      <c r="P765">
        <f t="shared" si="79"/>
        <v>3725392000</v>
      </c>
      <c r="Q765">
        <f t="shared" si="80"/>
        <v>931348000</v>
      </c>
      <c r="R765" s="7">
        <f t="shared" si="81"/>
        <v>2098</v>
      </c>
      <c r="S765" s="7">
        <f t="shared" si="82"/>
        <v>2</v>
      </c>
      <c r="T765" s="7">
        <f t="shared" si="83"/>
        <v>2098</v>
      </c>
    </row>
    <row r="766" spans="1:20" ht="14.25" customHeight="1" x14ac:dyDescent="0.35">
      <c r="A766" s="2" t="s">
        <v>67</v>
      </c>
      <c r="B766" s="2" t="s">
        <v>34</v>
      </c>
      <c r="C766" s="2" t="s">
        <v>13</v>
      </c>
      <c r="D766" s="2" t="s">
        <v>26</v>
      </c>
      <c r="E766" s="2" t="s">
        <v>15</v>
      </c>
      <c r="F766" s="2" t="s">
        <v>47</v>
      </c>
      <c r="G766" s="2" t="s">
        <v>36</v>
      </c>
      <c r="H766" s="2">
        <v>150000</v>
      </c>
      <c r="I766" s="2">
        <v>5</v>
      </c>
      <c r="J766" s="2" t="s">
        <v>50</v>
      </c>
      <c r="K766" s="2">
        <f t="shared" si="77"/>
        <v>120000</v>
      </c>
      <c r="L766" s="9">
        <f>Table_1[[#This Row],[Unit Price]]*Table_1[[#This Row],[Quantity]]</f>
        <v>750000</v>
      </c>
      <c r="M766" s="8">
        <f>Table_1[[#This Row],[Cost Price]]*Table_1[[#This Row],[Quantity]]</f>
        <v>600000</v>
      </c>
      <c r="N766">
        <f>Table_1[[#This Row],[Revenue]]-Table_1[[#This Row],[COGS]]</f>
        <v>150000</v>
      </c>
      <c r="O766" s="11">
        <f t="shared" si="78"/>
        <v>4656740000</v>
      </c>
      <c r="P766">
        <f t="shared" si="79"/>
        <v>3725392000</v>
      </c>
      <c r="Q766">
        <f t="shared" si="80"/>
        <v>931348000</v>
      </c>
      <c r="R766" s="7">
        <f t="shared" si="81"/>
        <v>2098</v>
      </c>
      <c r="S766" s="7">
        <f t="shared" si="82"/>
        <v>3</v>
      </c>
      <c r="T766" s="7">
        <f t="shared" si="83"/>
        <v>2098</v>
      </c>
    </row>
    <row r="767" spans="1:20" ht="14.25" customHeight="1" x14ac:dyDescent="0.35">
      <c r="A767" s="2" t="s">
        <v>99</v>
      </c>
      <c r="B767" s="2" t="s">
        <v>12</v>
      </c>
      <c r="C767" s="2" t="s">
        <v>30</v>
      </c>
      <c r="D767" s="2" t="s">
        <v>26</v>
      </c>
      <c r="E767" s="2" t="s">
        <v>22</v>
      </c>
      <c r="F767" s="2" t="s">
        <v>16</v>
      </c>
      <c r="G767" s="2" t="s">
        <v>17</v>
      </c>
      <c r="H767" s="2">
        <v>85000</v>
      </c>
      <c r="I767" s="2">
        <v>1</v>
      </c>
      <c r="J767" s="2" t="s">
        <v>50</v>
      </c>
      <c r="K767" s="2">
        <f t="shared" si="77"/>
        <v>68000</v>
      </c>
      <c r="L767" s="9">
        <f>Table_1[[#This Row],[Unit Price]]*Table_1[[#This Row],[Quantity]]</f>
        <v>85000</v>
      </c>
      <c r="M767" s="8">
        <f>Table_1[[#This Row],[Cost Price]]*Table_1[[#This Row],[Quantity]]</f>
        <v>68000</v>
      </c>
      <c r="N767">
        <f>Table_1[[#This Row],[Revenue]]-Table_1[[#This Row],[COGS]]</f>
        <v>17000</v>
      </c>
      <c r="O767" s="11">
        <f t="shared" si="78"/>
        <v>4656740000</v>
      </c>
      <c r="P767">
        <f t="shared" si="79"/>
        <v>3725392000</v>
      </c>
      <c r="Q767">
        <f t="shared" si="80"/>
        <v>931348000</v>
      </c>
      <c r="R767" s="7">
        <f t="shared" si="81"/>
        <v>2098</v>
      </c>
      <c r="S767" s="7">
        <f t="shared" si="82"/>
        <v>4</v>
      </c>
      <c r="T767" s="7">
        <f t="shared" si="83"/>
        <v>2098</v>
      </c>
    </row>
    <row r="768" spans="1:20" ht="14.25" customHeight="1" x14ac:dyDescent="0.35">
      <c r="A768" s="2" t="s">
        <v>98</v>
      </c>
      <c r="B768" s="2" t="s">
        <v>20</v>
      </c>
      <c r="C768" s="2" t="s">
        <v>38</v>
      </c>
      <c r="D768" s="2" t="s">
        <v>26</v>
      </c>
      <c r="E768" s="2" t="s">
        <v>22</v>
      </c>
      <c r="F768" s="2" t="s">
        <v>52</v>
      </c>
      <c r="G768" s="2" t="s">
        <v>36</v>
      </c>
      <c r="H768" s="2">
        <v>420000</v>
      </c>
      <c r="I768" s="2">
        <v>2</v>
      </c>
      <c r="J768" s="2" t="s">
        <v>54</v>
      </c>
      <c r="K768" s="2">
        <f t="shared" si="77"/>
        <v>336000</v>
      </c>
      <c r="L768" s="9">
        <f>Table_1[[#This Row],[Unit Price]]*Table_1[[#This Row],[Quantity]]</f>
        <v>840000</v>
      </c>
      <c r="M768" s="8">
        <f>Table_1[[#This Row],[Cost Price]]*Table_1[[#This Row],[Quantity]]</f>
        <v>672000</v>
      </c>
      <c r="N768">
        <f>Table_1[[#This Row],[Revenue]]-Table_1[[#This Row],[COGS]]</f>
        <v>168000</v>
      </c>
      <c r="O768" s="11">
        <f t="shared" si="78"/>
        <v>4656740000</v>
      </c>
      <c r="P768">
        <f t="shared" si="79"/>
        <v>3725392000</v>
      </c>
      <c r="Q768">
        <f t="shared" si="80"/>
        <v>931348000</v>
      </c>
      <c r="R768" s="7">
        <f t="shared" si="81"/>
        <v>2098</v>
      </c>
      <c r="S768" s="7">
        <f t="shared" si="82"/>
        <v>4</v>
      </c>
      <c r="T768" s="7">
        <f t="shared" si="83"/>
        <v>2098</v>
      </c>
    </row>
    <row r="769" spans="1:20" ht="14.25" customHeight="1" x14ac:dyDescent="0.35">
      <c r="A769" s="2" t="s">
        <v>100</v>
      </c>
      <c r="B769" s="2" t="s">
        <v>20</v>
      </c>
      <c r="C769" s="2" t="s">
        <v>38</v>
      </c>
      <c r="D769" s="2" t="s">
        <v>14</v>
      </c>
      <c r="E769" s="2" t="s">
        <v>22</v>
      </c>
      <c r="F769" s="2" t="s">
        <v>39</v>
      </c>
      <c r="G769" s="2" t="s">
        <v>24</v>
      </c>
      <c r="H769" s="2">
        <v>180000</v>
      </c>
      <c r="I769" s="2">
        <v>6</v>
      </c>
      <c r="J769" s="2" t="s">
        <v>54</v>
      </c>
      <c r="K769" s="2">
        <f t="shared" si="77"/>
        <v>144000</v>
      </c>
      <c r="L769" s="9">
        <f>Table_1[[#This Row],[Unit Price]]*Table_1[[#This Row],[Quantity]]</f>
        <v>1080000</v>
      </c>
      <c r="M769" s="8">
        <f>Table_1[[#This Row],[Cost Price]]*Table_1[[#This Row],[Quantity]]</f>
        <v>864000</v>
      </c>
      <c r="N769">
        <f>Table_1[[#This Row],[Revenue]]-Table_1[[#This Row],[COGS]]</f>
        <v>216000</v>
      </c>
      <c r="O769" s="11">
        <f t="shared" si="78"/>
        <v>4656740000</v>
      </c>
      <c r="P769">
        <f t="shared" si="79"/>
        <v>3725392000</v>
      </c>
      <c r="Q769">
        <f t="shared" si="80"/>
        <v>931348000</v>
      </c>
      <c r="R769" s="7">
        <f t="shared" si="81"/>
        <v>2098</v>
      </c>
      <c r="S769" s="7">
        <f t="shared" si="82"/>
        <v>1</v>
      </c>
      <c r="T769" s="7">
        <f t="shared" si="83"/>
        <v>2098</v>
      </c>
    </row>
    <row r="770" spans="1:20" ht="14.25" customHeight="1" x14ac:dyDescent="0.35">
      <c r="A770" s="2" t="s">
        <v>139</v>
      </c>
      <c r="B770" s="2" t="s">
        <v>20</v>
      </c>
      <c r="C770" s="2" t="s">
        <v>13</v>
      </c>
      <c r="D770" s="2" t="s">
        <v>14</v>
      </c>
      <c r="E770" s="2" t="s">
        <v>22</v>
      </c>
      <c r="F770" s="2" t="s">
        <v>58</v>
      </c>
      <c r="G770" s="2" t="s">
        <v>24</v>
      </c>
      <c r="H770" s="2">
        <v>220000</v>
      </c>
      <c r="I770" s="2">
        <v>7</v>
      </c>
      <c r="J770" s="2" t="s">
        <v>18</v>
      </c>
      <c r="K770" s="2">
        <f t="shared" ref="K770:K833" si="84">H770-H770*0.2</f>
        <v>176000</v>
      </c>
      <c r="L770" s="9">
        <f>Table_1[[#This Row],[Unit Price]]*Table_1[[#This Row],[Quantity]]</f>
        <v>1540000</v>
      </c>
      <c r="M770" s="8">
        <f>Table_1[[#This Row],[Cost Price]]*Table_1[[#This Row],[Quantity]]</f>
        <v>1232000</v>
      </c>
      <c r="N770">
        <f>Table_1[[#This Row],[Revenue]]-Table_1[[#This Row],[COGS]]</f>
        <v>308000</v>
      </c>
      <c r="O770" s="11">
        <f t="shared" ref="O770:O833" si="85">SUM(L$2:L$1048576)</f>
        <v>4656740000</v>
      </c>
      <c r="P770">
        <f t="shared" ref="P770:P833" si="86">SUM(M:M)</f>
        <v>3725392000</v>
      </c>
      <c r="Q770">
        <f t="shared" ref="Q770:Q833" si="87">SUM(N:N)</f>
        <v>931348000</v>
      </c>
      <c r="R770" s="7">
        <f t="shared" ref="R770:R833" si="88">COUNTA(A$2:A$1048576)</f>
        <v>2098</v>
      </c>
      <c r="S770" s="7">
        <f t="shared" ref="S770:S833" si="89">MONTH(A770:A2258)</f>
        <v>2</v>
      </c>
      <c r="T770" s="7">
        <f t="shared" ref="T770:T833" si="90">COUNTA(A:A)-1</f>
        <v>2098</v>
      </c>
    </row>
    <row r="771" spans="1:20" ht="14.25" customHeight="1" x14ac:dyDescent="0.35">
      <c r="A771" s="2" t="s">
        <v>33</v>
      </c>
      <c r="B771" s="2" t="s">
        <v>20</v>
      </c>
      <c r="C771" s="2" t="s">
        <v>13</v>
      </c>
      <c r="D771" s="2" t="s">
        <v>14</v>
      </c>
      <c r="E771" s="2" t="s">
        <v>15</v>
      </c>
      <c r="F771" s="2" t="s">
        <v>58</v>
      </c>
      <c r="G771" s="2" t="s">
        <v>24</v>
      </c>
      <c r="H771" s="2">
        <v>220000</v>
      </c>
      <c r="I771" s="2">
        <v>5</v>
      </c>
      <c r="J771" s="2" t="s">
        <v>27</v>
      </c>
      <c r="K771" s="2">
        <f t="shared" si="84"/>
        <v>176000</v>
      </c>
      <c r="L771" s="9">
        <f>Table_1[[#This Row],[Unit Price]]*Table_1[[#This Row],[Quantity]]</f>
        <v>1100000</v>
      </c>
      <c r="M771" s="8">
        <f>Table_1[[#This Row],[Cost Price]]*Table_1[[#This Row],[Quantity]]</f>
        <v>880000</v>
      </c>
      <c r="N771">
        <f>Table_1[[#This Row],[Revenue]]-Table_1[[#This Row],[COGS]]</f>
        <v>220000</v>
      </c>
      <c r="O771" s="11">
        <f t="shared" si="85"/>
        <v>4656740000</v>
      </c>
      <c r="P771">
        <f t="shared" si="86"/>
        <v>3725392000</v>
      </c>
      <c r="Q771">
        <f t="shared" si="87"/>
        <v>931348000</v>
      </c>
      <c r="R771" s="7">
        <f t="shared" si="88"/>
        <v>2098</v>
      </c>
      <c r="S771" s="7">
        <f t="shared" si="89"/>
        <v>4</v>
      </c>
      <c r="T771" s="7">
        <f t="shared" si="90"/>
        <v>2098</v>
      </c>
    </row>
    <row r="772" spans="1:20" ht="14.25" customHeight="1" x14ac:dyDescent="0.35">
      <c r="A772" s="2" t="s">
        <v>53</v>
      </c>
      <c r="B772" s="2" t="s">
        <v>34</v>
      </c>
      <c r="C772" s="2" t="s">
        <v>13</v>
      </c>
      <c r="D772" s="2" t="s">
        <v>14</v>
      </c>
      <c r="E772" s="2" t="s">
        <v>22</v>
      </c>
      <c r="F772" s="2" t="s">
        <v>35</v>
      </c>
      <c r="G772" s="2" t="s">
        <v>36</v>
      </c>
      <c r="H772" s="2">
        <v>300000</v>
      </c>
      <c r="I772" s="2">
        <v>6</v>
      </c>
      <c r="J772" s="2" t="s">
        <v>32</v>
      </c>
      <c r="K772" s="2">
        <f t="shared" si="84"/>
        <v>240000</v>
      </c>
      <c r="L772" s="9">
        <f>Table_1[[#This Row],[Unit Price]]*Table_1[[#This Row],[Quantity]]</f>
        <v>1800000</v>
      </c>
      <c r="M772" s="8">
        <f>Table_1[[#This Row],[Cost Price]]*Table_1[[#This Row],[Quantity]]</f>
        <v>1440000</v>
      </c>
      <c r="N772">
        <f>Table_1[[#This Row],[Revenue]]-Table_1[[#This Row],[COGS]]</f>
        <v>360000</v>
      </c>
      <c r="O772" s="11">
        <f t="shared" si="85"/>
        <v>4656740000</v>
      </c>
      <c r="P772">
        <f t="shared" si="86"/>
        <v>3725392000</v>
      </c>
      <c r="Q772">
        <f t="shared" si="87"/>
        <v>931348000</v>
      </c>
      <c r="R772" s="7">
        <f t="shared" si="88"/>
        <v>2098</v>
      </c>
      <c r="S772" s="7">
        <f t="shared" si="89"/>
        <v>3</v>
      </c>
      <c r="T772" s="7">
        <f t="shared" si="90"/>
        <v>2098</v>
      </c>
    </row>
    <row r="773" spans="1:20" ht="14.25" customHeight="1" x14ac:dyDescent="0.35">
      <c r="A773" s="2" t="s">
        <v>140</v>
      </c>
      <c r="B773" s="2" t="s">
        <v>12</v>
      </c>
      <c r="C773" s="2" t="s">
        <v>30</v>
      </c>
      <c r="D773" s="2" t="s">
        <v>14</v>
      </c>
      <c r="E773" s="2" t="s">
        <v>22</v>
      </c>
      <c r="F773" s="2" t="s">
        <v>56</v>
      </c>
      <c r="G773" s="2" t="s">
        <v>36</v>
      </c>
      <c r="H773" s="2">
        <v>250000</v>
      </c>
      <c r="I773" s="2">
        <v>4</v>
      </c>
      <c r="J773" s="2" t="s">
        <v>32</v>
      </c>
      <c r="K773" s="2">
        <f t="shared" si="84"/>
        <v>200000</v>
      </c>
      <c r="L773" s="9">
        <f>Table_1[[#This Row],[Unit Price]]*Table_1[[#This Row],[Quantity]]</f>
        <v>1000000</v>
      </c>
      <c r="M773" s="8">
        <f>Table_1[[#This Row],[Cost Price]]*Table_1[[#This Row],[Quantity]]</f>
        <v>800000</v>
      </c>
      <c r="N773">
        <f>Table_1[[#This Row],[Revenue]]-Table_1[[#This Row],[COGS]]</f>
        <v>200000</v>
      </c>
      <c r="O773" s="11">
        <f t="shared" si="85"/>
        <v>4656740000</v>
      </c>
      <c r="P773">
        <f t="shared" si="86"/>
        <v>3725392000</v>
      </c>
      <c r="Q773">
        <f t="shared" si="87"/>
        <v>931348000</v>
      </c>
      <c r="R773" s="7">
        <f t="shared" si="88"/>
        <v>2098</v>
      </c>
      <c r="S773" s="7">
        <f t="shared" si="89"/>
        <v>4</v>
      </c>
      <c r="T773" s="7">
        <f t="shared" si="90"/>
        <v>2098</v>
      </c>
    </row>
    <row r="774" spans="1:20" ht="14.25" customHeight="1" x14ac:dyDescent="0.35">
      <c r="A774" s="2" t="s">
        <v>84</v>
      </c>
      <c r="B774" s="2" t="s">
        <v>34</v>
      </c>
      <c r="C774" s="2" t="s">
        <v>21</v>
      </c>
      <c r="D774" s="2" t="s">
        <v>26</v>
      </c>
      <c r="E774" s="2" t="s">
        <v>15</v>
      </c>
      <c r="F774" s="2" t="s">
        <v>41</v>
      </c>
      <c r="G774" s="2" t="s">
        <v>17</v>
      </c>
      <c r="H774" s="2">
        <v>320000</v>
      </c>
      <c r="I774" s="2">
        <v>5</v>
      </c>
      <c r="J774" s="2" t="s">
        <v>27</v>
      </c>
      <c r="K774" s="2">
        <f t="shared" si="84"/>
        <v>256000</v>
      </c>
      <c r="L774" s="9">
        <f>Table_1[[#This Row],[Unit Price]]*Table_1[[#This Row],[Quantity]]</f>
        <v>1600000</v>
      </c>
      <c r="M774" s="8">
        <f>Table_1[[#This Row],[Cost Price]]*Table_1[[#This Row],[Quantity]]</f>
        <v>1280000</v>
      </c>
      <c r="N774">
        <f>Table_1[[#This Row],[Revenue]]-Table_1[[#This Row],[COGS]]</f>
        <v>320000</v>
      </c>
      <c r="O774" s="11">
        <f t="shared" si="85"/>
        <v>4656740000</v>
      </c>
      <c r="P774">
        <f t="shared" si="86"/>
        <v>3725392000</v>
      </c>
      <c r="Q774">
        <f t="shared" si="87"/>
        <v>931348000</v>
      </c>
      <c r="R774" s="7">
        <f t="shared" si="88"/>
        <v>2098</v>
      </c>
      <c r="S774" s="7">
        <f t="shared" si="89"/>
        <v>4</v>
      </c>
      <c r="T774" s="7">
        <f t="shared" si="90"/>
        <v>2098</v>
      </c>
    </row>
    <row r="775" spans="1:20" ht="14.25" customHeight="1" x14ac:dyDescent="0.35">
      <c r="A775" s="2" t="s">
        <v>149</v>
      </c>
      <c r="B775" s="2" t="s">
        <v>34</v>
      </c>
      <c r="C775" s="2" t="s">
        <v>13</v>
      </c>
      <c r="D775" s="2" t="s">
        <v>14</v>
      </c>
      <c r="E775" s="2" t="s">
        <v>22</v>
      </c>
      <c r="F775" s="2" t="s">
        <v>35</v>
      </c>
      <c r="G775" s="2" t="s">
        <v>36</v>
      </c>
      <c r="H775" s="2">
        <v>300000</v>
      </c>
      <c r="I775" s="2">
        <v>10</v>
      </c>
      <c r="J775" s="2" t="s">
        <v>54</v>
      </c>
      <c r="K775" s="2">
        <f t="shared" si="84"/>
        <v>240000</v>
      </c>
      <c r="L775" s="9">
        <f>Table_1[[#This Row],[Unit Price]]*Table_1[[#This Row],[Quantity]]</f>
        <v>3000000</v>
      </c>
      <c r="M775" s="8">
        <f>Table_1[[#This Row],[Cost Price]]*Table_1[[#This Row],[Quantity]]</f>
        <v>2400000</v>
      </c>
      <c r="N775">
        <f>Table_1[[#This Row],[Revenue]]-Table_1[[#This Row],[COGS]]</f>
        <v>600000</v>
      </c>
      <c r="O775" s="11">
        <f t="shared" si="85"/>
        <v>4656740000</v>
      </c>
      <c r="P775">
        <f t="shared" si="86"/>
        <v>3725392000</v>
      </c>
      <c r="Q775">
        <f t="shared" si="87"/>
        <v>931348000</v>
      </c>
      <c r="R775" s="7">
        <f t="shared" si="88"/>
        <v>2098</v>
      </c>
      <c r="S775" s="7">
        <f t="shared" si="89"/>
        <v>3</v>
      </c>
      <c r="T775" s="7">
        <f t="shared" si="90"/>
        <v>2098</v>
      </c>
    </row>
    <row r="776" spans="1:20" ht="14.25" customHeight="1" x14ac:dyDescent="0.35">
      <c r="A776" s="2" t="s">
        <v>72</v>
      </c>
      <c r="B776" s="2" t="s">
        <v>34</v>
      </c>
      <c r="C776" s="2" t="s">
        <v>13</v>
      </c>
      <c r="D776" s="2" t="s">
        <v>14</v>
      </c>
      <c r="E776" s="2" t="s">
        <v>22</v>
      </c>
      <c r="F776" s="2" t="s">
        <v>31</v>
      </c>
      <c r="G776" s="2" t="s">
        <v>24</v>
      </c>
      <c r="H776" s="2">
        <v>60000</v>
      </c>
      <c r="I776" s="2">
        <v>5</v>
      </c>
      <c r="J776" s="2" t="s">
        <v>50</v>
      </c>
      <c r="K776" s="2">
        <f t="shared" si="84"/>
        <v>48000</v>
      </c>
      <c r="L776" s="9">
        <f>Table_1[[#This Row],[Unit Price]]*Table_1[[#This Row],[Quantity]]</f>
        <v>300000</v>
      </c>
      <c r="M776" s="8">
        <f>Table_1[[#This Row],[Cost Price]]*Table_1[[#This Row],[Quantity]]</f>
        <v>240000</v>
      </c>
      <c r="N776">
        <f>Table_1[[#This Row],[Revenue]]-Table_1[[#This Row],[COGS]]</f>
        <v>60000</v>
      </c>
      <c r="O776" s="11">
        <f t="shared" si="85"/>
        <v>4656740000</v>
      </c>
      <c r="P776">
        <f t="shared" si="86"/>
        <v>3725392000</v>
      </c>
      <c r="Q776">
        <f t="shared" si="87"/>
        <v>931348000</v>
      </c>
      <c r="R776" s="7">
        <f t="shared" si="88"/>
        <v>2098</v>
      </c>
      <c r="S776" s="7">
        <f t="shared" si="89"/>
        <v>3</v>
      </c>
      <c r="T776" s="7">
        <f t="shared" si="90"/>
        <v>2098</v>
      </c>
    </row>
    <row r="777" spans="1:20" ht="14.25" customHeight="1" x14ac:dyDescent="0.35">
      <c r="A777" s="2" t="s">
        <v>122</v>
      </c>
      <c r="B777" s="2" t="s">
        <v>34</v>
      </c>
      <c r="C777" s="2" t="s">
        <v>30</v>
      </c>
      <c r="D777" s="2" t="s">
        <v>14</v>
      </c>
      <c r="E777" s="2" t="s">
        <v>15</v>
      </c>
      <c r="F777" s="2" t="s">
        <v>52</v>
      </c>
      <c r="G777" s="2" t="s">
        <v>36</v>
      </c>
      <c r="H777" s="2">
        <v>420000</v>
      </c>
      <c r="I777" s="2">
        <v>8</v>
      </c>
      <c r="J777" s="2" t="s">
        <v>43</v>
      </c>
      <c r="K777" s="2">
        <f t="shared" si="84"/>
        <v>336000</v>
      </c>
      <c r="L777" s="9">
        <f>Table_1[[#This Row],[Unit Price]]*Table_1[[#This Row],[Quantity]]</f>
        <v>3360000</v>
      </c>
      <c r="M777" s="8">
        <f>Table_1[[#This Row],[Cost Price]]*Table_1[[#This Row],[Quantity]]</f>
        <v>2688000</v>
      </c>
      <c r="N777">
        <f>Table_1[[#This Row],[Revenue]]-Table_1[[#This Row],[COGS]]</f>
        <v>672000</v>
      </c>
      <c r="O777" s="11">
        <f t="shared" si="85"/>
        <v>4656740000</v>
      </c>
      <c r="P777">
        <f t="shared" si="86"/>
        <v>3725392000</v>
      </c>
      <c r="Q777">
        <f t="shared" si="87"/>
        <v>931348000</v>
      </c>
      <c r="R777" s="7">
        <f t="shared" si="88"/>
        <v>2098</v>
      </c>
      <c r="S777" s="7">
        <f t="shared" si="89"/>
        <v>4</v>
      </c>
      <c r="T777" s="7">
        <f t="shared" si="90"/>
        <v>2098</v>
      </c>
    </row>
    <row r="778" spans="1:20" ht="14.25" customHeight="1" x14ac:dyDescent="0.35">
      <c r="A778" s="2" t="s">
        <v>100</v>
      </c>
      <c r="B778" s="2" t="s">
        <v>12</v>
      </c>
      <c r="C778" s="2" t="s">
        <v>38</v>
      </c>
      <c r="D778" s="2" t="s">
        <v>26</v>
      </c>
      <c r="E778" s="2" t="s">
        <v>15</v>
      </c>
      <c r="F778" s="2" t="s">
        <v>35</v>
      </c>
      <c r="G778" s="2" t="s">
        <v>36</v>
      </c>
      <c r="H778" s="2">
        <v>300000</v>
      </c>
      <c r="I778" s="2">
        <v>1</v>
      </c>
      <c r="J778" s="2" t="s">
        <v>27</v>
      </c>
      <c r="K778" s="2">
        <f t="shared" si="84"/>
        <v>240000</v>
      </c>
      <c r="L778" s="9">
        <f>Table_1[[#This Row],[Unit Price]]*Table_1[[#This Row],[Quantity]]</f>
        <v>300000</v>
      </c>
      <c r="M778" s="8">
        <f>Table_1[[#This Row],[Cost Price]]*Table_1[[#This Row],[Quantity]]</f>
        <v>240000</v>
      </c>
      <c r="N778">
        <f>Table_1[[#This Row],[Revenue]]-Table_1[[#This Row],[COGS]]</f>
        <v>60000</v>
      </c>
      <c r="O778" s="11">
        <f t="shared" si="85"/>
        <v>4656740000</v>
      </c>
      <c r="P778">
        <f t="shared" si="86"/>
        <v>3725392000</v>
      </c>
      <c r="Q778">
        <f t="shared" si="87"/>
        <v>931348000</v>
      </c>
      <c r="R778" s="7">
        <f t="shared" si="88"/>
        <v>2098</v>
      </c>
      <c r="S778" s="7">
        <f t="shared" si="89"/>
        <v>1</v>
      </c>
      <c r="T778" s="7">
        <f t="shared" si="90"/>
        <v>2098</v>
      </c>
    </row>
    <row r="779" spans="1:20" ht="14.25" customHeight="1" x14ac:dyDescent="0.35">
      <c r="A779" s="2" t="s">
        <v>72</v>
      </c>
      <c r="B779" s="2" t="s">
        <v>12</v>
      </c>
      <c r="C779" s="2" t="s">
        <v>30</v>
      </c>
      <c r="D779" s="2" t="s">
        <v>26</v>
      </c>
      <c r="E779" s="2" t="s">
        <v>22</v>
      </c>
      <c r="F779" s="2" t="s">
        <v>52</v>
      </c>
      <c r="G779" s="2" t="s">
        <v>36</v>
      </c>
      <c r="H779" s="2">
        <v>420000</v>
      </c>
      <c r="I779" s="2">
        <v>2</v>
      </c>
      <c r="J779" s="2" t="s">
        <v>50</v>
      </c>
      <c r="K779" s="2">
        <f t="shared" si="84"/>
        <v>336000</v>
      </c>
      <c r="L779" s="9">
        <f>Table_1[[#This Row],[Unit Price]]*Table_1[[#This Row],[Quantity]]</f>
        <v>840000</v>
      </c>
      <c r="M779" s="8">
        <f>Table_1[[#This Row],[Cost Price]]*Table_1[[#This Row],[Quantity]]</f>
        <v>672000</v>
      </c>
      <c r="N779">
        <f>Table_1[[#This Row],[Revenue]]-Table_1[[#This Row],[COGS]]</f>
        <v>168000</v>
      </c>
      <c r="O779" s="11">
        <f t="shared" si="85"/>
        <v>4656740000</v>
      </c>
      <c r="P779">
        <f t="shared" si="86"/>
        <v>3725392000</v>
      </c>
      <c r="Q779">
        <f t="shared" si="87"/>
        <v>931348000</v>
      </c>
      <c r="R779" s="7">
        <f t="shared" si="88"/>
        <v>2098</v>
      </c>
      <c r="S779" s="7">
        <f t="shared" si="89"/>
        <v>3</v>
      </c>
      <c r="T779" s="7">
        <f t="shared" si="90"/>
        <v>2098</v>
      </c>
    </row>
    <row r="780" spans="1:20" ht="14.25" customHeight="1" x14ac:dyDescent="0.35">
      <c r="A780" s="2" t="s">
        <v>161</v>
      </c>
      <c r="B780" s="2" t="s">
        <v>29</v>
      </c>
      <c r="C780" s="2" t="s">
        <v>21</v>
      </c>
      <c r="D780" s="2" t="s">
        <v>26</v>
      </c>
      <c r="E780" s="2" t="s">
        <v>15</v>
      </c>
      <c r="F780" s="2" t="s">
        <v>52</v>
      </c>
      <c r="G780" s="2" t="s">
        <v>36</v>
      </c>
      <c r="H780" s="2">
        <v>420000</v>
      </c>
      <c r="I780" s="2">
        <v>7</v>
      </c>
      <c r="J780" s="2" t="s">
        <v>43</v>
      </c>
      <c r="K780" s="2">
        <f t="shared" si="84"/>
        <v>336000</v>
      </c>
      <c r="L780" s="9">
        <f>Table_1[[#This Row],[Unit Price]]*Table_1[[#This Row],[Quantity]]</f>
        <v>2940000</v>
      </c>
      <c r="M780" s="8">
        <f>Table_1[[#This Row],[Cost Price]]*Table_1[[#This Row],[Quantity]]</f>
        <v>2352000</v>
      </c>
      <c r="N780">
        <f>Table_1[[#This Row],[Revenue]]-Table_1[[#This Row],[COGS]]</f>
        <v>588000</v>
      </c>
      <c r="O780" s="11">
        <f t="shared" si="85"/>
        <v>4656740000</v>
      </c>
      <c r="P780">
        <f t="shared" si="86"/>
        <v>3725392000</v>
      </c>
      <c r="Q780">
        <f t="shared" si="87"/>
        <v>931348000</v>
      </c>
      <c r="R780" s="7">
        <f t="shared" si="88"/>
        <v>2098</v>
      </c>
      <c r="S780" s="7">
        <f t="shared" si="89"/>
        <v>1</v>
      </c>
      <c r="T780" s="7">
        <f t="shared" si="90"/>
        <v>2098</v>
      </c>
    </row>
    <row r="781" spans="1:20" ht="14.25" customHeight="1" x14ac:dyDescent="0.35">
      <c r="A781" s="2" t="s">
        <v>137</v>
      </c>
      <c r="B781" s="2" t="s">
        <v>12</v>
      </c>
      <c r="C781" s="2" t="s">
        <v>30</v>
      </c>
      <c r="D781" s="2" t="s">
        <v>26</v>
      </c>
      <c r="E781" s="2" t="s">
        <v>15</v>
      </c>
      <c r="F781" s="2" t="s">
        <v>39</v>
      </c>
      <c r="G781" s="2" t="s">
        <v>24</v>
      </c>
      <c r="H781" s="2">
        <v>180000</v>
      </c>
      <c r="I781" s="2">
        <v>8</v>
      </c>
      <c r="J781" s="2" t="s">
        <v>32</v>
      </c>
      <c r="K781" s="2">
        <f t="shared" si="84"/>
        <v>144000</v>
      </c>
      <c r="L781" s="9">
        <f>Table_1[[#This Row],[Unit Price]]*Table_1[[#This Row],[Quantity]]</f>
        <v>1440000</v>
      </c>
      <c r="M781" s="8">
        <f>Table_1[[#This Row],[Cost Price]]*Table_1[[#This Row],[Quantity]]</f>
        <v>1152000</v>
      </c>
      <c r="N781">
        <f>Table_1[[#This Row],[Revenue]]-Table_1[[#This Row],[COGS]]</f>
        <v>288000</v>
      </c>
      <c r="O781" s="11">
        <f t="shared" si="85"/>
        <v>4656740000</v>
      </c>
      <c r="P781">
        <f t="shared" si="86"/>
        <v>3725392000</v>
      </c>
      <c r="Q781">
        <f t="shared" si="87"/>
        <v>931348000</v>
      </c>
      <c r="R781" s="7">
        <f t="shared" si="88"/>
        <v>2098</v>
      </c>
      <c r="S781" s="7">
        <f t="shared" si="89"/>
        <v>1</v>
      </c>
      <c r="T781" s="7">
        <f t="shared" si="90"/>
        <v>2098</v>
      </c>
    </row>
    <row r="782" spans="1:20" ht="14.25" customHeight="1" x14ac:dyDescent="0.35">
      <c r="A782" s="2" t="s">
        <v>119</v>
      </c>
      <c r="B782" s="2" t="s">
        <v>12</v>
      </c>
      <c r="C782" s="2" t="s">
        <v>30</v>
      </c>
      <c r="D782" s="2" t="s">
        <v>14</v>
      </c>
      <c r="E782" s="2" t="s">
        <v>15</v>
      </c>
      <c r="F782" s="2" t="s">
        <v>31</v>
      </c>
      <c r="G782" s="2" t="s">
        <v>24</v>
      </c>
      <c r="H782" s="2">
        <v>60000</v>
      </c>
      <c r="I782" s="2">
        <v>7</v>
      </c>
      <c r="J782" s="2" t="s">
        <v>32</v>
      </c>
      <c r="K782" s="2">
        <f t="shared" si="84"/>
        <v>48000</v>
      </c>
      <c r="L782" s="9">
        <f>Table_1[[#This Row],[Unit Price]]*Table_1[[#This Row],[Quantity]]</f>
        <v>420000</v>
      </c>
      <c r="M782" s="8">
        <f>Table_1[[#This Row],[Cost Price]]*Table_1[[#This Row],[Quantity]]</f>
        <v>336000</v>
      </c>
      <c r="N782">
        <f>Table_1[[#This Row],[Revenue]]-Table_1[[#This Row],[COGS]]</f>
        <v>84000</v>
      </c>
      <c r="O782" s="11">
        <f t="shared" si="85"/>
        <v>4656740000</v>
      </c>
      <c r="P782">
        <f t="shared" si="86"/>
        <v>3725392000</v>
      </c>
      <c r="Q782">
        <f t="shared" si="87"/>
        <v>931348000</v>
      </c>
      <c r="R782" s="7">
        <f t="shared" si="88"/>
        <v>2098</v>
      </c>
      <c r="S782" s="7">
        <f t="shared" si="89"/>
        <v>1</v>
      </c>
      <c r="T782" s="7">
        <f t="shared" si="90"/>
        <v>2098</v>
      </c>
    </row>
    <row r="783" spans="1:20" ht="14.25" customHeight="1" x14ac:dyDescent="0.35">
      <c r="A783" s="2" t="s">
        <v>78</v>
      </c>
      <c r="B783" s="2" t="s">
        <v>20</v>
      </c>
      <c r="C783" s="2" t="s">
        <v>21</v>
      </c>
      <c r="D783" s="2" t="s">
        <v>26</v>
      </c>
      <c r="E783" s="2" t="s">
        <v>15</v>
      </c>
      <c r="F783" s="2" t="s">
        <v>52</v>
      </c>
      <c r="G783" s="2" t="s">
        <v>36</v>
      </c>
      <c r="H783" s="2">
        <v>420000</v>
      </c>
      <c r="I783" s="2">
        <v>7</v>
      </c>
      <c r="J783" s="2" t="s">
        <v>32</v>
      </c>
      <c r="K783" s="2">
        <f t="shared" si="84"/>
        <v>336000</v>
      </c>
      <c r="L783" s="9">
        <f>Table_1[[#This Row],[Unit Price]]*Table_1[[#This Row],[Quantity]]</f>
        <v>2940000</v>
      </c>
      <c r="M783" s="8">
        <f>Table_1[[#This Row],[Cost Price]]*Table_1[[#This Row],[Quantity]]</f>
        <v>2352000</v>
      </c>
      <c r="N783">
        <f>Table_1[[#This Row],[Revenue]]-Table_1[[#This Row],[COGS]]</f>
        <v>588000</v>
      </c>
      <c r="O783" s="11">
        <f t="shared" si="85"/>
        <v>4656740000</v>
      </c>
      <c r="P783">
        <f t="shared" si="86"/>
        <v>3725392000</v>
      </c>
      <c r="Q783">
        <f t="shared" si="87"/>
        <v>931348000</v>
      </c>
      <c r="R783" s="7">
        <f t="shared" si="88"/>
        <v>2098</v>
      </c>
      <c r="S783" s="7">
        <f t="shared" si="89"/>
        <v>4</v>
      </c>
      <c r="T783" s="7">
        <f t="shared" si="90"/>
        <v>2098</v>
      </c>
    </row>
    <row r="784" spans="1:20" ht="14.25" customHeight="1" x14ac:dyDescent="0.35">
      <c r="A784" s="2" t="s">
        <v>75</v>
      </c>
      <c r="B784" s="2" t="s">
        <v>20</v>
      </c>
      <c r="C784" s="2" t="s">
        <v>13</v>
      </c>
      <c r="D784" s="2" t="s">
        <v>14</v>
      </c>
      <c r="E784" s="2" t="s">
        <v>15</v>
      </c>
      <c r="F784" s="2" t="s">
        <v>39</v>
      </c>
      <c r="G784" s="2" t="s">
        <v>24</v>
      </c>
      <c r="H784" s="2">
        <v>180000</v>
      </c>
      <c r="I784" s="2">
        <v>5</v>
      </c>
      <c r="J784" s="2" t="s">
        <v>54</v>
      </c>
      <c r="K784" s="2">
        <f t="shared" si="84"/>
        <v>144000</v>
      </c>
      <c r="L784" s="9">
        <f>Table_1[[#This Row],[Unit Price]]*Table_1[[#This Row],[Quantity]]</f>
        <v>900000</v>
      </c>
      <c r="M784" s="8">
        <f>Table_1[[#This Row],[Cost Price]]*Table_1[[#This Row],[Quantity]]</f>
        <v>720000</v>
      </c>
      <c r="N784">
        <f>Table_1[[#This Row],[Revenue]]-Table_1[[#This Row],[COGS]]</f>
        <v>180000</v>
      </c>
      <c r="O784" s="11">
        <f t="shared" si="85"/>
        <v>4656740000</v>
      </c>
      <c r="P784">
        <f t="shared" si="86"/>
        <v>3725392000</v>
      </c>
      <c r="Q784">
        <f t="shared" si="87"/>
        <v>931348000</v>
      </c>
      <c r="R784" s="7">
        <f t="shared" si="88"/>
        <v>2098</v>
      </c>
      <c r="S784" s="7">
        <f t="shared" si="89"/>
        <v>2</v>
      </c>
      <c r="T784" s="7">
        <f t="shared" si="90"/>
        <v>2098</v>
      </c>
    </row>
    <row r="785" spans="1:20" ht="14.25" customHeight="1" x14ac:dyDescent="0.35">
      <c r="A785" s="2" t="s">
        <v>146</v>
      </c>
      <c r="B785" s="2" t="s">
        <v>20</v>
      </c>
      <c r="C785" s="2" t="s">
        <v>30</v>
      </c>
      <c r="D785" s="2" t="s">
        <v>26</v>
      </c>
      <c r="E785" s="2" t="s">
        <v>22</v>
      </c>
      <c r="F785" s="2" t="s">
        <v>52</v>
      </c>
      <c r="G785" s="2" t="s">
        <v>36</v>
      </c>
      <c r="H785" s="2">
        <v>420000</v>
      </c>
      <c r="I785" s="2">
        <v>9</v>
      </c>
      <c r="J785" s="2" t="s">
        <v>54</v>
      </c>
      <c r="K785" s="2">
        <f t="shared" si="84"/>
        <v>336000</v>
      </c>
      <c r="L785" s="9">
        <f>Table_1[[#This Row],[Unit Price]]*Table_1[[#This Row],[Quantity]]</f>
        <v>3780000</v>
      </c>
      <c r="M785" s="8">
        <f>Table_1[[#This Row],[Cost Price]]*Table_1[[#This Row],[Quantity]]</f>
        <v>3024000</v>
      </c>
      <c r="N785">
        <f>Table_1[[#This Row],[Revenue]]-Table_1[[#This Row],[COGS]]</f>
        <v>756000</v>
      </c>
      <c r="O785" s="11">
        <f t="shared" si="85"/>
        <v>4656740000</v>
      </c>
      <c r="P785">
        <f t="shared" si="86"/>
        <v>3725392000</v>
      </c>
      <c r="Q785">
        <f t="shared" si="87"/>
        <v>931348000</v>
      </c>
      <c r="R785" s="7">
        <f t="shared" si="88"/>
        <v>2098</v>
      </c>
      <c r="S785" s="7">
        <f t="shared" si="89"/>
        <v>3</v>
      </c>
      <c r="T785" s="7">
        <f t="shared" si="90"/>
        <v>2098</v>
      </c>
    </row>
    <row r="786" spans="1:20" ht="14.25" customHeight="1" x14ac:dyDescent="0.35">
      <c r="A786" s="2" t="s">
        <v>59</v>
      </c>
      <c r="B786" s="2" t="s">
        <v>20</v>
      </c>
      <c r="C786" s="2" t="s">
        <v>30</v>
      </c>
      <c r="D786" s="2" t="s">
        <v>26</v>
      </c>
      <c r="E786" s="2" t="s">
        <v>22</v>
      </c>
      <c r="F786" s="2" t="s">
        <v>35</v>
      </c>
      <c r="G786" s="2" t="s">
        <v>36</v>
      </c>
      <c r="H786" s="2">
        <v>300000</v>
      </c>
      <c r="I786" s="2">
        <v>7</v>
      </c>
      <c r="J786" s="2" t="s">
        <v>43</v>
      </c>
      <c r="K786" s="2">
        <f t="shared" si="84"/>
        <v>240000</v>
      </c>
      <c r="L786" s="9">
        <f>Table_1[[#This Row],[Unit Price]]*Table_1[[#This Row],[Quantity]]</f>
        <v>2100000</v>
      </c>
      <c r="M786" s="8">
        <f>Table_1[[#This Row],[Cost Price]]*Table_1[[#This Row],[Quantity]]</f>
        <v>1680000</v>
      </c>
      <c r="N786">
        <f>Table_1[[#This Row],[Revenue]]-Table_1[[#This Row],[COGS]]</f>
        <v>420000</v>
      </c>
      <c r="O786" s="11">
        <f t="shared" si="85"/>
        <v>4656740000</v>
      </c>
      <c r="P786">
        <f t="shared" si="86"/>
        <v>3725392000</v>
      </c>
      <c r="Q786">
        <f t="shared" si="87"/>
        <v>931348000</v>
      </c>
      <c r="R786" s="7">
        <f t="shared" si="88"/>
        <v>2098</v>
      </c>
      <c r="S786" s="7">
        <f t="shared" si="89"/>
        <v>2</v>
      </c>
      <c r="T786" s="7">
        <f t="shared" si="90"/>
        <v>2098</v>
      </c>
    </row>
    <row r="787" spans="1:20" ht="14.25" customHeight="1" x14ac:dyDescent="0.35">
      <c r="A787" s="2" t="s">
        <v>63</v>
      </c>
      <c r="B787" s="2" t="s">
        <v>12</v>
      </c>
      <c r="C787" s="2" t="s">
        <v>38</v>
      </c>
      <c r="D787" s="2" t="s">
        <v>14</v>
      </c>
      <c r="E787" s="2" t="s">
        <v>22</v>
      </c>
      <c r="F787" s="2" t="s">
        <v>47</v>
      </c>
      <c r="G787" s="2" t="s">
        <v>36</v>
      </c>
      <c r="H787" s="2">
        <v>150000</v>
      </c>
      <c r="I787" s="2">
        <v>3</v>
      </c>
      <c r="J787" s="2" t="s">
        <v>27</v>
      </c>
      <c r="K787" s="2">
        <f t="shared" si="84"/>
        <v>120000</v>
      </c>
      <c r="L787" s="9">
        <f>Table_1[[#This Row],[Unit Price]]*Table_1[[#This Row],[Quantity]]</f>
        <v>450000</v>
      </c>
      <c r="M787" s="8">
        <f>Table_1[[#This Row],[Cost Price]]*Table_1[[#This Row],[Quantity]]</f>
        <v>360000</v>
      </c>
      <c r="N787">
        <f>Table_1[[#This Row],[Revenue]]-Table_1[[#This Row],[COGS]]</f>
        <v>90000</v>
      </c>
      <c r="O787" s="11">
        <f t="shared" si="85"/>
        <v>4656740000</v>
      </c>
      <c r="P787">
        <f t="shared" si="86"/>
        <v>3725392000</v>
      </c>
      <c r="Q787">
        <f t="shared" si="87"/>
        <v>931348000</v>
      </c>
      <c r="R787" s="7">
        <f t="shared" si="88"/>
        <v>2098</v>
      </c>
      <c r="S787" s="7">
        <f t="shared" si="89"/>
        <v>4</v>
      </c>
      <c r="T787" s="7">
        <f t="shared" si="90"/>
        <v>2098</v>
      </c>
    </row>
    <row r="788" spans="1:20" ht="14.25" customHeight="1" x14ac:dyDescent="0.35">
      <c r="A788" s="2" t="s">
        <v>112</v>
      </c>
      <c r="B788" s="2" t="s">
        <v>12</v>
      </c>
      <c r="C788" s="2" t="s">
        <v>21</v>
      </c>
      <c r="D788" s="2" t="s">
        <v>14</v>
      </c>
      <c r="E788" s="2" t="s">
        <v>22</v>
      </c>
      <c r="F788" s="2" t="s">
        <v>35</v>
      </c>
      <c r="G788" s="2" t="s">
        <v>36</v>
      </c>
      <c r="H788" s="2">
        <v>300000</v>
      </c>
      <c r="I788" s="2">
        <v>10</v>
      </c>
      <c r="J788" s="2" t="s">
        <v>54</v>
      </c>
      <c r="K788" s="2">
        <f t="shared" si="84"/>
        <v>240000</v>
      </c>
      <c r="L788" s="9">
        <f>Table_1[[#This Row],[Unit Price]]*Table_1[[#This Row],[Quantity]]</f>
        <v>3000000</v>
      </c>
      <c r="M788" s="8">
        <f>Table_1[[#This Row],[Cost Price]]*Table_1[[#This Row],[Quantity]]</f>
        <v>2400000</v>
      </c>
      <c r="N788">
        <f>Table_1[[#This Row],[Revenue]]-Table_1[[#This Row],[COGS]]</f>
        <v>600000</v>
      </c>
      <c r="O788" s="11">
        <f t="shared" si="85"/>
        <v>4656740000</v>
      </c>
      <c r="P788">
        <f t="shared" si="86"/>
        <v>3725392000</v>
      </c>
      <c r="Q788">
        <f t="shared" si="87"/>
        <v>931348000</v>
      </c>
      <c r="R788" s="7">
        <f t="shared" si="88"/>
        <v>2098</v>
      </c>
      <c r="S788" s="7">
        <f t="shared" si="89"/>
        <v>1</v>
      </c>
      <c r="T788" s="7">
        <f t="shared" si="90"/>
        <v>2098</v>
      </c>
    </row>
    <row r="789" spans="1:20" ht="14.25" customHeight="1" x14ac:dyDescent="0.35">
      <c r="A789" s="2" t="s">
        <v>96</v>
      </c>
      <c r="B789" s="2" t="s">
        <v>20</v>
      </c>
      <c r="C789" s="2" t="s">
        <v>13</v>
      </c>
      <c r="D789" s="2" t="s">
        <v>14</v>
      </c>
      <c r="E789" s="2" t="s">
        <v>15</v>
      </c>
      <c r="F789" s="2" t="s">
        <v>52</v>
      </c>
      <c r="G789" s="2" t="s">
        <v>36</v>
      </c>
      <c r="H789" s="2">
        <v>420000</v>
      </c>
      <c r="I789" s="2">
        <v>8</v>
      </c>
      <c r="J789" s="2" t="s">
        <v>54</v>
      </c>
      <c r="K789" s="2">
        <f t="shared" si="84"/>
        <v>336000</v>
      </c>
      <c r="L789" s="9">
        <f>Table_1[[#This Row],[Unit Price]]*Table_1[[#This Row],[Quantity]]</f>
        <v>3360000</v>
      </c>
      <c r="M789" s="8">
        <f>Table_1[[#This Row],[Cost Price]]*Table_1[[#This Row],[Quantity]]</f>
        <v>2688000</v>
      </c>
      <c r="N789">
        <f>Table_1[[#This Row],[Revenue]]-Table_1[[#This Row],[COGS]]</f>
        <v>672000</v>
      </c>
      <c r="O789" s="11">
        <f t="shared" si="85"/>
        <v>4656740000</v>
      </c>
      <c r="P789">
        <f t="shared" si="86"/>
        <v>3725392000</v>
      </c>
      <c r="Q789">
        <f t="shared" si="87"/>
        <v>931348000</v>
      </c>
      <c r="R789" s="7">
        <f t="shared" si="88"/>
        <v>2098</v>
      </c>
      <c r="S789" s="7">
        <f t="shared" si="89"/>
        <v>2</v>
      </c>
      <c r="T789" s="7">
        <f t="shared" si="90"/>
        <v>2098</v>
      </c>
    </row>
    <row r="790" spans="1:20" ht="14.25" customHeight="1" x14ac:dyDescent="0.35">
      <c r="A790" s="2" t="s">
        <v>156</v>
      </c>
      <c r="B790" s="2" t="s">
        <v>12</v>
      </c>
      <c r="C790" s="2" t="s">
        <v>30</v>
      </c>
      <c r="D790" s="2" t="s">
        <v>26</v>
      </c>
      <c r="E790" s="2" t="s">
        <v>22</v>
      </c>
      <c r="F790" s="2" t="s">
        <v>58</v>
      </c>
      <c r="G790" s="2" t="s">
        <v>24</v>
      </c>
      <c r="H790" s="2">
        <v>220000</v>
      </c>
      <c r="I790" s="2">
        <v>2</v>
      </c>
      <c r="J790" s="2" t="s">
        <v>32</v>
      </c>
      <c r="K790" s="2">
        <f t="shared" si="84"/>
        <v>176000</v>
      </c>
      <c r="L790" s="9">
        <f>Table_1[[#This Row],[Unit Price]]*Table_1[[#This Row],[Quantity]]</f>
        <v>440000</v>
      </c>
      <c r="M790" s="8">
        <f>Table_1[[#This Row],[Cost Price]]*Table_1[[#This Row],[Quantity]]</f>
        <v>352000</v>
      </c>
      <c r="N790">
        <f>Table_1[[#This Row],[Revenue]]-Table_1[[#This Row],[COGS]]</f>
        <v>88000</v>
      </c>
      <c r="O790" s="11">
        <f t="shared" si="85"/>
        <v>4656740000</v>
      </c>
      <c r="P790">
        <f t="shared" si="86"/>
        <v>3725392000</v>
      </c>
      <c r="Q790">
        <f t="shared" si="87"/>
        <v>931348000</v>
      </c>
      <c r="R790" s="7">
        <f t="shared" si="88"/>
        <v>2098</v>
      </c>
      <c r="S790" s="7">
        <f t="shared" si="89"/>
        <v>3</v>
      </c>
      <c r="T790" s="7">
        <f t="shared" si="90"/>
        <v>2098</v>
      </c>
    </row>
    <row r="791" spans="1:20" ht="14.25" customHeight="1" x14ac:dyDescent="0.35">
      <c r="A791" s="2" t="s">
        <v>133</v>
      </c>
      <c r="B791" s="2" t="s">
        <v>12</v>
      </c>
      <c r="C791" s="2" t="s">
        <v>38</v>
      </c>
      <c r="D791" s="2" t="s">
        <v>14</v>
      </c>
      <c r="E791" s="2" t="s">
        <v>15</v>
      </c>
      <c r="F791" s="2" t="s">
        <v>47</v>
      </c>
      <c r="G791" s="2" t="s">
        <v>36</v>
      </c>
      <c r="H791" s="2">
        <v>150000</v>
      </c>
      <c r="I791" s="2">
        <v>4</v>
      </c>
      <c r="J791" s="2" t="s">
        <v>18</v>
      </c>
      <c r="K791" s="2">
        <f t="shared" si="84"/>
        <v>120000</v>
      </c>
      <c r="L791" s="9">
        <f>Table_1[[#This Row],[Unit Price]]*Table_1[[#This Row],[Quantity]]</f>
        <v>600000</v>
      </c>
      <c r="M791" s="8">
        <f>Table_1[[#This Row],[Cost Price]]*Table_1[[#This Row],[Quantity]]</f>
        <v>480000</v>
      </c>
      <c r="N791">
        <f>Table_1[[#This Row],[Revenue]]-Table_1[[#This Row],[COGS]]</f>
        <v>120000</v>
      </c>
      <c r="O791" s="11">
        <f t="shared" si="85"/>
        <v>4656740000</v>
      </c>
      <c r="P791">
        <f t="shared" si="86"/>
        <v>3725392000</v>
      </c>
      <c r="Q791">
        <f t="shared" si="87"/>
        <v>931348000</v>
      </c>
      <c r="R791" s="7">
        <f t="shared" si="88"/>
        <v>2098</v>
      </c>
      <c r="S791" s="7">
        <f t="shared" si="89"/>
        <v>2</v>
      </c>
      <c r="T791" s="7">
        <f t="shared" si="90"/>
        <v>2098</v>
      </c>
    </row>
    <row r="792" spans="1:20" ht="14.25" customHeight="1" x14ac:dyDescent="0.35">
      <c r="A792" s="2" t="s">
        <v>118</v>
      </c>
      <c r="B792" s="2" t="s">
        <v>12</v>
      </c>
      <c r="C792" s="2" t="s">
        <v>21</v>
      </c>
      <c r="D792" s="2" t="s">
        <v>14</v>
      </c>
      <c r="E792" s="2" t="s">
        <v>15</v>
      </c>
      <c r="F792" s="2" t="s">
        <v>23</v>
      </c>
      <c r="G792" s="2" t="s">
        <v>24</v>
      </c>
      <c r="H792" s="2">
        <v>30000</v>
      </c>
      <c r="I792" s="2">
        <v>8</v>
      </c>
      <c r="J792" s="2" t="s">
        <v>43</v>
      </c>
      <c r="K792" s="2">
        <f t="shared" si="84"/>
        <v>24000</v>
      </c>
      <c r="L792" s="9">
        <f>Table_1[[#This Row],[Unit Price]]*Table_1[[#This Row],[Quantity]]</f>
        <v>240000</v>
      </c>
      <c r="M792" s="8">
        <f>Table_1[[#This Row],[Cost Price]]*Table_1[[#This Row],[Quantity]]</f>
        <v>192000</v>
      </c>
      <c r="N792">
        <f>Table_1[[#This Row],[Revenue]]-Table_1[[#This Row],[COGS]]</f>
        <v>48000</v>
      </c>
      <c r="O792" s="11">
        <f t="shared" si="85"/>
        <v>4656740000</v>
      </c>
      <c r="P792">
        <f t="shared" si="86"/>
        <v>3725392000</v>
      </c>
      <c r="Q792">
        <f t="shared" si="87"/>
        <v>931348000</v>
      </c>
      <c r="R792" s="7">
        <f t="shared" si="88"/>
        <v>2098</v>
      </c>
      <c r="S792" s="7">
        <f t="shared" si="89"/>
        <v>1</v>
      </c>
      <c r="T792" s="7">
        <f t="shared" si="90"/>
        <v>2098</v>
      </c>
    </row>
    <row r="793" spans="1:20" ht="14.25" customHeight="1" x14ac:dyDescent="0.35">
      <c r="A793" s="2" t="s">
        <v>80</v>
      </c>
      <c r="B793" s="2" t="s">
        <v>12</v>
      </c>
      <c r="C793" s="2" t="s">
        <v>30</v>
      </c>
      <c r="D793" s="2" t="s">
        <v>26</v>
      </c>
      <c r="E793" s="2" t="s">
        <v>22</v>
      </c>
      <c r="F793" s="2" t="s">
        <v>52</v>
      </c>
      <c r="G793" s="2" t="s">
        <v>36</v>
      </c>
      <c r="H793" s="2">
        <v>420000</v>
      </c>
      <c r="I793" s="2">
        <v>3</v>
      </c>
      <c r="J793" s="2" t="s">
        <v>50</v>
      </c>
      <c r="K793" s="2">
        <f t="shared" si="84"/>
        <v>336000</v>
      </c>
      <c r="L793" s="9">
        <f>Table_1[[#This Row],[Unit Price]]*Table_1[[#This Row],[Quantity]]</f>
        <v>1260000</v>
      </c>
      <c r="M793" s="8">
        <f>Table_1[[#This Row],[Cost Price]]*Table_1[[#This Row],[Quantity]]</f>
        <v>1008000</v>
      </c>
      <c r="N793">
        <f>Table_1[[#This Row],[Revenue]]-Table_1[[#This Row],[COGS]]</f>
        <v>252000</v>
      </c>
      <c r="O793" s="11">
        <f t="shared" si="85"/>
        <v>4656740000</v>
      </c>
      <c r="P793">
        <f t="shared" si="86"/>
        <v>3725392000</v>
      </c>
      <c r="Q793">
        <f t="shared" si="87"/>
        <v>931348000</v>
      </c>
      <c r="R793" s="7">
        <f t="shared" si="88"/>
        <v>2098</v>
      </c>
      <c r="S793" s="7">
        <f t="shared" si="89"/>
        <v>2</v>
      </c>
      <c r="T793" s="7">
        <f t="shared" si="90"/>
        <v>2098</v>
      </c>
    </row>
    <row r="794" spans="1:20" ht="14.25" customHeight="1" x14ac:dyDescent="0.35">
      <c r="A794" s="2" t="s">
        <v>112</v>
      </c>
      <c r="B794" s="2" t="s">
        <v>12</v>
      </c>
      <c r="C794" s="2" t="s">
        <v>13</v>
      </c>
      <c r="D794" s="2" t="s">
        <v>26</v>
      </c>
      <c r="E794" s="2" t="s">
        <v>22</v>
      </c>
      <c r="F794" s="2" t="s">
        <v>35</v>
      </c>
      <c r="G794" s="2" t="s">
        <v>36</v>
      </c>
      <c r="H794" s="2">
        <v>300000</v>
      </c>
      <c r="I794" s="2">
        <v>4</v>
      </c>
      <c r="J794" s="2" t="s">
        <v>54</v>
      </c>
      <c r="K794" s="2">
        <f t="shared" si="84"/>
        <v>240000</v>
      </c>
      <c r="L794" s="9">
        <f>Table_1[[#This Row],[Unit Price]]*Table_1[[#This Row],[Quantity]]</f>
        <v>1200000</v>
      </c>
      <c r="M794" s="8">
        <f>Table_1[[#This Row],[Cost Price]]*Table_1[[#This Row],[Quantity]]</f>
        <v>960000</v>
      </c>
      <c r="N794">
        <f>Table_1[[#This Row],[Revenue]]-Table_1[[#This Row],[COGS]]</f>
        <v>240000</v>
      </c>
      <c r="O794" s="11">
        <f t="shared" si="85"/>
        <v>4656740000</v>
      </c>
      <c r="P794">
        <f t="shared" si="86"/>
        <v>3725392000</v>
      </c>
      <c r="Q794">
        <f t="shared" si="87"/>
        <v>931348000</v>
      </c>
      <c r="R794" s="7">
        <f t="shared" si="88"/>
        <v>2098</v>
      </c>
      <c r="S794" s="7">
        <f t="shared" si="89"/>
        <v>1</v>
      </c>
      <c r="T794" s="7">
        <f t="shared" si="90"/>
        <v>2098</v>
      </c>
    </row>
    <row r="795" spans="1:20" ht="14.25" customHeight="1" x14ac:dyDescent="0.35">
      <c r="A795" s="2" t="s">
        <v>107</v>
      </c>
      <c r="B795" s="2" t="s">
        <v>12</v>
      </c>
      <c r="C795" s="2" t="s">
        <v>21</v>
      </c>
      <c r="D795" s="2" t="s">
        <v>14</v>
      </c>
      <c r="E795" s="2" t="s">
        <v>15</v>
      </c>
      <c r="F795" s="2" t="s">
        <v>56</v>
      </c>
      <c r="G795" s="2" t="s">
        <v>36</v>
      </c>
      <c r="H795" s="2">
        <v>250000</v>
      </c>
      <c r="I795" s="2">
        <v>6</v>
      </c>
      <c r="J795" s="2" t="s">
        <v>27</v>
      </c>
      <c r="K795" s="2">
        <f t="shared" si="84"/>
        <v>200000</v>
      </c>
      <c r="L795" s="9">
        <f>Table_1[[#This Row],[Unit Price]]*Table_1[[#This Row],[Quantity]]</f>
        <v>1500000</v>
      </c>
      <c r="M795" s="8">
        <f>Table_1[[#This Row],[Cost Price]]*Table_1[[#This Row],[Quantity]]</f>
        <v>1200000</v>
      </c>
      <c r="N795">
        <f>Table_1[[#This Row],[Revenue]]-Table_1[[#This Row],[COGS]]</f>
        <v>300000</v>
      </c>
      <c r="O795" s="11">
        <f t="shared" si="85"/>
        <v>4656740000</v>
      </c>
      <c r="P795">
        <f t="shared" si="86"/>
        <v>3725392000</v>
      </c>
      <c r="Q795">
        <f t="shared" si="87"/>
        <v>931348000</v>
      </c>
      <c r="R795" s="7">
        <f t="shared" si="88"/>
        <v>2098</v>
      </c>
      <c r="S795" s="7">
        <f t="shared" si="89"/>
        <v>3</v>
      </c>
      <c r="T795" s="7">
        <f t="shared" si="90"/>
        <v>2098</v>
      </c>
    </row>
    <row r="796" spans="1:20" ht="14.25" customHeight="1" x14ac:dyDescent="0.35">
      <c r="A796" s="2" t="s">
        <v>140</v>
      </c>
      <c r="B796" s="2" t="s">
        <v>12</v>
      </c>
      <c r="C796" s="2" t="s">
        <v>30</v>
      </c>
      <c r="D796" s="2" t="s">
        <v>26</v>
      </c>
      <c r="E796" s="2" t="s">
        <v>22</v>
      </c>
      <c r="F796" s="2" t="s">
        <v>41</v>
      </c>
      <c r="G796" s="2" t="s">
        <v>17</v>
      </c>
      <c r="H796" s="2">
        <v>320000</v>
      </c>
      <c r="I796" s="2">
        <v>6</v>
      </c>
      <c r="J796" s="2" t="s">
        <v>43</v>
      </c>
      <c r="K796" s="2">
        <f t="shared" si="84"/>
        <v>256000</v>
      </c>
      <c r="L796" s="9">
        <f>Table_1[[#This Row],[Unit Price]]*Table_1[[#This Row],[Quantity]]</f>
        <v>1920000</v>
      </c>
      <c r="M796" s="8">
        <f>Table_1[[#This Row],[Cost Price]]*Table_1[[#This Row],[Quantity]]</f>
        <v>1536000</v>
      </c>
      <c r="N796">
        <f>Table_1[[#This Row],[Revenue]]-Table_1[[#This Row],[COGS]]</f>
        <v>384000</v>
      </c>
      <c r="O796" s="11">
        <f t="shared" si="85"/>
        <v>4656740000</v>
      </c>
      <c r="P796">
        <f t="shared" si="86"/>
        <v>3725392000</v>
      </c>
      <c r="Q796">
        <f t="shared" si="87"/>
        <v>931348000</v>
      </c>
      <c r="R796" s="7">
        <f t="shared" si="88"/>
        <v>2098</v>
      </c>
      <c r="S796" s="7">
        <f t="shared" si="89"/>
        <v>4</v>
      </c>
      <c r="T796" s="7">
        <f t="shared" si="90"/>
        <v>2098</v>
      </c>
    </row>
    <row r="797" spans="1:20" ht="14.25" customHeight="1" x14ac:dyDescent="0.35">
      <c r="A797" s="2" t="s">
        <v>143</v>
      </c>
      <c r="B797" s="2" t="s">
        <v>12</v>
      </c>
      <c r="C797" s="2" t="s">
        <v>30</v>
      </c>
      <c r="D797" s="2" t="s">
        <v>14</v>
      </c>
      <c r="E797" s="2" t="s">
        <v>15</v>
      </c>
      <c r="F797" s="2" t="s">
        <v>39</v>
      </c>
      <c r="G797" s="2" t="s">
        <v>24</v>
      </c>
      <c r="H797" s="2">
        <v>180000</v>
      </c>
      <c r="I797" s="2">
        <v>5</v>
      </c>
      <c r="J797" s="2" t="s">
        <v>43</v>
      </c>
      <c r="K797" s="2">
        <f t="shared" si="84"/>
        <v>144000</v>
      </c>
      <c r="L797" s="9">
        <f>Table_1[[#This Row],[Unit Price]]*Table_1[[#This Row],[Quantity]]</f>
        <v>900000</v>
      </c>
      <c r="M797" s="8">
        <f>Table_1[[#This Row],[Cost Price]]*Table_1[[#This Row],[Quantity]]</f>
        <v>720000</v>
      </c>
      <c r="N797">
        <f>Table_1[[#This Row],[Revenue]]-Table_1[[#This Row],[COGS]]</f>
        <v>180000</v>
      </c>
      <c r="O797" s="11">
        <f t="shared" si="85"/>
        <v>4656740000</v>
      </c>
      <c r="P797">
        <f t="shared" si="86"/>
        <v>3725392000</v>
      </c>
      <c r="Q797">
        <f t="shared" si="87"/>
        <v>931348000</v>
      </c>
      <c r="R797" s="7">
        <f t="shared" si="88"/>
        <v>2098</v>
      </c>
      <c r="S797" s="7">
        <f t="shared" si="89"/>
        <v>1</v>
      </c>
      <c r="T797" s="7">
        <f t="shared" si="90"/>
        <v>2098</v>
      </c>
    </row>
    <row r="798" spans="1:20" ht="14.25" customHeight="1" x14ac:dyDescent="0.35">
      <c r="A798" s="2" t="s">
        <v>159</v>
      </c>
      <c r="B798" s="2" t="s">
        <v>12</v>
      </c>
      <c r="C798" s="2" t="s">
        <v>13</v>
      </c>
      <c r="D798" s="2" t="s">
        <v>14</v>
      </c>
      <c r="E798" s="2" t="s">
        <v>15</v>
      </c>
      <c r="F798" s="2" t="s">
        <v>47</v>
      </c>
      <c r="G798" s="2" t="s">
        <v>36</v>
      </c>
      <c r="H798" s="2">
        <v>150000</v>
      </c>
      <c r="I798" s="2">
        <v>1</v>
      </c>
      <c r="J798" s="2" t="s">
        <v>32</v>
      </c>
      <c r="K798" s="2">
        <f t="shared" si="84"/>
        <v>120000</v>
      </c>
      <c r="L798" s="9">
        <f>Table_1[[#This Row],[Unit Price]]*Table_1[[#This Row],[Quantity]]</f>
        <v>150000</v>
      </c>
      <c r="M798" s="8">
        <f>Table_1[[#This Row],[Cost Price]]*Table_1[[#This Row],[Quantity]]</f>
        <v>120000</v>
      </c>
      <c r="N798">
        <f>Table_1[[#This Row],[Revenue]]-Table_1[[#This Row],[COGS]]</f>
        <v>30000</v>
      </c>
      <c r="O798" s="11">
        <f t="shared" si="85"/>
        <v>4656740000</v>
      </c>
      <c r="P798">
        <f t="shared" si="86"/>
        <v>3725392000</v>
      </c>
      <c r="Q798">
        <f t="shared" si="87"/>
        <v>931348000</v>
      </c>
      <c r="R798" s="7">
        <f t="shared" si="88"/>
        <v>2098</v>
      </c>
      <c r="S798" s="7">
        <f t="shared" si="89"/>
        <v>2</v>
      </c>
      <c r="T798" s="7">
        <f t="shared" si="90"/>
        <v>2098</v>
      </c>
    </row>
    <row r="799" spans="1:20" ht="14.25" customHeight="1" x14ac:dyDescent="0.35">
      <c r="A799" s="2" t="s">
        <v>86</v>
      </c>
      <c r="B799" s="2" t="s">
        <v>12</v>
      </c>
      <c r="C799" s="2" t="s">
        <v>13</v>
      </c>
      <c r="D799" s="2" t="s">
        <v>14</v>
      </c>
      <c r="E799" s="2" t="s">
        <v>22</v>
      </c>
      <c r="F799" s="2" t="s">
        <v>31</v>
      </c>
      <c r="G799" s="2" t="s">
        <v>24</v>
      </c>
      <c r="H799" s="2">
        <v>60000</v>
      </c>
      <c r="I799" s="2">
        <v>3</v>
      </c>
      <c r="J799" s="2" t="s">
        <v>54</v>
      </c>
      <c r="K799" s="2">
        <f t="shared" si="84"/>
        <v>48000</v>
      </c>
      <c r="L799" s="9">
        <f>Table_1[[#This Row],[Unit Price]]*Table_1[[#This Row],[Quantity]]</f>
        <v>180000</v>
      </c>
      <c r="M799" s="8">
        <f>Table_1[[#This Row],[Cost Price]]*Table_1[[#This Row],[Quantity]]</f>
        <v>144000</v>
      </c>
      <c r="N799">
        <f>Table_1[[#This Row],[Revenue]]-Table_1[[#This Row],[COGS]]</f>
        <v>36000</v>
      </c>
      <c r="O799" s="11">
        <f t="shared" si="85"/>
        <v>4656740000</v>
      </c>
      <c r="P799">
        <f t="shared" si="86"/>
        <v>3725392000</v>
      </c>
      <c r="Q799">
        <f t="shared" si="87"/>
        <v>931348000</v>
      </c>
      <c r="R799" s="7">
        <f t="shared" si="88"/>
        <v>2098</v>
      </c>
      <c r="S799" s="7">
        <f t="shared" si="89"/>
        <v>1</v>
      </c>
      <c r="T799" s="7">
        <f t="shared" si="90"/>
        <v>2098</v>
      </c>
    </row>
    <row r="800" spans="1:20" ht="14.25" customHeight="1" x14ac:dyDescent="0.35">
      <c r="A800" s="2" t="s">
        <v>88</v>
      </c>
      <c r="B800" s="2" t="s">
        <v>20</v>
      </c>
      <c r="C800" s="2" t="s">
        <v>38</v>
      </c>
      <c r="D800" s="2" t="s">
        <v>26</v>
      </c>
      <c r="E800" s="2" t="s">
        <v>15</v>
      </c>
      <c r="F800" s="2" t="s">
        <v>16</v>
      </c>
      <c r="G800" s="2" t="s">
        <v>17</v>
      </c>
      <c r="H800" s="2">
        <v>85000</v>
      </c>
      <c r="I800" s="2">
        <v>10</v>
      </c>
      <c r="J800" s="2" t="s">
        <v>27</v>
      </c>
      <c r="K800" s="2">
        <f t="shared" si="84"/>
        <v>68000</v>
      </c>
      <c r="L800" s="9">
        <f>Table_1[[#This Row],[Unit Price]]*Table_1[[#This Row],[Quantity]]</f>
        <v>850000</v>
      </c>
      <c r="M800" s="8">
        <f>Table_1[[#This Row],[Cost Price]]*Table_1[[#This Row],[Quantity]]</f>
        <v>680000</v>
      </c>
      <c r="N800">
        <f>Table_1[[#This Row],[Revenue]]-Table_1[[#This Row],[COGS]]</f>
        <v>170000</v>
      </c>
      <c r="O800" s="11">
        <f t="shared" si="85"/>
        <v>4656740000</v>
      </c>
      <c r="P800">
        <f t="shared" si="86"/>
        <v>3725392000</v>
      </c>
      <c r="Q800">
        <f t="shared" si="87"/>
        <v>931348000</v>
      </c>
      <c r="R800" s="7">
        <f t="shared" si="88"/>
        <v>2098</v>
      </c>
      <c r="S800" s="7">
        <f t="shared" si="89"/>
        <v>3</v>
      </c>
      <c r="T800" s="7">
        <f t="shared" si="90"/>
        <v>2098</v>
      </c>
    </row>
    <row r="801" spans="1:20" ht="14.25" customHeight="1" x14ac:dyDescent="0.35">
      <c r="A801" s="2" t="s">
        <v>122</v>
      </c>
      <c r="B801" s="2" t="s">
        <v>12</v>
      </c>
      <c r="C801" s="2" t="s">
        <v>38</v>
      </c>
      <c r="D801" s="2" t="s">
        <v>26</v>
      </c>
      <c r="E801" s="2" t="s">
        <v>22</v>
      </c>
      <c r="F801" s="2" t="s">
        <v>47</v>
      </c>
      <c r="G801" s="2" t="s">
        <v>36</v>
      </c>
      <c r="H801" s="2">
        <v>150000</v>
      </c>
      <c r="I801" s="2">
        <v>3</v>
      </c>
      <c r="J801" s="2" t="s">
        <v>50</v>
      </c>
      <c r="K801" s="2">
        <f t="shared" si="84"/>
        <v>120000</v>
      </c>
      <c r="L801" s="9">
        <f>Table_1[[#This Row],[Unit Price]]*Table_1[[#This Row],[Quantity]]</f>
        <v>450000</v>
      </c>
      <c r="M801" s="8">
        <f>Table_1[[#This Row],[Cost Price]]*Table_1[[#This Row],[Quantity]]</f>
        <v>360000</v>
      </c>
      <c r="N801">
        <f>Table_1[[#This Row],[Revenue]]-Table_1[[#This Row],[COGS]]</f>
        <v>90000</v>
      </c>
      <c r="O801" s="11">
        <f t="shared" si="85"/>
        <v>4656740000</v>
      </c>
      <c r="P801">
        <f t="shared" si="86"/>
        <v>3725392000</v>
      </c>
      <c r="Q801">
        <f t="shared" si="87"/>
        <v>931348000</v>
      </c>
      <c r="R801" s="7">
        <f t="shared" si="88"/>
        <v>2098</v>
      </c>
      <c r="S801" s="7">
        <f t="shared" si="89"/>
        <v>4</v>
      </c>
      <c r="T801" s="7">
        <f t="shared" si="90"/>
        <v>2098</v>
      </c>
    </row>
    <row r="802" spans="1:20" ht="14.25" customHeight="1" x14ac:dyDescent="0.35">
      <c r="A802" s="2" t="s">
        <v>42</v>
      </c>
      <c r="B802" s="2" t="s">
        <v>29</v>
      </c>
      <c r="C802" s="2" t="s">
        <v>13</v>
      </c>
      <c r="D802" s="2" t="s">
        <v>26</v>
      </c>
      <c r="E802" s="2" t="s">
        <v>22</v>
      </c>
      <c r="F802" s="2" t="s">
        <v>52</v>
      </c>
      <c r="G802" s="2" t="s">
        <v>36</v>
      </c>
      <c r="H802" s="2">
        <v>420000</v>
      </c>
      <c r="I802" s="2">
        <v>9</v>
      </c>
      <c r="J802" s="2" t="s">
        <v>50</v>
      </c>
      <c r="K802" s="2">
        <f t="shared" si="84"/>
        <v>336000</v>
      </c>
      <c r="L802" s="9">
        <f>Table_1[[#This Row],[Unit Price]]*Table_1[[#This Row],[Quantity]]</f>
        <v>3780000</v>
      </c>
      <c r="M802" s="8">
        <f>Table_1[[#This Row],[Cost Price]]*Table_1[[#This Row],[Quantity]]</f>
        <v>3024000</v>
      </c>
      <c r="N802">
        <f>Table_1[[#This Row],[Revenue]]-Table_1[[#This Row],[COGS]]</f>
        <v>756000</v>
      </c>
      <c r="O802" s="11">
        <f t="shared" si="85"/>
        <v>4656740000</v>
      </c>
      <c r="P802">
        <f t="shared" si="86"/>
        <v>3725392000</v>
      </c>
      <c r="Q802">
        <f t="shared" si="87"/>
        <v>931348000</v>
      </c>
      <c r="R802" s="7">
        <f t="shared" si="88"/>
        <v>2098</v>
      </c>
      <c r="S802" s="7">
        <f t="shared" si="89"/>
        <v>2</v>
      </c>
      <c r="T802" s="7">
        <f t="shared" si="90"/>
        <v>2098</v>
      </c>
    </row>
    <row r="803" spans="1:20" ht="14.25" customHeight="1" x14ac:dyDescent="0.35">
      <c r="A803" s="2" t="s">
        <v>55</v>
      </c>
      <c r="B803" s="2" t="s">
        <v>29</v>
      </c>
      <c r="C803" s="2" t="s">
        <v>38</v>
      </c>
      <c r="D803" s="2" t="s">
        <v>14</v>
      </c>
      <c r="E803" s="2" t="s">
        <v>22</v>
      </c>
      <c r="F803" s="2" t="s">
        <v>58</v>
      </c>
      <c r="G803" s="2" t="s">
        <v>24</v>
      </c>
      <c r="H803" s="2">
        <v>220000</v>
      </c>
      <c r="I803" s="2">
        <v>1</v>
      </c>
      <c r="J803" s="2" t="s">
        <v>43</v>
      </c>
      <c r="K803" s="2">
        <f t="shared" si="84"/>
        <v>176000</v>
      </c>
      <c r="L803" s="9">
        <f>Table_1[[#This Row],[Unit Price]]*Table_1[[#This Row],[Quantity]]</f>
        <v>220000</v>
      </c>
      <c r="M803" s="8">
        <f>Table_1[[#This Row],[Cost Price]]*Table_1[[#This Row],[Quantity]]</f>
        <v>176000</v>
      </c>
      <c r="N803">
        <f>Table_1[[#This Row],[Revenue]]-Table_1[[#This Row],[COGS]]</f>
        <v>44000</v>
      </c>
      <c r="O803" s="11">
        <f t="shared" si="85"/>
        <v>4656740000</v>
      </c>
      <c r="P803">
        <f t="shared" si="86"/>
        <v>3725392000</v>
      </c>
      <c r="Q803">
        <f t="shared" si="87"/>
        <v>931348000</v>
      </c>
      <c r="R803" s="7">
        <f t="shared" si="88"/>
        <v>2098</v>
      </c>
      <c r="S803" s="7">
        <f t="shared" si="89"/>
        <v>4</v>
      </c>
      <c r="T803" s="7">
        <f t="shared" si="90"/>
        <v>2098</v>
      </c>
    </row>
    <row r="804" spans="1:20" ht="14.25" customHeight="1" x14ac:dyDescent="0.35">
      <c r="A804" s="2" t="s">
        <v>129</v>
      </c>
      <c r="B804" s="2" t="s">
        <v>20</v>
      </c>
      <c r="C804" s="2" t="s">
        <v>38</v>
      </c>
      <c r="D804" s="2" t="s">
        <v>26</v>
      </c>
      <c r="E804" s="2" t="s">
        <v>15</v>
      </c>
      <c r="F804" s="2" t="s">
        <v>16</v>
      </c>
      <c r="G804" s="2" t="s">
        <v>17</v>
      </c>
      <c r="H804" s="2">
        <v>85000</v>
      </c>
      <c r="I804" s="2">
        <v>4</v>
      </c>
      <c r="J804" s="2" t="s">
        <v>27</v>
      </c>
      <c r="K804" s="2">
        <f t="shared" si="84"/>
        <v>68000</v>
      </c>
      <c r="L804" s="9">
        <f>Table_1[[#This Row],[Unit Price]]*Table_1[[#This Row],[Quantity]]</f>
        <v>340000</v>
      </c>
      <c r="M804" s="8">
        <f>Table_1[[#This Row],[Cost Price]]*Table_1[[#This Row],[Quantity]]</f>
        <v>272000</v>
      </c>
      <c r="N804">
        <f>Table_1[[#This Row],[Revenue]]-Table_1[[#This Row],[COGS]]</f>
        <v>68000</v>
      </c>
      <c r="O804" s="11">
        <f t="shared" si="85"/>
        <v>4656740000</v>
      </c>
      <c r="P804">
        <f t="shared" si="86"/>
        <v>3725392000</v>
      </c>
      <c r="Q804">
        <f t="shared" si="87"/>
        <v>931348000</v>
      </c>
      <c r="R804" s="7">
        <f t="shared" si="88"/>
        <v>2098</v>
      </c>
      <c r="S804" s="7">
        <f t="shared" si="89"/>
        <v>2</v>
      </c>
      <c r="T804" s="7">
        <f t="shared" si="90"/>
        <v>2098</v>
      </c>
    </row>
    <row r="805" spans="1:20" ht="14.25" customHeight="1" x14ac:dyDescent="0.35">
      <c r="A805" s="2" t="s">
        <v>128</v>
      </c>
      <c r="B805" s="2" t="s">
        <v>12</v>
      </c>
      <c r="C805" s="2" t="s">
        <v>13</v>
      </c>
      <c r="D805" s="2" t="s">
        <v>14</v>
      </c>
      <c r="E805" s="2" t="s">
        <v>15</v>
      </c>
      <c r="F805" s="2" t="s">
        <v>52</v>
      </c>
      <c r="G805" s="2" t="s">
        <v>36</v>
      </c>
      <c r="H805" s="2">
        <v>420000</v>
      </c>
      <c r="I805" s="2">
        <v>6</v>
      </c>
      <c r="J805" s="2" t="s">
        <v>50</v>
      </c>
      <c r="K805" s="2">
        <f t="shared" si="84"/>
        <v>336000</v>
      </c>
      <c r="L805" s="9">
        <f>Table_1[[#This Row],[Unit Price]]*Table_1[[#This Row],[Quantity]]</f>
        <v>2520000</v>
      </c>
      <c r="M805" s="8">
        <f>Table_1[[#This Row],[Cost Price]]*Table_1[[#This Row],[Quantity]]</f>
        <v>2016000</v>
      </c>
      <c r="N805">
        <f>Table_1[[#This Row],[Revenue]]-Table_1[[#This Row],[COGS]]</f>
        <v>504000</v>
      </c>
      <c r="O805" s="11">
        <f t="shared" si="85"/>
        <v>4656740000</v>
      </c>
      <c r="P805">
        <f t="shared" si="86"/>
        <v>3725392000</v>
      </c>
      <c r="Q805">
        <f t="shared" si="87"/>
        <v>931348000</v>
      </c>
      <c r="R805" s="7">
        <f t="shared" si="88"/>
        <v>2098</v>
      </c>
      <c r="S805" s="7">
        <f t="shared" si="89"/>
        <v>4</v>
      </c>
      <c r="T805" s="7">
        <f t="shared" si="90"/>
        <v>2098</v>
      </c>
    </row>
    <row r="806" spans="1:20" ht="14.25" customHeight="1" x14ac:dyDescent="0.35">
      <c r="A806" s="2" t="s">
        <v>117</v>
      </c>
      <c r="B806" s="2" t="s">
        <v>34</v>
      </c>
      <c r="C806" s="2" t="s">
        <v>38</v>
      </c>
      <c r="D806" s="2" t="s">
        <v>26</v>
      </c>
      <c r="E806" s="2" t="s">
        <v>15</v>
      </c>
      <c r="F806" s="2" t="s">
        <v>52</v>
      </c>
      <c r="G806" s="2" t="s">
        <v>36</v>
      </c>
      <c r="H806" s="2">
        <v>420000</v>
      </c>
      <c r="I806" s="2">
        <v>6</v>
      </c>
      <c r="J806" s="2" t="s">
        <v>32</v>
      </c>
      <c r="K806" s="2">
        <f t="shared" si="84"/>
        <v>336000</v>
      </c>
      <c r="L806" s="9">
        <f>Table_1[[#This Row],[Unit Price]]*Table_1[[#This Row],[Quantity]]</f>
        <v>2520000</v>
      </c>
      <c r="M806" s="8">
        <f>Table_1[[#This Row],[Cost Price]]*Table_1[[#This Row],[Quantity]]</f>
        <v>2016000</v>
      </c>
      <c r="N806">
        <f>Table_1[[#This Row],[Revenue]]-Table_1[[#This Row],[COGS]]</f>
        <v>504000</v>
      </c>
      <c r="O806" s="11">
        <f t="shared" si="85"/>
        <v>4656740000</v>
      </c>
      <c r="P806">
        <f t="shared" si="86"/>
        <v>3725392000</v>
      </c>
      <c r="Q806">
        <f t="shared" si="87"/>
        <v>931348000</v>
      </c>
      <c r="R806" s="7">
        <f t="shared" si="88"/>
        <v>2098</v>
      </c>
      <c r="S806" s="7">
        <f t="shared" si="89"/>
        <v>4</v>
      </c>
      <c r="T806" s="7">
        <f t="shared" si="90"/>
        <v>2098</v>
      </c>
    </row>
    <row r="807" spans="1:20" ht="14.25" customHeight="1" x14ac:dyDescent="0.35">
      <c r="A807" s="2" t="s">
        <v>86</v>
      </c>
      <c r="B807" s="2" t="s">
        <v>20</v>
      </c>
      <c r="C807" s="2" t="s">
        <v>13</v>
      </c>
      <c r="D807" s="2" t="s">
        <v>14</v>
      </c>
      <c r="E807" s="2" t="s">
        <v>15</v>
      </c>
      <c r="F807" s="2" t="s">
        <v>35</v>
      </c>
      <c r="G807" s="2" t="s">
        <v>36</v>
      </c>
      <c r="H807" s="2">
        <v>300000</v>
      </c>
      <c r="I807" s="2">
        <v>10</v>
      </c>
      <c r="J807" s="2" t="s">
        <v>43</v>
      </c>
      <c r="K807" s="2">
        <f t="shared" si="84"/>
        <v>240000</v>
      </c>
      <c r="L807" s="9">
        <f>Table_1[[#This Row],[Unit Price]]*Table_1[[#This Row],[Quantity]]</f>
        <v>3000000</v>
      </c>
      <c r="M807" s="8">
        <f>Table_1[[#This Row],[Cost Price]]*Table_1[[#This Row],[Quantity]]</f>
        <v>2400000</v>
      </c>
      <c r="N807">
        <f>Table_1[[#This Row],[Revenue]]-Table_1[[#This Row],[COGS]]</f>
        <v>600000</v>
      </c>
      <c r="O807" s="11">
        <f t="shared" si="85"/>
        <v>4656740000</v>
      </c>
      <c r="P807">
        <f t="shared" si="86"/>
        <v>3725392000</v>
      </c>
      <c r="Q807">
        <f t="shared" si="87"/>
        <v>931348000</v>
      </c>
      <c r="R807" s="7">
        <f t="shared" si="88"/>
        <v>2098</v>
      </c>
      <c r="S807" s="7">
        <f t="shared" si="89"/>
        <v>1</v>
      </c>
      <c r="T807" s="7">
        <f t="shared" si="90"/>
        <v>2098</v>
      </c>
    </row>
    <row r="808" spans="1:20" ht="14.25" customHeight="1" x14ac:dyDescent="0.35">
      <c r="A808" s="2" t="s">
        <v>131</v>
      </c>
      <c r="B808" s="2" t="s">
        <v>29</v>
      </c>
      <c r="C808" s="2" t="s">
        <v>21</v>
      </c>
      <c r="D808" s="2" t="s">
        <v>14</v>
      </c>
      <c r="E808" s="2" t="s">
        <v>22</v>
      </c>
      <c r="F808" s="2" t="s">
        <v>58</v>
      </c>
      <c r="G808" s="2" t="s">
        <v>24</v>
      </c>
      <c r="H808" s="2">
        <v>220000</v>
      </c>
      <c r="I808" s="2">
        <v>4</v>
      </c>
      <c r="J808" s="2" t="s">
        <v>32</v>
      </c>
      <c r="K808" s="2">
        <f t="shared" si="84"/>
        <v>176000</v>
      </c>
      <c r="L808" s="9">
        <f>Table_1[[#This Row],[Unit Price]]*Table_1[[#This Row],[Quantity]]</f>
        <v>880000</v>
      </c>
      <c r="M808" s="8">
        <f>Table_1[[#This Row],[Cost Price]]*Table_1[[#This Row],[Quantity]]</f>
        <v>704000</v>
      </c>
      <c r="N808">
        <f>Table_1[[#This Row],[Revenue]]-Table_1[[#This Row],[COGS]]</f>
        <v>176000</v>
      </c>
      <c r="O808" s="11">
        <f t="shared" si="85"/>
        <v>4656740000</v>
      </c>
      <c r="P808">
        <f t="shared" si="86"/>
        <v>3725392000</v>
      </c>
      <c r="Q808">
        <f t="shared" si="87"/>
        <v>931348000</v>
      </c>
      <c r="R808" s="7">
        <f t="shared" si="88"/>
        <v>2098</v>
      </c>
      <c r="S808" s="7">
        <f t="shared" si="89"/>
        <v>1</v>
      </c>
      <c r="T808" s="7">
        <f t="shared" si="90"/>
        <v>2098</v>
      </c>
    </row>
    <row r="809" spans="1:20" ht="14.25" customHeight="1" x14ac:dyDescent="0.35">
      <c r="A809" s="2" t="s">
        <v>87</v>
      </c>
      <c r="B809" s="2" t="s">
        <v>12</v>
      </c>
      <c r="C809" s="2" t="s">
        <v>38</v>
      </c>
      <c r="D809" s="2" t="s">
        <v>14</v>
      </c>
      <c r="E809" s="2" t="s">
        <v>22</v>
      </c>
      <c r="F809" s="2" t="s">
        <v>39</v>
      </c>
      <c r="G809" s="2" t="s">
        <v>24</v>
      </c>
      <c r="H809" s="2">
        <v>180000</v>
      </c>
      <c r="I809" s="2">
        <v>8</v>
      </c>
      <c r="J809" s="2" t="s">
        <v>50</v>
      </c>
      <c r="K809" s="2">
        <f t="shared" si="84"/>
        <v>144000</v>
      </c>
      <c r="L809" s="9">
        <f>Table_1[[#This Row],[Unit Price]]*Table_1[[#This Row],[Quantity]]</f>
        <v>1440000</v>
      </c>
      <c r="M809" s="8">
        <f>Table_1[[#This Row],[Cost Price]]*Table_1[[#This Row],[Quantity]]</f>
        <v>1152000</v>
      </c>
      <c r="N809">
        <f>Table_1[[#This Row],[Revenue]]-Table_1[[#This Row],[COGS]]</f>
        <v>288000</v>
      </c>
      <c r="O809" s="11">
        <f t="shared" si="85"/>
        <v>4656740000</v>
      </c>
      <c r="P809">
        <f t="shared" si="86"/>
        <v>3725392000</v>
      </c>
      <c r="Q809">
        <f t="shared" si="87"/>
        <v>931348000</v>
      </c>
      <c r="R809" s="7">
        <f t="shared" si="88"/>
        <v>2098</v>
      </c>
      <c r="S809" s="7">
        <f t="shared" si="89"/>
        <v>3</v>
      </c>
      <c r="T809" s="7">
        <f t="shared" si="90"/>
        <v>2098</v>
      </c>
    </row>
    <row r="810" spans="1:20" ht="14.25" customHeight="1" x14ac:dyDescent="0.35">
      <c r="A810" s="2" t="s">
        <v>93</v>
      </c>
      <c r="B810" s="2" t="s">
        <v>12</v>
      </c>
      <c r="C810" s="2" t="s">
        <v>38</v>
      </c>
      <c r="D810" s="2" t="s">
        <v>14</v>
      </c>
      <c r="E810" s="2" t="s">
        <v>15</v>
      </c>
      <c r="F810" s="2" t="s">
        <v>56</v>
      </c>
      <c r="G810" s="2" t="s">
        <v>36</v>
      </c>
      <c r="H810" s="2">
        <v>250000</v>
      </c>
      <c r="I810" s="2">
        <v>3</v>
      </c>
      <c r="J810" s="2" t="s">
        <v>18</v>
      </c>
      <c r="K810" s="2">
        <f t="shared" si="84"/>
        <v>200000</v>
      </c>
      <c r="L810" s="9">
        <f>Table_1[[#This Row],[Unit Price]]*Table_1[[#This Row],[Quantity]]</f>
        <v>750000</v>
      </c>
      <c r="M810" s="8">
        <f>Table_1[[#This Row],[Cost Price]]*Table_1[[#This Row],[Quantity]]</f>
        <v>600000</v>
      </c>
      <c r="N810">
        <f>Table_1[[#This Row],[Revenue]]-Table_1[[#This Row],[COGS]]</f>
        <v>150000</v>
      </c>
      <c r="O810" s="11">
        <f t="shared" si="85"/>
        <v>4656740000</v>
      </c>
      <c r="P810">
        <f t="shared" si="86"/>
        <v>3725392000</v>
      </c>
      <c r="Q810">
        <f t="shared" si="87"/>
        <v>931348000</v>
      </c>
      <c r="R810" s="7">
        <f t="shared" si="88"/>
        <v>2098</v>
      </c>
      <c r="S810" s="7">
        <f t="shared" si="89"/>
        <v>4</v>
      </c>
      <c r="T810" s="7">
        <f t="shared" si="90"/>
        <v>2098</v>
      </c>
    </row>
    <row r="811" spans="1:20" ht="14.25" customHeight="1" x14ac:dyDescent="0.35">
      <c r="A811" s="2" t="s">
        <v>155</v>
      </c>
      <c r="B811" s="2" t="s">
        <v>34</v>
      </c>
      <c r="C811" s="2" t="s">
        <v>30</v>
      </c>
      <c r="D811" s="2" t="s">
        <v>26</v>
      </c>
      <c r="E811" s="2" t="s">
        <v>15</v>
      </c>
      <c r="F811" s="2" t="s">
        <v>35</v>
      </c>
      <c r="G811" s="2" t="s">
        <v>36</v>
      </c>
      <c r="H811" s="2">
        <v>300000</v>
      </c>
      <c r="I811" s="2">
        <v>7</v>
      </c>
      <c r="J811" s="2" t="s">
        <v>18</v>
      </c>
      <c r="K811" s="2">
        <f t="shared" si="84"/>
        <v>240000</v>
      </c>
      <c r="L811" s="9">
        <f>Table_1[[#This Row],[Unit Price]]*Table_1[[#This Row],[Quantity]]</f>
        <v>2100000</v>
      </c>
      <c r="M811" s="8">
        <f>Table_1[[#This Row],[Cost Price]]*Table_1[[#This Row],[Quantity]]</f>
        <v>1680000</v>
      </c>
      <c r="N811">
        <f>Table_1[[#This Row],[Revenue]]-Table_1[[#This Row],[COGS]]</f>
        <v>420000</v>
      </c>
      <c r="O811" s="11">
        <f t="shared" si="85"/>
        <v>4656740000</v>
      </c>
      <c r="P811">
        <f t="shared" si="86"/>
        <v>3725392000</v>
      </c>
      <c r="Q811">
        <f t="shared" si="87"/>
        <v>931348000</v>
      </c>
      <c r="R811" s="7">
        <f t="shared" si="88"/>
        <v>2098</v>
      </c>
      <c r="S811" s="7">
        <f t="shared" si="89"/>
        <v>1</v>
      </c>
      <c r="T811" s="7">
        <f t="shared" si="90"/>
        <v>2098</v>
      </c>
    </row>
    <row r="812" spans="1:20" ht="14.25" customHeight="1" x14ac:dyDescent="0.35">
      <c r="A812" s="2" t="s">
        <v>155</v>
      </c>
      <c r="B812" s="2" t="s">
        <v>34</v>
      </c>
      <c r="C812" s="2" t="s">
        <v>38</v>
      </c>
      <c r="D812" s="2" t="s">
        <v>14</v>
      </c>
      <c r="E812" s="2" t="s">
        <v>22</v>
      </c>
      <c r="F812" s="2" t="s">
        <v>35</v>
      </c>
      <c r="G812" s="2" t="s">
        <v>36</v>
      </c>
      <c r="H812" s="2">
        <v>300000</v>
      </c>
      <c r="I812" s="2">
        <v>7</v>
      </c>
      <c r="J812" s="2" t="s">
        <v>54</v>
      </c>
      <c r="K812" s="2">
        <f t="shared" si="84"/>
        <v>240000</v>
      </c>
      <c r="L812" s="9">
        <f>Table_1[[#This Row],[Unit Price]]*Table_1[[#This Row],[Quantity]]</f>
        <v>2100000</v>
      </c>
      <c r="M812" s="8">
        <f>Table_1[[#This Row],[Cost Price]]*Table_1[[#This Row],[Quantity]]</f>
        <v>1680000</v>
      </c>
      <c r="N812">
        <f>Table_1[[#This Row],[Revenue]]-Table_1[[#This Row],[COGS]]</f>
        <v>420000</v>
      </c>
      <c r="O812" s="11">
        <f t="shared" si="85"/>
        <v>4656740000</v>
      </c>
      <c r="P812">
        <f t="shared" si="86"/>
        <v>3725392000</v>
      </c>
      <c r="Q812">
        <f t="shared" si="87"/>
        <v>931348000</v>
      </c>
      <c r="R812" s="7">
        <f t="shared" si="88"/>
        <v>2098</v>
      </c>
      <c r="S812" s="7">
        <f t="shared" si="89"/>
        <v>1</v>
      </c>
      <c r="T812" s="7">
        <f t="shared" si="90"/>
        <v>2098</v>
      </c>
    </row>
    <row r="813" spans="1:20" ht="14.25" customHeight="1" x14ac:dyDescent="0.35">
      <c r="A813" s="2" t="s">
        <v>134</v>
      </c>
      <c r="B813" s="2" t="s">
        <v>34</v>
      </c>
      <c r="C813" s="2" t="s">
        <v>38</v>
      </c>
      <c r="D813" s="2" t="s">
        <v>26</v>
      </c>
      <c r="E813" s="2" t="s">
        <v>22</v>
      </c>
      <c r="F813" s="2" t="s">
        <v>56</v>
      </c>
      <c r="G813" s="2" t="s">
        <v>36</v>
      </c>
      <c r="H813" s="2">
        <v>250000</v>
      </c>
      <c r="I813" s="2">
        <v>1</v>
      </c>
      <c r="J813" s="2" t="s">
        <v>50</v>
      </c>
      <c r="K813" s="2">
        <f t="shared" si="84"/>
        <v>200000</v>
      </c>
      <c r="L813" s="9">
        <f>Table_1[[#This Row],[Unit Price]]*Table_1[[#This Row],[Quantity]]</f>
        <v>250000</v>
      </c>
      <c r="M813" s="8">
        <f>Table_1[[#This Row],[Cost Price]]*Table_1[[#This Row],[Quantity]]</f>
        <v>200000</v>
      </c>
      <c r="N813">
        <f>Table_1[[#This Row],[Revenue]]-Table_1[[#This Row],[COGS]]</f>
        <v>50000</v>
      </c>
      <c r="O813" s="11">
        <f t="shared" si="85"/>
        <v>4656740000</v>
      </c>
      <c r="P813">
        <f t="shared" si="86"/>
        <v>3725392000</v>
      </c>
      <c r="Q813">
        <f t="shared" si="87"/>
        <v>931348000</v>
      </c>
      <c r="R813" s="7">
        <f t="shared" si="88"/>
        <v>2098</v>
      </c>
      <c r="S813" s="7">
        <f t="shared" si="89"/>
        <v>4</v>
      </c>
      <c r="T813" s="7">
        <f t="shared" si="90"/>
        <v>2098</v>
      </c>
    </row>
    <row r="814" spans="1:20" ht="14.25" customHeight="1" x14ac:dyDescent="0.35">
      <c r="A814" s="2" t="s">
        <v>133</v>
      </c>
      <c r="B814" s="2" t="s">
        <v>12</v>
      </c>
      <c r="C814" s="2" t="s">
        <v>21</v>
      </c>
      <c r="D814" s="2" t="s">
        <v>26</v>
      </c>
      <c r="E814" s="2" t="s">
        <v>15</v>
      </c>
      <c r="F814" s="2" t="s">
        <v>35</v>
      </c>
      <c r="G814" s="2" t="s">
        <v>36</v>
      </c>
      <c r="H814" s="2">
        <v>300000</v>
      </c>
      <c r="I814" s="2">
        <v>3</v>
      </c>
      <c r="J814" s="2" t="s">
        <v>43</v>
      </c>
      <c r="K814" s="2">
        <f t="shared" si="84"/>
        <v>240000</v>
      </c>
      <c r="L814" s="9">
        <f>Table_1[[#This Row],[Unit Price]]*Table_1[[#This Row],[Quantity]]</f>
        <v>900000</v>
      </c>
      <c r="M814" s="8">
        <f>Table_1[[#This Row],[Cost Price]]*Table_1[[#This Row],[Quantity]]</f>
        <v>720000</v>
      </c>
      <c r="N814">
        <f>Table_1[[#This Row],[Revenue]]-Table_1[[#This Row],[COGS]]</f>
        <v>180000</v>
      </c>
      <c r="O814" s="11">
        <f t="shared" si="85"/>
        <v>4656740000</v>
      </c>
      <c r="P814">
        <f t="shared" si="86"/>
        <v>3725392000</v>
      </c>
      <c r="Q814">
        <f t="shared" si="87"/>
        <v>931348000</v>
      </c>
      <c r="R814" s="7">
        <f t="shared" si="88"/>
        <v>2098</v>
      </c>
      <c r="S814" s="7">
        <f t="shared" si="89"/>
        <v>2</v>
      </c>
      <c r="T814" s="7">
        <f t="shared" si="90"/>
        <v>2098</v>
      </c>
    </row>
    <row r="815" spans="1:20" ht="14.25" customHeight="1" x14ac:dyDescent="0.35">
      <c r="A815" s="2" t="s">
        <v>142</v>
      </c>
      <c r="B815" s="2" t="s">
        <v>29</v>
      </c>
      <c r="C815" s="2" t="s">
        <v>13</v>
      </c>
      <c r="D815" s="2" t="s">
        <v>14</v>
      </c>
      <c r="E815" s="2" t="s">
        <v>15</v>
      </c>
      <c r="F815" s="2" t="s">
        <v>52</v>
      </c>
      <c r="G815" s="2" t="s">
        <v>36</v>
      </c>
      <c r="H815" s="2">
        <v>420000</v>
      </c>
      <c r="I815" s="2">
        <v>10</v>
      </c>
      <c r="J815" s="2" t="s">
        <v>32</v>
      </c>
      <c r="K815" s="2">
        <f t="shared" si="84"/>
        <v>336000</v>
      </c>
      <c r="L815" s="9">
        <f>Table_1[[#This Row],[Unit Price]]*Table_1[[#This Row],[Quantity]]</f>
        <v>4200000</v>
      </c>
      <c r="M815" s="8">
        <f>Table_1[[#This Row],[Cost Price]]*Table_1[[#This Row],[Quantity]]</f>
        <v>3360000</v>
      </c>
      <c r="N815">
        <f>Table_1[[#This Row],[Revenue]]-Table_1[[#This Row],[COGS]]</f>
        <v>840000</v>
      </c>
      <c r="O815" s="11">
        <f t="shared" si="85"/>
        <v>4656740000</v>
      </c>
      <c r="P815">
        <f t="shared" si="86"/>
        <v>3725392000</v>
      </c>
      <c r="Q815">
        <f t="shared" si="87"/>
        <v>931348000</v>
      </c>
      <c r="R815" s="7">
        <f t="shared" si="88"/>
        <v>2098</v>
      </c>
      <c r="S815" s="7">
        <f t="shared" si="89"/>
        <v>4</v>
      </c>
      <c r="T815" s="7">
        <f t="shared" si="90"/>
        <v>2098</v>
      </c>
    </row>
    <row r="816" spans="1:20" ht="14.25" customHeight="1" x14ac:dyDescent="0.35">
      <c r="A816" s="2" t="s">
        <v>98</v>
      </c>
      <c r="B816" s="2" t="s">
        <v>34</v>
      </c>
      <c r="C816" s="2" t="s">
        <v>30</v>
      </c>
      <c r="D816" s="2" t="s">
        <v>26</v>
      </c>
      <c r="E816" s="2" t="s">
        <v>15</v>
      </c>
      <c r="F816" s="2" t="s">
        <v>31</v>
      </c>
      <c r="G816" s="2" t="s">
        <v>24</v>
      </c>
      <c r="H816" s="2">
        <v>60000</v>
      </c>
      <c r="I816" s="2">
        <v>9</v>
      </c>
      <c r="J816" s="2" t="s">
        <v>43</v>
      </c>
      <c r="K816" s="2">
        <f t="shared" si="84"/>
        <v>48000</v>
      </c>
      <c r="L816" s="9">
        <f>Table_1[[#This Row],[Unit Price]]*Table_1[[#This Row],[Quantity]]</f>
        <v>540000</v>
      </c>
      <c r="M816" s="8">
        <f>Table_1[[#This Row],[Cost Price]]*Table_1[[#This Row],[Quantity]]</f>
        <v>432000</v>
      </c>
      <c r="N816">
        <f>Table_1[[#This Row],[Revenue]]-Table_1[[#This Row],[COGS]]</f>
        <v>108000</v>
      </c>
      <c r="O816" s="11">
        <f t="shared" si="85"/>
        <v>4656740000</v>
      </c>
      <c r="P816">
        <f t="shared" si="86"/>
        <v>3725392000</v>
      </c>
      <c r="Q816">
        <f t="shared" si="87"/>
        <v>931348000</v>
      </c>
      <c r="R816" s="7">
        <f t="shared" si="88"/>
        <v>2098</v>
      </c>
      <c r="S816" s="7">
        <f t="shared" si="89"/>
        <v>4</v>
      </c>
      <c r="T816" s="7">
        <f t="shared" si="90"/>
        <v>2098</v>
      </c>
    </row>
    <row r="817" spans="1:20" ht="14.25" customHeight="1" x14ac:dyDescent="0.35">
      <c r="A817" s="2" t="s">
        <v>106</v>
      </c>
      <c r="B817" s="2" t="s">
        <v>12</v>
      </c>
      <c r="C817" s="2" t="s">
        <v>13</v>
      </c>
      <c r="D817" s="2" t="s">
        <v>14</v>
      </c>
      <c r="E817" s="2" t="s">
        <v>15</v>
      </c>
      <c r="F817" s="2" t="s">
        <v>56</v>
      </c>
      <c r="G817" s="2" t="s">
        <v>36</v>
      </c>
      <c r="H817" s="2">
        <v>250000</v>
      </c>
      <c r="I817" s="2">
        <v>4</v>
      </c>
      <c r="J817" s="2" t="s">
        <v>32</v>
      </c>
      <c r="K817" s="2">
        <f t="shared" si="84"/>
        <v>200000</v>
      </c>
      <c r="L817" s="9">
        <f>Table_1[[#This Row],[Unit Price]]*Table_1[[#This Row],[Quantity]]</f>
        <v>1000000</v>
      </c>
      <c r="M817" s="8">
        <f>Table_1[[#This Row],[Cost Price]]*Table_1[[#This Row],[Quantity]]</f>
        <v>800000</v>
      </c>
      <c r="N817">
        <f>Table_1[[#This Row],[Revenue]]-Table_1[[#This Row],[COGS]]</f>
        <v>200000</v>
      </c>
      <c r="O817" s="11">
        <f t="shared" si="85"/>
        <v>4656740000</v>
      </c>
      <c r="P817">
        <f t="shared" si="86"/>
        <v>3725392000</v>
      </c>
      <c r="Q817">
        <f t="shared" si="87"/>
        <v>931348000</v>
      </c>
      <c r="R817" s="7">
        <f t="shared" si="88"/>
        <v>2098</v>
      </c>
      <c r="S817" s="7">
        <f t="shared" si="89"/>
        <v>4</v>
      </c>
      <c r="T817" s="7">
        <f t="shared" si="90"/>
        <v>2098</v>
      </c>
    </row>
    <row r="818" spans="1:20" ht="14.25" customHeight="1" x14ac:dyDescent="0.35">
      <c r="A818" s="2" t="s">
        <v>19</v>
      </c>
      <c r="B818" s="2" t="s">
        <v>20</v>
      </c>
      <c r="C818" s="2" t="s">
        <v>30</v>
      </c>
      <c r="D818" s="2" t="s">
        <v>14</v>
      </c>
      <c r="E818" s="2" t="s">
        <v>15</v>
      </c>
      <c r="F818" s="2" t="s">
        <v>56</v>
      </c>
      <c r="G818" s="2" t="s">
        <v>36</v>
      </c>
      <c r="H818" s="2">
        <v>250000</v>
      </c>
      <c r="I818" s="2">
        <v>3</v>
      </c>
      <c r="J818" s="2" t="s">
        <v>50</v>
      </c>
      <c r="K818" s="2">
        <f t="shared" si="84"/>
        <v>200000</v>
      </c>
      <c r="L818" s="9">
        <f>Table_1[[#This Row],[Unit Price]]*Table_1[[#This Row],[Quantity]]</f>
        <v>750000</v>
      </c>
      <c r="M818" s="8">
        <f>Table_1[[#This Row],[Cost Price]]*Table_1[[#This Row],[Quantity]]</f>
        <v>600000</v>
      </c>
      <c r="N818">
        <f>Table_1[[#This Row],[Revenue]]-Table_1[[#This Row],[COGS]]</f>
        <v>150000</v>
      </c>
      <c r="O818" s="11">
        <f t="shared" si="85"/>
        <v>4656740000</v>
      </c>
      <c r="P818">
        <f t="shared" si="86"/>
        <v>3725392000</v>
      </c>
      <c r="Q818">
        <f t="shared" si="87"/>
        <v>931348000</v>
      </c>
      <c r="R818" s="7">
        <f t="shared" si="88"/>
        <v>2098</v>
      </c>
      <c r="S818" s="7">
        <f t="shared" si="89"/>
        <v>4</v>
      </c>
      <c r="T818" s="7">
        <f t="shared" si="90"/>
        <v>2098</v>
      </c>
    </row>
    <row r="819" spans="1:20" ht="14.25" customHeight="1" x14ac:dyDescent="0.35">
      <c r="A819" s="2" t="s">
        <v>104</v>
      </c>
      <c r="B819" s="2" t="s">
        <v>12</v>
      </c>
      <c r="C819" s="2" t="s">
        <v>38</v>
      </c>
      <c r="D819" s="2" t="s">
        <v>14</v>
      </c>
      <c r="E819" s="2" t="s">
        <v>22</v>
      </c>
      <c r="F819" s="2" t="s">
        <v>31</v>
      </c>
      <c r="G819" s="2" t="s">
        <v>24</v>
      </c>
      <c r="H819" s="2">
        <v>60000</v>
      </c>
      <c r="I819" s="2">
        <v>3</v>
      </c>
      <c r="J819" s="2" t="s">
        <v>18</v>
      </c>
      <c r="K819" s="2">
        <f t="shared" si="84"/>
        <v>48000</v>
      </c>
      <c r="L819" s="9">
        <f>Table_1[[#This Row],[Unit Price]]*Table_1[[#This Row],[Quantity]]</f>
        <v>180000</v>
      </c>
      <c r="M819" s="8">
        <f>Table_1[[#This Row],[Cost Price]]*Table_1[[#This Row],[Quantity]]</f>
        <v>144000</v>
      </c>
      <c r="N819">
        <f>Table_1[[#This Row],[Revenue]]-Table_1[[#This Row],[COGS]]</f>
        <v>36000</v>
      </c>
      <c r="O819" s="11">
        <f t="shared" si="85"/>
        <v>4656740000</v>
      </c>
      <c r="P819">
        <f t="shared" si="86"/>
        <v>3725392000</v>
      </c>
      <c r="Q819">
        <f t="shared" si="87"/>
        <v>931348000</v>
      </c>
      <c r="R819" s="7">
        <f t="shared" si="88"/>
        <v>2098</v>
      </c>
      <c r="S819" s="7">
        <f t="shared" si="89"/>
        <v>2</v>
      </c>
      <c r="T819" s="7">
        <f t="shared" si="90"/>
        <v>2098</v>
      </c>
    </row>
    <row r="820" spans="1:20" ht="14.25" customHeight="1" x14ac:dyDescent="0.35">
      <c r="A820" s="2" t="s">
        <v>73</v>
      </c>
      <c r="B820" s="2" t="s">
        <v>12</v>
      </c>
      <c r="C820" s="2" t="s">
        <v>21</v>
      </c>
      <c r="D820" s="2" t="s">
        <v>26</v>
      </c>
      <c r="E820" s="2" t="s">
        <v>15</v>
      </c>
      <c r="F820" s="2" t="s">
        <v>41</v>
      </c>
      <c r="G820" s="2" t="s">
        <v>17</v>
      </c>
      <c r="H820" s="2">
        <v>320000</v>
      </c>
      <c r="I820" s="2">
        <v>1</v>
      </c>
      <c r="J820" s="2" t="s">
        <v>27</v>
      </c>
      <c r="K820" s="2">
        <f t="shared" si="84"/>
        <v>256000</v>
      </c>
      <c r="L820" s="9">
        <f>Table_1[[#This Row],[Unit Price]]*Table_1[[#This Row],[Quantity]]</f>
        <v>320000</v>
      </c>
      <c r="M820" s="8">
        <f>Table_1[[#This Row],[Cost Price]]*Table_1[[#This Row],[Quantity]]</f>
        <v>256000</v>
      </c>
      <c r="N820">
        <f>Table_1[[#This Row],[Revenue]]-Table_1[[#This Row],[COGS]]</f>
        <v>64000</v>
      </c>
      <c r="O820" s="11">
        <f t="shared" si="85"/>
        <v>4656740000</v>
      </c>
      <c r="P820">
        <f t="shared" si="86"/>
        <v>3725392000</v>
      </c>
      <c r="Q820">
        <f t="shared" si="87"/>
        <v>931348000</v>
      </c>
      <c r="R820" s="7">
        <f t="shared" si="88"/>
        <v>2098</v>
      </c>
      <c r="S820" s="7">
        <f t="shared" si="89"/>
        <v>2</v>
      </c>
      <c r="T820" s="7">
        <f t="shared" si="90"/>
        <v>2098</v>
      </c>
    </row>
    <row r="821" spans="1:20" ht="14.25" customHeight="1" x14ac:dyDescent="0.35">
      <c r="A821" s="2" t="s">
        <v>121</v>
      </c>
      <c r="B821" s="2" t="s">
        <v>34</v>
      </c>
      <c r="C821" s="2" t="s">
        <v>38</v>
      </c>
      <c r="D821" s="2" t="s">
        <v>26</v>
      </c>
      <c r="E821" s="2" t="s">
        <v>22</v>
      </c>
      <c r="F821" s="2" t="s">
        <v>31</v>
      </c>
      <c r="G821" s="2" t="s">
        <v>24</v>
      </c>
      <c r="H821" s="2">
        <v>60000</v>
      </c>
      <c r="I821" s="2">
        <v>8</v>
      </c>
      <c r="J821" s="2" t="s">
        <v>27</v>
      </c>
      <c r="K821" s="2">
        <f t="shared" si="84"/>
        <v>48000</v>
      </c>
      <c r="L821" s="9">
        <f>Table_1[[#This Row],[Unit Price]]*Table_1[[#This Row],[Quantity]]</f>
        <v>480000</v>
      </c>
      <c r="M821" s="8">
        <f>Table_1[[#This Row],[Cost Price]]*Table_1[[#This Row],[Quantity]]</f>
        <v>384000</v>
      </c>
      <c r="N821">
        <f>Table_1[[#This Row],[Revenue]]-Table_1[[#This Row],[COGS]]</f>
        <v>96000</v>
      </c>
      <c r="O821" s="11">
        <f t="shared" si="85"/>
        <v>4656740000</v>
      </c>
      <c r="P821">
        <f t="shared" si="86"/>
        <v>3725392000</v>
      </c>
      <c r="Q821">
        <f t="shared" si="87"/>
        <v>931348000</v>
      </c>
      <c r="R821" s="7">
        <f t="shared" si="88"/>
        <v>2098</v>
      </c>
      <c r="S821" s="7">
        <f t="shared" si="89"/>
        <v>2</v>
      </c>
      <c r="T821" s="7">
        <f t="shared" si="90"/>
        <v>2098</v>
      </c>
    </row>
    <row r="822" spans="1:20" ht="14.25" customHeight="1" x14ac:dyDescent="0.35">
      <c r="A822" s="2" t="s">
        <v>141</v>
      </c>
      <c r="B822" s="2" t="s">
        <v>20</v>
      </c>
      <c r="C822" s="2" t="s">
        <v>30</v>
      </c>
      <c r="D822" s="2" t="s">
        <v>26</v>
      </c>
      <c r="E822" s="2" t="s">
        <v>22</v>
      </c>
      <c r="F822" s="2" t="s">
        <v>56</v>
      </c>
      <c r="G822" s="2" t="s">
        <v>36</v>
      </c>
      <c r="H822" s="2">
        <v>250000</v>
      </c>
      <c r="I822" s="2">
        <v>5</v>
      </c>
      <c r="J822" s="2" t="s">
        <v>43</v>
      </c>
      <c r="K822" s="2">
        <f t="shared" si="84"/>
        <v>200000</v>
      </c>
      <c r="L822" s="9">
        <f>Table_1[[#This Row],[Unit Price]]*Table_1[[#This Row],[Quantity]]</f>
        <v>1250000</v>
      </c>
      <c r="M822" s="8">
        <f>Table_1[[#This Row],[Cost Price]]*Table_1[[#This Row],[Quantity]]</f>
        <v>1000000</v>
      </c>
      <c r="N822">
        <f>Table_1[[#This Row],[Revenue]]-Table_1[[#This Row],[COGS]]</f>
        <v>250000</v>
      </c>
      <c r="O822" s="11">
        <f t="shared" si="85"/>
        <v>4656740000</v>
      </c>
      <c r="P822">
        <f t="shared" si="86"/>
        <v>3725392000</v>
      </c>
      <c r="Q822">
        <f t="shared" si="87"/>
        <v>931348000</v>
      </c>
      <c r="R822" s="7">
        <f t="shared" si="88"/>
        <v>2098</v>
      </c>
      <c r="S822" s="7">
        <f t="shared" si="89"/>
        <v>2</v>
      </c>
      <c r="T822" s="7">
        <f t="shared" si="90"/>
        <v>2098</v>
      </c>
    </row>
    <row r="823" spans="1:20" ht="14.25" customHeight="1" x14ac:dyDescent="0.35">
      <c r="A823" s="2" t="s">
        <v>103</v>
      </c>
      <c r="B823" s="2" t="s">
        <v>12</v>
      </c>
      <c r="C823" s="2" t="s">
        <v>13</v>
      </c>
      <c r="D823" s="2" t="s">
        <v>26</v>
      </c>
      <c r="E823" s="2" t="s">
        <v>22</v>
      </c>
      <c r="F823" s="2" t="s">
        <v>41</v>
      </c>
      <c r="G823" s="2" t="s">
        <v>17</v>
      </c>
      <c r="H823" s="2">
        <v>320000</v>
      </c>
      <c r="I823" s="2">
        <v>2</v>
      </c>
      <c r="J823" s="2" t="s">
        <v>54</v>
      </c>
      <c r="K823" s="2">
        <f t="shared" si="84"/>
        <v>256000</v>
      </c>
      <c r="L823" s="9">
        <f>Table_1[[#This Row],[Unit Price]]*Table_1[[#This Row],[Quantity]]</f>
        <v>640000</v>
      </c>
      <c r="M823" s="8">
        <f>Table_1[[#This Row],[Cost Price]]*Table_1[[#This Row],[Quantity]]</f>
        <v>512000</v>
      </c>
      <c r="N823">
        <f>Table_1[[#This Row],[Revenue]]-Table_1[[#This Row],[COGS]]</f>
        <v>128000</v>
      </c>
      <c r="O823" s="11">
        <f t="shared" si="85"/>
        <v>4656740000</v>
      </c>
      <c r="P823">
        <f t="shared" si="86"/>
        <v>3725392000</v>
      </c>
      <c r="Q823">
        <f t="shared" si="87"/>
        <v>931348000</v>
      </c>
      <c r="R823" s="7">
        <f t="shared" si="88"/>
        <v>2098</v>
      </c>
      <c r="S823" s="7">
        <f t="shared" si="89"/>
        <v>3</v>
      </c>
      <c r="T823" s="7">
        <f t="shared" si="90"/>
        <v>2098</v>
      </c>
    </row>
    <row r="824" spans="1:20" ht="14.25" customHeight="1" x14ac:dyDescent="0.35">
      <c r="A824" s="2" t="s">
        <v>109</v>
      </c>
      <c r="B824" s="2" t="s">
        <v>29</v>
      </c>
      <c r="C824" s="2" t="s">
        <v>30</v>
      </c>
      <c r="D824" s="2" t="s">
        <v>26</v>
      </c>
      <c r="E824" s="2" t="s">
        <v>15</v>
      </c>
      <c r="F824" s="2" t="s">
        <v>58</v>
      </c>
      <c r="G824" s="2" t="s">
        <v>24</v>
      </c>
      <c r="H824" s="2">
        <v>220000</v>
      </c>
      <c r="I824" s="2">
        <v>5</v>
      </c>
      <c r="J824" s="2" t="s">
        <v>27</v>
      </c>
      <c r="K824" s="2">
        <f t="shared" si="84"/>
        <v>176000</v>
      </c>
      <c r="L824" s="9">
        <f>Table_1[[#This Row],[Unit Price]]*Table_1[[#This Row],[Quantity]]</f>
        <v>1100000</v>
      </c>
      <c r="M824" s="8">
        <f>Table_1[[#This Row],[Cost Price]]*Table_1[[#This Row],[Quantity]]</f>
        <v>880000</v>
      </c>
      <c r="N824">
        <f>Table_1[[#This Row],[Revenue]]-Table_1[[#This Row],[COGS]]</f>
        <v>220000</v>
      </c>
      <c r="O824" s="11">
        <f t="shared" si="85"/>
        <v>4656740000</v>
      </c>
      <c r="P824">
        <f t="shared" si="86"/>
        <v>3725392000</v>
      </c>
      <c r="Q824">
        <f t="shared" si="87"/>
        <v>931348000</v>
      </c>
      <c r="R824" s="7">
        <f t="shared" si="88"/>
        <v>2098</v>
      </c>
      <c r="S824" s="7">
        <f t="shared" si="89"/>
        <v>2</v>
      </c>
      <c r="T824" s="7">
        <f t="shared" si="90"/>
        <v>2098</v>
      </c>
    </row>
    <row r="825" spans="1:20" ht="14.25" customHeight="1" x14ac:dyDescent="0.35">
      <c r="A825" s="2" t="s">
        <v>81</v>
      </c>
      <c r="B825" s="2" t="s">
        <v>12</v>
      </c>
      <c r="C825" s="2" t="s">
        <v>21</v>
      </c>
      <c r="D825" s="2" t="s">
        <v>26</v>
      </c>
      <c r="E825" s="2" t="s">
        <v>22</v>
      </c>
      <c r="F825" s="2" t="s">
        <v>56</v>
      </c>
      <c r="G825" s="2" t="s">
        <v>36</v>
      </c>
      <c r="H825" s="2">
        <v>250000</v>
      </c>
      <c r="I825" s="2">
        <v>3</v>
      </c>
      <c r="J825" s="2" t="s">
        <v>18</v>
      </c>
      <c r="K825" s="2">
        <f t="shared" si="84"/>
        <v>200000</v>
      </c>
      <c r="L825" s="9">
        <f>Table_1[[#This Row],[Unit Price]]*Table_1[[#This Row],[Quantity]]</f>
        <v>750000</v>
      </c>
      <c r="M825" s="8">
        <f>Table_1[[#This Row],[Cost Price]]*Table_1[[#This Row],[Quantity]]</f>
        <v>600000</v>
      </c>
      <c r="N825">
        <f>Table_1[[#This Row],[Revenue]]-Table_1[[#This Row],[COGS]]</f>
        <v>150000</v>
      </c>
      <c r="O825" s="11">
        <f t="shared" si="85"/>
        <v>4656740000</v>
      </c>
      <c r="P825">
        <f t="shared" si="86"/>
        <v>3725392000</v>
      </c>
      <c r="Q825">
        <f t="shared" si="87"/>
        <v>931348000</v>
      </c>
      <c r="R825" s="7">
        <f t="shared" si="88"/>
        <v>2098</v>
      </c>
      <c r="S825" s="7">
        <f t="shared" si="89"/>
        <v>3</v>
      </c>
      <c r="T825" s="7">
        <f t="shared" si="90"/>
        <v>2098</v>
      </c>
    </row>
    <row r="826" spans="1:20" ht="14.25" customHeight="1" x14ac:dyDescent="0.35">
      <c r="A826" s="2" t="s">
        <v>120</v>
      </c>
      <c r="B826" s="2" t="s">
        <v>12</v>
      </c>
      <c r="C826" s="2" t="s">
        <v>30</v>
      </c>
      <c r="D826" s="2" t="s">
        <v>14</v>
      </c>
      <c r="E826" s="2" t="s">
        <v>22</v>
      </c>
      <c r="F826" s="2" t="s">
        <v>16</v>
      </c>
      <c r="G826" s="2" t="s">
        <v>17</v>
      </c>
      <c r="H826" s="2">
        <v>85000</v>
      </c>
      <c r="I826" s="2">
        <v>10</v>
      </c>
      <c r="J826" s="2" t="s">
        <v>32</v>
      </c>
      <c r="K826" s="2">
        <f t="shared" si="84"/>
        <v>68000</v>
      </c>
      <c r="L826" s="9">
        <f>Table_1[[#This Row],[Unit Price]]*Table_1[[#This Row],[Quantity]]</f>
        <v>850000</v>
      </c>
      <c r="M826" s="8">
        <f>Table_1[[#This Row],[Cost Price]]*Table_1[[#This Row],[Quantity]]</f>
        <v>680000</v>
      </c>
      <c r="N826">
        <f>Table_1[[#This Row],[Revenue]]-Table_1[[#This Row],[COGS]]</f>
        <v>170000</v>
      </c>
      <c r="O826" s="11">
        <f t="shared" si="85"/>
        <v>4656740000</v>
      </c>
      <c r="P826">
        <f t="shared" si="86"/>
        <v>3725392000</v>
      </c>
      <c r="Q826">
        <f t="shared" si="87"/>
        <v>931348000</v>
      </c>
      <c r="R826" s="7">
        <f t="shared" si="88"/>
        <v>2098</v>
      </c>
      <c r="S826" s="7">
        <f t="shared" si="89"/>
        <v>3</v>
      </c>
      <c r="T826" s="7">
        <f t="shared" si="90"/>
        <v>2098</v>
      </c>
    </row>
    <row r="827" spans="1:20" ht="14.25" customHeight="1" x14ac:dyDescent="0.35">
      <c r="A827" s="2" t="s">
        <v>129</v>
      </c>
      <c r="B827" s="2" t="s">
        <v>29</v>
      </c>
      <c r="C827" s="2" t="s">
        <v>13</v>
      </c>
      <c r="D827" s="2" t="s">
        <v>14</v>
      </c>
      <c r="E827" s="2" t="s">
        <v>22</v>
      </c>
      <c r="F827" s="2" t="s">
        <v>52</v>
      </c>
      <c r="G827" s="2" t="s">
        <v>36</v>
      </c>
      <c r="H827" s="2">
        <v>420000</v>
      </c>
      <c r="I827" s="2">
        <v>6</v>
      </c>
      <c r="J827" s="2" t="s">
        <v>43</v>
      </c>
      <c r="K827" s="2">
        <f t="shared" si="84"/>
        <v>336000</v>
      </c>
      <c r="L827" s="9">
        <f>Table_1[[#This Row],[Unit Price]]*Table_1[[#This Row],[Quantity]]</f>
        <v>2520000</v>
      </c>
      <c r="M827" s="8">
        <f>Table_1[[#This Row],[Cost Price]]*Table_1[[#This Row],[Quantity]]</f>
        <v>2016000</v>
      </c>
      <c r="N827">
        <f>Table_1[[#This Row],[Revenue]]-Table_1[[#This Row],[COGS]]</f>
        <v>504000</v>
      </c>
      <c r="O827" s="11">
        <f t="shared" si="85"/>
        <v>4656740000</v>
      </c>
      <c r="P827">
        <f t="shared" si="86"/>
        <v>3725392000</v>
      </c>
      <c r="Q827">
        <f t="shared" si="87"/>
        <v>931348000</v>
      </c>
      <c r="R827" s="7">
        <f t="shared" si="88"/>
        <v>2098</v>
      </c>
      <c r="S827" s="7">
        <f t="shared" si="89"/>
        <v>2</v>
      </c>
      <c r="T827" s="7">
        <f t="shared" si="90"/>
        <v>2098</v>
      </c>
    </row>
    <row r="828" spans="1:20" ht="14.25" customHeight="1" x14ac:dyDescent="0.35">
      <c r="A828" s="2" t="s">
        <v>93</v>
      </c>
      <c r="B828" s="2" t="s">
        <v>34</v>
      </c>
      <c r="C828" s="2" t="s">
        <v>21</v>
      </c>
      <c r="D828" s="2" t="s">
        <v>14</v>
      </c>
      <c r="E828" s="2" t="s">
        <v>22</v>
      </c>
      <c r="F828" s="2" t="s">
        <v>47</v>
      </c>
      <c r="G828" s="2" t="s">
        <v>36</v>
      </c>
      <c r="H828" s="2">
        <v>150000</v>
      </c>
      <c r="I828" s="2">
        <v>5</v>
      </c>
      <c r="J828" s="2" t="s">
        <v>27</v>
      </c>
      <c r="K828" s="2">
        <f t="shared" si="84"/>
        <v>120000</v>
      </c>
      <c r="L828" s="9">
        <f>Table_1[[#This Row],[Unit Price]]*Table_1[[#This Row],[Quantity]]</f>
        <v>750000</v>
      </c>
      <c r="M828" s="8">
        <f>Table_1[[#This Row],[Cost Price]]*Table_1[[#This Row],[Quantity]]</f>
        <v>600000</v>
      </c>
      <c r="N828">
        <f>Table_1[[#This Row],[Revenue]]-Table_1[[#This Row],[COGS]]</f>
        <v>150000</v>
      </c>
      <c r="O828" s="11">
        <f t="shared" si="85"/>
        <v>4656740000</v>
      </c>
      <c r="P828">
        <f t="shared" si="86"/>
        <v>3725392000</v>
      </c>
      <c r="Q828">
        <f t="shared" si="87"/>
        <v>931348000</v>
      </c>
      <c r="R828" s="7">
        <f t="shared" si="88"/>
        <v>2098</v>
      </c>
      <c r="S828" s="7">
        <f t="shared" si="89"/>
        <v>4</v>
      </c>
      <c r="T828" s="7">
        <f t="shared" si="90"/>
        <v>2098</v>
      </c>
    </row>
    <row r="829" spans="1:20" ht="14.25" customHeight="1" x14ac:dyDescent="0.35">
      <c r="A829" s="2" t="s">
        <v>134</v>
      </c>
      <c r="B829" s="2" t="s">
        <v>34</v>
      </c>
      <c r="C829" s="2" t="s">
        <v>13</v>
      </c>
      <c r="D829" s="2" t="s">
        <v>14</v>
      </c>
      <c r="E829" s="2" t="s">
        <v>22</v>
      </c>
      <c r="F829" s="2" t="s">
        <v>41</v>
      </c>
      <c r="G829" s="2" t="s">
        <v>17</v>
      </c>
      <c r="H829" s="2">
        <v>320000</v>
      </c>
      <c r="I829" s="2">
        <v>3</v>
      </c>
      <c r="J829" s="2" t="s">
        <v>50</v>
      </c>
      <c r="K829" s="2">
        <f t="shared" si="84"/>
        <v>256000</v>
      </c>
      <c r="L829" s="9">
        <f>Table_1[[#This Row],[Unit Price]]*Table_1[[#This Row],[Quantity]]</f>
        <v>960000</v>
      </c>
      <c r="M829" s="8">
        <f>Table_1[[#This Row],[Cost Price]]*Table_1[[#This Row],[Quantity]]</f>
        <v>768000</v>
      </c>
      <c r="N829">
        <f>Table_1[[#This Row],[Revenue]]-Table_1[[#This Row],[COGS]]</f>
        <v>192000</v>
      </c>
      <c r="O829" s="11">
        <f t="shared" si="85"/>
        <v>4656740000</v>
      </c>
      <c r="P829">
        <f t="shared" si="86"/>
        <v>3725392000</v>
      </c>
      <c r="Q829">
        <f t="shared" si="87"/>
        <v>931348000</v>
      </c>
      <c r="R829" s="7">
        <f t="shared" si="88"/>
        <v>2098</v>
      </c>
      <c r="S829" s="7">
        <f t="shared" si="89"/>
        <v>4</v>
      </c>
      <c r="T829" s="7">
        <f t="shared" si="90"/>
        <v>2098</v>
      </c>
    </row>
    <row r="830" spans="1:20" ht="14.25" customHeight="1" x14ac:dyDescent="0.35">
      <c r="A830" s="2" t="s">
        <v>134</v>
      </c>
      <c r="B830" s="2" t="s">
        <v>34</v>
      </c>
      <c r="C830" s="2" t="s">
        <v>38</v>
      </c>
      <c r="D830" s="2" t="s">
        <v>26</v>
      </c>
      <c r="E830" s="2" t="s">
        <v>15</v>
      </c>
      <c r="F830" s="2" t="s">
        <v>23</v>
      </c>
      <c r="G830" s="2" t="s">
        <v>24</v>
      </c>
      <c r="H830" s="2">
        <v>30000</v>
      </c>
      <c r="I830" s="2">
        <v>1</v>
      </c>
      <c r="J830" s="2" t="s">
        <v>43</v>
      </c>
      <c r="K830" s="2">
        <f t="shared" si="84"/>
        <v>24000</v>
      </c>
      <c r="L830" s="9">
        <f>Table_1[[#This Row],[Unit Price]]*Table_1[[#This Row],[Quantity]]</f>
        <v>30000</v>
      </c>
      <c r="M830" s="8">
        <f>Table_1[[#This Row],[Cost Price]]*Table_1[[#This Row],[Quantity]]</f>
        <v>24000</v>
      </c>
      <c r="N830">
        <f>Table_1[[#This Row],[Revenue]]-Table_1[[#This Row],[COGS]]</f>
        <v>6000</v>
      </c>
      <c r="O830" s="11">
        <f t="shared" si="85"/>
        <v>4656740000</v>
      </c>
      <c r="P830">
        <f t="shared" si="86"/>
        <v>3725392000</v>
      </c>
      <c r="Q830">
        <f t="shared" si="87"/>
        <v>931348000</v>
      </c>
      <c r="R830" s="7">
        <f t="shared" si="88"/>
        <v>2098</v>
      </c>
      <c r="S830" s="7">
        <f t="shared" si="89"/>
        <v>4</v>
      </c>
      <c r="T830" s="7">
        <f t="shared" si="90"/>
        <v>2098</v>
      </c>
    </row>
    <row r="831" spans="1:20" ht="14.25" customHeight="1" x14ac:dyDescent="0.35">
      <c r="A831" s="2" t="s">
        <v>73</v>
      </c>
      <c r="B831" s="2" t="s">
        <v>12</v>
      </c>
      <c r="C831" s="2" t="s">
        <v>30</v>
      </c>
      <c r="D831" s="2" t="s">
        <v>14</v>
      </c>
      <c r="E831" s="2" t="s">
        <v>15</v>
      </c>
      <c r="F831" s="2" t="s">
        <v>39</v>
      </c>
      <c r="G831" s="2" t="s">
        <v>24</v>
      </c>
      <c r="H831" s="2">
        <v>180000</v>
      </c>
      <c r="I831" s="2">
        <v>10</v>
      </c>
      <c r="J831" s="2" t="s">
        <v>43</v>
      </c>
      <c r="K831" s="2">
        <f t="shared" si="84"/>
        <v>144000</v>
      </c>
      <c r="L831" s="9">
        <f>Table_1[[#This Row],[Unit Price]]*Table_1[[#This Row],[Quantity]]</f>
        <v>1800000</v>
      </c>
      <c r="M831" s="8">
        <f>Table_1[[#This Row],[Cost Price]]*Table_1[[#This Row],[Quantity]]</f>
        <v>1440000</v>
      </c>
      <c r="N831">
        <f>Table_1[[#This Row],[Revenue]]-Table_1[[#This Row],[COGS]]</f>
        <v>360000</v>
      </c>
      <c r="O831" s="11">
        <f t="shared" si="85"/>
        <v>4656740000</v>
      </c>
      <c r="P831">
        <f t="shared" si="86"/>
        <v>3725392000</v>
      </c>
      <c r="Q831">
        <f t="shared" si="87"/>
        <v>931348000</v>
      </c>
      <c r="R831" s="7">
        <f t="shared" si="88"/>
        <v>2098</v>
      </c>
      <c r="S831" s="7">
        <f t="shared" si="89"/>
        <v>2</v>
      </c>
      <c r="T831" s="7">
        <f t="shared" si="90"/>
        <v>2098</v>
      </c>
    </row>
    <row r="832" spans="1:20" ht="14.25" customHeight="1" x14ac:dyDescent="0.35">
      <c r="A832" s="2" t="s">
        <v>143</v>
      </c>
      <c r="B832" s="2" t="s">
        <v>29</v>
      </c>
      <c r="C832" s="2" t="s">
        <v>13</v>
      </c>
      <c r="D832" s="2" t="s">
        <v>26</v>
      </c>
      <c r="E832" s="2" t="s">
        <v>22</v>
      </c>
      <c r="F832" s="2" t="s">
        <v>39</v>
      </c>
      <c r="G832" s="2" t="s">
        <v>24</v>
      </c>
      <c r="H832" s="2">
        <v>180000</v>
      </c>
      <c r="I832" s="2">
        <v>3</v>
      </c>
      <c r="J832" s="2" t="s">
        <v>18</v>
      </c>
      <c r="K832" s="2">
        <f t="shared" si="84"/>
        <v>144000</v>
      </c>
      <c r="L832" s="9">
        <f>Table_1[[#This Row],[Unit Price]]*Table_1[[#This Row],[Quantity]]</f>
        <v>540000</v>
      </c>
      <c r="M832" s="8">
        <f>Table_1[[#This Row],[Cost Price]]*Table_1[[#This Row],[Quantity]]</f>
        <v>432000</v>
      </c>
      <c r="N832">
        <f>Table_1[[#This Row],[Revenue]]-Table_1[[#This Row],[COGS]]</f>
        <v>108000</v>
      </c>
      <c r="O832" s="11">
        <f t="shared" si="85"/>
        <v>4656740000</v>
      </c>
      <c r="P832">
        <f t="shared" si="86"/>
        <v>3725392000</v>
      </c>
      <c r="Q832">
        <f t="shared" si="87"/>
        <v>931348000</v>
      </c>
      <c r="R832" s="7">
        <f t="shared" si="88"/>
        <v>2098</v>
      </c>
      <c r="S832" s="7">
        <f t="shared" si="89"/>
        <v>1</v>
      </c>
      <c r="T832" s="7">
        <f t="shared" si="90"/>
        <v>2098</v>
      </c>
    </row>
    <row r="833" spans="1:20" ht="14.25" customHeight="1" x14ac:dyDescent="0.35">
      <c r="A833" s="2" t="s">
        <v>133</v>
      </c>
      <c r="B833" s="2" t="s">
        <v>20</v>
      </c>
      <c r="C833" s="2" t="s">
        <v>13</v>
      </c>
      <c r="D833" s="2" t="s">
        <v>26</v>
      </c>
      <c r="E833" s="2" t="s">
        <v>15</v>
      </c>
      <c r="F833" s="2" t="s">
        <v>52</v>
      </c>
      <c r="G833" s="2" t="s">
        <v>36</v>
      </c>
      <c r="H833" s="2">
        <v>420000</v>
      </c>
      <c r="I833" s="2">
        <v>3</v>
      </c>
      <c r="J833" s="2" t="s">
        <v>27</v>
      </c>
      <c r="K833" s="2">
        <f t="shared" si="84"/>
        <v>336000</v>
      </c>
      <c r="L833" s="9">
        <f>Table_1[[#This Row],[Unit Price]]*Table_1[[#This Row],[Quantity]]</f>
        <v>1260000</v>
      </c>
      <c r="M833" s="8">
        <f>Table_1[[#This Row],[Cost Price]]*Table_1[[#This Row],[Quantity]]</f>
        <v>1008000</v>
      </c>
      <c r="N833">
        <f>Table_1[[#This Row],[Revenue]]-Table_1[[#This Row],[COGS]]</f>
        <v>252000</v>
      </c>
      <c r="O833" s="11">
        <f t="shared" si="85"/>
        <v>4656740000</v>
      </c>
      <c r="P833">
        <f t="shared" si="86"/>
        <v>3725392000</v>
      </c>
      <c r="Q833">
        <f t="shared" si="87"/>
        <v>931348000</v>
      </c>
      <c r="R833" s="7">
        <f t="shared" si="88"/>
        <v>2098</v>
      </c>
      <c r="S833" s="7">
        <f t="shared" si="89"/>
        <v>2</v>
      </c>
      <c r="T833" s="7">
        <f t="shared" si="90"/>
        <v>2098</v>
      </c>
    </row>
    <row r="834" spans="1:20" ht="14.25" customHeight="1" x14ac:dyDescent="0.35">
      <c r="A834" s="2" t="s">
        <v>153</v>
      </c>
      <c r="B834" s="2" t="s">
        <v>20</v>
      </c>
      <c r="C834" s="2" t="s">
        <v>21</v>
      </c>
      <c r="D834" s="2" t="s">
        <v>14</v>
      </c>
      <c r="E834" s="2" t="s">
        <v>15</v>
      </c>
      <c r="F834" s="2" t="s">
        <v>58</v>
      </c>
      <c r="G834" s="2" t="s">
        <v>24</v>
      </c>
      <c r="H834" s="2">
        <v>220000</v>
      </c>
      <c r="I834" s="2">
        <v>6</v>
      </c>
      <c r="J834" s="2" t="s">
        <v>50</v>
      </c>
      <c r="K834" s="2">
        <f t="shared" ref="K834:K897" si="91">H834-H834*0.2</f>
        <v>176000</v>
      </c>
      <c r="L834" s="9">
        <f>Table_1[[#This Row],[Unit Price]]*Table_1[[#This Row],[Quantity]]</f>
        <v>1320000</v>
      </c>
      <c r="M834" s="8">
        <f>Table_1[[#This Row],[Cost Price]]*Table_1[[#This Row],[Quantity]]</f>
        <v>1056000</v>
      </c>
      <c r="N834">
        <f>Table_1[[#This Row],[Revenue]]-Table_1[[#This Row],[COGS]]</f>
        <v>264000</v>
      </c>
      <c r="O834" s="11">
        <f t="shared" ref="O834:O897" si="92">SUM(L$2:L$1048576)</f>
        <v>4656740000</v>
      </c>
      <c r="P834">
        <f t="shared" ref="P834:P897" si="93">SUM(M:M)</f>
        <v>3725392000</v>
      </c>
      <c r="Q834">
        <f t="shared" ref="Q834:Q897" si="94">SUM(N:N)</f>
        <v>931348000</v>
      </c>
      <c r="R834" s="7">
        <f t="shared" ref="R834:R897" si="95">COUNTA(A$2:A$1048576)</f>
        <v>2098</v>
      </c>
      <c r="S834" s="7">
        <f t="shared" ref="S834:S897" si="96">MONTH(A834:A2322)</f>
        <v>4</v>
      </c>
      <c r="T834" s="7">
        <f t="shared" ref="T834:T897" si="97">COUNTA(A:A)-1</f>
        <v>2098</v>
      </c>
    </row>
    <row r="835" spans="1:20" ht="14.25" customHeight="1" x14ac:dyDescent="0.35">
      <c r="A835" s="2" t="s">
        <v>82</v>
      </c>
      <c r="B835" s="2" t="s">
        <v>29</v>
      </c>
      <c r="C835" s="2" t="s">
        <v>30</v>
      </c>
      <c r="D835" s="2" t="s">
        <v>14</v>
      </c>
      <c r="E835" s="2" t="s">
        <v>15</v>
      </c>
      <c r="F835" s="2" t="s">
        <v>31</v>
      </c>
      <c r="G835" s="2" t="s">
        <v>24</v>
      </c>
      <c r="H835" s="2">
        <v>60000</v>
      </c>
      <c r="I835" s="2">
        <v>10</v>
      </c>
      <c r="J835" s="2" t="s">
        <v>43</v>
      </c>
      <c r="K835" s="2">
        <f t="shared" si="91"/>
        <v>48000</v>
      </c>
      <c r="L835" s="9">
        <f>Table_1[[#This Row],[Unit Price]]*Table_1[[#This Row],[Quantity]]</f>
        <v>600000</v>
      </c>
      <c r="M835" s="8">
        <f>Table_1[[#This Row],[Cost Price]]*Table_1[[#This Row],[Quantity]]</f>
        <v>480000</v>
      </c>
      <c r="N835">
        <f>Table_1[[#This Row],[Revenue]]-Table_1[[#This Row],[COGS]]</f>
        <v>120000</v>
      </c>
      <c r="O835" s="11">
        <f t="shared" si="92"/>
        <v>4656740000</v>
      </c>
      <c r="P835">
        <f t="shared" si="93"/>
        <v>3725392000</v>
      </c>
      <c r="Q835">
        <f t="shared" si="94"/>
        <v>931348000</v>
      </c>
      <c r="R835" s="7">
        <f t="shared" si="95"/>
        <v>2098</v>
      </c>
      <c r="S835" s="7">
        <f t="shared" si="96"/>
        <v>1</v>
      </c>
      <c r="T835" s="7">
        <f t="shared" si="97"/>
        <v>2098</v>
      </c>
    </row>
    <row r="836" spans="1:20" ht="14.25" customHeight="1" x14ac:dyDescent="0.35">
      <c r="A836" s="2" t="s">
        <v>67</v>
      </c>
      <c r="B836" s="2" t="s">
        <v>29</v>
      </c>
      <c r="C836" s="2" t="s">
        <v>21</v>
      </c>
      <c r="D836" s="2" t="s">
        <v>14</v>
      </c>
      <c r="E836" s="2" t="s">
        <v>22</v>
      </c>
      <c r="F836" s="2" t="s">
        <v>39</v>
      </c>
      <c r="G836" s="2" t="s">
        <v>24</v>
      </c>
      <c r="H836" s="2">
        <v>180000</v>
      </c>
      <c r="I836" s="2">
        <v>10</v>
      </c>
      <c r="J836" s="2" t="s">
        <v>32</v>
      </c>
      <c r="K836" s="2">
        <f t="shared" si="91"/>
        <v>144000</v>
      </c>
      <c r="L836" s="9">
        <f>Table_1[[#This Row],[Unit Price]]*Table_1[[#This Row],[Quantity]]</f>
        <v>1800000</v>
      </c>
      <c r="M836" s="8">
        <f>Table_1[[#This Row],[Cost Price]]*Table_1[[#This Row],[Quantity]]</f>
        <v>1440000</v>
      </c>
      <c r="N836">
        <f>Table_1[[#This Row],[Revenue]]-Table_1[[#This Row],[COGS]]</f>
        <v>360000</v>
      </c>
      <c r="O836" s="11">
        <f t="shared" si="92"/>
        <v>4656740000</v>
      </c>
      <c r="P836">
        <f t="shared" si="93"/>
        <v>3725392000</v>
      </c>
      <c r="Q836">
        <f t="shared" si="94"/>
        <v>931348000</v>
      </c>
      <c r="R836" s="7">
        <f t="shared" si="95"/>
        <v>2098</v>
      </c>
      <c r="S836" s="7">
        <f t="shared" si="96"/>
        <v>3</v>
      </c>
      <c r="T836" s="7">
        <f t="shared" si="97"/>
        <v>2098</v>
      </c>
    </row>
    <row r="837" spans="1:20" ht="14.25" customHeight="1" x14ac:dyDescent="0.35">
      <c r="A837" s="2" t="s">
        <v>106</v>
      </c>
      <c r="B837" s="2" t="s">
        <v>20</v>
      </c>
      <c r="C837" s="2" t="s">
        <v>13</v>
      </c>
      <c r="D837" s="2" t="s">
        <v>26</v>
      </c>
      <c r="E837" s="2" t="s">
        <v>22</v>
      </c>
      <c r="F837" s="2" t="s">
        <v>58</v>
      </c>
      <c r="G837" s="2" t="s">
        <v>24</v>
      </c>
      <c r="H837" s="2">
        <v>220000</v>
      </c>
      <c r="I837" s="2">
        <v>4</v>
      </c>
      <c r="J837" s="2" t="s">
        <v>27</v>
      </c>
      <c r="K837" s="2">
        <f t="shared" si="91"/>
        <v>176000</v>
      </c>
      <c r="L837" s="9">
        <f>Table_1[[#This Row],[Unit Price]]*Table_1[[#This Row],[Quantity]]</f>
        <v>880000</v>
      </c>
      <c r="M837" s="8">
        <f>Table_1[[#This Row],[Cost Price]]*Table_1[[#This Row],[Quantity]]</f>
        <v>704000</v>
      </c>
      <c r="N837">
        <f>Table_1[[#This Row],[Revenue]]-Table_1[[#This Row],[COGS]]</f>
        <v>176000</v>
      </c>
      <c r="O837" s="11">
        <f t="shared" si="92"/>
        <v>4656740000</v>
      </c>
      <c r="P837">
        <f t="shared" si="93"/>
        <v>3725392000</v>
      </c>
      <c r="Q837">
        <f t="shared" si="94"/>
        <v>931348000</v>
      </c>
      <c r="R837" s="7">
        <f t="shared" si="95"/>
        <v>2098</v>
      </c>
      <c r="S837" s="7">
        <f t="shared" si="96"/>
        <v>4</v>
      </c>
      <c r="T837" s="7">
        <f t="shared" si="97"/>
        <v>2098</v>
      </c>
    </row>
    <row r="838" spans="1:20" ht="14.25" customHeight="1" x14ac:dyDescent="0.35">
      <c r="A838" s="2" t="s">
        <v>72</v>
      </c>
      <c r="B838" s="2" t="s">
        <v>29</v>
      </c>
      <c r="C838" s="2" t="s">
        <v>38</v>
      </c>
      <c r="D838" s="2" t="s">
        <v>26</v>
      </c>
      <c r="E838" s="2" t="s">
        <v>22</v>
      </c>
      <c r="F838" s="2" t="s">
        <v>56</v>
      </c>
      <c r="G838" s="2" t="s">
        <v>36</v>
      </c>
      <c r="H838" s="2">
        <v>250000</v>
      </c>
      <c r="I838" s="2">
        <v>4</v>
      </c>
      <c r="J838" s="2" t="s">
        <v>43</v>
      </c>
      <c r="K838" s="2">
        <f t="shared" si="91"/>
        <v>200000</v>
      </c>
      <c r="L838" s="9">
        <f>Table_1[[#This Row],[Unit Price]]*Table_1[[#This Row],[Quantity]]</f>
        <v>1000000</v>
      </c>
      <c r="M838" s="8">
        <f>Table_1[[#This Row],[Cost Price]]*Table_1[[#This Row],[Quantity]]</f>
        <v>800000</v>
      </c>
      <c r="N838">
        <f>Table_1[[#This Row],[Revenue]]-Table_1[[#This Row],[COGS]]</f>
        <v>200000</v>
      </c>
      <c r="O838" s="11">
        <f t="shared" si="92"/>
        <v>4656740000</v>
      </c>
      <c r="P838">
        <f t="shared" si="93"/>
        <v>3725392000</v>
      </c>
      <c r="Q838">
        <f t="shared" si="94"/>
        <v>931348000</v>
      </c>
      <c r="R838" s="7">
        <f t="shared" si="95"/>
        <v>2098</v>
      </c>
      <c r="S838" s="7">
        <f t="shared" si="96"/>
        <v>3</v>
      </c>
      <c r="T838" s="7">
        <f t="shared" si="97"/>
        <v>2098</v>
      </c>
    </row>
    <row r="839" spans="1:20" ht="14.25" customHeight="1" x14ac:dyDescent="0.35">
      <c r="A839" s="2" t="s">
        <v>90</v>
      </c>
      <c r="B839" s="2" t="s">
        <v>29</v>
      </c>
      <c r="C839" s="2" t="s">
        <v>21</v>
      </c>
      <c r="D839" s="2" t="s">
        <v>26</v>
      </c>
      <c r="E839" s="2" t="s">
        <v>22</v>
      </c>
      <c r="F839" s="2" t="s">
        <v>23</v>
      </c>
      <c r="G839" s="2" t="s">
        <v>24</v>
      </c>
      <c r="H839" s="2">
        <v>30000</v>
      </c>
      <c r="I839" s="2">
        <v>2</v>
      </c>
      <c r="J839" s="2" t="s">
        <v>54</v>
      </c>
      <c r="K839" s="2">
        <f t="shared" si="91"/>
        <v>24000</v>
      </c>
      <c r="L839" s="9">
        <f>Table_1[[#This Row],[Unit Price]]*Table_1[[#This Row],[Quantity]]</f>
        <v>60000</v>
      </c>
      <c r="M839" s="8">
        <f>Table_1[[#This Row],[Cost Price]]*Table_1[[#This Row],[Quantity]]</f>
        <v>48000</v>
      </c>
      <c r="N839">
        <f>Table_1[[#This Row],[Revenue]]-Table_1[[#This Row],[COGS]]</f>
        <v>12000</v>
      </c>
      <c r="O839" s="11">
        <f t="shared" si="92"/>
        <v>4656740000</v>
      </c>
      <c r="P839">
        <f t="shared" si="93"/>
        <v>3725392000</v>
      </c>
      <c r="Q839">
        <f t="shared" si="94"/>
        <v>931348000</v>
      </c>
      <c r="R839" s="7">
        <f t="shared" si="95"/>
        <v>2098</v>
      </c>
      <c r="S839" s="7">
        <f t="shared" si="96"/>
        <v>3</v>
      </c>
      <c r="T839" s="7">
        <f t="shared" si="97"/>
        <v>2098</v>
      </c>
    </row>
    <row r="840" spans="1:20" ht="14.25" customHeight="1" x14ac:dyDescent="0.35">
      <c r="A840" s="2" t="s">
        <v>33</v>
      </c>
      <c r="B840" s="2" t="s">
        <v>12</v>
      </c>
      <c r="C840" s="2" t="s">
        <v>30</v>
      </c>
      <c r="D840" s="2" t="s">
        <v>14</v>
      </c>
      <c r="E840" s="2" t="s">
        <v>22</v>
      </c>
      <c r="F840" s="2" t="s">
        <v>39</v>
      </c>
      <c r="G840" s="2" t="s">
        <v>24</v>
      </c>
      <c r="H840" s="2">
        <v>180000</v>
      </c>
      <c r="I840" s="2">
        <v>6</v>
      </c>
      <c r="J840" s="2" t="s">
        <v>32</v>
      </c>
      <c r="K840" s="2">
        <f t="shared" si="91"/>
        <v>144000</v>
      </c>
      <c r="L840" s="9">
        <f>Table_1[[#This Row],[Unit Price]]*Table_1[[#This Row],[Quantity]]</f>
        <v>1080000</v>
      </c>
      <c r="M840" s="8">
        <f>Table_1[[#This Row],[Cost Price]]*Table_1[[#This Row],[Quantity]]</f>
        <v>864000</v>
      </c>
      <c r="N840">
        <f>Table_1[[#This Row],[Revenue]]-Table_1[[#This Row],[COGS]]</f>
        <v>216000</v>
      </c>
      <c r="O840" s="11">
        <f t="shared" si="92"/>
        <v>4656740000</v>
      </c>
      <c r="P840">
        <f t="shared" si="93"/>
        <v>3725392000</v>
      </c>
      <c r="Q840">
        <f t="shared" si="94"/>
        <v>931348000</v>
      </c>
      <c r="R840" s="7">
        <f t="shared" si="95"/>
        <v>2098</v>
      </c>
      <c r="S840" s="7">
        <f t="shared" si="96"/>
        <v>4</v>
      </c>
      <c r="T840" s="7">
        <f t="shared" si="97"/>
        <v>2098</v>
      </c>
    </row>
    <row r="841" spans="1:20" ht="14.25" customHeight="1" x14ac:dyDescent="0.35">
      <c r="A841" s="2" t="s">
        <v>131</v>
      </c>
      <c r="B841" s="2" t="s">
        <v>29</v>
      </c>
      <c r="C841" s="2" t="s">
        <v>38</v>
      </c>
      <c r="D841" s="2" t="s">
        <v>26</v>
      </c>
      <c r="E841" s="2" t="s">
        <v>22</v>
      </c>
      <c r="F841" s="2" t="s">
        <v>39</v>
      </c>
      <c r="G841" s="2" t="s">
        <v>24</v>
      </c>
      <c r="H841" s="2">
        <v>180000</v>
      </c>
      <c r="I841" s="2">
        <v>8</v>
      </c>
      <c r="J841" s="2" t="s">
        <v>54</v>
      </c>
      <c r="K841" s="2">
        <f t="shared" si="91"/>
        <v>144000</v>
      </c>
      <c r="L841" s="9">
        <f>Table_1[[#This Row],[Unit Price]]*Table_1[[#This Row],[Quantity]]</f>
        <v>1440000</v>
      </c>
      <c r="M841" s="8">
        <f>Table_1[[#This Row],[Cost Price]]*Table_1[[#This Row],[Quantity]]</f>
        <v>1152000</v>
      </c>
      <c r="N841">
        <f>Table_1[[#This Row],[Revenue]]-Table_1[[#This Row],[COGS]]</f>
        <v>288000</v>
      </c>
      <c r="O841" s="11">
        <f t="shared" si="92"/>
        <v>4656740000</v>
      </c>
      <c r="P841">
        <f t="shared" si="93"/>
        <v>3725392000</v>
      </c>
      <c r="Q841">
        <f t="shared" si="94"/>
        <v>931348000</v>
      </c>
      <c r="R841" s="7">
        <f t="shared" si="95"/>
        <v>2098</v>
      </c>
      <c r="S841" s="7">
        <f t="shared" si="96"/>
        <v>1</v>
      </c>
      <c r="T841" s="7">
        <f t="shared" si="97"/>
        <v>2098</v>
      </c>
    </row>
    <row r="842" spans="1:20" ht="14.25" customHeight="1" x14ac:dyDescent="0.35">
      <c r="A842" s="2" t="s">
        <v>67</v>
      </c>
      <c r="B842" s="2" t="s">
        <v>12</v>
      </c>
      <c r="C842" s="2" t="s">
        <v>21</v>
      </c>
      <c r="D842" s="2" t="s">
        <v>26</v>
      </c>
      <c r="E842" s="2" t="s">
        <v>22</v>
      </c>
      <c r="F842" s="2" t="s">
        <v>52</v>
      </c>
      <c r="G842" s="2" t="s">
        <v>36</v>
      </c>
      <c r="H842" s="2">
        <v>420000</v>
      </c>
      <c r="I842" s="2">
        <v>3</v>
      </c>
      <c r="J842" s="2" t="s">
        <v>18</v>
      </c>
      <c r="K842" s="2">
        <f t="shared" si="91"/>
        <v>336000</v>
      </c>
      <c r="L842" s="9">
        <f>Table_1[[#This Row],[Unit Price]]*Table_1[[#This Row],[Quantity]]</f>
        <v>1260000</v>
      </c>
      <c r="M842" s="8">
        <f>Table_1[[#This Row],[Cost Price]]*Table_1[[#This Row],[Quantity]]</f>
        <v>1008000</v>
      </c>
      <c r="N842">
        <f>Table_1[[#This Row],[Revenue]]-Table_1[[#This Row],[COGS]]</f>
        <v>252000</v>
      </c>
      <c r="O842" s="11">
        <f t="shared" si="92"/>
        <v>4656740000</v>
      </c>
      <c r="P842">
        <f t="shared" si="93"/>
        <v>3725392000</v>
      </c>
      <c r="Q842">
        <f t="shared" si="94"/>
        <v>931348000</v>
      </c>
      <c r="R842" s="7">
        <f t="shared" si="95"/>
        <v>2098</v>
      </c>
      <c r="S842" s="7">
        <f t="shared" si="96"/>
        <v>3</v>
      </c>
      <c r="T842" s="7">
        <f t="shared" si="97"/>
        <v>2098</v>
      </c>
    </row>
    <row r="843" spans="1:20" ht="14.25" customHeight="1" x14ac:dyDescent="0.35">
      <c r="A843" s="2" t="s">
        <v>93</v>
      </c>
      <c r="B843" s="2" t="s">
        <v>34</v>
      </c>
      <c r="C843" s="2" t="s">
        <v>30</v>
      </c>
      <c r="D843" s="2" t="s">
        <v>26</v>
      </c>
      <c r="E843" s="2" t="s">
        <v>15</v>
      </c>
      <c r="F843" s="2" t="s">
        <v>23</v>
      </c>
      <c r="G843" s="2" t="s">
        <v>24</v>
      </c>
      <c r="H843" s="2">
        <v>30000</v>
      </c>
      <c r="I843" s="2">
        <v>10</v>
      </c>
      <c r="J843" s="2" t="s">
        <v>32</v>
      </c>
      <c r="K843" s="2">
        <f t="shared" si="91"/>
        <v>24000</v>
      </c>
      <c r="L843" s="9">
        <f>Table_1[[#This Row],[Unit Price]]*Table_1[[#This Row],[Quantity]]</f>
        <v>300000</v>
      </c>
      <c r="M843" s="8">
        <f>Table_1[[#This Row],[Cost Price]]*Table_1[[#This Row],[Quantity]]</f>
        <v>240000</v>
      </c>
      <c r="N843">
        <f>Table_1[[#This Row],[Revenue]]-Table_1[[#This Row],[COGS]]</f>
        <v>60000</v>
      </c>
      <c r="O843" s="11">
        <f t="shared" si="92"/>
        <v>4656740000</v>
      </c>
      <c r="P843">
        <f t="shared" si="93"/>
        <v>3725392000</v>
      </c>
      <c r="Q843">
        <f t="shared" si="94"/>
        <v>931348000</v>
      </c>
      <c r="R843" s="7">
        <f t="shared" si="95"/>
        <v>2098</v>
      </c>
      <c r="S843" s="7">
        <f t="shared" si="96"/>
        <v>4</v>
      </c>
      <c r="T843" s="7">
        <f t="shared" si="97"/>
        <v>2098</v>
      </c>
    </row>
    <row r="844" spans="1:20" ht="14.25" customHeight="1" x14ac:dyDescent="0.35">
      <c r="A844" s="2" t="s">
        <v>144</v>
      </c>
      <c r="B844" s="2" t="s">
        <v>20</v>
      </c>
      <c r="C844" s="2" t="s">
        <v>30</v>
      </c>
      <c r="D844" s="2" t="s">
        <v>26</v>
      </c>
      <c r="E844" s="2" t="s">
        <v>15</v>
      </c>
      <c r="F844" s="2" t="s">
        <v>16</v>
      </c>
      <c r="G844" s="2" t="s">
        <v>17</v>
      </c>
      <c r="H844" s="2">
        <v>85000</v>
      </c>
      <c r="I844" s="2">
        <v>7</v>
      </c>
      <c r="J844" s="2" t="s">
        <v>54</v>
      </c>
      <c r="K844" s="2">
        <f t="shared" si="91"/>
        <v>68000</v>
      </c>
      <c r="L844" s="9">
        <f>Table_1[[#This Row],[Unit Price]]*Table_1[[#This Row],[Quantity]]</f>
        <v>595000</v>
      </c>
      <c r="M844" s="8">
        <f>Table_1[[#This Row],[Cost Price]]*Table_1[[#This Row],[Quantity]]</f>
        <v>476000</v>
      </c>
      <c r="N844">
        <f>Table_1[[#This Row],[Revenue]]-Table_1[[#This Row],[COGS]]</f>
        <v>119000</v>
      </c>
      <c r="O844" s="11">
        <f t="shared" si="92"/>
        <v>4656740000</v>
      </c>
      <c r="P844">
        <f t="shared" si="93"/>
        <v>3725392000</v>
      </c>
      <c r="Q844">
        <f t="shared" si="94"/>
        <v>931348000</v>
      </c>
      <c r="R844" s="7">
        <f t="shared" si="95"/>
        <v>2098</v>
      </c>
      <c r="S844" s="7">
        <f t="shared" si="96"/>
        <v>2</v>
      </c>
      <c r="T844" s="7">
        <f t="shared" si="97"/>
        <v>2098</v>
      </c>
    </row>
    <row r="845" spans="1:20" ht="14.25" customHeight="1" x14ac:dyDescent="0.35">
      <c r="A845" s="2" t="s">
        <v>125</v>
      </c>
      <c r="B845" s="2" t="s">
        <v>12</v>
      </c>
      <c r="C845" s="2" t="s">
        <v>13</v>
      </c>
      <c r="D845" s="2" t="s">
        <v>14</v>
      </c>
      <c r="E845" s="2" t="s">
        <v>22</v>
      </c>
      <c r="F845" s="2" t="s">
        <v>23</v>
      </c>
      <c r="G845" s="2" t="s">
        <v>24</v>
      </c>
      <c r="H845" s="2">
        <v>30000</v>
      </c>
      <c r="I845" s="2">
        <v>5</v>
      </c>
      <c r="J845" s="2" t="s">
        <v>18</v>
      </c>
      <c r="K845" s="2">
        <f t="shared" si="91"/>
        <v>24000</v>
      </c>
      <c r="L845" s="9">
        <f>Table_1[[#This Row],[Unit Price]]*Table_1[[#This Row],[Quantity]]</f>
        <v>150000</v>
      </c>
      <c r="M845" s="8">
        <f>Table_1[[#This Row],[Cost Price]]*Table_1[[#This Row],[Quantity]]</f>
        <v>120000</v>
      </c>
      <c r="N845">
        <f>Table_1[[#This Row],[Revenue]]-Table_1[[#This Row],[COGS]]</f>
        <v>30000</v>
      </c>
      <c r="O845" s="11">
        <f t="shared" si="92"/>
        <v>4656740000</v>
      </c>
      <c r="P845">
        <f t="shared" si="93"/>
        <v>3725392000</v>
      </c>
      <c r="Q845">
        <f t="shared" si="94"/>
        <v>931348000</v>
      </c>
      <c r="R845" s="7">
        <f t="shared" si="95"/>
        <v>2098</v>
      </c>
      <c r="S845" s="7">
        <f t="shared" si="96"/>
        <v>4</v>
      </c>
      <c r="T845" s="7">
        <f t="shared" si="97"/>
        <v>2098</v>
      </c>
    </row>
    <row r="846" spans="1:20" ht="14.25" customHeight="1" x14ac:dyDescent="0.35">
      <c r="A846" s="2" t="s">
        <v>67</v>
      </c>
      <c r="B846" s="2" t="s">
        <v>34</v>
      </c>
      <c r="C846" s="2" t="s">
        <v>13</v>
      </c>
      <c r="D846" s="2" t="s">
        <v>14</v>
      </c>
      <c r="E846" s="2" t="s">
        <v>22</v>
      </c>
      <c r="F846" s="2" t="s">
        <v>35</v>
      </c>
      <c r="G846" s="2" t="s">
        <v>36</v>
      </c>
      <c r="H846" s="2">
        <v>300000</v>
      </c>
      <c r="I846" s="2">
        <v>5</v>
      </c>
      <c r="J846" s="2" t="s">
        <v>54</v>
      </c>
      <c r="K846" s="2">
        <f t="shared" si="91"/>
        <v>240000</v>
      </c>
      <c r="L846" s="9">
        <f>Table_1[[#This Row],[Unit Price]]*Table_1[[#This Row],[Quantity]]</f>
        <v>1500000</v>
      </c>
      <c r="M846" s="8">
        <f>Table_1[[#This Row],[Cost Price]]*Table_1[[#This Row],[Quantity]]</f>
        <v>1200000</v>
      </c>
      <c r="N846">
        <f>Table_1[[#This Row],[Revenue]]-Table_1[[#This Row],[COGS]]</f>
        <v>300000</v>
      </c>
      <c r="O846" s="11">
        <f t="shared" si="92"/>
        <v>4656740000</v>
      </c>
      <c r="P846">
        <f t="shared" si="93"/>
        <v>3725392000</v>
      </c>
      <c r="Q846">
        <f t="shared" si="94"/>
        <v>931348000</v>
      </c>
      <c r="R846" s="7">
        <f t="shared" si="95"/>
        <v>2098</v>
      </c>
      <c r="S846" s="7">
        <f t="shared" si="96"/>
        <v>3</v>
      </c>
      <c r="T846" s="7">
        <f t="shared" si="97"/>
        <v>2098</v>
      </c>
    </row>
    <row r="847" spans="1:20" ht="14.25" customHeight="1" x14ac:dyDescent="0.35">
      <c r="A847" s="2" t="s">
        <v>124</v>
      </c>
      <c r="B847" s="2" t="s">
        <v>12</v>
      </c>
      <c r="C847" s="2" t="s">
        <v>30</v>
      </c>
      <c r="D847" s="2" t="s">
        <v>26</v>
      </c>
      <c r="E847" s="2" t="s">
        <v>22</v>
      </c>
      <c r="F847" s="2" t="s">
        <v>16</v>
      </c>
      <c r="G847" s="2" t="s">
        <v>17</v>
      </c>
      <c r="H847" s="2">
        <v>85000</v>
      </c>
      <c r="I847" s="2">
        <v>8</v>
      </c>
      <c r="J847" s="2" t="s">
        <v>32</v>
      </c>
      <c r="K847" s="2">
        <f t="shared" si="91"/>
        <v>68000</v>
      </c>
      <c r="L847" s="9">
        <f>Table_1[[#This Row],[Unit Price]]*Table_1[[#This Row],[Quantity]]</f>
        <v>680000</v>
      </c>
      <c r="M847" s="8">
        <f>Table_1[[#This Row],[Cost Price]]*Table_1[[#This Row],[Quantity]]</f>
        <v>544000</v>
      </c>
      <c r="N847">
        <f>Table_1[[#This Row],[Revenue]]-Table_1[[#This Row],[COGS]]</f>
        <v>136000</v>
      </c>
      <c r="O847" s="11">
        <f t="shared" si="92"/>
        <v>4656740000</v>
      </c>
      <c r="P847">
        <f t="shared" si="93"/>
        <v>3725392000</v>
      </c>
      <c r="Q847">
        <f t="shared" si="94"/>
        <v>931348000</v>
      </c>
      <c r="R847" s="7">
        <f t="shared" si="95"/>
        <v>2098</v>
      </c>
      <c r="S847" s="7">
        <f t="shared" si="96"/>
        <v>1</v>
      </c>
      <c r="T847" s="7">
        <f t="shared" si="97"/>
        <v>2098</v>
      </c>
    </row>
    <row r="848" spans="1:20" ht="14.25" customHeight="1" x14ac:dyDescent="0.35">
      <c r="A848" s="2" t="s">
        <v>55</v>
      </c>
      <c r="B848" s="2" t="s">
        <v>29</v>
      </c>
      <c r="C848" s="2" t="s">
        <v>38</v>
      </c>
      <c r="D848" s="2" t="s">
        <v>26</v>
      </c>
      <c r="E848" s="2" t="s">
        <v>22</v>
      </c>
      <c r="F848" s="2" t="s">
        <v>58</v>
      </c>
      <c r="G848" s="2" t="s">
        <v>24</v>
      </c>
      <c r="H848" s="2">
        <v>220000</v>
      </c>
      <c r="I848" s="2">
        <v>7</v>
      </c>
      <c r="J848" s="2" t="s">
        <v>27</v>
      </c>
      <c r="K848" s="2">
        <f t="shared" si="91"/>
        <v>176000</v>
      </c>
      <c r="L848" s="9">
        <f>Table_1[[#This Row],[Unit Price]]*Table_1[[#This Row],[Quantity]]</f>
        <v>1540000</v>
      </c>
      <c r="M848" s="8">
        <f>Table_1[[#This Row],[Cost Price]]*Table_1[[#This Row],[Quantity]]</f>
        <v>1232000</v>
      </c>
      <c r="N848">
        <f>Table_1[[#This Row],[Revenue]]-Table_1[[#This Row],[COGS]]</f>
        <v>308000</v>
      </c>
      <c r="O848" s="11">
        <f t="shared" si="92"/>
        <v>4656740000</v>
      </c>
      <c r="P848">
        <f t="shared" si="93"/>
        <v>3725392000</v>
      </c>
      <c r="Q848">
        <f t="shared" si="94"/>
        <v>931348000</v>
      </c>
      <c r="R848" s="7">
        <f t="shared" si="95"/>
        <v>2098</v>
      </c>
      <c r="S848" s="7">
        <f t="shared" si="96"/>
        <v>4</v>
      </c>
      <c r="T848" s="7">
        <f t="shared" si="97"/>
        <v>2098</v>
      </c>
    </row>
    <row r="849" spans="1:20" ht="14.25" customHeight="1" x14ac:dyDescent="0.35">
      <c r="A849" s="2" t="s">
        <v>80</v>
      </c>
      <c r="B849" s="2" t="s">
        <v>34</v>
      </c>
      <c r="C849" s="2" t="s">
        <v>21</v>
      </c>
      <c r="D849" s="2" t="s">
        <v>14</v>
      </c>
      <c r="E849" s="2" t="s">
        <v>15</v>
      </c>
      <c r="F849" s="2" t="s">
        <v>16</v>
      </c>
      <c r="G849" s="2" t="s">
        <v>17</v>
      </c>
      <c r="H849" s="2">
        <v>85000</v>
      </c>
      <c r="I849" s="2">
        <v>8</v>
      </c>
      <c r="J849" s="2" t="s">
        <v>27</v>
      </c>
      <c r="K849" s="2">
        <f t="shared" si="91"/>
        <v>68000</v>
      </c>
      <c r="L849" s="9">
        <f>Table_1[[#This Row],[Unit Price]]*Table_1[[#This Row],[Quantity]]</f>
        <v>680000</v>
      </c>
      <c r="M849" s="8">
        <f>Table_1[[#This Row],[Cost Price]]*Table_1[[#This Row],[Quantity]]</f>
        <v>544000</v>
      </c>
      <c r="N849">
        <f>Table_1[[#This Row],[Revenue]]-Table_1[[#This Row],[COGS]]</f>
        <v>136000</v>
      </c>
      <c r="O849" s="11">
        <f t="shared" si="92"/>
        <v>4656740000</v>
      </c>
      <c r="P849">
        <f t="shared" si="93"/>
        <v>3725392000</v>
      </c>
      <c r="Q849">
        <f t="shared" si="94"/>
        <v>931348000</v>
      </c>
      <c r="R849" s="7">
        <f t="shared" si="95"/>
        <v>2098</v>
      </c>
      <c r="S849" s="7">
        <f t="shared" si="96"/>
        <v>2</v>
      </c>
      <c r="T849" s="7">
        <f t="shared" si="97"/>
        <v>2098</v>
      </c>
    </row>
    <row r="850" spans="1:20" ht="14.25" customHeight="1" x14ac:dyDescent="0.35">
      <c r="A850" s="2" t="s">
        <v>154</v>
      </c>
      <c r="B850" s="2" t="s">
        <v>20</v>
      </c>
      <c r="C850" s="2" t="s">
        <v>38</v>
      </c>
      <c r="D850" s="2" t="s">
        <v>26</v>
      </c>
      <c r="E850" s="2" t="s">
        <v>15</v>
      </c>
      <c r="F850" s="2" t="s">
        <v>47</v>
      </c>
      <c r="G850" s="2" t="s">
        <v>36</v>
      </c>
      <c r="H850" s="2">
        <v>150000</v>
      </c>
      <c r="I850" s="2">
        <v>5</v>
      </c>
      <c r="J850" s="2" t="s">
        <v>43</v>
      </c>
      <c r="K850" s="2">
        <f t="shared" si="91"/>
        <v>120000</v>
      </c>
      <c r="L850" s="9">
        <f>Table_1[[#This Row],[Unit Price]]*Table_1[[#This Row],[Quantity]]</f>
        <v>750000</v>
      </c>
      <c r="M850" s="8">
        <f>Table_1[[#This Row],[Cost Price]]*Table_1[[#This Row],[Quantity]]</f>
        <v>600000</v>
      </c>
      <c r="N850">
        <f>Table_1[[#This Row],[Revenue]]-Table_1[[#This Row],[COGS]]</f>
        <v>150000</v>
      </c>
      <c r="O850" s="11">
        <f t="shared" si="92"/>
        <v>4656740000</v>
      </c>
      <c r="P850">
        <f t="shared" si="93"/>
        <v>3725392000</v>
      </c>
      <c r="Q850">
        <f t="shared" si="94"/>
        <v>931348000</v>
      </c>
      <c r="R850" s="7">
        <f t="shared" si="95"/>
        <v>2098</v>
      </c>
      <c r="S850" s="7">
        <f t="shared" si="96"/>
        <v>2</v>
      </c>
      <c r="T850" s="7">
        <f t="shared" si="97"/>
        <v>2098</v>
      </c>
    </row>
    <row r="851" spans="1:20" ht="14.25" customHeight="1" x14ac:dyDescent="0.35">
      <c r="A851" s="2" t="s">
        <v>91</v>
      </c>
      <c r="B851" s="2" t="s">
        <v>20</v>
      </c>
      <c r="C851" s="2" t="s">
        <v>13</v>
      </c>
      <c r="D851" s="2" t="s">
        <v>14</v>
      </c>
      <c r="E851" s="2" t="s">
        <v>22</v>
      </c>
      <c r="F851" s="2" t="s">
        <v>31</v>
      </c>
      <c r="G851" s="2" t="s">
        <v>24</v>
      </c>
      <c r="H851" s="2">
        <v>60000</v>
      </c>
      <c r="I851" s="2">
        <v>10</v>
      </c>
      <c r="J851" s="2" t="s">
        <v>27</v>
      </c>
      <c r="K851" s="2">
        <f t="shared" si="91"/>
        <v>48000</v>
      </c>
      <c r="L851" s="9">
        <f>Table_1[[#This Row],[Unit Price]]*Table_1[[#This Row],[Quantity]]</f>
        <v>600000</v>
      </c>
      <c r="M851" s="8">
        <f>Table_1[[#This Row],[Cost Price]]*Table_1[[#This Row],[Quantity]]</f>
        <v>480000</v>
      </c>
      <c r="N851">
        <f>Table_1[[#This Row],[Revenue]]-Table_1[[#This Row],[COGS]]</f>
        <v>120000</v>
      </c>
      <c r="O851" s="11">
        <f t="shared" si="92"/>
        <v>4656740000</v>
      </c>
      <c r="P851">
        <f t="shared" si="93"/>
        <v>3725392000</v>
      </c>
      <c r="Q851">
        <f t="shared" si="94"/>
        <v>931348000</v>
      </c>
      <c r="R851" s="7">
        <f t="shared" si="95"/>
        <v>2098</v>
      </c>
      <c r="S851" s="7">
        <f t="shared" si="96"/>
        <v>4</v>
      </c>
      <c r="T851" s="7">
        <f t="shared" si="97"/>
        <v>2098</v>
      </c>
    </row>
    <row r="852" spans="1:20" ht="14.25" customHeight="1" x14ac:dyDescent="0.35">
      <c r="A852" s="2" t="s">
        <v>152</v>
      </c>
      <c r="B852" s="2" t="s">
        <v>12</v>
      </c>
      <c r="C852" s="2" t="s">
        <v>30</v>
      </c>
      <c r="D852" s="2" t="s">
        <v>26</v>
      </c>
      <c r="E852" s="2" t="s">
        <v>15</v>
      </c>
      <c r="F852" s="2" t="s">
        <v>58</v>
      </c>
      <c r="G852" s="2" t="s">
        <v>24</v>
      </c>
      <c r="H852" s="2">
        <v>220000</v>
      </c>
      <c r="I852" s="2">
        <v>1</v>
      </c>
      <c r="J852" s="2" t="s">
        <v>18</v>
      </c>
      <c r="K852" s="2">
        <f t="shared" si="91"/>
        <v>176000</v>
      </c>
      <c r="L852" s="9">
        <f>Table_1[[#This Row],[Unit Price]]*Table_1[[#This Row],[Quantity]]</f>
        <v>220000</v>
      </c>
      <c r="M852" s="8">
        <f>Table_1[[#This Row],[Cost Price]]*Table_1[[#This Row],[Quantity]]</f>
        <v>176000</v>
      </c>
      <c r="N852">
        <f>Table_1[[#This Row],[Revenue]]-Table_1[[#This Row],[COGS]]</f>
        <v>44000</v>
      </c>
      <c r="O852" s="11">
        <f t="shared" si="92"/>
        <v>4656740000</v>
      </c>
      <c r="P852">
        <f t="shared" si="93"/>
        <v>3725392000</v>
      </c>
      <c r="Q852">
        <f t="shared" si="94"/>
        <v>931348000</v>
      </c>
      <c r="R852" s="7">
        <f t="shared" si="95"/>
        <v>2098</v>
      </c>
      <c r="S852" s="7">
        <f t="shared" si="96"/>
        <v>4</v>
      </c>
      <c r="T852" s="7">
        <f t="shared" si="97"/>
        <v>2098</v>
      </c>
    </row>
    <row r="853" spans="1:20" ht="14.25" customHeight="1" x14ac:dyDescent="0.35">
      <c r="A853" s="2" t="s">
        <v>80</v>
      </c>
      <c r="B853" s="2" t="s">
        <v>34</v>
      </c>
      <c r="C853" s="2" t="s">
        <v>21</v>
      </c>
      <c r="D853" s="2" t="s">
        <v>26</v>
      </c>
      <c r="E853" s="2" t="s">
        <v>15</v>
      </c>
      <c r="F853" s="2" t="s">
        <v>23</v>
      </c>
      <c r="G853" s="2" t="s">
        <v>24</v>
      </c>
      <c r="H853" s="2">
        <v>30000</v>
      </c>
      <c r="I853" s="2">
        <v>3</v>
      </c>
      <c r="J853" s="2" t="s">
        <v>32</v>
      </c>
      <c r="K853" s="2">
        <f t="shared" si="91"/>
        <v>24000</v>
      </c>
      <c r="L853" s="9">
        <f>Table_1[[#This Row],[Unit Price]]*Table_1[[#This Row],[Quantity]]</f>
        <v>90000</v>
      </c>
      <c r="M853" s="8">
        <f>Table_1[[#This Row],[Cost Price]]*Table_1[[#This Row],[Quantity]]</f>
        <v>72000</v>
      </c>
      <c r="N853">
        <f>Table_1[[#This Row],[Revenue]]-Table_1[[#This Row],[COGS]]</f>
        <v>18000</v>
      </c>
      <c r="O853" s="11">
        <f t="shared" si="92"/>
        <v>4656740000</v>
      </c>
      <c r="P853">
        <f t="shared" si="93"/>
        <v>3725392000</v>
      </c>
      <c r="Q853">
        <f t="shared" si="94"/>
        <v>931348000</v>
      </c>
      <c r="R853" s="7">
        <f t="shared" si="95"/>
        <v>2098</v>
      </c>
      <c r="S853" s="7">
        <f t="shared" si="96"/>
        <v>2</v>
      </c>
      <c r="T853" s="7">
        <f t="shared" si="97"/>
        <v>2098</v>
      </c>
    </row>
    <row r="854" spans="1:20" ht="14.25" customHeight="1" x14ac:dyDescent="0.35">
      <c r="A854" s="2" t="s">
        <v>53</v>
      </c>
      <c r="B854" s="2" t="s">
        <v>29</v>
      </c>
      <c r="C854" s="2" t="s">
        <v>21</v>
      </c>
      <c r="D854" s="2" t="s">
        <v>26</v>
      </c>
      <c r="E854" s="2" t="s">
        <v>15</v>
      </c>
      <c r="F854" s="2" t="s">
        <v>52</v>
      </c>
      <c r="G854" s="2" t="s">
        <v>36</v>
      </c>
      <c r="H854" s="2">
        <v>420000</v>
      </c>
      <c r="I854" s="2">
        <v>1</v>
      </c>
      <c r="J854" s="2" t="s">
        <v>43</v>
      </c>
      <c r="K854" s="2">
        <f t="shared" si="91"/>
        <v>336000</v>
      </c>
      <c r="L854" s="9">
        <f>Table_1[[#This Row],[Unit Price]]*Table_1[[#This Row],[Quantity]]</f>
        <v>420000</v>
      </c>
      <c r="M854" s="8">
        <f>Table_1[[#This Row],[Cost Price]]*Table_1[[#This Row],[Quantity]]</f>
        <v>336000</v>
      </c>
      <c r="N854">
        <f>Table_1[[#This Row],[Revenue]]-Table_1[[#This Row],[COGS]]</f>
        <v>84000</v>
      </c>
      <c r="O854" s="11">
        <f t="shared" si="92"/>
        <v>4656740000</v>
      </c>
      <c r="P854">
        <f t="shared" si="93"/>
        <v>3725392000</v>
      </c>
      <c r="Q854">
        <f t="shared" si="94"/>
        <v>931348000</v>
      </c>
      <c r="R854" s="7">
        <f t="shared" si="95"/>
        <v>2098</v>
      </c>
      <c r="S854" s="7">
        <f t="shared" si="96"/>
        <v>3</v>
      </c>
      <c r="T854" s="7">
        <f t="shared" si="97"/>
        <v>2098</v>
      </c>
    </row>
    <row r="855" spans="1:20" ht="14.25" customHeight="1" x14ac:dyDescent="0.35">
      <c r="A855" s="2" t="s">
        <v>90</v>
      </c>
      <c r="B855" s="2" t="s">
        <v>20</v>
      </c>
      <c r="C855" s="2" t="s">
        <v>13</v>
      </c>
      <c r="D855" s="2" t="s">
        <v>14</v>
      </c>
      <c r="E855" s="2" t="s">
        <v>22</v>
      </c>
      <c r="F855" s="2" t="s">
        <v>23</v>
      </c>
      <c r="G855" s="2" t="s">
        <v>24</v>
      </c>
      <c r="H855" s="2">
        <v>30000</v>
      </c>
      <c r="I855" s="2">
        <v>5</v>
      </c>
      <c r="J855" s="2" t="s">
        <v>54</v>
      </c>
      <c r="K855" s="2">
        <f t="shared" si="91"/>
        <v>24000</v>
      </c>
      <c r="L855" s="9">
        <f>Table_1[[#This Row],[Unit Price]]*Table_1[[#This Row],[Quantity]]</f>
        <v>150000</v>
      </c>
      <c r="M855" s="8">
        <f>Table_1[[#This Row],[Cost Price]]*Table_1[[#This Row],[Quantity]]</f>
        <v>120000</v>
      </c>
      <c r="N855">
        <f>Table_1[[#This Row],[Revenue]]-Table_1[[#This Row],[COGS]]</f>
        <v>30000</v>
      </c>
      <c r="O855" s="11">
        <f t="shared" si="92"/>
        <v>4656740000</v>
      </c>
      <c r="P855">
        <f t="shared" si="93"/>
        <v>3725392000</v>
      </c>
      <c r="Q855">
        <f t="shared" si="94"/>
        <v>931348000</v>
      </c>
      <c r="R855" s="7">
        <f t="shared" si="95"/>
        <v>2098</v>
      </c>
      <c r="S855" s="7">
        <f t="shared" si="96"/>
        <v>3</v>
      </c>
      <c r="T855" s="7">
        <f t="shared" si="97"/>
        <v>2098</v>
      </c>
    </row>
    <row r="856" spans="1:20" ht="14.25" customHeight="1" x14ac:dyDescent="0.35">
      <c r="A856" s="2" t="s">
        <v>89</v>
      </c>
      <c r="B856" s="2" t="s">
        <v>20</v>
      </c>
      <c r="C856" s="2" t="s">
        <v>38</v>
      </c>
      <c r="D856" s="2" t="s">
        <v>26</v>
      </c>
      <c r="E856" s="2" t="s">
        <v>15</v>
      </c>
      <c r="F856" s="2" t="s">
        <v>52</v>
      </c>
      <c r="G856" s="2" t="s">
        <v>36</v>
      </c>
      <c r="H856" s="2">
        <v>420000</v>
      </c>
      <c r="I856" s="2">
        <v>7</v>
      </c>
      <c r="J856" s="2" t="s">
        <v>18</v>
      </c>
      <c r="K856" s="2">
        <f t="shared" si="91"/>
        <v>336000</v>
      </c>
      <c r="L856" s="9">
        <f>Table_1[[#This Row],[Unit Price]]*Table_1[[#This Row],[Quantity]]</f>
        <v>2940000</v>
      </c>
      <c r="M856" s="8">
        <f>Table_1[[#This Row],[Cost Price]]*Table_1[[#This Row],[Quantity]]</f>
        <v>2352000</v>
      </c>
      <c r="N856">
        <f>Table_1[[#This Row],[Revenue]]-Table_1[[#This Row],[COGS]]</f>
        <v>588000</v>
      </c>
      <c r="O856" s="11">
        <f t="shared" si="92"/>
        <v>4656740000</v>
      </c>
      <c r="P856">
        <f t="shared" si="93"/>
        <v>3725392000</v>
      </c>
      <c r="Q856">
        <f t="shared" si="94"/>
        <v>931348000</v>
      </c>
      <c r="R856" s="7">
        <f t="shared" si="95"/>
        <v>2098</v>
      </c>
      <c r="S856" s="7">
        <f t="shared" si="96"/>
        <v>3</v>
      </c>
      <c r="T856" s="7">
        <f t="shared" si="97"/>
        <v>2098</v>
      </c>
    </row>
    <row r="857" spans="1:20" ht="14.25" customHeight="1" x14ac:dyDescent="0.35">
      <c r="A857" s="2" t="s">
        <v>87</v>
      </c>
      <c r="B857" s="2" t="s">
        <v>29</v>
      </c>
      <c r="C857" s="2" t="s">
        <v>21</v>
      </c>
      <c r="D857" s="2" t="s">
        <v>14</v>
      </c>
      <c r="E857" s="2" t="s">
        <v>22</v>
      </c>
      <c r="F857" s="2" t="s">
        <v>39</v>
      </c>
      <c r="G857" s="2" t="s">
        <v>24</v>
      </c>
      <c r="H857" s="2">
        <v>180000</v>
      </c>
      <c r="I857" s="2">
        <v>8</v>
      </c>
      <c r="J857" s="2" t="s">
        <v>50</v>
      </c>
      <c r="K857" s="2">
        <f t="shared" si="91"/>
        <v>144000</v>
      </c>
      <c r="L857" s="9">
        <f>Table_1[[#This Row],[Unit Price]]*Table_1[[#This Row],[Quantity]]</f>
        <v>1440000</v>
      </c>
      <c r="M857" s="8">
        <f>Table_1[[#This Row],[Cost Price]]*Table_1[[#This Row],[Quantity]]</f>
        <v>1152000</v>
      </c>
      <c r="N857">
        <f>Table_1[[#This Row],[Revenue]]-Table_1[[#This Row],[COGS]]</f>
        <v>288000</v>
      </c>
      <c r="O857" s="11">
        <f t="shared" si="92"/>
        <v>4656740000</v>
      </c>
      <c r="P857">
        <f t="shared" si="93"/>
        <v>3725392000</v>
      </c>
      <c r="Q857">
        <f t="shared" si="94"/>
        <v>931348000</v>
      </c>
      <c r="R857" s="7">
        <f t="shared" si="95"/>
        <v>2098</v>
      </c>
      <c r="S857" s="7">
        <f t="shared" si="96"/>
        <v>3</v>
      </c>
      <c r="T857" s="7">
        <f t="shared" si="97"/>
        <v>2098</v>
      </c>
    </row>
    <row r="858" spans="1:20" ht="14.25" customHeight="1" x14ac:dyDescent="0.35">
      <c r="A858" s="2" t="s">
        <v>123</v>
      </c>
      <c r="B858" s="2" t="s">
        <v>12</v>
      </c>
      <c r="C858" s="2" t="s">
        <v>38</v>
      </c>
      <c r="D858" s="2" t="s">
        <v>26</v>
      </c>
      <c r="E858" s="2" t="s">
        <v>22</v>
      </c>
      <c r="F858" s="2" t="s">
        <v>58</v>
      </c>
      <c r="G858" s="2" t="s">
        <v>24</v>
      </c>
      <c r="H858" s="2">
        <v>220000</v>
      </c>
      <c r="I858" s="2">
        <v>3</v>
      </c>
      <c r="J858" s="2" t="s">
        <v>32</v>
      </c>
      <c r="K858" s="2">
        <f t="shared" si="91"/>
        <v>176000</v>
      </c>
      <c r="L858" s="9">
        <f>Table_1[[#This Row],[Unit Price]]*Table_1[[#This Row],[Quantity]]</f>
        <v>660000</v>
      </c>
      <c r="M858" s="8">
        <f>Table_1[[#This Row],[Cost Price]]*Table_1[[#This Row],[Quantity]]</f>
        <v>528000</v>
      </c>
      <c r="N858">
        <f>Table_1[[#This Row],[Revenue]]-Table_1[[#This Row],[COGS]]</f>
        <v>132000</v>
      </c>
      <c r="O858" s="11">
        <f t="shared" si="92"/>
        <v>4656740000</v>
      </c>
      <c r="P858">
        <f t="shared" si="93"/>
        <v>3725392000</v>
      </c>
      <c r="Q858">
        <f t="shared" si="94"/>
        <v>931348000</v>
      </c>
      <c r="R858" s="7">
        <f t="shared" si="95"/>
        <v>2098</v>
      </c>
      <c r="S858" s="7">
        <f t="shared" si="96"/>
        <v>4</v>
      </c>
      <c r="T858" s="7">
        <f t="shared" si="97"/>
        <v>2098</v>
      </c>
    </row>
    <row r="859" spans="1:20" ht="14.25" customHeight="1" x14ac:dyDescent="0.35">
      <c r="A859" s="2" t="s">
        <v>69</v>
      </c>
      <c r="B859" s="2" t="s">
        <v>20</v>
      </c>
      <c r="C859" s="2" t="s">
        <v>38</v>
      </c>
      <c r="D859" s="2" t="s">
        <v>14</v>
      </c>
      <c r="E859" s="2" t="s">
        <v>15</v>
      </c>
      <c r="F859" s="2" t="s">
        <v>52</v>
      </c>
      <c r="G859" s="2" t="s">
        <v>36</v>
      </c>
      <c r="H859" s="2">
        <v>420000</v>
      </c>
      <c r="I859" s="2">
        <v>3</v>
      </c>
      <c r="J859" s="2" t="s">
        <v>18</v>
      </c>
      <c r="K859" s="2">
        <f t="shared" si="91"/>
        <v>336000</v>
      </c>
      <c r="L859" s="9">
        <f>Table_1[[#This Row],[Unit Price]]*Table_1[[#This Row],[Quantity]]</f>
        <v>1260000</v>
      </c>
      <c r="M859" s="8">
        <f>Table_1[[#This Row],[Cost Price]]*Table_1[[#This Row],[Quantity]]</f>
        <v>1008000</v>
      </c>
      <c r="N859">
        <f>Table_1[[#This Row],[Revenue]]-Table_1[[#This Row],[COGS]]</f>
        <v>252000</v>
      </c>
      <c r="O859" s="11">
        <f t="shared" si="92"/>
        <v>4656740000</v>
      </c>
      <c r="P859">
        <f t="shared" si="93"/>
        <v>3725392000</v>
      </c>
      <c r="Q859">
        <f t="shared" si="94"/>
        <v>931348000</v>
      </c>
      <c r="R859" s="7">
        <f t="shared" si="95"/>
        <v>2098</v>
      </c>
      <c r="S859" s="7">
        <f t="shared" si="96"/>
        <v>1</v>
      </c>
      <c r="T859" s="7">
        <f t="shared" si="97"/>
        <v>2098</v>
      </c>
    </row>
    <row r="860" spans="1:20" ht="14.25" customHeight="1" x14ac:dyDescent="0.35">
      <c r="A860" s="2" t="s">
        <v>130</v>
      </c>
      <c r="B860" s="2" t="s">
        <v>20</v>
      </c>
      <c r="C860" s="2" t="s">
        <v>30</v>
      </c>
      <c r="D860" s="2" t="s">
        <v>14</v>
      </c>
      <c r="E860" s="2" t="s">
        <v>15</v>
      </c>
      <c r="F860" s="2" t="s">
        <v>39</v>
      </c>
      <c r="G860" s="2" t="s">
        <v>24</v>
      </c>
      <c r="H860" s="2">
        <v>180000</v>
      </c>
      <c r="I860" s="2">
        <v>5</v>
      </c>
      <c r="J860" s="2" t="s">
        <v>54</v>
      </c>
      <c r="K860" s="2">
        <f t="shared" si="91"/>
        <v>144000</v>
      </c>
      <c r="L860" s="9">
        <f>Table_1[[#This Row],[Unit Price]]*Table_1[[#This Row],[Quantity]]</f>
        <v>900000</v>
      </c>
      <c r="M860" s="8">
        <f>Table_1[[#This Row],[Cost Price]]*Table_1[[#This Row],[Quantity]]</f>
        <v>720000</v>
      </c>
      <c r="N860">
        <f>Table_1[[#This Row],[Revenue]]-Table_1[[#This Row],[COGS]]</f>
        <v>180000</v>
      </c>
      <c r="O860" s="11">
        <f t="shared" si="92"/>
        <v>4656740000</v>
      </c>
      <c r="P860">
        <f t="shared" si="93"/>
        <v>3725392000</v>
      </c>
      <c r="Q860">
        <f t="shared" si="94"/>
        <v>931348000</v>
      </c>
      <c r="R860" s="7">
        <f t="shared" si="95"/>
        <v>2098</v>
      </c>
      <c r="S860" s="7">
        <f t="shared" si="96"/>
        <v>1</v>
      </c>
      <c r="T860" s="7">
        <f t="shared" si="97"/>
        <v>2098</v>
      </c>
    </row>
    <row r="861" spans="1:20" ht="14.25" customHeight="1" x14ac:dyDescent="0.35">
      <c r="A861" s="2" t="s">
        <v>137</v>
      </c>
      <c r="B861" s="2" t="s">
        <v>12</v>
      </c>
      <c r="C861" s="2" t="s">
        <v>30</v>
      </c>
      <c r="D861" s="2" t="s">
        <v>26</v>
      </c>
      <c r="E861" s="2" t="s">
        <v>15</v>
      </c>
      <c r="F861" s="2" t="s">
        <v>58</v>
      </c>
      <c r="G861" s="2" t="s">
        <v>24</v>
      </c>
      <c r="H861" s="2">
        <v>220000</v>
      </c>
      <c r="I861" s="2">
        <v>5</v>
      </c>
      <c r="J861" s="2" t="s">
        <v>32</v>
      </c>
      <c r="K861" s="2">
        <f t="shared" si="91"/>
        <v>176000</v>
      </c>
      <c r="L861" s="9">
        <f>Table_1[[#This Row],[Unit Price]]*Table_1[[#This Row],[Quantity]]</f>
        <v>1100000</v>
      </c>
      <c r="M861" s="8">
        <f>Table_1[[#This Row],[Cost Price]]*Table_1[[#This Row],[Quantity]]</f>
        <v>880000</v>
      </c>
      <c r="N861">
        <f>Table_1[[#This Row],[Revenue]]-Table_1[[#This Row],[COGS]]</f>
        <v>220000</v>
      </c>
      <c r="O861" s="11">
        <f t="shared" si="92"/>
        <v>4656740000</v>
      </c>
      <c r="P861">
        <f t="shared" si="93"/>
        <v>3725392000</v>
      </c>
      <c r="Q861">
        <f t="shared" si="94"/>
        <v>931348000</v>
      </c>
      <c r="R861" s="7">
        <f t="shared" si="95"/>
        <v>2098</v>
      </c>
      <c r="S861" s="7">
        <f t="shared" si="96"/>
        <v>1</v>
      </c>
      <c r="T861" s="7">
        <f t="shared" si="97"/>
        <v>2098</v>
      </c>
    </row>
    <row r="862" spans="1:20" ht="14.25" customHeight="1" x14ac:dyDescent="0.35">
      <c r="A862" s="2" t="s">
        <v>73</v>
      </c>
      <c r="B862" s="2" t="s">
        <v>34</v>
      </c>
      <c r="C862" s="2" t="s">
        <v>38</v>
      </c>
      <c r="D862" s="2" t="s">
        <v>26</v>
      </c>
      <c r="E862" s="2" t="s">
        <v>15</v>
      </c>
      <c r="F862" s="2" t="s">
        <v>56</v>
      </c>
      <c r="G862" s="2" t="s">
        <v>36</v>
      </c>
      <c r="H862" s="2">
        <v>250000</v>
      </c>
      <c r="I862" s="2">
        <v>2</v>
      </c>
      <c r="J862" s="2" t="s">
        <v>43</v>
      </c>
      <c r="K862" s="2">
        <f t="shared" si="91"/>
        <v>200000</v>
      </c>
      <c r="L862" s="9">
        <f>Table_1[[#This Row],[Unit Price]]*Table_1[[#This Row],[Quantity]]</f>
        <v>500000</v>
      </c>
      <c r="M862" s="8">
        <f>Table_1[[#This Row],[Cost Price]]*Table_1[[#This Row],[Quantity]]</f>
        <v>400000</v>
      </c>
      <c r="N862">
        <f>Table_1[[#This Row],[Revenue]]-Table_1[[#This Row],[COGS]]</f>
        <v>100000</v>
      </c>
      <c r="O862" s="11">
        <f t="shared" si="92"/>
        <v>4656740000</v>
      </c>
      <c r="P862">
        <f t="shared" si="93"/>
        <v>3725392000</v>
      </c>
      <c r="Q862">
        <f t="shared" si="94"/>
        <v>931348000</v>
      </c>
      <c r="R862" s="7">
        <f t="shared" si="95"/>
        <v>2098</v>
      </c>
      <c r="S862" s="7">
        <f t="shared" si="96"/>
        <v>2</v>
      </c>
      <c r="T862" s="7">
        <f t="shared" si="97"/>
        <v>2098</v>
      </c>
    </row>
    <row r="863" spans="1:20" ht="14.25" customHeight="1" x14ac:dyDescent="0.35">
      <c r="A863" s="2" t="s">
        <v>128</v>
      </c>
      <c r="B863" s="2" t="s">
        <v>20</v>
      </c>
      <c r="C863" s="2" t="s">
        <v>30</v>
      </c>
      <c r="D863" s="2" t="s">
        <v>26</v>
      </c>
      <c r="E863" s="2" t="s">
        <v>15</v>
      </c>
      <c r="F863" s="2" t="s">
        <v>52</v>
      </c>
      <c r="G863" s="2" t="s">
        <v>36</v>
      </c>
      <c r="H863" s="2">
        <v>420000</v>
      </c>
      <c r="I863" s="2">
        <v>3</v>
      </c>
      <c r="J863" s="2" t="s">
        <v>43</v>
      </c>
      <c r="K863" s="2">
        <f t="shared" si="91"/>
        <v>336000</v>
      </c>
      <c r="L863" s="9">
        <f>Table_1[[#This Row],[Unit Price]]*Table_1[[#This Row],[Quantity]]</f>
        <v>1260000</v>
      </c>
      <c r="M863" s="8">
        <f>Table_1[[#This Row],[Cost Price]]*Table_1[[#This Row],[Quantity]]</f>
        <v>1008000</v>
      </c>
      <c r="N863">
        <f>Table_1[[#This Row],[Revenue]]-Table_1[[#This Row],[COGS]]</f>
        <v>252000</v>
      </c>
      <c r="O863" s="11">
        <f t="shared" si="92"/>
        <v>4656740000</v>
      </c>
      <c r="P863">
        <f t="shared" si="93"/>
        <v>3725392000</v>
      </c>
      <c r="Q863">
        <f t="shared" si="94"/>
        <v>931348000</v>
      </c>
      <c r="R863" s="7">
        <f t="shared" si="95"/>
        <v>2098</v>
      </c>
      <c r="S863" s="7">
        <f t="shared" si="96"/>
        <v>4</v>
      </c>
      <c r="T863" s="7">
        <f t="shared" si="97"/>
        <v>2098</v>
      </c>
    </row>
    <row r="864" spans="1:20" ht="14.25" customHeight="1" x14ac:dyDescent="0.35">
      <c r="A864" s="2" t="s">
        <v>131</v>
      </c>
      <c r="B864" s="2" t="s">
        <v>20</v>
      </c>
      <c r="C864" s="2" t="s">
        <v>21</v>
      </c>
      <c r="D864" s="2" t="s">
        <v>26</v>
      </c>
      <c r="E864" s="2" t="s">
        <v>15</v>
      </c>
      <c r="F864" s="2" t="s">
        <v>52</v>
      </c>
      <c r="G864" s="2" t="s">
        <v>36</v>
      </c>
      <c r="H864" s="2">
        <v>420000</v>
      </c>
      <c r="I864" s="2">
        <v>8</v>
      </c>
      <c r="J864" s="2" t="s">
        <v>32</v>
      </c>
      <c r="K864" s="2">
        <f t="shared" si="91"/>
        <v>336000</v>
      </c>
      <c r="L864" s="9">
        <f>Table_1[[#This Row],[Unit Price]]*Table_1[[#This Row],[Quantity]]</f>
        <v>3360000</v>
      </c>
      <c r="M864" s="8">
        <f>Table_1[[#This Row],[Cost Price]]*Table_1[[#This Row],[Quantity]]</f>
        <v>2688000</v>
      </c>
      <c r="N864">
        <f>Table_1[[#This Row],[Revenue]]-Table_1[[#This Row],[COGS]]</f>
        <v>672000</v>
      </c>
      <c r="O864" s="11">
        <f t="shared" si="92"/>
        <v>4656740000</v>
      </c>
      <c r="P864">
        <f t="shared" si="93"/>
        <v>3725392000</v>
      </c>
      <c r="Q864">
        <f t="shared" si="94"/>
        <v>931348000</v>
      </c>
      <c r="R864" s="7">
        <f t="shared" si="95"/>
        <v>2098</v>
      </c>
      <c r="S864" s="7">
        <f t="shared" si="96"/>
        <v>1</v>
      </c>
      <c r="T864" s="7">
        <f t="shared" si="97"/>
        <v>2098</v>
      </c>
    </row>
    <row r="865" spans="1:20" ht="14.25" customHeight="1" x14ac:dyDescent="0.35">
      <c r="A865" s="2" t="s">
        <v>91</v>
      </c>
      <c r="B865" s="2" t="s">
        <v>20</v>
      </c>
      <c r="C865" s="2" t="s">
        <v>13</v>
      </c>
      <c r="D865" s="2" t="s">
        <v>26</v>
      </c>
      <c r="E865" s="2" t="s">
        <v>15</v>
      </c>
      <c r="F865" s="2" t="s">
        <v>52</v>
      </c>
      <c r="G865" s="2" t="s">
        <v>36</v>
      </c>
      <c r="H865" s="2">
        <v>420000</v>
      </c>
      <c r="I865" s="2">
        <v>7</v>
      </c>
      <c r="J865" s="2" t="s">
        <v>18</v>
      </c>
      <c r="K865" s="2">
        <f t="shared" si="91"/>
        <v>336000</v>
      </c>
      <c r="L865" s="9">
        <f>Table_1[[#This Row],[Unit Price]]*Table_1[[#This Row],[Quantity]]</f>
        <v>2940000</v>
      </c>
      <c r="M865" s="8">
        <f>Table_1[[#This Row],[Cost Price]]*Table_1[[#This Row],[Quantity]]</f>
        <v>2352000</v>
      </c>
      <c r="N865">
        <f>Table_1[[#This Row],[Revenue]]-Table_1[[#This Row],[COGS]]</f>
        <v>588000</v>
      </c>
      <c r="O865" s="11">
        <f t="shared" si="92"/>
        <v>4656740000</v>
      </c>
      <c r="P865">
        <f t="shared" si="93"/>
        <v>3725392000</v>
      </c>
      <c r="Q865">
        <f t="shared" si="94"/>
        <v>931348000</v>
      </c>
      <c r="R865" s="7">
        <f t="shared" si="95"/>
        <v>2098</v>
      </c>
      <c r="S865" s="7">
        <f t="shared" si="96"/>
        <v>4</v>
      </c>
      <c r="T865" s="7">
        <f t="shared" si="97"/>
        <v>2098</v>
      </c>
    </row>
    <row r="866" spans="1:20" ht="14.25" customHeight="1" x14ac:dyDescent="0.35">
      <c r="A866" s="2" t="s">
        <v>28</v>
      </c>
      <c r="B866" s="2" t="s">
        <v>12</v>
      </c>
      <c r="C866" s="2" t="s">
        <v>30</v>
      </c>
      <c r="D866" s="2" t="s">
        <v>26</v>
      </c>
      <c r="E866" s="2" t="s">
        <v>15</v>
      </c>
      <c r="F866" s="2" t="s">
        <v>41</v>
      </c>
      <c r="G866" s="2" t="s">
        <v>17</v>
      </c>
      <c r="H866" s="2">
        <v>320000</v>
      </c>
      <c r="I866" s="2">
        <v>6</v>
      </c>
      <c r="J866" s="2" t="s">
        <v>32</v>
      </c>
      <c r="K866" s="2">
        <f t="shared" si="91"/>
        <v>256000</v>
      </c>
      <c r="L866" s="9">
        <f>Table_1[[#This Row],[Unit Price]]*Table_1[[#This Row],[Quantity]]</f>
        <v>1920000</v>
      </c>
      <c r="M866" s="8">
        <f>Table_1[[#This Row],[Cost Price]]*Table_1[[#This Row],[Quantity]]</f>
        <v>1536000</v>
      </c>
      <c r="N866">
        <f>Table_1[[#This Row],[Revenue]]-Table_1[[#This Row],[COGS]]</f>
        <v>384000</v>
      </c>
      <c r="O866" s="11">
        <f t="shared" si="92"/>
        <v>4656740000</v>
      </c>
      <c r="P866">
        <f t="shared" si="93"/>
        <v>3725392000</v>
      </c>
      <c r="Q866">
        <f t="shared" si="94"/>
        <v>931348000</v>
      </c>
      <c r="R866" s="7">
        <f t="shared" si="95"/>
        <v>2098</v>
      </c>
      <c r="S866" s="7">
        <f t="shared" si="96"/>
        <v>4</v>
      </c>
      <c r="T866" s="7">
        <f t="shared" si="97"/>
        <v>2098</v>
      </c>
    </row>
    <row r="867" spans="1:20" ht="14.25" customHeight="1" x14ac:dyDescent="0.35">
      <c r="A867" s="2" t="s">
        <v>64</v>
      </c>
      <c r="B867" s="2" t="s">
        <v>34</v>
      </c>
      <c r="C867" s="2" t="s">
        <v>30</v>
      </c>
      <c r="D867" s="2" t="s">
        <v>26</v>
      </c>
      <c r="E867" s="2" t="s">
        <v>15</v>
      </c>
      <c r="F867" s="2" t="s">
        <v>31</v>
      </c>
      <c r="G867" s="2" t="s">
        <v>24</v>
      </c>
      <c r="H867" s="2">
        <v>60000</v>
      </c>
      <c r="I867" s="2">
        <v>3</v>
      </c>
      <c r="J867" s="2" t="s">
        <v>32</v>
      </c>
      <c r="K867" s="2">
        <f t="shared" si="91"/>
        <v>48000</v>
      </c>
      <c r="L867" s="9">
        <f>Table_1[[#This Row],[Unit Price]]*Table_1[[#This Row],[Quantity]]</f>
        <v>180000</v>
      </c>
      <c r="M867" s="8">
        <f>Table_1[[#This Row],[Cost Price]]*Table_1[[#This Row],[Quantity]]</f>
        <v>144000</v>
      </c>
      <c r="N867">
        <f>Table_1[[#This Row],[Revenue]]-Table_1[[#This Row],[COGS]]</f>
        <v>36000</v>
      </c>
      <c r="O867" s="11">
        <f t="shared" si="92"/>
        <v>4656740000</v>
      </c>
      <c r="P867">
        <f t="shared" si="93"/>
        <v>3725392000</v>
      </c>
      <c r="Q867">
        <f t="shared" si="94"/>
        <v>931348000</v>
      </c>
      <c r="R867" s="7">
        <f t="shared" si="95"/>
        <v>2098</v>
      </c>
      <c r="S867" s="7">
        <f t="shared" si="96"/>
        <v>2</v>
      </c>
      <c r="T867" s="7">
        <f t="shared" si="97"/>
        <v>2098</v>
      </c>
    </row>
    <row r="868" spans="1:20" ht="14.25" customHeight="1" x14ac:dyDescent="0.35">
      <c r="A868" s="2" t="s">
        <v>121</v>
      </c>
      <c r="B868" s="2" t="s">
        <v>12</v>
      </c>
      <c r="C868" s="2" t="s">
        <v>13</v>
      </c>
      <c r="D868" s="2" t="s">
        <v>26</v>
      </c>
      <c r="E868" s="2" t="s">
        <v>22</v>
      </c>
      <c r="F868" s="2" t="s">
        <v>16</v>
      </c>
      <c r="G868" s="2" t="s">
        <v>17</v>
      </c>
      <c r="H868" s="2">
        <v>85000</v>
      </c>
      <c r="I868" s="2">
        <v>8</v>
      </c>
      <c r="J868" s="2" t="s">
        <v>18</v>
      </c>
      <c r="K868" s="2">
        <f t="shared" si="91"/>
        <v>68000</v>
      </c>
      <c r="L868" s="9">
        <f>Table_1[[#This Row],[Unit Price]]*Table_1[[#This Row],[Quantity]]</f>
        <v>680000</v>
      </c>
      <c r="M868" s="8">
        <f>Table_1[[#This Row],[Cost Price]]*Table_1[[#This Row],[Quantity]]</f>
        <v>544000</v>
      </c>
      <c r="N868">
        <f>Table_1[[#This Row],[Revenue]]-Table_1[[#This Row],[COGS]]</f>
        <v>136000</v>
      </c>
      <c r="O868" s="11">
        <f t="shared" si="92"/>
        <v>4656740000</v>
      </c>
      <c r="P868">
        <f t="shared" si="93"/>
        <v>3725392000</v>
      </c>
      <c r="Q868">
        <f t="shared" si="94"/>
        <v>931348000</v>
      </c>
      <c r="R868" s="7">
        <f t="shared" si="95"/>
        <v>2098</v>
      </c>
      <c r="S868" s="7">
        <f t="shared" si="96"/>
        <v>2</v>
      </c>
      <c r="T868" s="7">
        <f t="shared" si="97"/>
        <v>2098</v>
      </c>
    </row>
    <row r="869" spans="1:20" ht="14.25" customHeight="1" x14ac:dyDescent="0.35">
      <c r="A869" s="2" t="s">
        <v>48</v>
      </c>
      <c r="B869" s="2" t="s">
        <v>12</v>
      </c>
      <c r="C869" s="2" t="s">
        <v>13</v>
      </c>
      <c r="D869" s="2" t="s">
        <v>26</v>
      </c>
      <c r="E869" s="2" t="s">
        <v>22</v>
      </c>
      <c r="F869" s="2" t="s">
        <v>39</v>
      </c>
      <c r="G869" s="2" t="s">
        <v>24</v>
      </c>
      <c r="H869" s="2">
        <v>180000</v>
      </c>
      <c r="I869" s="2">
        <v>9</v>
      </c>
      <c r="J869" s="2" t="s">
        <v>43</v>
      </c>
      <c r="K869" s="2">
        <f t="shared" si="91"/>
        <v>144000</v>
      </c>
      <c r="L869" s="9">
        <f>Table_1[[#This Row],[Unit Price]]*Table_1[[#This Row],[Quantity]]</f>
        <v>1620000</v>
      </c>
      <c r="M869" s="8">
        <f>Table_1[[#This Row],[Cost Price]]*Table_1[[#This Row],[Quantity]]</f>
        <v>1296000</v>
      </c>
      <c r="N869">
        <f>Table_1[[#This Row],[Revenue]]-Table_1[[#This Row],[COGS]]</f>
        <v>324000</v>
      </c>
      <c r="O869" s="11">
        <f t="shared" si="92"/>
        <v>4656740000</v>
      </c>
      <c r="P869">
        <f t="shared" si="93"/>
        <v>3725392000</v>
      </c>
      <c r="Q869">
        <f t="shared" si="94"/>
        <v>931348000</v>
      </c>
      <c r="R869" s="7">
        <f t="shared" si="95"/>
        <v>2098</v>
      </c>
      <c r="S869" s="7">
        <f t="shared" si="96"/>
        <v>1</v>
      </c>
      <c r="T869" s="7">
        <f t="shared" si="97"/>
        <v>2098</v>
      </c>
    </row>
    <row r="870" spans="1:20" ht="14.25" customHeight="1" x14ac:dyDescent="0.35">
      <c r="A870" s="2" t="s">
        <v>109</v>
      </c>
      <c r="B870" s="2" t="s">
        <v>12</v>
      </c>
      <c r="C870" s="2" t="s">
        <v>30</v>
      </c>
      <c r="D870" s="2" t="s">
        <v>26</v>
      </c>
      <c r="E870" s="2" t="s">
        <v>22</v>
      </c>
      <c r="F870" s="2" t="s">
        <v>58</v>
      </c>
      <c r="G870" s="2" t="s">
        <v>24</v>
      </c>
      <c r="H870" s="2">
        <v>220000</v>
      </c>
      <c r="I870" s="2">
        <v>5</v>
      </c>
      <c r="J870" s="2" t="s">
        <v>43</v>
      </c>
      <c r="K870" s="2">
        <f t="shared" si="91"/>
        <v>176000</v>
      </c>
      <c r="L870" s="9">
        <f>Table_1[[#This Row],[Unit Price]]*Table_1[[#This Row],[Quantity]]</f>
        <v>1100000</v>
      </c>
      <c r="M870" s="8">
        <f>Table_1[[#This Row],[Cost Price]]*Table_1[[#This Row],[Quantity]]</f>
        <v>880000</v>
      </c>
      <c r="N870">
        <f>Table_1[[#This Row],[Revenue]]-Table_1[[#This Row],[COGS]]</f>
        <v>220000</v>
      </c>
      <c r="O870" s="11">
        <f t="shared" si="92"/>
        <v>4656740000</v>
      </c>
      <c r="P870">
        <f t="shared" si="93"/>
        <v>3725392000</v>
      </c>
      <c r="Q870">
        <f t="shared" si="94"/>
        <v>931348000</v>
      </c>
      <c r="R870" s="7">
        <f t="shared" si="95"/>
        <v>2098</v>
      </c>
      <c r="S870" s="7">
        <f t="shared" si="96"/>
        <v>2</v>
      </c>
      <c r="T870" s="7">
        <f t="shared" si="97"/>
        <v>2098</v>
      </c>
    </row>
    <row r="871" spans="1:20" ht="14.25" customHeight="1" x14ac:dyDescent="0.35">
      <c r="A871" s="2" t="s">
        <v>130</v>
      </c>
      <c r="B871" s="2" t="s">
        <v>29</v>
      </c>
      <c r="C871" s="2" t="s">
        <v>30</v>
      </c>
      <c r="D871" s="2" t="s">
        <v>26</v>
      </c>
      <c r="E871" s="2" t="s">
        <v>22</v>
      </c>
      <c r="F871" s="2" t="s">
        <v>39</v>
      </c>
      <c r="G871" s="2" t="s">
        <v>24</v>
      </c>
      <c r="H871" s="2">
        <v>180000</v>
      </c>
      <c r="I871" s="2">
        <v>5</v>
      </c>
      <c r="J871" s="2" t="s">
        <v>43</v>
      </c>
      <c r="K871" s="2">
        <f t="shared" si="91"/>
        <v>144000</v>
      </c>
      <c r="L871" s="9">
        <f>Table_1[[#This Row],[Unit Price]]*Table_1[[#This Row],[Quantity]]</f>
        <v>900000</v>
      </c>
      <c r="M871" s="8">
        <f>Table_1[[#This Row],[Cost Price]]*Table_1[[#This Row],[Quantity]]</f>
        <v>720000</v>
      </c>
      <c r="N871">
        <f>Table_1[[#This Row],[Revenue]]-Table_1[[#This Row],[COGS]]</f>
        <v>180000</v>
      </c>
      <c r="O871" s="11">
        <f t="shared" si="92"/>
        <v>4656740000</v>
      </c>
      <c r="P871">
        <f t="shared" si="93"/>
        <v>3725392000</v>
      </c>
      <c r="Q871">
        <f t="shared" si="94"/>
        <v>931348000</v>
      </c>
      <c r="R871" s="7">
        <f t="shared" si="95"/>
        <v>2098</v>
      </c>
      <c r="S871" s="7">
        <f t="shared" si="96"/>
        <v>1</v>
      </c>
      <c r="T871" s="7">
        <f t="shared" si="97"/>
        <v>2098</v>
      </c>
    </row>
    <row r="872" spans="1:20" ht="14.25" customHeight="1" x14ac:dyDescent="0.35">
      <c r="A872" s="2" t="s">
        <v>103</v>
      </c>
      <c r="B872" s="2" t="s">
        <v>12</v>
      </c>
      <c r="C872" s="2" t="s">
        <v>21</v>
      </c>
      <c r="D872" s="2" t="s">
        <v>26</v>
      </c>
      <c r="E872" s="2" t="s">
        <v>15</v>
      </c>
      <c r="F872" s="2" t="s">
        <v>31</v>
      </c>
      <c r="G872" s="2" t="s">
        <v>24</v>
      </c>
      <c r="H872" s="2">
        <v>60000</v>
      </c>
      <c r="I872" s="2">
        <v>7</v>
      </c>
      <c r="J872" s="2" t="s">
        <v>18</v>
      </c>
      <c r="K872" s="2">
        <f t="shared" si="91"/>
        <v>48000</v>
      </c>
      <c r="L872" s="9">
        <f>Table_1[[#This Row],[Unit Price]]*Table_1[[#This Row],[Quantity]]</f>
        <v>420000</v>
      </c>
      <c r="M872" s="8">
        <f>Table_1[[#This Row],[Cost Price]]*Table_1[[#This Row],[Quantity]]</f>
        <v>336000</v>
      </c>
      <c r="N872">
        <f>Table_1[[#This Row],[Revenue]]-Table_1[[#This Row],[COGS]]</f>
        <v>84000</v>
      </c>
      <c r="O872" s="11">
        <f t="shared" si="92"/>
        <v>4656740000</v>
      </c>
      <c r="P872">
        <f t="shared" si="93"/>
        <v>3725392000</v>
      </c>
      <c r="Q872">
        <f t="shared" si="94"/>
        <v>931348000</v>
      </c>
      <c r="R872" s="7">
        <f t="shared" si="95"/>
        <v>2098</v>
      </c>
      <c r="S872" s="7">
        <f t="shared" si="96"/>
        <v>3</v>
      </c>
      <c r="T872" s="7">
        <f t="shared" si="97"/>
        <v>2098</v>
      </c>
    </row>
    <row r="873" spans="1:20" ht="14.25" customHeight="1" x14ac:dyDescent="0.35">
      <c r="A873" s="2" t="s">
        <v>91</v>
      </c>
      <c r="B873" s="2" t="s">
        <v>29</v>
      </c>
      <c r="C873" s="2" t="s">
        <v>30</v>
      </c>
      <c r="D873" s="2" t="s">
        <v>26</v>
      </c>
      <c r="E873" s="2" t="s">
        <v>22</v>
      </c>
      <c r="F873" s="2" t="s">
        <v>47</v>
      </c>
      <c r="G873" s="2" t="s">
        <v>36</v>
      </c>
      <c r="H873" s="2">
        <v>150000</v>
      </c>
      <c r="I873" s="2">
        <v>7</v>
      </c>
      <c r="J873" s="2" t="s">
        <v>43</v>
      </c>
      <c r="K873" s="2">
        <f t="shared" si="91"/>
        <v>120000</v>
      </c>
      <c r="L873" s="9">
        <f>Table_1[[#This Row],[Unit Price]]*Table_1[[#This Row],[Quantity]]</f>
        <v>1050000</v>
      </c>
      <c r="M873" s="8">
        <f>Table_1[[#This Row],[Cost Price]]*Table_1[[#This Row],[Quantity]]</f>
        <v>840000</v>
      </c>
      <c r="N873">
        <f>Table_1[[#This Row],[Revenue]]-Table_1[[#This Row],[COGS]]</f>
        <v>210000</v>
      </c>
      <c r="O873" s="11">
        <f t="shared" si="92"/>
        <v>4656740000</v>
      </c>
      <c r="P873">
        <f t="shared" si="93"/>
        <v>3725392000</v>
      </c>
      <c r="Q873">
        <f t="shared" si="94"/>
        <v>931348000</v>
      </c>
      <c r="R873" s="7">
        <f t="shared" si="95"/>
        <v>2098</v>
      </c>
      <c r="S873" s="7">
        <f t="shared" si="96"/>
        <v>4</v>
      </c>
      <c r="T873" s="7">
        <f t="shared" si="97"/>
        <v>2098</v>
      </c>
    </row>
    <row r="874" spans="1:20" ht="14.25" customHeight="1" x14ac:dyDescent="0.35">
      <c r="A874" s="2" t="s">
        <v>99</v>
      </c>
      <c r="B874" s="2" t="s">
        <v>20</v>
      </c>
      <c r="C874" s="2" t="s">
        <v>13</v>
      </c>
      <c r="D874" s="2" t="s">
        <v>26</v>
      </c>
      <c r="E874" s="2" t="s">
        <v>22</v>
      </c>
      <c r="F874" s="2" t="s">
        <v>23</v>
      </c>
      <c r="G874" s="2" t="s">
        <v>24</v>
      </c>
      <c r="H874" s="2">
        <v>30000</v>
      </c>
      <c r="I874" s="2">
        <v>4</v>
      </c>
      <c r="J874" s="2" t="s">
        <v>50</v>
      </c>
      <c r="K874" s="2">
        <f t="shared" si="91"/>
        <v>24000</v>
      </c>
      <c r="L874" s="9">
        <f>Table_1[[#This Row],[Unit Price]]*Table_1[[#This Row],[Quantity]]</f>
        <v>120000</v>
      </c>
      <c r="M874" s="8">
        <f>Table_1[[#This Row],[Cost Price]]*Table_1[[#This Row],[Quantity]]</f>
        <v>96000</v>
      </c>
      <c r="N874">
        <f>Table_1[[#This Row],[Revenue]]-Table_1[[#This Row],[COGS]]</f>
        <v>24000</v>
      </c>
      <c r="O874" s="11">
        <f t="shared" si="92"/>
        <v>4656740000</v>
      </c>
      <c r="P874">
        <f t="shared" si="93"/>
        <v>3725392000</v>
      </c>
      <c r="Q874">
        <f t="shared" si="94"/>
        <v>931348000</v>
      </c>
      <c r="R874" s="7">
        <f t="shared" si="95"/>
        <v>2098</v>
      </c>
      <c r="S874" s="7">
        <f t="shared" si="96"/>
        <v>4</v>
      </c>
      <c r="T874" s="7">
        <f t="shared" si="97"/>
        <v>2098</v>
      </c>
    </row>
    <row r="875" spans="1:20" ht="14.25" customHeight="1" x14ac:dyDescent="0.35">
      <c r="A875" s="2" t="s">
        <v>143</v>
      </c>
      <c r="B875" s="2" t="s">
        <v>12</v>
      </c>
      <c r="C875" s="2" t="s">
        <v>38</v>
      </c>
      <c r="D875" s="2" t="s">
        <v>26</v>
      </c>
      <c r="E875" s="2" t="s">
        <v>22</v>
      </c>
      <c r="F875" s="2" t="s">
        <v>52</v>
      </c>
      <c r="G875" s="2" t="s">
        <v>36</v>
      </c>
      <c r="H875" s="2">
        <v>420000</v>
      </c>
      <c r="I875" s="2">
        <v>1</v>
      </c>
      <c r="J875" s="2" t="s">
        <v>50</v>
      </c>
      <c r="K875" s="2">
        <f t="shared" si="91"/>
        <v>336000</v>
      </c>
      <c r="L875" s="9">
        <f>Table_1[[#This Row],[Unit Price]]*Table_1[[#This Row],[Quantity]]</f>
        <v>420000</v>
      </c>
      <c r="M875" s="8">
        <f>Table_1[[#This Row],[Cost Price]]*Table_1[[#This Row],[Quantity]]</f>
        <v>336000</v>
      </c>
      <c r="N875">
        <f>Table_1[[#This Row],[Revenue]]-Table_1[[#This Row],[COGS]]</f>
        <v>84000</v>
      </c>
      <c r="O875" s="11">
        <f t="shared" si="92"/>
        <v>4656740000</v>
      </c>
      <c r="P875">
        <f t="shared" si="93"/>
        <v>3725392000</v>
      </c>
      <c r="Q875">
        <f t="shared" si="94"/>
        <v>931348000</v>
      </c>
      <c r="R875" s="7">
        <f t="shared" si="95"/>
        <v>2098</v>
      </c>
      <c r="S875" s="7">
        <f t="shared" si="96"/>
        <v>1</v>
      </c>
      <c r="T875" s="7">
        <f t="shared" si="97"/>
        <v>2098</v>
      </c>
    </row>
    <row r="876" spans="1:20" ht="14.25" customHeight="1" x14ac:dyDescent="0.35">
      <c r="A876" s="2" t="s">
        <v>110</v>
      </c>
      <c r="B876" s="2" t="s">
        <v>12</v>
      </c>
      <c r="C876" s="2" t="s">
        <v>30</v>
      </c>
      <c r="D876" s="2" t="s">
        <v>26</v>
      </c>
      <c r="E876" s="2" t="s">
        <v>22</v>
      </c>
      <c r="F876" s="2" t="s">
        <v>52</v>
      </c>
      <c r="G876" s="2" t="s">
        <v>36</v>
      </c>
      <c r="H876" s="2">
        <v>420000</v>
      </c>
      <c r="I876" s="2">
        <v>4</v>
      </c>
      <c r="J876" s="2" t="s">
        <v>43</v>
      </c>
      <c r="K876" s="2">
        <f t="shared" si="91"/>
        <v>336000</v>
      </c>
      <c r="L876" s="9">
        <f>Table_1[[#This Row],[Unit Price]]*Table_1[[#This Row],[Quantity]]</f>
        <v>1680000</v>
      </c>
      <c r="M876" s="8">
        <f>Table_1[[#This Row],[Cost Price]]*Table_1[[#This Row],[Quantity]]</f>
        <v>1344000</v>
      </c>
      <c r="N876">
        <f>Table_1[[#This Row],[Revenue]]-Table_1[[#This Row],[COGS]]</f>
        <v>336000</v>
      </c>
      <c r="O876" s="11">
        <f t="shared" si="92"/>
        <v>4656740000</v>
      </c>
      <c r="P876">
        <f t="shared" si="93"/>
        <v>3725392000</v>
      </c>
      <c r="Q876">
        <f t="shared" si="94"/>
        <v>931348000</v>
      </c>
      <c r="R876" s="7">
        <f t="shared" si="95"/>
        <v>2098</v>
      </c>
      <c r="S876" s="7">
        <f t="shared" si="96"/>
        <v>2</v>
      </c>
      <c r="T876" s="7">
        <f t="shared" si="97"/>
        <v>2098</v>
      </c>
    </row>
    <row r="877" spans="1:20" ht="14.25" customHeight="1" x14ac:dyDescent="0.35">
      <c r="A877" s="2" t="s">
        <v>121</v>
      </c>
      <c r="B877" s="2" t="s">
        <v>34</v>
      </c>
      <c r="C877" s="2" t="s">
        <v>30</v>
      </c>
      <c r="D877" s="2" t="s">
        <v>26</v>
      </c>
      <c r="E877" s="2" t="s">
        <v>15</v>
      </c>
      <c r="F877" s="2" t="s">
        <v>16</v>
      </c>
      <c r="G877" s="2" t="s">
        <v>17</v>
      </c>
      <c r="H877" s="2">
        <v>85000</v>
      </c>
      <c r="I877" s="2">
        <v>4</v>
      </c>
      <c r="J877" s="2" t="s">
        <v>43</v>
      </c>
      <c r="K877" s="2">
        <f t="shared" si="91"/>
        <v>68000</v>
      </c>
      <c r="L877" s="9">
        <f>Table_1[[#This Row],[Unit Price]]*Table_1[[#This Row],[Quantity]]</f>
        <v>340000</v>
      </c>
      <c r="M877" s="8">
        <f>Table_1[[#This Row],[Cost Price]]*Table_1[[#This Row],[Quantity]]</f>
        <v>272000</v>
      </c>
      <c r="N877">
        <f>Table_1[[#This Row],[Revenue]]-Table_1[[#This Row],[COGS]]</f>
        <v>68000</v>
      </c>
      <c r="O877" s="11">
        <f t="shared" si="92"/>
        <v>4656740000</v>
      </c>
      <c r="P877">
        <f t="shared" si="93"/>
        <v>3725392000</v>
      </c>
      <c r="Q877">
        <f t="shared" si="94"/>
        <v>931348000</v>
      </c>
      <c r="R877" s="7">
        <f t="shared" si="95"/>
        <v>2098</v>
      </c>
      <c r="S877" s="7">
        <f t="shared" si="96"/>
        <v>2</v>
      </c>
      <c r="T877" s="7">
        <f t="shared" si="97"/>
        <v>2098</v>
      </c>
    </row>
    <row r="878" spans="1:20" ht="14.25" customHeight="1" x14ac:dyDescent="0.35">
      <c r="A878" s="2" t="s">
        <v>148</v>
      </c>
      <c r="B878" s="2" t="s">
        <v>12</v>
      </c>
      <c r="C878" s="2" t="s">
        <v>21</v>
      </c>
      <c r="D878" s="2" t="s">
        <v>26</v>
      </c>
      <c r="E878" s="2" t="s">
        <v>22</v>
      </c>
      <c r="F878" s="2" t="s">
        <v>41</v>
      </c>
      <c r="G878" s="2" t="s">
        <v>17</v>
      </c>
      <c r="H878" s="2">
        <v>320000</v>
      </c>
      <c r="I878" s="2">
        <v>5</v>
      </c>
      <c r="J878" s="2" t="s">
        <v>32</v>
      </c>
      <c r="K878" s="2">
        <f t="shared" si="91"/>
        <v>256000</v>
      </c>
      <c r="L878" s="9">
        <f>Table_1[[#This Row],[Unit Price]]*Table_1[[#This Row],[Quantity]]</f>
        <v>1600000</v>
      </c>
      <c r="M878" s="8">
        <f>Table_1[[#This Row],[Cost Price]]*Table_1[[#This Row],[Quantity]]</f>
        <v>1280000</v>
      </c>
      <c r="N878">
        <f>Table_1[[#This Row],[Revenue]]-Table_1[[#This Row],[COGS]]</f>
        <v>320000</v>
      </c>
      <c r="O878" s="11">
        <f t="shared" si="92"/>
        <v>4656740000</v>
      </c>
      <c r="P878">
        <f t="shared" si="93"/>
        <v>3725392000</v>
      </c>
      <c r="Q878">
        <f t="shared" si="94"/>
        <v>931348000</v>
      </c>
      <c r="R878" s="7">
        <f t="shared" si="95"/>
        <v>2098</v>
      </c>
      <c r="S878" s="7">
        <f t="shared" si="96"/>
        <v>4</v>
      </c>
      <c r="T878" s="7">
        <f t="shared" si="97"/>
        <v>2098</v>
      </c>
    </row>
    <row r="879" spans="1:20" ht="14.25" customHeight="1" x14ac:dyDescent="0.35">
      <c r="A879" s="2" t="s">
        <v>70</v>
      </c>
      <c r="B879" s="2" t="s">
        <v>20</v>
      </c>
      <c r="C879" s="2" t="s">
        <v>13</v>
      </c>
      <c r="D879" s="2" t="s">
        <v>26</v>
      </c>
      <c r="E879" s="2" t="s">
        <v>22</v>
      </c>
      <c r="F879" s="2" t="s">
        <v>16</v>
      </c>
      <c r="G879" s="2" t="s">
        <v>17</v>
      </c>
      <c r="H879" s="2">
        <v>85000</v>
      </c>
      <c r="I879" s="2">
        <v>4</v>
      </c>
      <c r="J879" s="2" t="s">
        <v>32</v>
      </c>
      <c r="K879" s="2">
        <f t="shared" si="91"/>
        <v>68000</v>
      </c>
      <c r="L879" s="9">
        <f>Table_1[[#This Row],[Unit Price]]*Table_1[[#This Row],[Quantity]]</f>
        <v>340000</v>
      </c>
      <c r="M879" s="8">
        <f>Table_1[[#This Row],[Cost Price]]*Table_1[[#This Row],[Quantity]]</f>
        <v>272000</v>
      </c>
      <c r="N879">
        <f>Table_1[[#This Row],[Revenue]]-Table_1[[#This Row],[COGS]]</f>
        <v>68000</v>
      </c>
      <c r="O879" s="11">
        <f t="shared" si="92"/>
        <v>4656740000</v>
      </c>
      <c r="P879">
        <f t="shared" si="93"/>
        <v>3725392000</v>
      </c>
      <c r="Q879">
        <f t="shared" si="94"/>
        <v>931348000</v>
      </c>
      <c r="R879" s="7">
        <f t="shared" si="95"/>
        <v>2098</v>
      </c>
      <c r="S879" s="7">
        <f t="shared" si="96"/>
        <v>2</v>
      </c>
      <c r="T879" s="7">
        <f t="shared" si="97"/>
        <v>2098</v>
      </c>
    </row>
    <row r="880" spans="1:20" ht="14.25" customHeight="1" x14ac:dyDescent="0.35">
      <c r="A880" s="2" t="s">
        <v>159</v>
      </c>
      <c r="B880" s="2" t="s">
        <v>12</v>
      </c>
      <c r="C880" s="2" t="s">
        <v>13</v>
      </c>
      <c r="D880" s="2" t="s">
        <v>26</v>
      </c>
      <c r="E880" s="2" t="s">
        <v>22</v>
      </c>
      <c r="F880" s="2" t="s">
        <v>52</v>
      </c>
      <c r="G880" s="2" t="s">
        <v>36</v>
      </c>
      <c r="H880" s="2">
        <v>420000</v>
      </c>
      <c r="I880" s="2">
        <v>7</v>
      </c>
      <c r="J880" s="2" t="s">
        <v>54</v>
      </c>
      <c r="K880" s="2">
        <f t="shared" si="91"/>
        <v>336000</v>
      </c>
      <c r="L880" s="9">
        <f>Table_1[[#This Row],[Unit Price]]*Table_1[[#This Row],[Quantity]]</f>
        <v>2940000</v>
      </c>
      <c r="M880" s="8">
        <f>Table_1[[#This Row],[Cost Price]]*Table_1[[#This Row],[Quantity]]</f>
        <v>2352000</v>
      </c>
      <c r="N880">
        <f>Table_1[[#This Row],[Revenue]]-Table_1[[#This Row],[COGS]]</f>
        <v>588000</v>
      </c>
      <c r="O880" s="11">
        <f t="shared" si="92"/>
        <v>4656740000</v>
      </c>
      <c r="P880">
        <f t="shared" si="93"/>
        <v>3725392000</v>
      </c>
      <c r="Q880">
        <f t="shared" si="94"/>
        <v>931348000</v>
      </c>
      <c r="R880" s="7">
        <f t="shared" si="95"/>
        <v>2098</v>
      </c>
      <c r="S880" s="7">
        <f t="shared" si="96"/>
        <v>2</v>
      </c>
      <c r="T880" s="7">
        <f t="shared" si="97"/>
        <v>2098</v>
      </c>
    </row>
    <row r="881" spans="1:20" ht="14.25" customHeight="1" x14ac:dyDescent="0.35">
      <c r="A881" s="2" t="s">
        <v>115</v>
      </c>
      <c r="B881" s="2" t="s">
        <v>12</v>
      </c>
      <c r="C881" s="2" t="s">
        <v>30</v>
      </c>
      <c r="D881" s="2" t="s">
        <v>26</v>
      </c>
      <c r="E881" s="2" t="s">
        <v>15</v>
      </c>
      <c r="F881" s="2" t="s">
        <v>23</v>
      </c>
      <c r="G881" s="2" t="s">
        <v>24</v>
      </c>
      <c r="H881" s="2">
        <v>30000</v>
      </c>
      <c r="I881" s="2">
        <v>10</v>
      </c>
      <c r="J881" s="2" t="s">
        <v>32</v>
      </c>
      <c r="K881" s="2">
        <f t="shared" si="91"/>
        <v>24000</v>
      </c>
      <c r="L881" s="9">
        <f>Table_1[[#This Row],[Unit Price]]*Table_1[[#This Row],[Quantity]]</f>
        <v>300000</v>
      </c>
      <c r="M881" s="8">
        <f>Table_1[[#This Row],[Cost Price]]*Table_1[[#This Row],[Quantity]]</f>
        <v>240000</v>
      </c>
      <c r="N881">
        <f>Table_1[[#This Row],[Revenue]]-Table_1[[#This Row],[COGS]]</f>
        <v>60000</v>
      </c>
      <c r="O881" s="11">
        <f t="shared" si="92"/>
        <v>4656740000</v>
      </c>
      <c r="P881">
        <f t="shared" si="93"/>
        <v>3725392000</v>
      </c>
      <c r="Q881">
        <f t="shared" si="94"/>
        <v>931348000</v>
      </c>
      <c r="R881" s="7">
        <f t="shared" si="95"/>
        <v>2098</v>
      </c>
      <c r="S881" s="7">
        <f t="shared" si="96"/>
        <v>1</v>
      </c>
      <c r="T881" s="7">
        <f t="shared" si="97"/>
        <v>2098</v>
      </c>
    </row>
    <row r="882" spans="1:20" ht="14.25" customHeight="1" x14ac:dyDescent="0.35">
      <c r="A882" s="2" t="s">
        <v>44</v>
      </c>
      <c r="B882" s="2" t="s">
        <v>12</v>
      </c>
      <c r="C882" s="2" t="s">
        <v>30</v>
      </c>
      <c r="D882" s="2" t="s">
        <v>26</v>
      </c>
      <c r="E882" s="2" t="s">
        <v>15</v>
      </c>
      <c r="F882" s="2" t="s">
        <v>47</v>
      </c>
      <c r="G882" s="2" t="s">
        <v>36</v>
      </c>
      <c r="H882" s="2">
        <v>150000</v>
      </c>
      <c r="I882" s="2">
        <v>10</v>
      </c>
      <c r="J882" s="2" t="s">
        <v>32</v>
      </c>
      <c r="K882" s="2">
        <f t="shared" si="91"/>
        <v>120000</v>
      </c>
      <c r="L882" s="9">
        <f>Table_1[[#This Row],[Unit Price]]*Table_1[[#This Row],[Quantity]]</f>
        <v>1500000</v>
      </c>
      <c r="M882" s="8">
        <f>Table_1[[#This Row],[Cost Price]]*Table_1[[#This Row],[Quantity]]</f>
        <v>1200000</v>
      </c>
      <c r="N882">
        <f>Table_1[[#This Row],[Revenue]]-Table_1[[#This Row],[COGS]]</f>
        <v>300000</v>
      </c>
      <c r="O882" s="11">
        <f t="shared" si="92"/>
        <v>4656740000</v>
      </c>
      <c r="P882">
        <f t="shared" si="93"/>
        <v>3725392000</v>
      </c>
      <c r="Q882">
        <f t="shared" si="94"/>
        <v>931348000</v>
      </c>
      <c r="R882" s="7">
        <f t="shared" si="95"/>
        <v>2098</v>
      </c>
      <c r="S882" s="7">
        <f t="shared" si="96"/>
        <v>3</v>
      </c>
      <c r="T882" s="7">
        <f t="shared" si="97"/>
        <v>2098</v>
      </c>
    </row>
    <row r="883" spans="1:20" ht="14.25" customHeight="1" x14ac:dyDescent="0.35">
      <c r="A883" s="2" t="s">
        <v>137</v>
      </c>
      <c r="B883" s="2" t="s">
        <v>29</v>
      </c>
      <c r="C883" s="2" t="s">
        <v>13</v>
      </c>
      <c r="D883" s="2" t="s">
        <v>26</v>
      </c>
      <c r="E883" s="2" t="s">
        <v>22</v>
      </c>
      <c r="F883" s="2" t="s">
        <v>56</v>
      </c>
      <c r="G883" s="2" t="s">
        <v>36</v>
      </c>
      <c r="H883" s="2">
        <v>250000</v>
      </c>
      <c r="I883" s="2">
        <v>4</v>
      </c>
      <c r="J883" s="2" t="s">
        <v>50</v>
      </c>
      <c r="K883" s="2">
        <f t="shared" si="91"/>
        <v>200000</v>
      </c>
      <c r="L883" s="9">
        <f>Table_1[[#This Row],[Unit Price]]*Table_1[[#This Row],[Quantity]]</f>
        <v>1000000</v>
      </c>
      <c r="M883" s="8">
        <f>Table_1[[#This Row],[Cost Price]]*Table_1[[#This Row],[Quantity]]</f>
        <v>800000</v>
      </c>
      <c r="N883">
        <f>Table_1[[#This Row],[Revenue]]-Table_1[[#This Row],[COGS]]</f>
        <v>200000</v>
      </c>
      <c r="O883" s="11">
        <f t="shared" si="92"/>
        <v>4656740000</v>
      </c>
      <c r="P883">
        <f t="shared" si="93"/>
        <v>3725392000</v>
      </c>
      <c r="Q883">
        <f t="shared" si="94"/>
        <v>931348000</v>
      </c>
      <c r="R883" s="7">
        <f t="shared" si="95"/>
        <v>2098</v>
      </c>
      <c r="S883" s="7">
        <f t="shared" si="96"/>
        <v>1</v>
      </c>
      <c r="T883" s="7">
        <f t="shared" si="97"/>
        <v>2098</v>
      </c>
    </row>
    <row r="884" spans="1:20" ht="14.25" customHeight="1" x14ac:dyDescent="0.35">
      <c r="A884" s="2" t="s">
        <v>117</v>
      </c>
      <c r="B884" s="2" t="s">
        <v>20</v>
      </c>
      <c r="C884" s="2" t="s">
        <v>38</v>
      </c>
      <c r="D884" s="2" t="s">
        <v>14</v>
      </c>
      <c r="E884" s="2" t="s">
        <v>15</v>
      </c>
      <c r="F884" s="2" t="s">
        <v>58</v>
      </c>
      <c r="G884" s="2" t="s">
        <v>24</v>
      </c>
      <c r="H884" s="2">
        <v>220000</v>
      </c>
      <c r="I884" s="2">
        <v>6</v>
      </c>
      <c r="J884" s="2" t="s">
        <v>50</v>
      </c>
      <c r="K884" s="2">
        <f t="shared" si="91"/>
        <v>176000</v>
      </c>
      <c r="L884" s="9">
        <f>Table_1[[#This Row],[Unit Price]]*Table_1[[#This Row],[Quantity]]</f>
        <v>1320000</v>
      </c>
      <c r="M884" s="8">
        <f>Table_1[[#This Row],[Cost Price]]*Table_1[[#This Row],[Quantity]]</f>
        <v>1056000</v>
      </c>
      <c r="N884">
        <f>Table_1[[#This Row],[Revenue]]-Table_1[[#This Row],[COGS]]</f>
        <v>264000</v>
      </c>
      <c r="O884" s="11">
        <f t="shared" si="92"/>
        <v>4656740000</v>
      </c>
      <c r="P884">
        <f t="shared" si="93"/>
        <v>3725392000</v>
      </c>
      <c r="Q884">
        <f t="shared" si="94"/>
        <v>931348000</v>
      </c>
      <c r="R884" s="7">
        <f t="shared" si="95"/>
        <v>2098</v>
      </c>
      <c r="S884" s="7">
        <f t="shared" si="96"/>
        <v>4</v>
      </c>
      <c r="T884" s="7">
        <f t="shared" si="97"/>
        <v>2098</v>
      </c>
    </row>
    <row r="885" spans="1:20" ht="14.25" customHeight="1" x14ac:dyDescent="0.35">
      <c r="A885" s="2" t="s">
        <v>111</v>
      </c>
      <c r="B885" s="2" t="s">
        <v>34</v>
      </c>
      <c r="C885" s="2" t="s">
        <v>13</v>
      </c>
      <c r="D885" s="2" t="s">
        <v>14</v>
      </c>
      <c r="E885" s="2" t="s">
        <v>22</v>
      </c>
      <c r="F885" s="2" t="s">
        <v>47</v>
      </c>
      <c r="G885" s="2" t="s">
        <v>36</v>
      </c>
      <c r="H885" s="2">
        <v>150000</v>
      </c>
      <c r="I885" s="2">
        <v>10</v>
      </c>
      <c r="J885" s="2" t="s">
        <v>27</v>
      </c>
      <c r="K885" s="2">
        <f t="shared" si="91"/>
        <v>120000</v>
      </c>
      <c r="L885" s="9">
        <f>Table_1[[#This Row],[Unit Price]]*Table_1[[#This Row],[Quantity]]</f>
        <v>1500000</v>
      </c>
      <c r="M885" s="8">
        <f>Table_1[[#This Row],[Cost Price]]*Table_1[[#This Row],[Quantity]]</f>
        <v>1200000</v>
      </c>
      <c r="N885">
        <f>Table_1[[#This Row],[Revenue]]-Table_1[[#This Row],[COGS]]</f>
        <v>300000</v>
      </c>
      <c r="O885" s="11">
        <f t="shared" si="92"/>
        <v>4656740000</v>
      </c>
      <c r="P885">
        <f t="shared" si="93"/>
        <v>3725392000</v>
      </c>
      <c r="Q885">
        <f t="shared" si="94"/>
        <v>931348000</v>
      </c>
      <c r="R885" s="7">
        <f t="shared" si="95"/>
        <v>2098</v>
      </c>
      <c r="S885" s="7">
        <f t="shared" si="96"/>
        <v>1</v>
      </c>
      <c r="T885" s="7">
        <f t="shared" si="97"/>
        <v>2098</v>
      </c>
    </row>
    <row r="886" spans="1:20" ht="14.25" customHeight="1" x14ac:dyDescent="0.35">
      <c r="A886" s="2" t="s">
        <v>57</v>
      </c>
      <c r="B886" s="2" t="s">
        <v>20</v>
      </c>
      <c r="C886" s="2" t="s">
        <v>30</v>
      </c>
      <c r="D886" s="2" t="s">
        <v>14</v>
      </c>
      <c r="E886" s="2" t="s">
        <v>15</v>
      </c>
      <c r="F886" s="2" t="s">
        <v>47</v>
      </c>
      <c r="G886" s="2" t="s">
        <v>36</v>
      </c>
      <c r="H886" s="2">
        <v>150000</v>
      </c>
      <c r="I886" s="2">
        <v>2</v>
      </c>
      <c r="J886" s="2" t="s">
        <v>32</v>
      </c>
      <c r="K886" s="2">
        <f t="shared" si="91"/>
        <v>120000</v>
      </c>
      <c r="L886" s="9">
        <f>Table_1[[#This Row],[Unit Price]]*Table_1[[#This Row],[Quantity]]</f>
        <v>300000</v>
      </c>
      <c r="M886" s="8">
        <f>Table_1[[#This Row],[Cost Price]]*Table_1[[#This Row],[Quantity]]</f>
        <v>240000</v>
      </c>
      <c r="N886">
        <f>Table_1[[#This Row],[Revenue]]-Table_1[[#This Row],[COGS]]</f>
        <v>60000</v>
      </c>
      <c r="O886" s="11">
        <f t="shared" si="92"/>
        <v>4656740000</v>
      </c>
      <c r="P886">
        <f t="shared" si="93"/>
        <v>3725392000</v>
      </c>
      <c r="Q886">
        <f t="shared" si="94"/>
        <v>931348000</v>
      </c>
      <c r="R886" s="7">
        <f t="shared" si="95"/>
        <v>2098</v>
      </c>
      <c r="S886" s="7">
        <f t="shared" si="96"/>
        <v>2</v>
      </c>
      <c r="T886" s="7">
        <f t="shared" si="97"/>
        <v>2098</v>
      </c>
    </row>
    <row r="887" spans="1:20" ht="14.25" customHeight="1" x14ac:dyDescent="0.35">
      <c r="A887" s="2" t="s">
        <v>79</v>
      </c>
      <c r="B887" s="2" t="s">
        <v>12</v>
      </c>
      <c r="C887" s="2" t="s">
        <v>13</v>
      </c>
      <c r="D887" s="2" t="s">
        <v>14</v>
      </c>
      <c r="E887" s="2" t="s">
        <v>15</v>
      </c>
      <c r="F887" s="2" t="s">
        <v>56</v>
      </c>
      <c r="G887" s="2" t="s">
        <v>36</v>
      </c>
      <c r="H887" s="2">
        <v>250000</v>
      </c>
      <c r="I887" s="2">
        <v>4</v>
      </c>
      <c r="J887" s="2" t="s">
        <v>43</v>
      </c>
      <c r="K887" s="2">
        <f t="shared" si="91"/>
        <v>200000</v>
      </c>
      <c r="L887" s="9">
        <f>Table_1[[#This Row],[Unit Price]]*Table_1[[#This Row],[Quantity]]</f>
        <v>1000000</v>
      </c>
      <c r="M887" s="8">
        <f>Table_1[[#This Row],[Cost Price]]*Table_1[[#This Row],[Quantity]]</f>
        <v>800000</v>
      </c>
      <c r="N887">
        <f>Table_1[[#This Row],[Revenue]]-Table_1[[#This Row],[COGS]]</f>
        <v>200000</v>
      </c>
      <c r="O887" s="11">
        <f t="shared" si="92"/>
        <v>4656740000</v>
      </c>
      <c r="P887">
        <f t="shared" si="93"/>
        <v>3725392000</v>
      </c>
      <c r="Q887">
        <f t="shared" si="94"/>
        <v>931348000</v>
      </c>
      <c r="R887" s="7">
        <f t="shared" si="95"/>
        <v>2098</v>
      </c>
      <c r="S887" s="7">
        <f t="shared" si="96"/>
        <v>1</v>
      </c>
      <c r="T887" s="7">
        <f t="shared" si="97"/>
        <v>2098</v>
      </c>
    </row>
    <row r="888" spans="1:20" ht="14.25" customHeight="1" x14ac:dyDescent="0.35">
      <c r="A888" s="2" t="s">
        <v>62</v>
      </c>
      <c r="B888" s="2" t="s">
        <v>20</v>
      </c>
      <c r="C888" s="2" t="s">
        <v>13</v>
      </c>
      <c r="D888" s="2" t="s">
        <v>14</v>
      </c>
      <c r="E888" s="2" t="s">
        <v>22</v>
      </c>
      <c r="F888" s="2" t="s">
        <v>47</v>
      </c>
      <c r="G888" s="2" t="s">
        <v>36</v>
      </c>
      <c r="H888" s="2">
        <v>150000</v>
      </c>
      <c r="I888" s="2">
        <v>9</v>
      </c>
      <c r="J888" s="2" t="s">
        <v>27</v>
      </c>
      <c r="K888" s="2">
        <f t="shared" si="91"/>
        <v>120000</v>
      </c>
      <c r="L888" s="9">
        <f>Table_1[[#This Row],[Unit Price]]*Table_1[[#This Row],[Quantity]]</f>
        <v>1350000</v>
      </c>
      <c r="M888" s="8">
        <f>Table_1[[#This Row],[Cost Price]]*Table_1[[#This Row],[Quantity]]</f>
        <v>1080000</v>
      </c>
      <c r="N888">
        <f>Table_1[[#This Row],[Revenue]]-Table_1[[#This Row],[COGS]]</f>
        <v>270000</v>
      </c>
      <c r="O888" s="11">
        <f t="shared" si="92"/>
        <v>4656740000</v>
      </c>
      <c r="P888">
        <f t="shared" si="93"/>
        <v>3725392000</v>
      </c>
      <c r="Q888">
        <f t="shared" si="94"/>
        <v>931348000</v>
      </c>
      <c r="R888" s="7">
        <f t="shared" si="95"/>
        <v>2098</v>
      </c>
      <c r="S888" s="7">
        <f t="shared" si="96"/>
        <v>4</v>
      </c>
      <c r="T888" s="7">
        <f t="shared" si="97"/>
        <v>2098</v>
      </c>
    </row>
    <row r="889" spans="1:20" ht="14.25" customHeight="1" x14ac:dyDescent="0.35">
      <c r="A889" s="2" t="s">
        <v>150</v>
      </c>
      <c r="B889" s="2" t="s">
        <v>34</v>
      </c>
      <c r="C889" s="2" t="s">
        <v>30</v>
      </c>
      <c r="D889" s="2" t="s">
        <v>14</v>
      </c>
      <c r="E889" s="2" t="s">
        <v>22</v>
      </c>
      <c r="F889" s="2" t="s">
        <v>52</v>
      </c>
      <c r="G889" s="2" t="s">
        <v>36</v>
      </c>
      <c r="H889" s="2">
        <v>420000</v>
      </c>
      <c r="I889" s="2">
        <v>7</v>
      </c>
      <c r="J889" s="2" t="s">
        <v>43</v>
      </c>
      <c r="K889" s="2">
        <f t="shared" si="91"/>
        <v>336000</v>
      </c>
      <c r="L889" s="9">
        <f>Table_1[[#This Row],[Unit Price]]*Table_1[[#This Row],[Quantity]]</f>
        <v>2940000</v>
      </c>
      <c r="M889" s="8">
        <f>Table_1[[#This Row],[Cost Price]]*Table_1[[#This Row],[Quantity]]</f>
        <v>2352000</v>
      </c>
      <c r="N889">
        <f>Table_1[[#This Row],[Revenue]]-Table_1[[#This Row],[COGS]]</f>
        <v>588000</v>
      </c>
      <c r="O889" s="11">
        <f t="shared" si="92"/>
        <v>4656740000</v>
      </c>
      <c r="P889">
        <f t="shared" si="93"/>
        <v>3725392000</v>
      </c>
      <c r="Q889">
        <f t="shared" si="94"/>
        <v>931348000</v>
      </c>
      <c r="R889" s="7">
        <f t="shared" si="95"/>
        <v>2098</v>
      </c>
      <c r="S889" s="7">
        <f t="shared" si="96"/>
        <v>4</v>
      </c>
      <c r="T889" s="7">
        <f t="shared" si="97"/>
        <v>2098</v>
      </c>
    </row>
    <row r="890" spans="1:20" ht="14.25" customHeight="1" x14ac:dyDescent="0.35">
      <c r="A890" s="2" t="s">
        <v>148</v>
      </c>
      <c r="B890" s="2" t="s">
        <v>20</v>
      </c>
      <c r="C890" s="2" t="s">
        <v>21</v>
      </c>
      <c r="D890" s="2" t="s">
        <v>14</v>
      </c>
      <c r="E890" s="2" t="s">
        <v>15</v>
      </c>
      <c r="F890" s="2" t="s">
        <v>16</v>
      </c>
      <c r="G890" s="2" t="s">
        <v>17</v>
      </c>
      <c r="H890" s="2">
        <v>85000</v>
      </c>
      <c r="I890" s="2">
        <v>2</v>
      </c>
      <c r="J890" s="2" t="s">
        <v>18</v>
      </c>
      <c r="K890" s="2">
        <f t="shared" si="91"/>
        <v>68000</v>
      </c>
      <c r="L890" s="9">
        <f>Table_1[[#This Row],[Unit Price]]*Table_1[[#This Row],[Quantity]]</f>
        <v>170000</v>
      </c>
      <c r="M890" s="8">
        <f>Table_1[[#This Row],[Cost Price]]*Table_1[[#This Row],[Quantity]]</f>
        <v>136000</v>
      </c>
      <c r="N890">
        <f>Table_1[[#This Row],[Revenue]]-Table_1[[#This Row],[COGS]]</f>
        <v>34000</v>
      </c>
      <c r="O890" s="11">
        <f t="shared" si="92"/>
        <v>4656740000</v>
      </c>
      <c r="P890">
        <f t="shared" si="93"/>
        <v>3725392000</v>
      </c>
      <c r="Q890">
        <f t="shared" si="94"/>
        <v>931348000</v>
      </c>
      <c r="R890" s="7">
        <f t="shared" si="95"/>
        <v>2098</v>
      </c>
      <c r="S890" s="7">
        <f t="shared" si="96"/>
        <v>4</v>
      </c>
      <c r="T890" s="7">
        <f t="shared" si="97"/>
        <v>2098</v>
      </c>
    </row>
    <row r="891" spans="1:20" ht="14.25" customHeight="1" x14ac:dyDescent="0.35">
      <c r="A891" s="2" t="s">
        <v>157</v>
      </c>
      <c r="B891" s="2" t="s">
        <v>29</v>
      </c>
      <c r="C891" s="2" t="s">
        <v>21</v>
      </c>
      <c r="D891" s="2" t="s">
        <v>26</v>
      </c>
      <c r="E891" s="2" t="s">
        <v>22</v>
      </c>
      <c r="F891" s="2" t="s">
        <v>16</v>
      </c>
      <c r="G891" s="2" t="s">
        <v>17</v>
      </c>
      <c r="H891" s="2">
        <v>85000</v>
      </c>
      <c r="I891" s="2">
        <v>1</v>
      </c>
      <c r="J891" s="2" t="s">
        <v>43</v>
      </c>
      <c r="K891" s="2">
        <f t="shared" si="91"/>
        <v>68000</v>
      </c>
      <c r="L891" s="9">
        <f>Table_1[[#This Row],[Unit Price]]*Table_1[[#This Row],[Quantity]]</f>
        <v>85000</v>
      </c>
      <c r="M891" s="8">
        <f>Table_1[[#This Row],[Cost Price]]*Table_1[[#This Row],[Quantity]]</f>
        <v>68000</v>
      </c>
      <c r="N891">
        <f>Table_1[[#This Row],[Revenue]]-Table_1[[#This Row],[COGS]]</f>
        <v>17000</v>
      </c>
      <c r="O891" s="11">
        <f t="shared" si="92"/>
        <v>4656740000</v>
      </c>
      <c r="P891">
        <f t="shared" si="93"/>
        <v>3725392000</v>
      </c>
      <c r="Q891">
        <f t="shared" si="94"/>
        <v>931348000</v>
      </c>
      <c r="R891" s="7">
        <f t="shared" si="95"/>
        <v>2098</v>
      </c>
      <c r="S891" s="7">
        <f t="shared" si="96"/>
        <v>3</v>
      </c>
      <c r="T891" s="7">
        <f t="shared" si="97"/>
        <v>2098</v>
      </c>
    </row>
    <row r="892" spans="1:20" ht="14.25" customHeight="1" x14ac:dyDescent="0.35">
      <c r="A892" s="2" t="s">
        <v>136</v>
      </c>
      <c r="B892" s="2" t="s">
        <v>29</v>
      </c>
      <c r="C892" s="2" t="s">
        <v>30</v>
      </c>
      <c r="D892" s="2" t="s">
        <v>14</v>
      </c>
      <c r="E892" s="2" t="s">
        <v>22</v>
      </c>
      <c r="F892" s="2" t="s">
        <v>52</v>
      </c>
      <c r="G892" s="2" t="s">
        <v>36</v>
      </c>
      <c r="H892" s="2">
        <v>420000</v>
      </c>
      <c r="I892" s="2">
        <v>9</v>
      </c>
      <c r="J892" s="2" t="s">
        <v>18</v>
      </c>
      <c r="K892" s="2">
        <f t="shared" si="91"/>
        <v>336000</v>
      </c>
      <c r="L892" s="9">
        <f>Table_1[[#This Row],[Unit Price]]*Table_1[[#This Row],[Quantity]]</f>
        <v>3780000</v>
      </c>
      <c r="M892" s="8">
        <f>Table_1[[#This Row],[Cost Price]]*Table_1[[#This Row],[Quantity]]</f>
        <v>3024000</v>
      </c>
      <c r="N892">
        <f>Table_1[[#This Row],[Revenue]]-Table_1[[#This Row],[COGS]]</f>
        <v>756000</v>
      </c>
      <c r="O892" s="11">
        <f t="shared" si="92"/>
        <v>4656740000</v>
      </c>
      <c r="P892">
        <f t="shared" si="93"/>
        <v>3725392000</v>
      </c>
      <c r="Q892">
        <f t="shared" si="94"/>
        <v>931348000</v>
      </c>
      <c r="R892" s="7">
        <f t="shared" si="95"/>
        <v>2098</v>
      </c>
      <c r="S892" s="7">
        <f t="shared" si="96"/>
        <v>2</v>
      </c>
      <c r="T892" s="7">
        <f t="shared" si="97"/>
        <v>2098</v>
      </c>
    </row>
    <row r="893" spans="1:20" ht="14.25" customHeight="1" x14ac:dyDescent="0.35">
      <c r="A893" s="2" t="s">
        <v>113</v>
      </c>
      <c r="B893" s="2" t="s">
        <v>34</v>
      </c>
      <c r="C893" s="2" t="s">
        <v>21</v>
      </c>
      <c r="D893" s="2" t="s">
        <v>14</v>
      </c>
      <c r="E893" s="2" t="s">
        <v>22</v>
      </c>
      <c r="F893" s="2" t="s">
        <v>58</v>
      </c>
      <c r="G893" s="2" t="s">
        <v>24</v>
      </c>
      <c r="H893" s="2">
        <v>220000</v>
      </c>
      <c r="I893" s="2">
        <v>2</v>
      </c>
      <c r="J893" s="2" t="s">
        <v>54</v>
      </c>
      <c r="K893" s="2">
        <f t="shared" si="91"/>
        <v>176000</v>
      </c>
      <c r="L893" s="9">
        <f>Table_1[[#This Row],[Unit Price]]*Table_1[[#This Row],[Quantity]]</f>
        <v>440000</v>
      </c>
      <c r="M893" s="8">
        <f>Table_1[[#This Row],[Cost Price]]*Table_1[[#This Row],[Quantity]]</f>
        <v>352000</v>
      </c>
      <c r="N893">
        <f>Table_1[[#This Row],[Revenue]]-Table_1[[#This Row],[COGS]]</f>
        <v>88000</v>
      </c>
      <c r="O893" s="11">
        <f t="shared" si="92"/>
        <v>4656740000</v>
      </c>
      <c r="P893">
        <f t="shared" si="93"/>
        <v>3725392000</v>
      </c>
      <c r="Q893">
        <f t="shared" si="94"/>
        <v>931348000</v>
      </c>
      <c r="R893" s="7">
        <f t="shared" si="95"/>
        <v>2098</v>
      </c>
      <c r="S893" s="7">
        <f t="shared" si="96"/>
        <v>3</v>
      </c>
      <c r="T893" s="7">
        <f t="shared" si="97"/>
        <v>2098</v>
      </c>
    </row>
    <row r="894" spans="1:20" ht="14.25" customHeight="1" x14ac:dyDescent="0.35">
      <c r="A894" s="2" t="s">
        <v>156</v>
      </c>
      <c r="B894" s="2" t="s">
        <v>12</v>
      </c>
      <c r="C894" s="2" t="s">
        <v>30</v>
      </c>
      <c r="D894" s="2" t="s">
        <v>26</v>
      </c>
      <c r="E894" s="2" t="s">
        <v>22</v>
      </c>
      <c r="F894" s="2" t="s">
        <v>58</v>
      </c>
      <c r="G894" s="2" t="s">
        <v>24</v>
      </c>
      <c r="H894" s="2">
        <v>220000</v>
      </c>
      <c r="I894" s="2">
        <v>8</v>
      </c>
      <c r="J894" s="2" t="s">
        <v>50</v>
      </c>
      <c r="K894" s="2">
        <f t="shared" si="91"/>
        <v>176000</v>
      </c>
      <c r="L894" s="9">
        <f>Table_1[[#This Row],[Unit Price]]*Table_1[[#This Row],[Quantity]]</f>
        <v>1760000</v>
      </c>
      <c r="M894" s="8">
        <f>Table_1[[#This Row],[Cost Price]]*Table_1[[#This Row],[Quantity]]</f>
        <v>1408000</v>
      </c>
      <c r="N894">
        <f>Table_1[[#This Row],[Revenue]]-Table_1[[#This Row],[COGS]]</f>
        <v>352000</v>
      </c>
      <c r="O894" s="11">
        <f t="shared" si="92"/>
        <v>4656740000</v>
      </c>
      <c r="P894">
        <f t="shared" si="93"/>
        <v>3725392000</v>
      </c>
      <c r="Q894">
        <f t="shared" si="94"/>
        <v>931348000</v>
      </c>
      <c r="R894" s="7">
        <f t="shared" si="95"/>
        <v>2098</v>
      </c>
      <c r="S894" s="7">
        <f t="shared" si="96"/>
        <v>3</v>
      </c>
      <c r="T894" s="7">
        <f t="shared" si="97"/>
        <v>2098</v>
      </c>
    </row>
    <row r="895" spans="1:20" ht="14.25" customHeight="1" x14ac:dyDescent="0.35">
      <c r="A895" s="2" t="s">
        <v>73</v>
      </c>
      <c r="B895" s="2" t="s">
        <v>34</v>
      </c>
      <c r="C895" s="2" t="s">
        <v>13</v>
      </c>
      <c r="D895" s="2" t="s">
        <v>26</v>
      </c>
      <c r="E895" s="2" t="s">
        <v>15</v>
      </c>
      <c r="F895" s="2" t="s">
        <v>23</v>
      </c>
      <c r="G895" s="2" t="s">
        <v>24</v>
      </c>
      <c r="H895" s="2">
        <v>30000</v>
      </c>
      <c r="I895" s="2">
        <v>9</v>
      </c>
      <c r="J895" s="2" t="s">
        <v>18</v>
      </c>
      <c r="K895" s="2">
        <f t="shared" si="91"/>
        <v>24000</v>
      </c>
      <c r="L895" s="9">
        <f>Table_1[[#This Row],[Unit Price]]*Table_1[[#This Row],[Quantity]]</f>
        <v>270000</v>
      </c>
      <c r="M895" s="8">
        <f>Table_1[[#This Row],[Cost Price]]*Table_1[[#This Row],[Quantity]]</f>
        <v>216000</v>
      </c>
      <c r="N895">
        <f>Table_1[[#This Row],[Revenue]]-Table_1[[#This Row],[COGS]]</f>
        <v>54000</v>
      </c>
      <c r="O895" s="11">
        <f t="shared" si="92"/>
        <v>4656740000</v>
      </c>
      <c r="P895">
        <f t="shared" si="93"/>
        <v>3725392000</v>
      </c>
      <c r="Q895">
        <f t="shared" si="94"/>
        <v>931348000</v>
      </c>
      <c r="R895" s="7">
        <f t="shared" si="95"/>
        <v>2098</v>
      </c>
      <c r="S895" s="7">
        <f t="shared" si="96"/>
        <v>2</v>
      </c>
      <c r="T895" s="7">
        <f t="shared" si="97"/>
        <v>2098</v>
      </c>
    </row>
    <row r="896" spans="1:20" ht="14.25" customHeight="1" x14ac:dyDescent="0.35">
      <c r="A896" s="2" t="s">
        <v>75</v>
      </c>
      <c r="B896" s="2" t="s">
        <v>34</v>
      </c>
      <c r="C896" s="2" t="s">
        <v>38</v>
      </c>
      <c r="D896" s="2" t="s">
        <v>26</v>
      </c>
      <c r="E896" s="2" t="s">
        <v>15</v>
      </c>
      <c r="F896" s="2" t="s">
        <v>41</v>
      </c>
      <c r="G896" s="2" t="s">
        <v>17</v>
      </c>
      <c r="H896" s="2">
        <v>320000</v>
      </c>
      <c r="I896" s="2">
        <v>3</v>
      </c>
      <c r="J896" s="2" t="s">
        <v>50</v>
      </c>
      <c r="K896" s="2">
        <f t="shared" si="91"/>
        <v>256000</v>
      </c>
      <c r="L896" s="9">
        <f>Table_1[[#This Row],[Unit Price]]*Table_1[[#This Row],[Quantity]]</f>
        <v>960000</v>
      </c>
      <c r="M896" s="8">
        <f>Table_1[[#This Row],[Cost Price]]*Table_1[[#This Row],[Quantity]]</f>
        <v>768000</v>
      </c>
      <c r="N896">
        <f>Table_1[[#This Row],[Revenue]]-Table_1[[#This Row],[COGS]]</f>
        <v>192000</v>
      </c>
      <c r="O896" s="11">
        <f t="shared" si="92"/>
        <v>4656740000</v>
      </c>
      <c r="P896">
        <f t="shared" si="93"/>
        <v>3725392000</v>
      </c>
      <c r="Q896">
        <f t="shared" si="94"/>
        <v>931348000</v>
      </c>
      <c r="R896" s="7">
        <f t="shared" si="95"/>
        <v>2098</v>
      </c>
      <c r="S896" s="7">
        <f t="shared" si="96"/>
        <v>2</v>
      </c>
      <c r="T896" s="7">
        <f t="shared" si="97"/>
        <v>2098</v>
      </c>
    </row>
    <row r="897" spans="1:20" ht="14.25" customHeight="1" x14ac:dyDescent="0.35">
      <c r="A897" s="2" t="s">
        <v>83</v>
      </c>
      <c r="B897" s="2" t="s">
        <v>34</v>
      </c>
      <c r="C897" s="2" t="s">
        <v>13</v>
      </c>
      <c r="D897" s="2" t="s">
        <v>14</v>
      </c>
      <c r="E897" s="2" t="s">
        <v>15</v>
      </c>
      <c r="F897" s="2" t="s">
        <v>23</v>
      </c>
      <c r="G897" s="2" t="s">
        <v>24</v>
      </c>
      <c r="H897" s="2">
        <v>30000</v>
      </c>
      <c r="I897" s="2">
        <v>6</v>
      </c>
      <c r="J897" s="2" t="s">
        <v>43</v>
      </c>
      <c r="K897" s="2">
        <f t="shared" si="91"/>
        <v>24000</v>
      </c>
      <c r="L897" s="9">
        <f>Table_1[[#This Row],[Unit Price]]*Table_1[[#This Row],[Quantity]]</f>
        <v>180000</v>
      </c>
      <c r="M897" s="8">
        <f>Table_1[[#This Row],[Cost Price]]*Table_1[[#This Row],[Quantity]]</f>
        <v>144000</v>
      </c>
      <c r="N897">
        <f>Table_1[[#This Row],[Revenue]]-Table_1[[#This Row],[COGS]]</f>
        <v>36000</v>
      </c>
      <c r="O897" s="11">
        <f t="shared" si="92"/>
        <v>4656740000</v>
      </c>
      <c r="P897">
        <f t="shared" si="93"/>
        <v>3725392000</v>
      </c>
      <c r="Q897">
        <f t="shared" si="94"/>
        <v>931348000</v>
      </c>
      <c r="R897" s="7">
        <f t="shared" si="95"/>
        <v>2098</v>
      </c>
      <c r="S897" s="7">
        <f t="shared" si="96"/>
        <v>1</v>
      </c>
      <c r="T897" s="7">
        <f t="shared" si="97"/>
        <v>2098</v>
      </c>
    </row>
    <row r="898" spans="1:20" ht="14.25" customHeight="1" x14ac:dyDescent="0.35">
      <c r="A898" s="2" t="s">
        <v>57</v>
      </c>
      <c r="B898" s="2" t="s">
        <v>34</v>
      </c>
      <c r="C898" s="2" t="s">
        <v>30</v>
      </c>
      <c r="D898" s="2" t="s">
        <v>26</v>
      </c>
      <c r="E898" s="2" t="s">
        <v>15</v>
      </c>
      <c r="F898" s="2" t="s">
        <v>31</v>
      </c>
      <c r="G898" s="2" t="s">
        <v>24</v>
      </c>
      <c r="H898" s="2">
        <v>60000</v>
      </c>
      <c r="I898" s="2">
        <v>7</v>
      </c>
      <c r="J898" s="2" t="s">
        <v>32</v>
      </c>
      <c r="K898" s="2">
        <f t="shared" ref="K898:K961" si="98">H898-H898*0.2</f>
        <v>48000</v>
      </c>
      <c r="L898" s="9">
        <f>Table_1[[#This Row],[Unit Price]]*Table_1[[#This Row],[Quantity]]</f>
        <v>420000</v>
      </c>
      <c r="M898" s="8">
        <f>Table_1[[#This Row],[Cost Price]]*Table_1[[#This Row],[Quantity]]</f>
        <v>336000</v>
      </c>
      <c r="N898">
        <f>Table_1[[#This Row],[Revenue]]-Table_1[[#This Row],[COGS]]</f>
        <v>84000</v>
      </c>
      <c r="O898" s="11">
        <f t="shared" ref="O898:O961" si="99">SUM(L$2:L$1048576)</f>
        <v>4656740000</v>
      </c>
      <c r="P898">
        <f t="shared" ref="P898:P961" si="100">SUM(M:M)</f>
        <v>3725392000</v>
      </c>
      <c r="Q898">
        <f t="shared" ref="Q898:Q961" si="101">SUM(N:N)</f>
        <v>931348000</v>
      </c>
      <c r="R898" s="7">
        <f t="shared" ref="R898:R961" si="102">COUNTA(A$2:A$1048576)</f>
        <v>2098</v>
      </c>
      <c r="S898" s="7">
        <f t="shared" ref="S898:S961" si="103">MONTH(A898:A2386)</f>
        <v>2</v>
      </c>
      <c r="T898" s="7">
        <f t="shared" ref="T898:T961" si="104">COUNTA(A:A)-1</f>
        <v>2098</v>
      </c>
    </row>
    <row r="899" spans="1:20" ht="14.25" customHeight="1" x14ac:dyDescent="0.35">
      <c r="A899" s="2" t="s">
        <v>82</v>
      </c>
      <c r="B899" s="2" t="s">
        <v>29</v>
      </c>
      <c r="C899" s="2" t="s">
        <v>30</v>
      </c>
      <c r="D899" s="2" t="s">
        <v>14</v>
      </c>
      <c r="E899" s="2" t="s">
        <v>15</v>
      </c>
      <c r="F899" s="2" t="s">
        <v>39</v>
      </c>
      <c r="G899" s="2" t="s">
        <v>24</v>
      </c>
      <c r="H899" s="2">
        <v>180000</v>
      </c>
      <c r="I899" s="2">
        <v>2</v>
      </c>
      <c r="J899" s="2" t="s">
        <v>43</v>
      </c>
      <c r="K899" s="2">
        <f t="shared" si="98"/>
        <v>144000</v>
      </c>
      <c r="L899" s="9">
        <f>Table_1[[#This Row],[Unit Price]]*Table_1[[#This Row],[Quantity]]</f>
        <v>360000</v>
      </c>
      <c r="M899" s="8">
        <f>Table_1[[#This Row],[Cost Price]]*Table_1[[#This Row],[Quantity]]</f>
        <v>288000</v>
      </c>
      <c r="N899">
        <f>Table_1[[#This Row],[Revenue]]-Table_1[[#This Row],[COGS]]</f>
        <v>72000</v>
      </c>
      <c r="O899" s="11">
        <f t="shared" si="99"/>
        <v>4656740000</v>
      </c>
      <c r="P899">
        <f t="shared" si="100"/>
        <v>3725392000</v>
      </c>
      <c r="Q899">
        <f t="shared" si="101"/>
        <v>931348000</v>
      </c>
      <c r="R899" s="7">
        <f t="shared" si="102"/>
        <v>2098</v>
      </c>
      <c r="S899" s="7">
        <f t="shared" si="103"/>
        <v>1</v>
      </c>
      <c r="T899" s="7">
        <f t="shared" si="104"/>
        <v>2098</v>
      </c>
    </row>
    <row r="900" spans="1:20" ht="14.25" customHeight="1" x14ac:dyDescent="0.35">
      <c r="A900" s="2" t="s">
        <v>37</v>
      </c>
      <c r="B900" s="2" t="s">
        <v>20</v>
      </c>
      <c r="C900" s="2" t="s">
        <v>38</v>
      </c>
      <c r="D900" s="2" t="s">
        <v>26</v>
      </c>
      <c r="E900" s="2" t="s">
        <v>22</v>
      </c>
      <c r="F900" s="2" t="s">
        <v>23</v>
      </c>
      <c r="G900" s="2" t="s">
        <v>24</v>
      </c>
      <c r="H900" s="2">
        <v>30000</v>
      </c>
      <c r="I900" s="2">
        <v>5</v>
      </c>
      <c r="J900" s="2" t="s">
        <v>18</v>
      </c>
      <c r="K900" s="2">
        <f t="shared" si="98"/>
        <v>24000</v>
      </c>
      <c r="L900" s="9">
        <f>Table_1[[#This Row],[Unit Price]]*Table_1[[#This Row],[Quantity]]</f>
        <v>150000</v>
      </c>
      <c r="M900" s="8">
        <f>Table_1[[#This Row],[Cost Price]]*Table_1[[#This Row],[Quantity]]</f>
        <v>120000</v>
      </c>
      <c r="N900">
        <f>Table_1[[#This Row],[Revenue]]-Table_1[[#This Row],[COGS]]</f>
        <v>30000</v>
      </c>
      <c r="O900" s="11">
        <f t="shared" si="99"/>
        <v>4656740000</v>
      </c>
      <c r="P900">
        <f t="shared" si="100"/>
        <v>3725392000</v>
      </c>
      <c r="Q900">
        <f t="shared" si="101"/>
        <v>931348000</v>
      </c>
      <c r="R900" s="7">
        <f t="shared" si="102"/>
        <v>2098</v>
      </c>
      <c r="S900" s="7">
        <f t="shared" si="103"/>
        <v>3</v>
      </c>
      <c r="T900" s="7">
        <f t="shared" si="104"/>
        <v>2098</v>
      </c>
    </row>
    <row r="901" spans="1:20" ht="14.25" customHeight="1" x14ac:dyDescent="0.35">
      <c r="A901" s="2" t="s">
        <v>160</v>
      </c>
      <c r="B901" s="2" t="s">
        <v>12</v>
      </c>
      <c r="C901" s="2" t="s">
        <v>21</v>
      </c>
      <c r="D901" s="2" t="s">
        <v>26</v>
      </c>
      <c r="E901" s="2" t="s">
        <v>22</v>
      </c>
      <c r="F901" s="2" t="s">
        <v>47</v>
      </c>
      <c r="G901" s="2" t="s">
        <v>36</v>
      </c>
      <c r="H901" s="2">
        <v>150000</v>
      </c>
      <c r="I901" s="2">
        <v>2</v>
      </c>
      <c r="J901" s="2" t="s">
        <v>50</v>
      </c>
      <c r="K901" s="2">
        <f t="shared" si="98"/>
        <v>120000</v>
      </c>
      <c r="L901" s="9">
        <f>Table_1[[#This Row],[Unit Price]]*Table_1[[#This Row],[Quantity]]</f>
        <v>300000</v>
      </c>
      <c r="M901" s="8">
        <f>Table_1[[#This Row],[Cost Price]]*Table_1[[#This Row],[Quantity]]</f>
        <v>240000</v>
      </c>
      <c r="N901">
        <f>Table_1[[#This Row],[Revenue]]-Table_1[[#This Row],[COGS]]</f>
        <v>60000</v>
      </c>
      <c r="O901" s="11">
        <f t="shared" si="99"/>
        <v>4656740000</v>
      </c>
      <c r="P901">
        <f t="shared" si="100"/>
        <v>3725392000</v>
      </c>
      <c r="Q901">
        <f t="shared" si="101"/>
        <v>931348000</v>
      </c>
      <c r="R901" s="7">
        <f t="shared" si="102"/>
        <v>2098</v>
      </c>
      <c r="S901" s="7">
        <f t="shared" si="103"/>
        <v>1</v>
      </c>
      <c r="T901" s="7">
        <f t="shared" si="104"/>
        <v>2098</v>
      </c>
    </row>
    <row r="902" spans="1:20" ht="14.25" customHeight="1" x14ac:dyDescent="0.35">
      <c r="A902" s="2" t="s">
        <v>108</v>
      </c>
      <c r="B902" s="2" t="s">
        <v>29</v>
      </c>
      <c r="C902" s="2" t="s">
        <v>13</v>
      </c>
      <c r="D902" s="2" t="s">
        <v>14</v>
      </c>
      <c r="E902" s="2" t="s">
        <v>15</v>
      </c>
      <c r="F902" s="2" t="s">
        <v>23</v>
      </c>
      <c r="G902" s="2" t="s">
        <v>24</v>
      </c>
      <c r="H902" s="2">
        <v>30000</v>
      </c>
      <c r="I902" s="2">
        <v>9</v>
      </c>
      <c r="J902" s="2" t="s">
        <v>54</v>
      </c>
      <c r="K902" s="2">
        <f t="shared" si="98"/>
        <v>24000</v>
      </c>
      <c r="L902" s="9">
        <f>Table_1[[#This Row],[Unit Price]]*Table_1[[#This Row],[Quantity]]</f>
        <v>270000</v>
      </c>
      <c r="M902" s="8">
        <f>Table_1[[#This Row],[Cost Price]]*Table_1[[#This Row],[Quantity]]</f>
        <v>216000</v>
      </c>
      <c r="N902">
        <f>Table_1[[#This Row],[Revenue]]-Table_1[[#This Row],[COGS]]</f>
        <v>54000</v>
      </c>
      <c r="O902" s="11">
        <f t="shared" si="99"/>
        <v>4656740000</v>
      </c>
      <c r="P902">
        <f t="shared" si="100"/>
        <v>3725392000</v>
      </c>
      <c r="Q902">
        <f t="shared" si="101"/>
        <v>931348000</v>
      </c>
      <c r="R902" s="7">
        <f t="shared" si="102"/>
        <v>2098</v>
      </c>
      <c r="S902" s="7">
        <f t="shared" si="103"/>
        <v>4</v>
      </c>
      <c r="T902" s="7">
        <f t="shared" si="104"/>
        <v>2098</v>
      </c>
    </row>
    <row r="903" spans="1:20" ht="14.25" customHeight="1" x14ac:dyDescent="0.35">
      <c r="A903" s="2" t="s">
        <v>71</v>
      </c>
      <c r="B903" s="2" t="s">
        <v>29</v>
      </c>
      <c r="C903" s="2" t="s">
        <v>30</v>
      </c>
      <c r="D903" s="2" t="s">
        <v>26</v>
      </c>
      <c r="E903" s="2" t="s">
        <v>15</v>
      </c>
      <c r="F903" s="2" t="s">
        <v>47</v>
      </c>
      <c r="G903" s="2" t="s">
        <v>36</v>
      </c>
      <c r="H903" s="2">
        <v>150000</v>
      </c>
      <c r="I903" s="2">
        <v>5</v>
      </c>
      <c r="J903" s="2" t="s">
        <v>43</v>
      </c>
      <c r="K903" s="2">
        <f t="shared" si="98"/>
        <v>120000</v>
      </c>
      <c r="L903" s="9">
        <f>Table_1[[#This Row],[Unit Price]]*Table_1[[#This Row],[Quantity]]</f>
        <v>750000</v>
      </c>
      <c r="M903" s="8">
        <f>Table_1[[#This Row],[Cost Price]]*Table_1[[#This Row],[Quantity]]</f>
        <v>600000</v>
      </c>
      <c r="N903">
        <f>Table_1[[#This Row],[Revenue]]-Table_1[[#This Row],[COGS]]</f>
        <v>150000</v>
      </c>
      <c r="O903" s="11">
        <f t="shared" si="99"/>
        <v>4656740000</v>
      </c>
      <c r="P903">
        <f t="shared" si="100"/>
        <v>3725392000</v>
      </c>
      <c r="Q903">
        <f t="shared" si="101"/>
        <v>931348000</v>
      </c>
      <c r="R903" s="7">
        <f t="shared" si="102"/>
        <v>2098</v>
      </c>
      <c r="S903" s="7">
        <f t="shared" si="103"/>
        <v>2</v>
      </c>
      <c r="T903" s="7">
        <f t="shared" si="104"/>
        <v>2098</v>
      </c>
    </row>
    <row r="904" spans="1:20" ht="14.25" customHeight="1" x14ac:dyDescent="0.35">
      <c r="A904" s="2" t="s">
        <v>161</v>
      </c>
      <c r="B904" s="2" t="s">
        <v>29</v>
      </c>
      <c r="C904" s="2" t="s">
        <v>30</v>
      </c>
      <c r="D904" s="2" t="s">
        <v>14</v>
      </c>
      <c r="E904" s="2" t="s">
        <v>22</v>
      </c>
      <c r="F904" s="2" t="s">
        <v>31</v>
      </c>
      <c r="G904" s="2" t="s">
        <v>24</v>
      </c>
      <c r="H904" s="2">
        <v>60000</v>
      </c>
      <c r="I904" s="2">
        <v>8</v>
      </c>
      <c r="J904" s="2" t="s">
        <v>54</v>
      </c>
      <c r="K904" s="2">
        <f t="shared" si="98"/>
        <v>48000</v>
      </c>
      <c r="L904" s="9">
        <f>Table_1[[#This Row],[Unit Price]]*Table_1[[#This Row],[Quantity]]</f>
        <v>480000</v>
      </c>
      <c r="M904" s="8">
        <f>Table_1[[#This Row],[Cost Price]]*Table_1[[#This Row],[Quantity]]</f>
        <v>384000</v>
      </c>
      <c r="N904">
        <f>Table_1[[#This Row],[Revenue]]-Table_1[[#This Row],[COGS]]</f>
        <v>96000</v>
      </c>
      <c r="O904" s="11">
        <f t="shared" si="99"/>
        <v>4656740000</v>
      </c>
      <c r="P904">
        <f t="shared" si="100"/>
        <v>3725392000</v>
      </c>
      <c r="Q904">
        <f t="shared" si="101"/>
        <v>931348000</v>
      </c>
      <c r="R904" s="7">
        <f t="shared" si="102"/>
        <v>2098</v>
      </c>
      <c r="S904" s="7">
        <f t="shared" si="103"/>
        <v>1</v>
      </c>
      <c r="T904" s="7">
        <f t="shared" si="104"/>
        <v>2098</v>
      </c>
    </row>
    <row r="905" spans="1:20" ht="14.25" customHeight="1" x14ac:dyDescent="0.35">
      <c r="A905" s="2" t="s">
        <v>99</v>
      </c>
      <c r="B905" s="2" t="s">
        <v>20</v>
      </c>
      <c r="C905" s="2" t="s">
        <v>21</v>
      </c>
      <c r="D905" s="2" t="s">
        <v>14</v>
      </c>
      <c r="E905" s="2" t="s">
        <v>15</v>
      </c>
      <c r="F905" s="2" t="s">
        <v>47</v>
      </c>
      <c r="G905" s="2" t="s">
        <v>36</v>
      </c>
      <c r="H905" s="2">
        <v>150000</v>
      </c>
      <c r="I905" s="2">
        <v>8</v>
      </c>
      <c r="J905" s="2" t="s">
        <v>50</v>
      </c>
      <c r="K905" s="2">
        <f t="shared" si="98"/>
        <v>120000</v>
      </c>
      <c r="L905" s="9">
        <f>Table_1[[#This Row],[Unit Price]]*Table_1[[#This Row],[Quantity]]</f>
        <v>1200000</v>
      </c>
      <c r="M905" s="8">
        <f>Table_1[[#This Row],[Cost Price]]*Table_1[[#This Row],[Quantity]]</f>
        <v>960000</v>
      </c>
      <c r="N905">
        <f>Table_1[[#This Row],[Revenue]]-Table_1[[#This Row],[COGS]]</f>
        <v>240000</v>
      </c>
      <c r="O905" s="11">
        <f t="shared" si="99"/>
        <v>4656740000</v>
      </c>
      <c r="P905">
        <f t="shared" si="100"/>
        <v>3725392000</v>
      </c>
      <c r="Q905">
        <f t="shared" si="101"/>
        <v>931348000</v>
      </c>
      <c r="R905" s="7">
        <f t="shared" si="102"/>
        <v>2098</v>
      </c>
      <c r="S905" s="7">
        <f t="shared" si="103"/>
        <v>4</v>
      </c>
      <c r="T905" s="7">
        <f t="shared" si="104"/>
        <v>2098</v>
      </c>
    </row>
    <row r="906" spans="1:20" ht="14.25" customHeight="1" x14ac:dyDescent="0.35">
      <c r="A906" s="2" t="s">
        <v>72</v>
      </c>
      <c r="B906" s="2" t="s">
        <v>20</v>
      </c>
      <c r="C906" s="2" t="s">
        <v>30</v>
      </c>
      <c r="D906" s="2" t="s">
        <v>14</v>
      </c>
      <c r="E906" s="2" t="s">
        <v>22</v>
      </c>
      <c r="F906" s="2" t="s">
        <v>16</v>
      </c>
      <c r="G906" s="2" t="s">
        <v>17</v>
      </c>
      <c r="H906" s="2">
        <v>85000</v>
      </c>
      <c r="I906" s="2">
        <v>3</v>
      </c>
      <c r="J906" s="2" t="s">
        <v>54</v>
      </c>
      <c r="K906" s="2">
        <f t="shared" si="98"/>
        <v>68000</v>
      </c>
      <c r="L906" s="9">
        <f>Table_1[[#This Row],[Unit Price]]*Table_1[[#This Row],[Quantity]]</f>
        <v>255000</v>
      </c>
      <c r="M906" s="8">
        <f>Table_1[[#This Row],[Cost Price]]*Table_1[[#This Row],[Quantity]]</f>
        <v>204000</v>
      </c>
      <c r="N906">
        <f>Table_1[[#This Row],[Revenue]]-Table_1[[#This Row],[COGS]]</f>
        <v>51000</v>
      </c>
      <c r="O906" s="11">
        <f t="shared" si="99"/>
        <v>4656740000</v>
      </c>
      <c r="P906">
        <f t="shared" si="100"/>
        <v>3725392000</v>
      </c>
      <c r="Q906">
        <f t="shared" si="101"/>
        <v>931348000</v>
      </c>
      <c r="R906" s="7">
        <f t="shared" si="102"/>
        <v>2098</v>
      </c>
      <c r="S906" s="7">
        <f t="shared" si="103"/>
        <v>3</v>
      </c>
      <c r="T906" s="7">
        <f t="shared" si="104"/>
        <v>2098</v>
      </c>
    </row>
    <row r="907" spans="1:20" ht="14.25" customHeight="1" x14ac:dyDescent="0.35">
      <c r="A907" s="2" t="s">
        <v>114</v>
      </c>
      <c r="B907" s="2" t="s">
        <v>29</v>
      </c>
      <c r="C907" s="2" t="s">
        <v>13</v>
      </c>
      <c r="D907" s="2" t="s">
        <v>26</v>
      </c>
      <c r="E907" s="2" t="s">
        <v>15</v>
      </c>
      <c r="F907" s="2" t="s">
        <v>39</v>
      </c>
      <c r="G907" s="2" t="s">
        <v>24</v>
      </c>
      <c r="H907" s="2">
        <v>180000</v>
      </c>
      <c r="I907" s="2">
        <v>4</v>
      </c>
      <c r="J907" s="2" t="s">
        <v>50</v>
      </c>
      <c r="K907" s="2">
        <f t="shared" si="98"/>
        <v>144000</v>
      </c>
      <c r="L907" s="9">
        <f>Table_1[[#This Row],[Unit Price]]*Table_1[[#This Row],[Quantity]]</f>
        <v>720000</v>
      </c>
      <c r="M907" s="8">
        <f>Table_1[[#This Row],[Cost Price]]*Table_1[[#This Row],[Quantity]]</f>
        <v>576000</v>
      </c>
      <c r="N907">
        <f>Table_1[[#This Row],[Revenue]]-Table_1[[#This Row],[COGS]]</f>
        <v>144000</v>
      </c>
      <c r="O907" s="11">
        <f t="shared" si="99"/>
        <v>4656740000</v>
      </c>
      <c r="P907">
        <f t="shared" si="100"/>
        <v>3725392000</v>
      </c>
      <c r="Q907">
        <f t="shared" si="101"/>
        <v>931348000</v>
      </c>
      <c r="R907" s="7">
        <f t="shared" si="102"/>
        <v>2098</v>
      </c>
      <c r="S907" s="7">
        <f t="shared" si="103"/>
        <v>3</v>
      </c>
      <c r="T907" s="7">
        <f t="shared" si="104"/>
        <v>2098</v>
      </c>
    </row>
    <row r="908" spans="1:20" ht="14.25" customHeight="1" x14ac:dyDescent="0.35">
      <c r="A908" s="2" t="s">
        <v>151</v>
      </c>
      <c r="B908" s="2" t="s">
        <v>34</v>
      </c>
      <c r="C908" s="2" t="s">
        <v>13</v>
      </c>
      <c r="D908" s="2" t="s">
        <v>14</v>
      </c>
      <c r="E908" s="2" t="s">
        <v>15</v>
      </c>
      <c r="F908" s="2" t="s">
        <v>52</v>
      </c>
      <c r="G908" s="2" t="s">
        <v>36</v>
      </c>
      <c r="H908" s="2">
        <v>420000</v>
      </c>
      <c r="I908" s="2">
        <v>7</v>
      </c>
      <c r="J908" s="2" t="s">
        <v>27</v>
      </c>
      <c r="K908" s="2">
        <f t="shared" si="98"/>
        <v>336000</v>
      </c>
      <c r="L908" s="9">
        <f>Table_1[[#This Row],[Unit Price]]*Table_1[[#This Row],[Quantity]]</f>
        <v>2940000</v>
      </c>
      <c r="M908" s="8">
        <f>Table_1[[#This Row],[Cost Price]]*Table_1[[#This Row],[Quantity]]</f>
        <v>2352000</v>
      </c>
      <c r="N908">
        <f>Table_1[[#This Row],[Revenue]]-Table_1[[#This Row],[COGS]]</f>
        <v>588000</v>
      </c>
      <c r="O908" s="11">
        <f t="shared" si="99"/>
        <v>4656740000</v>
      </c>
      <c r="P908">
        <f t="shared" si="100"/>
        <v>3725392000</v>
      </c>
      <c r="Q908">
        <f t="shared" si="101"/>
        <v>931348000</v>
      </c>
      <c r="R908" s="7">
        <f t="shared" si="102"/>
        <v>2098</v>
      </c>
      <c r="S908" s="7">
        <f t="shared" si="103"/>
        <v>1</v>
      </c>
      <c r="T908" s="7">
        <f t="shared" si="104"/>
        <v>2098</v>
      </c>
    </row>
    <row r="909" spans="1:20" ht="14.25" customHeight="1" x14ac:dyDescent="0.35">
      <c r="A909" s="2" t="s">
        <v>131</v>
      </c>
      <c r="B909" s="2" t="s">
        <v>20</v>
      </c>
      <c r="C909" s="2" t="s">
        <v>21</v>
      </c>
      <c r="D909" s="2" t="s">
        <v>14</v>
      </c>
      <c r="E909" s="2" t="s">
        <v>22</v>
      </c>
      <c r="F909" s="2" t="s">
        <v>31</v>
      </c>
      <c r="G909" s="2" t="s">
        <v>24</v>
      </c>
      <c r="H909" s="2">
        <v>60000</v>
      </c>
      <c r="I909" s="2">
        <v>8</v>
      </c>
      <c r="J909" s="2" t="s">
        <v>27</v>
      </c>
      <c r="K909" s="2">
        <f t="shared" si="98"/>
        <v>48000</v>
      </c>
      <c r="L909" s="9">
        <f>Table_1[[#This Row],[Unit Price]]*Table_1[[#This Row],[Quantity]]</f>
        <v>480000</v>
      </c>
      <c r="M909" s="8">
        <f>Table_1[[#This Row],[Cost Price]]*Table_1[[#This Row],[Quantity]]</f>
        <v>384000</v>
      </c>
      <c r="N909">
        <f>Table_1[[#This Row],[Revenue]]-Table_1[[#This Row],[COGS]]</f>
        <v>96000</v>
      </c>
      <c r="O909" s="11">
        <f t="shared" si="99"/>
        <v>4656740000</v>
      </c>
      <c r="P909">
        <f t="shared" si="100"/>
        <v>3725392000</v>
      </c>
      <c r="Q909">
        <f t="shared" si="101"/>
        <v>931348000</v>
      </c>
      <c r="R909" s="7">
        <f t="shared" si="102"/>
        <v>2098</v>
      </c>
      <c r="S909" s="7">
        <f t="shared" si="103"/>
        <v>1</v>
      </c>
      <c r="T909" s="7">
        <f t="shared" si="104"/>
        <v>2098</v>
      </c>
    </row>
    <row r="910" spans="1:20" ht="14.25" customHeight="1" x14ac:dyDescent="0.35">
      <c r="A910" s="2" t="s">
        <v>90</v>
      </c>
      <c r="B910" s="2" t="s">
        <v>29</v>
      </c>
      <c r="C910" s="2" t="s">
        <v>30</v>
      </c>
      <c r="D910" s="2" t="s">
        <v>14</v>
      </c>
      <c r="E910" s="2" t="s">
        <v>22</v>
      </c>
      <c r="F910" s="2" t="s">
        <v>35</v>
      </c>
      <c r="G910" s="2" t="s">
        <v>36</v>
      </c>
      <c r="H910" s="2">
        <v>300000</v>
      </c>
      <c r="I910" s="2">
        <v>1</v>
      </c>
      <c r="J910" s="2" t="s">
        <v>43</v>
      </c>
      <c r="K910" s="2">
        <f t="shared" si="98"/>
        <v>240000</v>
      </c>
      <c r="L910" s="9">
        <f>Table_1[[#This Row],[Unit Price]]*Table_1[[#This Row],[Quantity]]</f>
        <v>300000</v>
      </c>
      <c r="M910" s="8">
        <f>Table_1[[#This Row],[Cost Price]]*Table_1[[#This Row],[Quantity]]</f>
        <v>240000</v>
      </c>
      <c r="N910">
        <f>Table_1[[#This Row],[Revenue]]-Table_1[[#This Row],[COGS]]</f>
        <v>60000</v>
      </c>
      <c r="O910" s="11">
        <f t="shared" si="99"/>
        <v>4656740000</v>
      </c>
      <c r="P910">
        <f t="shared" si="100"/>
        <v>3725392000</v>
      </c>
      <c r="Q910">
        <f t="shared" si="101"/>
        <v>931348000</v>
      </c>
      <c r="R910" s="7">
        <f t="shared" si="102"/>
        <v>2098</v>
      </c>
      <c r="S910" s="7">
        <f t="shared" si="103"/>
        <v>3</v>
      </c>
      <c r="T910" s="7">
        <f t="shared" si="104"/>
        <v>2098</v>
      </c>
    </row>
    <row r="911" spans="1:20" ht="14.25" customHeight="1" x14ac:dyDescent="0.35">
      <c r="A911" s="2" t="s">
        <v>134</v>
      </c>
      <c r="B911" s="2" t="s">
        <v>20</v>
      </c>
      <c r="C911" s="2" t="s">
        <v>30</v>
      </c>
      <c r="D911" s="2" t="s">
        <v>14</v>
      </c>
      <c r="E911" s="2" t="s">
        <v>15</v>
      </c>
      <c r="F911" s="2" t="s">
        <v>23</v>
      </c>
      <c r="G911" s="2" t="s">
        <v>24</v>
      </c>
      <c r="H911" s="2">
        <v>30000</v>
      </c>
      <c r="I911" s="2">
        <v>6</v>
      </c>
      <c r="J911" s="2" t="s">
        <v>43</v>
      </c>
      <c r="K911" s="2">
        <f t="shared" si="98"/>
        <v>24000</v>
      </c>
      <c r="L911" s="9">
        <f>Table_1[[#This Row],[Unit Price]]*Table_1[[#This Row],[Quantity]]</f>
        <v>180000</v>
      </c>
      <c r="M911" s="8">
        <f>Table_1[[#This Row],[Cost Price]]*Table_1[[#This Row],[Quantity]]</f>
        <v>144000</v>
      </c>
      <c r="N911">
        <f>Table_1[[#This Row],[Revenue]]-Table_1[[#This Row],[COGS]]</f>
        <v>36000</v>
      </c>
      <c r="O911" s="11">
        <f t="shared" si="99"/>
        <v>4656740000</v>
      </c>
      <c r="P911">
        <f t="shared" si="100"/>
        <v>3725392000</v>
      </c>
      <c r="Q911">
        <f t="shared" si="101"/>
        <v>931348000</v>
      </c>
      <c r="R911" s="7">
        <f t="shared" si="102"/>
        <v>2098</v>
      </c>
      <c r="S911" s="7">
        <f t="shared" si="103"/>
        <v>4</v>
      </c>
      <c r="T911" s="7">
        <f t="shared" si="104"/>
        <v>2098</v>
      </c>
    </row>
    <row r="912" spans="1:20" ht="14.25" customHeight="1" x14ac:dyDescent="0.35">
      <c r="A912" s="2" t="s">
        <v>135</v>
      </c>
      <c r="B912" s="2" t="s">
        <v>34</v>
      </c>
      <c r="C912" s="2" t="s">
        <v>21</v>
      </c>
      <c r="D912" s="2" t="s">
        <v>26</v>
      </c>
      <c r="E912" s="2" t="s">
        <v>22</v>
      </c>
      <c r="F912" s="2" t="s">
        <v>56</v>
      </c>
      <c r="G912" s="2" t="s">
        <v>36</v>
      </c>
      <c r="H912" s="2">
        <v>250000</v>
      </c>
      <c r="I912" s="2">
        <v>9</v>
      </c>
      <c r="J912" s="2" t="s">
        <v>50</v>
      </c>
      <c r="K912" s="2">
        <f t="shared" si="98"/>
        <v>200000</v>
      </c>
      <c r="L912" s="9">
        <f>Table_1[[#This Row],[Unit Price]]*Table_1[[#This Row],[Quantity]]</f>
        <v>2250000</v>
      </c>
      <c r="M912" s="8">
        <f>Table_1[[#This Row],[Cost Price]]*Table_1[[#This Row],[Quantity]]</f>
        <v>1800000</v>
      </c>
      <c r="N912">
        <f>Table_1[[#This Row],[Revenue]]-Table_1[[#This Row],[COGS]]</f>
        <v>450000</v>
      </c>
      <c r="O912" s="11">
        <f t="shared" si="99"/>
        <v>4656740000</v>
      </c>
      <c r="P912">
        <f t="shared" si="100"/>
        <v>3725392000</v>
      </c>
      <c r="Q912">
        <f t="shared" si="101"/>
        <v>931348000</v>
      </c>
      <c r="R912" s="7">
        <f t="shared" si="102"/>
        <v>2098</v>
      </c>
      <c r="S912" s="7">
        <f t="shared" si="103"/>
        <v>1</v>
      </c>
      <c r="T912" s="7">
        <f t="shared" si="104"/>
        <v>2098</v>
      </c>
    </row>
    <row r="913" spans="1:20" ht="14.25" customHeight="1" x14ac:dyDescent="0.35">
      <c r="A913" s="2" t="s">
        <v>42</v>
      </c>
      <c r="B913" s="2" t="s">
        <v>20</v>
      </c>
      <c r="C913" s="2" t="s">
        <v>30</v>
      </c>
      <c r="D913" s="2" t="s">
        <v>26</v>
      </c>
      <c r="E913" s="2" t="s">
        <v>22</v>
      </c>
      <c r="F913" s="2" t="s">
        <v>52</v>
      </c>
      <c r="G913" s="2" t="s">
        <v>36</v>
      </c>
      <c r="H913" s="2">
        <v>420000</v>
      </c>
      <c r="I913" s="2">
        <v>9</v>
      </c>
      <c r="J913" s="2" t="s">
        <v>43</v>
      </c>
      <c r="K913" s="2">
        <f t="shared" si="98"/>
        <v>336000</v>
      </c>
      <c r="L913" s="9">
        <f>Table_1[[#This Row],[Unit Price]]*Table_1[[#This Row],[Quantity]]</f>
        <v>3780000</v>
      </c>
      <c r="M913" s="8">
        <f>Table_1[[#This Row],[Cost Price]]*Table_1[[#This Row],[Quantity]]</f>
        <v>3024000</v>
      </c>
      <c r="N913">
        <f>Table_1[[#This Row],[Revenue]]-Table_1[[#This Row],[COGS]]</f>
        <v>756000</v>
      </c>
      <c r="O913" s="11">
        <f t="shared" si="99"/>
        <v>4656740000</v>
      </c>
      <c r="P913">
        <f t="shared" si="100"/>
        <v>3725392000</v>
      </c>
      <c r="Q913">
        <f t="shared" si="101"/>
        <v>931348000</v>
      </c>
      <c r="R913" s="7">
        <f t="shared" si="102"/>
        <v>2098</v>
      </c>
      <c r="S913" s="7">
        <f t="shared" si="103"/>
        <v>2</v>
      </c>
      <c r="T913" s="7">
        <f t="shared" si="104"/>
        <v>2098</v>
      </c>
    </row>
    <row r="914" spans="1:20" ht="14.25" customHeight="1" x14ac:dyDescent="0.35">
      <c r="A914" s="2" t="s">
        <v>120</v>
      </c>
      <c r="B914" s="2" t="s">
        <v>20</v>
      </c>
      <c r="C914" s="2" t="s">
        <v>30</v>
      </c>
      <c r="D914" s="2" t="s">
        <v>26</v>
      </c>
      <c r="E914" s="2" t="s">
        <v>22</v>
      </c>
      <c r="F914" s="2" t="s">
        <v>47</v>
      </c>
      <c r="G914" s="2" t="s">
        <v>36</v>
      </c>
      <c r="H914" s="2">
        <v>150000</v>
      </c>
      <c r="I914" s="2">
        <v>9</v>
      </c>
      <c r="J914" s="2" t="s">
        <v>43</v>
      </c>
      <c r="K914" s="2">
        <f t="shared" si="98"/>
        <v>120000</v>
      </c>
      <c r="L914" s="9">
        <f>Table_1[[#This Row],[Unit Price]]*Table_1[[#This Row],[Quantity]]</f>
        <v>1350000</v>
      </c>
      <c r="M914" s="8">
        <f>Table_1[[#This Row],[Cost Price]]*Table_1[[#This Row],[Quantity]]</f>
        <v>1080000</v>
      </c>
      <c r="N914">
        <f>Table_1[[#This Row],[Revenue]]-Table_1[[#This Row],[COGS]]</f>
        <v>270000</v>
      </c>
      <c r="O914" s="11">
        <f t="shared" si="99"/>
        <v>4656740000</v>
      </c>
      <c r="P914">
        <f t="shared" si="100"/>
        <v>3725392000</v>
      </c>
      <c r="Q914">
        <f t="shared" si="101"/>
        <v>931348000</v>
      </c>
      <c r="R914" s="7">
        <f t="shared" si="102"/>
        <v>2098</v>
      </c>
      <c r="S914" s="7">
        <f t="shared" si="103"/>
        <v>3</v>
      </c>
      <c r="T914" s="7">
        <f t="shared" si="104"/>
        <v>2098</v>
      </c>
    </row>
    <row r="915" spans="1:20" ht="14.25" customHeight="1" x14ac:dyDescent="0.35">
      <c r="A915" s="2" t="s">
        <v>139</v>
      </c>
      <c r="B915" s="2" t="s">
        <v>20</v>
      </c>
      <c r="C915" s="2" t="s">
        <v>21</v>
      </c>
      <c r="D915" s="2" t="s">
        <v>26</v>
      </c>
      <c r="E915" s="2" t="s">
        <v>15</v>
      </c>
      <c r="F915" s="2" t="s">
        <v>35</v>
      </c>
      <c r="G915" s="2" t="s">
        <v>36</v>
      </c>
      <c r="H915" s="2">
        <v>300000</v>
      </c>
      <c r="I915" s="2">
        <v>5</v>
      </c>
      <c r="J915" s="2" t="s">
        <v>54</v>
      </c>
      <c r="K915" s="2">
        <f t="shared" si="98"/>
        <v>240000</v>
      </c>
      <c r="L915" s="9">
        <f>Table_1[[#This Row],[Unit Price]]*Table_1[[#This Row],[Quantity]]</f>
        <v>1500000</v>
      </c>
      <c r="M915" s="8">
        <f>Table_1[[#This Row],[Cost Price]]*Table_1[[#This Row],[Quantity]]</f>
        <v>1200000</v>
      </c>
      <c r="N915">
        <f>Table_1[[#This Row],[Revenue]]-Table_1[[#This Row],[COGS]]</f>
        <v>300000</v>
      </c>
      <c r="O915" s="11">
        <f t="shared" si="99"/>
        <v>4656740000</v>
      </c>
      <c r="P915">
        <f t="shared" si="100"/>
        <v>3725392000</v>
      </c>
      <c r="Q915">
        <f t="shared" si="101"/>
        <v>931348000</v>
      </c>
      <c r="R915" s="7">
        <f t="shared" si="102"/>
        <v>2098</v>
      </c>
      <c r="S915" s="7">
        <f t="shared" si="103"/>
        <v>2</v>
      </c>
      <c r="T915" s="7">
        <f t="shared" si="104"/>
        <v>2098</v>
      </c>
    </row>
    <row r="916" spans="1:20" ht="14.25" customHeight="1" x14ac:dyDescent="0.35">
      <c r="A916" s="2" t="s">
        <v>45</v>
      </c>
      <c r="B916" s="2" t="s">
        <v>34</v>
      </c>
      <c r="C916" s="2" t="s">
        <v>38</v>
      </c>
      <c r="D916" s="2" t="s">
        <v>14</v>
      </c>
      <c r="E916" s="2" t="s">
        <v>15</v>
      </c>
      <c r="F916" s="2" t="s">
        <v>23</v>
      </c>
      <c r="G916" s="2" t="s">
        <v>24</v>
      </c>
      <c r="H916" s="2">
        <v>30000</v>
      </c>
      <c r="I916" s="2">
        <v>4</v>
      </c>
      <c r="J916" s="2" t="s">
        <v>43</v>
      </c>
      <c r="K916" s="2">
        <f t="shared" si="98"/>
        <v>24000</v>
      </c>
      <c r="L916" s="9">
        <f>Table_1[[#This Row],[Unit Price]]*Table_1[[#This Row],[Quantity]]</f>
        <v>120000</v>
      </c>
      <c r="M916" s="8">
        <f>Table_1[[#This Row],[Cost Price]]*Table_1[[#This Row],[Quantity]]</f>
        <v>96000</v>
      </c>
      <c r="N916">
        <f>Table_1[[#This Row],[Revenue]]-Table_1[[#This Row],[COGS]]</f>
        <v>24000</v>
      </c>
      <c r="O916" s="11">
        <f t="shared" si="99"/>
        <v>4656740000</v>
      </c>
      <c r="P916">
        <f t="shared" si="100"/>
        <v>3725392000</v>
      </c>
      <c r="Q916">
        <f t="shared" si="101"/>
        <v>931348000</v>
      </c>
      <c r="R916" s="7">
        <f t="shared" si="102"/>
        <v>2098</v>
      </c>
      <c r="S916" s="7">
        <f t="shared" si="103"/>
        <v>3</v>
      </c>
      <c r="T916" s="7">
        <f t="shared" si="104"/>
        <v>2098</v>
      </c>
    </row>
    <row r="917" spans="1:20" ht="14.25" customHeight="1" x14ac:dyDescent="0.35">
      <c r="A917" s="2" t="s">
        <v>40</v>
      </c>
      <c r="B917" s="2" t="s">
        <v>12</v>
      </c>
      <c r="C917" s="2" t="s">
        <v>38</v>
      </c>
      <c r="D917" s="2" t="s">
        <v>14</v>
      </c>
      <c r="E917" s="2" t="s">
        <v>22</v>
      </c>
      <c r="F917" s="2" t="s">
        <v>52</v>
      </c>
      <c r="G917" s="2" t="s">
        <v>36</v>
      </c>
      <c r="H917" s="2">
        <v>420000</v>
      </c>
      <c r="I917" s="2">
        <v>7</v>
      </c>
      <c r="J917" s="2" t="s">
        <v>54</v>
      </c>
      <c r="K917" s="2">
        <f t="shared" si="98"/>
        <v>336000</v>
      </c>
      <c r="L917" s="9">
        <f>Table_1[[#This Row],[Unit Price]]*Table_1[[#This Row],[Quantity]]</f>
        <v>2940000</v>
      </c>
      <c r="M917" s="8">
        <f>Table_1[[#This Row],[Cost Price]]*Table_1[[#This Row],[Quantity]]</f>
        <v>2352000</v>
      </c>
      <c r="N917">
        <f>Table_1[[#This Row],[Revenue]]-Table_1[[#This Row],[COGS]]</f>
        <v>588000</v>
      </c>
      <c r="O917" s="11">
        <f t="shared" si="99"/>
        <v>4656740000</v>
      </c>
      <c r="P917">
        <f t="shared" si="100"/>
        <v>3725392000</v>
      </c>
      <c r="Q917">
        <f t="shared" si="101"/>
        <v>931348000</v>
      </c>
      <c r="R917" s="7">
        <f t="shared" si="102"/>
        <v>2098</v>
      </c>
      <c r="S917" s="7">
        <f t="shared" si="103"/>
        <v>3</v>
      </c>
      <c r="T917" s="7">
        <f t="shared" si="104"/>
        <v>2098</v>
      </c>
    </row>
    <row r="918" spans="1:20" ht="14.25" customHeight="1" x14ac:dyDescent="0.35">
      <c r="A918" s="2" t="s">
        <v>139</v>
      </c>
      <c r="B918" s="2" t="s">
        <v>20</v>
      </c>
      <c r="C918" s="2" t="s">
        <v>21</v>
      </c>
      <c r="D918" s="2" t="s">
        <v>26</v>
      </c>
      <c r="E918" s="2" t="s">
        <v>22</v>
      </c>
      <c r="F918" s="2" t="s">
        <v>41</v>
      </c>
      <c r="G918" s="2" t="s">
        <v>17</v>
      </c>
      <c r="H918" s="2">
        <v>320000</v>
      </c>
      <c r="I918" s="2">
        <v>6</v>
      </c>
      <c r="J918" s="2" t="s">
        <v>43</v>
      </c>
      <c r="K918" s="2">
        <f t="shared" si="98"/>
        <v>256000</v>
      </c>
      <c r="L918" s="9">
        <f>Table_1[[#This Row],[Unit Price]]*Table_1[[#This Row],[Quantity]]</f>
        <v>1920000</v>
      </c>
      <c r="M918" s="8">
        <f>Table_1[[#This Row],[Cost Price]]*Table_1[[#This Row],[Quantity]]</f>
        <v>1536000</v>
      </c>
      <c r="N918">
        <f>Table_1[[#This Row],[Revenue]]-Table_1[[#This Row],[COGS]]</f>
        <v>384000</v>
      </c>
      <c r="O918" s="11">
        <f t="shared" si="99"/>
        <v>4656740000</v>
      </c>
      <c r="P918">
        <f t="shared" si="100"/>
        <v>3725392000</v>
      </c>
      <c r="Q918">
        <f t="shared" si="101"/>
        <v>931348000</v>
      </c>
      <c r="R918" s="7">
        <f t="shared" si="102"/>
        <v>2098</v>
      </c>
      <c r="S918" s="7">
        <f t="shared" si="103"/>
        <v>2</v>
      </c>
      <c r="T918" s="7">
        <f t="shared" si="104"/>
        <v>2098</v>
      </c>
    </row>
    <row r="919" spans="1:20" ht="14.25" customHeight="1" x14ac:dyDescent="0.35">
      <c r="A919" s="2" t="s">
        <v>93</v>
      </c>
      <c r="B919" s="2" t="s">
        <v>29</v>
      </c>
      <c r="C919" s="2" t="s">
        <v>38</v>
      </c>
      <c r="D919" s="2" t="s">
        <v>14</v>
      </c>
      <c r="E919" s="2" t="s">
        <v>15</v>
      </c>
      <c r="F919" s="2" t="s">
        <v>16</v>
      </c>
      <c r="G919" s="2" t="s">
        <v>17</v>
      </c>
      <c r="H919" s="2">
        <v>85000</v>
      </c>
      <c r="I919" s="2">
        <v>2</v>
      </c>
      <c r="J919" s="2" t="s">
        <v>54</v>
      </c>
      <c r="K919" s="2">
        <f t="shared" si="98"/>
        <v>68000</v>
      </c>
      <c r="L919" s="9">
        <f>Table_1[[#This Row],[Unit Price]]*Table_1[[#This Row],[Quantity]]</f>
        <v>170000</v>
      </c>
      <c r="M919" s="8">
        <f>Table_1[[#This Row],[Cost Price]]*Table_1[[#This Row],[Quantity]]</f>
        <v>136000</v>
      </c>
      <c r="N919">
        <f>Table_1[[#This Row],[Revenue]]-Table_1[[#This Row],[COGS]]</f>
        <v>34000</v>
      </c>
      <c r="O919" s="11">
        <f t="shared" si="99"/>
        <v>4656740000</v>
      </c>
      <c r="P919">
        <f t="shared" si="100"/>
        <v>3725392000</v>
      </c>
      <c r="Q919">
        <f t="shared" si="101"/>
        <v>931348000</v>
      </c>
      <c r="R919" s="7">
        <f t="shared" si="102"/>
        <v>2098</v>
      </c>
      <c r="S919" s="7">
        <f t="shared" si="103"/>
        <v>4</v>
      </c>
      <c r="T919" s="7">
        <f t="shared" si="104"/>
        <v>2098</v>
      </c>
    </row>
    <row r="920" spans="1:20" ht="14.25" customHeight="1" x14ac:dyDescent="0.35">
      <c r="A920" s="2" t="s">
        <v>85</v>
      </c>
      <c r="B920" s="2" t="s">
        <v>12</v>
      </c>
      <c r="C920" s="2" t="s">
        <v>21</v>
      </c>
      <c r="D920" s="2" t="s">
        <v>14</v>
      </c>
      <c r="E920" s="2" t="s">
        <v>15</v>
      </c>
      <c r="F920" s="2" t="s">
        <v>47</v>
      </c>
      <c r="G920" s="2" t="s">
        <v>36</v>
      </c>
      <c r="H920" s="2">
        <v>150000</v>
      </c>
      <c r="I920" s="2">
        <v>1</v>
      </c>
      <c r="J920" s="2" t="s">
        <v>54</v>
      </c>
      <c r="K920" s="2">
        <f t="shared" si="98"/>
        <v>120000</v>
      </c>
      <c r="L920" s="9">
        <f>Table_1[[#This Row],[Unit Price]]*Table_1[[#This Row],[Quantity]]</f>
        <v>150000</v>
      </c>
      <c r="M920" s="8">
        <f>Table_1[[#This Row],[Cost Price]]*Table_1[[#This Row],[Quantity]]</f>
        <v>120000</v>
      </c>
      <c r="N920">
        <f>Table_1[[#This Row],[Revenue]]-Table_1[[#This Row],[COGS]]</f>
        <v>30000</v>
      </c>
      <c r="O920" s="11">
        <f t="shared" si="99"/>
        <v>4656740000</v>
      </c>
      <c r="P920">
        <f t="shared" si="100"/>
        <v>3725392000</v>
      </c>
      <c r="Q920">
        <f t="shared" si="101"/>
        <v>931348000</v>
      </c>
      <c r="R920" s="7">
        <f t="shared" si="102"/>
        <v>2098</v>
      </c>
      <c r="S920" s="7">
        <f t="shared" si="103"/>
        <v>1</v>
      </c>
      <c r="T920" s="7">
        <f t="shared" si="104"/>
        <v>2098</v>
      </c>
    </row>
    <row r="921" spans="1:20" ht="14.25" customHeight="1" x14ac:dyDescent="0.35">
      <c r="A921" s="2" t="s">
        <v>110</v>
      </c>
      <c r="B921" s="2" t="s">
        <v>12</v>
      </c>
      <c r="C921" s="2" t="s">
        <v>13</v>
      </c>
      <c r="D921" s="2" t="s">
        <v>26</v>
      </c>
      <c r="E921" s="2" t="s">
        <v>22</v>
      </c>
      <c r="F921" s="2" t="s">
        <v>16</v>
      </c>
      <c r="G921" s="2" t="s">
        <v>17</v>
      </c>
      <c r="H921" s="2">
        <v>85000</v>
      </c>
      <c r="I921" s="2">
        <v>2</v>
      </c>
      <c r="J921" s="2" t="s">
        <v>50</v>
      </c>
      <c r="K921" s="2">
        <f t="shared" si="98"/>
        <v>68000</v>
      </c>
      <c r="L921" s="9">
        <f>Table_1[[#This Row],[Unit Price]]*Table_1[[#This Row],[Quantity]]</f>
        <v>170000</v>
      </c>
      <c r="M921" s="8">
        <f>Table_1[[#This Row],[Cost Price]]*Table_1[[#This Row],[Quantity]]</f>
        <v>136000</v>
      </c>
      <c r="N921">
        <f>Table_1[[#This Row],[Revenue]]-Table_1[[#This Row],[COGS]]</f>
        <v>34000</v>
      </c>
      <c r="O921" s="11">
        <f t="shared" si="99"/>
        <v>4656740000</v>
      </c>
      <c r="P921">
        <f t="shared" si="100"/>
        <v>3725392000</v>
      </c>
      <c r="Q921">
        <f t="shared" si="101"/>
        <v>931348000</v>
      </c>
      <c r="R921" s="7">
        <f t="shared" si="102"/>
        <v>2098</v>
      </c>
      <c r="S921" s="7">
        <f t="shared" si="103"/>
        <v>2</v>
      </c>
      <c r="T921" s="7">
        <f t="shared" si="104"/>
        <v>2098</v>
      </c>
    </row>
    <row r="922" spans="1:20" ht="14.25" customHeight="1" x14ac:dyDescent="0.35">
      <c r="A922" s="2" t="s">
        <v>28</v>
      </c>
      <c r="B922" s="2" t="s">
        <v>12</v>
      </c>
      <c r="C922" s="2" t="s">
        <v>38</v>
      </c>
      <c r="D922" s="2" t="s">
        <v>26</v>
      </c>
      <c r="E922" s="2" t="s">
        <v>15</v>
      </c>
      <c r="F922" s="2" t="s">
        <v>16</v>
      </c>
      <c r="G922" s="2" t="s">
        <v>17</v>
      </c>
      <c r="H922" s="2">
        <v>85000</v>
      </c>
      <c r="I922" s="2">
        <v>1</v>
      </c>
      <c r="J922" s="2" t="s">
        <v>32</v>
      </c>
      <c r="K922" s="2">
        <f t="shared" si="98"/>
        <v>68000</v>
      </c>
      <c r="L922" s="9">
        <f>Table_1[[#This Row],[Unit Price]]*Table_1[[#This Row],[Quantity]]</f>
        <v>85000</v>
      </c>
      <c r="M922" s="8">
        <f>Table_1[[#This Row],[Cost Price]]*Table_1[[#This Row],[Quantity]]</f>
        <v>68000</v>
      </c>
      <c r="N922">
        <f>Table_1[[#This Row],[Revenue]]-Table_1[[#This Row],[COGS]]</f>
        <v>17000</v>
      </c>
      <c r="O922" s="11">
        <f t="shared" si="99"/>
        <v>4656740000</v>
      </c>
      <c r="P922">
        <f t="shared" si="100"/>
        <v>3725392000</v>
      </c>
      <c r="Q922">
        <f t="shared" si="101"/>
        <v>931348000</v>
      </c>
      <c r="R922" s="7">
        <f t="shared" si="102"/>
        <v>2098</v>
      </c>
      <c r="S922" s="7">
        <f t="shared" si="103"/>
        <v>4</v>
      </c>
      <c r="T922" s="7">
        <f t="shared" si="104"/>
        <v>2098</v>
      </c>
    </row>
    <row r="923" spans="1:20" ht="14.25" customHeight="1" x14ac:dyDescent="0.35">
      <c r="A923" s="2" t="s">
        <v>83</v>
      </c>
      <c r="B923" s="2" t="s">
        <v>34</v>
      </c>
      <c r="C923" s="2" t="s">
        <v>30</v>
      </c>
      <c r="D923" s="2" t="s">
        <v>14</v>
      </c>
      <c r="E923" s="2" t="s">
        <v>15</v>
      </c>
      <c r="F923" s="2" t="s">
        <v>39</v>
      </c>
      <c r="G923" s="2" t="s">
        <v>24</v>
      </c>
      <c r="H923" s="2">
        <v>180000</v>
      </c>
      <c r="I923" s="2">
        <v>4</v>
      </c>
      <c r="J923" s="2" t="s">
        <v>54</v>
      </c>
      <c r="K923" s="2">
        <f t="shared" si="98"/>
        <v>144000</v>
      </c>
      <c r="L923" s="9">
        <f>Table_1[[#This Row],[Unit Price]]*Table_1[[#This Row],[Quantity]]</f>
        <v>720000</v>
      </c>
      <c r="M923" s="8">
        <f>Table_1[[#This Row],[Cost Price]]*Table_1[[#This Row],[Quantity]]</f>
        <v>576000</v>
      </c>
      <c r="N923">
        <f>Table_1[[#This Row],[Revenue]]-Table_1[[#This Row],[COGS]]</f>
        <v>144000</v>
      </c>
      <c r="O923" s="11">
        <f t="shared" si="99"/>
        <v>4656740000</v>
      </c>
      <c r="P923">
        <f t="shared" si="100"/>
        <v>3725392000</v>
      </c>
      <c r="Q923">
        <f t="shared" si="101"/>
        <v>931348000</v>
      </c>
      <c r="R923" s="7">
        <f t="shared" si="102"/>
        <v>2098</v>
      </c>
      <c r="S923" s="7">
        <f t="shared" si="103"/>
        <v>1</v>
      </c>
      <c r="T923" s="7">
        <f t="shared" si="104"/>
        <v>2098</v>
      </c>
    </row>
    <row r="924" spans="1:20" ht="14.25" customHeight="1" x14ac:dyDescent="0.35">
      <c r="A924" s="2" t="s">
        <v>63</v>
      </c>
      <c r="B924" s="2" t="s">
        <v>20</v>
      </c>
      <c r="C924" s="2" t="s">
        <v>13</v>
      </c>
      <c r="D924" s="2" t="s">
        <v>26</v>
      </c>
      <c r="E924" s="2" t="s">
        <v>15</v>
      </c>
      <c r="F924" s="2" t="s">
        <v>52</v>
      </c>
      <c r="G924" s="2" t="s">
        <v>36</v>
      </c>
      <c r="H924" s="2">
        <v>420000</v>
      </c>
      <c r="I924" s="2">
        <v>8</v>
      </c>
      <c r="J924" s="2" t="s">
        <v>27</v>
      </c>
      <c r="K924" s="2">
        <f t="shared" si="98"/>
        <v>336000</v>
      </c>
      <c r="L924" s="9">
        <f>Table_1[[#This Row],[Unit Price]]*Table_1[[#This Row],[Quantity]]</f>
        <v>3360000</v>
      </c>
      <c r="M924" s="8">
        <f>Table_1[[#This Row],[Cost Price]]*Table_1[[#This Row],[Quantity]]</f>
        <v>2688000</v>
      </c>
      <c r="N924">
        <f>Table_1[[#This Row],[Revenue]]-Table_1[[#This Row],[COGS]]</f>
        <v>672000</v>
      </c>
      <c r="O924" s="11">
        <f t="shared" si="99"/>
        <v>4656740000</v>
      </c>
      <c r="P924">
        <f t="shared" si="100"/>
        <v>3725392000</v>
      </c>
      <c r="Q924">
        <f t="shared" si="101"/>
        <v>931348000</v>
      </c>
      <c r="R924" s="7">
        <f t="shared" si="102"/>
        <v>2098</v>
      </c>
      <c r="S924" s="7">
        <f t="shared" si="103"/>
        <v>4</v>
      </c>
      <c r="T924" s="7">
        <f t="shared" si="104"/>
        <v>2098</v>
      </c>
    </row>
    <row r="925" spans="1:20" ht="14.25" customHeight="1" x14ac:dyDescent="0.35">
      <c r="A925" s="2" t="s">
        <v>105</v>
      </c>
      <c r="B925" s="2" t="s">
        <v>12</v>
      </c>
      <c r="C925" s="2" t="s">
        <v>30</v>
      </c>
      <c r="D925" s="2" t="s">
        <v>26</v>
      </c>
      <c r="E925" s="2" t="s">
        <v>22</v>
      </c>
      <c r="F925" s="2" t="s">
        <v>39</v>
      </c>
      <c r="G925" s="2" t="s">
        <v>24</v>
      </c>
      <c r="H925" s="2">
        <v>180000</v>
      </c>
      <c r="I925" s="2">
        <v>9</v>
      </c>
      <c r="J925" s="2" t="s">
        <v>27</v>
      </c>
      <c r="K925" s="2">
        <f t="shared" si="98"/>
        <v>144000</v>
      </c>
      <c r="L925" s="9">
        <f>Table_1[[#This Row],[Unit Price]]*Table_1[[#This Row],[Quantity]]</f>
        <v>1620000</v>
      </c>
      <c r="M925" s="8">
        <f>Table_1[[#This Row],[Cost Price]]*Table_1[[#This Row],[Quantity]]</f>
        <v>1296000</v>
      </c>
      <c r="N925">
        <f>Table_1[[#This Row],[Revenue]]-Table_1[[#This Row],[COGS]]</f>
        <v>324000</v>
      </c>
      <c r="O925" s="11">
        <f t="shared" si="99"/>
        <v>4656740000</v>
      </c>
      <c r="P925">
        <f t="shared" si="100"/>
        <v>3725392000</v>
      </c>
      <c r="Q925">
        <f t="shared" si="101"/>
        <v>931348000</v>
      </c>
      <c r="R925" s="7">
        <f t="shared" si="102"/>
        <v>2098</v>
      </c>
      <c r="S925" s="7">
        <f t="shared" si="103"/>
        <v>3</v>
      </c>
      <c r="T925" s="7">
        <f t="shared" si="104"/>
        <v>2098</v>
      </c>
    </row>
    <row r="926" spans="1:20" ht="14.25" customHeight="1" x14ac:dyDescent="0.35">
      <c r="A926" s="2" t="s">
        <v>143</v>
      </c>
      <c r="B926" s="2" t="s">
        <v>34</v>
      </c>
      <c r="C926" s="2" t="s">
        <v>21</v>
      </c>
      <c r="D926" s="2" t="s">
        <v>26</v>
      </c>
      <c r="E926" s="2" t="s">
        <v>22</v>
      </c>
      <c r="F926" s="2" t="s">
        <v>35</v>
      </c>
      <c r="G926" s="2" t="s">
        <v>36</v>
      </c>
      <c r="H926" s="2">
        <v>300000</v>
      </c>
      <c r="I926" s="2">
        <v>5</v>
      </c>
      <c r="J926" s="2" t="s">
        <v>54</v>
      </c>
      <c r="K926" s="2">
        <f t="shared" si="98"/>
        <v>240000</v>
      </c>
      <c r="L926" s="9">
        <f>Table_1[[#This Row],[Unit Price]]*Table_1[[#This Row],[Quantity]]</f>
        <v>1500000</v>
      </c>
      <c r="M926" s="8">
        <f>Table_1[[#This Row],[Cost Price]]*Table_1[[#This Row],[Quantity]]</f>
        <v>1200000</v>
      </c>
      <c r="N926">
        <f>Table_1[[#This Row],[Revenue]]-Table_1[[#This Row],[COGS]]</f>
        <v>300000</v>
      </c>
      <c r="O926" s="11">
        <f t="shared" si="99"/>
        <v>4656740000</v>
      </c>
      <c r="P926">
        <f t="shared" si="100"/>
        <v>3725392000</v>
      </c>
      <c r="Q926">
        <f t="shared" si="101"/>
        <v>931348000</v>
      </c>
      <c r="R926" s="7">
        <f t="shared" si="102"/>
        <v>2098</v>
      </c>
      <c r="S926" s="7">
        <f t="shared" si="103"/>
        <v>1</v>
      </c>
      <c r="T926" s="7">
        <f t="shared" si="104"/>
        <v>2098</v>
      </c>
    </row>
    <row r="927" spans="1:20" ht="14.25" customHeight="1" x14ac:dyDescent="0.35">
      <c r="A927" s="2" t="s">
        <v>155</v>
      </c>
      <c r="B927" s="2" t="s">
        <v>12</v>
      </c>
      <c r="C927" s="2" t="s">
        <v>30</v>
      </c>
      <c r="D927" s="2" t="s">
        <v>26</v>
      </c>
      <c r="E927" s="2" t="s">
        <v>22</v>
      </c>
      <c r="F927" s="2" t="s">
        <v>31</v>
      </c>
      <c r="G927" s="2" t="s">
        <v>24</v>
      </c>
      <c r="H927" s="2">
        <v>60000</v>
      </c>
      <c r="I927" s="2">
        <v>4</v>
      </c>
      <c r="J927" s="2" t="s">
        <v>50</v>
      </c>
      <c r="K927" s="2">
        <f t="shared" si="98"/>
        <v>48000</v>
      </c>
      <c r="L927" s="9">
        <f>Table_1[[#This Row],[Unit Price]]*Table_1[[#This Row],[Quantity]]</f>
        <v>240000</v>
      </c>
      <c r="M927" s="8">
        <f>Table_1[[#This Row],[Cost Price]]*Table_1[[#This Row],[Quantity]]</f>
        <v>192000</v>
      </c>
      <c r="N927">
        <f>Table_1[[#This Row],[Revenue]]-Table_1[[#This Row],[COGS]]</f>
        <v>48000</v>
      </c>
      <c r="O927" s="11">
        <f t="shared" si="99"/>
        <v>4656740000</v>
      </c>
      <c r="P927">
        <f t="shared" si="100"/>
        <v>3725392000</v>
      </c>
      <c r="Q927">
        <f t="shared" si="101"/>
        <v>931348000</v>
      </c>
      <c r="R927" s="7">
        <f t="shared" si="102"/>
        <v>2098</v>
      </c>
      <c r="S927" s="7">
        <f t="shared" si="103"/>
        <v>1</v>
      </c>
      <c r="T927" s="7">
        <f t="shared" si="104"/>
        <v>2098</v>
      </c>
    </row>
    <row r="928" spans="1:20" ht="14.25" customHeight="1" x14ac:dyDescent="0.35">
      <c r="A928" s="2" t="s">
        <v>130</v>
      </c>
      <c r="B928" s="2" t="s">
        <v>20</v>
      </c>
      <c r="C928" s="2" t="s">
        <v>21</v>
      </c>
      <c r="D928" s="2" t="s">
        <v>26</v>
      </c>
      <c r="E928" s="2" t="s">
        <v>15</v>
      </c>
      <c r="F928" s="2" t="s">
        <v>56</v>
      </c>
      <c r="G928" s="2" t="s">
        <v>36</v>
      </c>
      <c r="H928" s="2">
        <v>250000</v>
      </c>
      <c r="I928" s="2">
        <v>4</v>
      </c>
      <c r="J928" s="2" t="s">
        <v>50</v>
      </c>
      <c r="K928" s="2">
        <f t="shared" si="98"/>
        <v>200000</v>
      </c>
      <c r="L928" s="9">
        <f>Table_1[[#This Row],[Unit Price]]*Table_1[[#This Row],[Quantity]]</f>
        <v>1000000</v>
      </c>
      <c r="M928" s="8">
        <f>Table_1[[#This Row],[Cost Price]]*Table_1[[#This Row],[Quantity]]</f>
        <v>800000</v>
      </c>
      <c r="N928">
        <f>Table_1[[#This Row],[Revenue]]-Table_1[[#This Row],[COGS]]</f>
        <v>200000</v>
      </c>
      <c r="O928" s="11">
        <f t="shared" si="99"/>
        <v>4656740000</v>
      </c>
      <c r="P928">
        <f t="shared" si="100"/>
        <v>3725392000</v>
      </c>
      <c r="Q928">
        <f t="shared" si="101"/>
        <v>931348000</v>
      </c>
      <c r="R928" s="7">
        <f t="shared" si="102"/>
        <v>2098</v>
      </c>
      <c r="S928" s="7">
        <f t="shared" si="103"/>
        <v>1</v>
      </c>
      <c r="T928" s="7">
        <f t="shared" si="104"/>
        <v>2098</v>
      </c>
    </row>
    <row r="929" spans="1:20" ht="14.25" customHeight="1" x14ac:dyDescent="0.35">
      <c r="A929" s="2" t="s">
        <v>113</v>
      </c>
      <c r="B929" s="2" t="s">
        <v>34</v>
      </c>
      <c r="C929" s="2" t="s">
        <v>13</v>
      </c>
      <c r="D929" s="2" t="s">
        <v>14</v>
      </c>
      <c r="E929" s="2" t="s">
        <v>22</v>
      </c>
      <c r="F929" s="2" t="s">
        <v>58</v>
      </c>
      <c r="G929" s="2" t="s">
        <v>24</v>
      </c>
      <c r="H929" s="2">
        <v>220000</v>
      </c>
      <c r="I929" s="2">
        <v>6</v>
      </c>
      <c r="J929" s="2" t="s">
        <v>54</v>
      </c>
      <c r="K929" s="2">
        <f t="shared" si="98"/>
        <v>176000</v>
      </c>
      <c r="L929" s="9">
        <f>Table_1[[#This Row],[Unit Price]]*Table_1[[#This Row],[Quantity]]</f>
        <v>1320000</v>
      </c>
      <c r="M929" s="8">
        <f>Table_1[[#This Row],[Cost Price]]*Table_1[[#This Row],[Quantity]]</f>
        <v>1056000</v>
      </c>
      <c r="N929">
        <f>Table_1[[#This Row],[Revenue]]-Table_1[[#This Row],[COGS]]</f>
        <v>264000</v>
      </c>
      <c r="O929" s="11">
        <f t="shared" si="99"/>
        <v>4656740000</v>
      </c>
      <c r="P929">
        <f t="shared" si="100"/>
        <v>3725392000</v>
      </c>
      <c r="Q929">
        <f t="shared" si="101"/>
        <v>931348000</v>
      </c>
      <c r="R929" s="7">
        <f t="shared" si="102"/>
        <v>2098</v>
      </c>
      <c r="S929" s="7">
        <f t="shared" si="103"/>
        <v>3</v>
      </c>
      <c r="T929" s="7">
        <f t="shared" si="104"/>
        <v>2098</v>
      </c>
    </row>
    <row r="930" spans="1:20" ht="14.25" customHeight="1" x14ac:dyDescent="0.35">
      <c r="A930" s="2" t="s">
        <v>63</v>
      </c>
      <c r="B930" s="2" t="s">
        <v>20</v>
      </c>
      <c r="C930" s="2" t="s">
        <v>21</v>
      </c>
      <c r="D930" s="2" t="s">
        <v>26</v>
      </c>
      <c r="E930" s="2" t="s">
        <v>15</v>
      </c>
      <c r="F930" s="2" t="s">
        <v>35</v>
      </c>
      <c r="G930" s="2" t="s">
        <v>36</v>
      </c>
      <c r="H930" s="2">
        <v>300000</v>
      </c>
      <c r="I930" s="2">
        <v>7</v>
      </c>
      <c r="J930" s="2" t="s">
        <v>32</v>
      </c>
      <c r="K930" s="2">
        <f t="shared" si="98"/>
        <v>240000</v>
      </c>
      <c r="L930" s="9">
        <f>Table_1[[#This Row],[Unit Price]]*Table_1[[#This Row],[Quantity]]</f>
        <v>2100000</v>
      </c>
      <c r="M930" s="8">
        <f>Table_1[[#This Row],[Cost Price]]*Table_1[[#This Row],[Quantity]]</f>
        <v>1680000</v>
      </c>
      <c r="N930">
        <f>Table_1[[#This Row],[Revenue]]-Table_1[[#This Row],[COGS]]</f>
        <v>420000</v>
      </c>
      <c r="O930" s="11">
        <f t="shared" si="99"/>
        <v>4656740000</v>
      </c>
      <c r="P930">
        <f t="shared" si="100"/>
        <v>3725392000</v>
      </c>
      <c r="Q930">
        <f t="shared" si="101"/>
        <v>931348000</v>
      </c>
      <c r="R930" s="7">
        <f t="shared" si="102"/>
        <v>2098</v>
      </c>
      <c r="S930" s="7">
        <f t="shared" si="103"/>
        <v>4</v>
      </c>
      <c r="T930" s="7">
        <f t="shared" si="104"/>
        <v>2098</v>
      </c>
    </row>
    <row r="931" spans="1:20" ht="14.25" customHeight="1" x14ac:dyDescent="0.35">
      <c r="A931" s="2" t="s">
        <v>66</v>
      </c>
      <c r="B931" s="2" t="s">
        <v>29</v>
      </c>
      <c r="C931" s="2" t="s">
        <v>21</v>
      </c>
      <c r="D931" s="2" t="s">
        <v>14</v>
      </c>
      <c r="E931" s="2" t="s">
        <v>15</v>
      </c>
      <c r="F931" s="2" t="s">
        <v>52</v>
      </c>
      <c r="G931" s="2" t="s">
        <v>36</v>
      </c>
      <c r="H931" s="2">
        <v>420000</v>
      </c>
      <c r="I931" s="2">
        <v>10</v>
      </c>
      <c r="J931" s="2" t="s">
        <v>32</v>
      </c>
      <c r="K931" s="2">
        <f t="shared" si="98"/>
        <v>336000</v>
      </c>
      <c r="L931" s="9">
        <f>Table_1[[#This Row],[Unit Price]]*Table_1[[#This Row],[Quantity]]</f>
        <v>4200000</v>
      </c>
      <c r="M931" s="8">
        <f>Table_1[[#This Row],[Cost Price]]*Table_1[[#This Row],[Quantity]]</f>
        <v>3360000</v>
      </c>
      <c r="N931">
        <f>Table_1[[#This Row],[Revenue]]-Table_1[[#This Row],[COGS]]</f>
        <v>840000</v>
      </c>
      <c r="O931" s="11">
        <f t="shared" si="99"/>
        <v>4656740000</v>
      </c>
      <c r="P931">
        <f t="shared" si="100"/>
        <v>3725392000</v>
      </c>
      <c r="Q931">
        <f t="shared" si="101"/>
        <v>931348000</v>
      </c>
      <c r="R931" s="7">
        <f t="shared" si="102"/>
        <v>2098</v>
      </c>
      <c r="S931" s="7">
        <f t="shared" si="103"/>
        <v>3</v>
      </c>
      <c r="T931" s="7">
        <f t="shared" si="104"/>
        <v>2098</v>
      </c>
    </row>
    <row r="932" spans="1:20" ht="14.25" customHeight="1" x14ac:dyDescent="0.35">
      <c r="A932" s="2" t="s">
        <v>76</v>
      </c>
      <c r="B932" s="2" t="s">
        <v>12</v>
      </c>
      <c r="C932" s="2" t="s">
        <v>21</v>
      </c>
      <c r="D932" s="2" t="s">
        <v>26</v>
      </c>
      <c r="E932" s="2" t="s">
        <v>22</v>
      </c>
      <c r="F932" s="2" t="s">
        <v>23</v>
      </c>
      <c r="G932" s="2" t="s">
        <v>24</v>
      </c>
      <c r="H932" s="2">
        <v>30000</v>
      </c>
      <c r="I932" s="2">
        <v>7</v>
      </c>
      <c r="J932" s="2" t="s">
        <v>32</v>
      </c>
      <c r="K932" s="2">
        <f t="shared" si="98"/>
        <v>24000</v>
      </c>
      <c r="L932" s="9">
        <f>Table_1[[#This Row],[Unit Price]]*Table_1[[#This Row],[Quantity]]</f>
        <v>210000</v>
      </c>
      <c r="M932" s="8">
        <f>Table_1[[#This Row],[Cost Price]]*Table_1[[#This Row],[Quantity]]</f>
        <v>168000</v>
      </c>
      <c r="N932">
        <f>Table_1[[#This Row],[Revenue]]-Table_1[[#This Row],[COGS]]</f>
        <v>42000</v>
      </c>
      <c r="O932" s="11">
        <f t="shared" si="99"/>
        <v>4656740000</v>
      </c>
      <c r="P932">
        <f t="shared" si="100"/>
        <v>3725392000</v>
      </c>
      <c r="Q932">
        <f t="shared" si="101"/>
        <v>931348000</v>
      </c>
      <c r="R932" s="7">
        <f t="shared" si="102"/>
        <v>2098</v>
      </c>
      <c r="S932" s="7">
        <f t="shared" si="103"/>
        <v>2</v>
      </c>
      <c r="T932" s="7">
        <f t="shared" si="104"/>
        <v>2098</v>
      </c>
    </row>
    <row r="933" spans="1:20" ht="14.25" customHeight="1" x14ac:dyDescent="0.35">
      <c r="A933" s="2" t="s">
        <v>55</v>
      </c>
      <c r="B933" s="2" t="s">
        <v>34</v>
      </c>
      <c r="C933" s="2" t="s">
        <v>21</v>
      </c>
      <c r="D933" s="2" t="s">
        <v>26</v>
      </c>
      <c r="E933" s="2" t="s">
        <v>15</v>
      </c>
      <c r="F933" s="2" t="s">
        <v>58</v>
      </c>
      <c r="G933" s="2" t="s">
        <v>24</v>
      </c>
      <c r="H933" s="2">
        <v>220000</v>
      </c>
      <c r="I933" s="2">
        <v>8</v>
      </c>
      <c r="J933" s="2" t="s">
        <v>50</v>
      </c>
      <c r="K933" s="2">
        <f t="shared" si="98"/>
        <v>176000</v>
      </c>
      <c r="L933" s="9">
        <f>Table_1[[#This Row],[Unit Price]]*Table_1[[#This Row],[Quantity]]</f>
        <v>1760000</v>
      </c>
      <c r="M933" s="8">
        <f>Table_1[[#This Row],[Cost Price]]*Table_1[[#This Row],[Quantity]]</f>
        <v>1408000</v>
      </c>
      <c r="N933">
        <f>Table_1[[#This Row],[Revenue]]-Table_1[[#This Row],[COGS]]</f>
        <v>352000</v>
      </c>
      <c r="O933" s="11">
        <f t="shared" si="99"/>
        <v>4656740000</v>
      </c>
      <c r="P933">
        <f t="shared" si="100"/>
        <v>3725392000</v>
      </c>
      <c r="Q933">
        <f t="shared" si="101"/>
        <v>931348000</v>
      </c>
      <c r="R933" s="7">
        <f t="shared" si="102"/>
        <v>2098</v>
      </c>
      <c r="S933" s="7">
        <f t="shared" si="103"/>
        <v>4</v>
      </c>
      <c r="T933" s="7">
        <f t="shared" si="104"/>
        <v>2098</v>
      </c>
    </row>
    <row r="934" spans="1:20" ht="14.25" customHeight="1" x14ac:dyDescent="0.35">
      <c r="A934" s="2" t="s">
        <v>48</v>
      </c>
      <c r="B934" s="2" t="s">
        <v>29</v>
      </c>
      <c r="C934" s="2" t="s">
        <v>38</v>
      </c>
      <c r="D934" s="2" t="s">
        <v>14</v>
      </c>
      <c r="E934" s="2" t="s">
        <v>22</v>
      </c>
      <c r="F934" s="2" t="s">
        <v>41</v>
      </c>
      <c r="G934" s="2" t="s">
        <v>17</v>
      </c>
      <c r="H934" s="2">
        <v>320000</v>
      </c>
      <c r="I934" s="2">
        <v>9</v>
      </c>
      <c r="J934" s="2" t="s">
        <v>27</v>
      </c>
      <c r="K934" s="2">
        <f t="shared" si="98"/>
        <v>256000</v>
      </c>
      <c r="L934" s="9">
        <f>Table_1[[#This Row],[Unit Price]]*Table_1[[#This Row],[Quantity]]</f>
        <v>2880000</v>
      </c>
      <c r="M934" s="8">
        <f>Table_1[[#This Row],[Cost Price]]*Table_1[[#This Row],[Quantity]]</f>
        <v>2304000</v>
      </c>
      <c r="N934">
        <f>Table_1[[#This Row],[Revenue]]-Table_1[[#This Row],[COGS]]</f>
        <v>576000</v>
      </c>
      <c r="O934" s="11">
        <f t="shared" si="99"/>
        <v>4656740000</v>
      </c>
      <c r="P934">
        <f t="shared" si="100"/>
        <v>3725392000</v>
      </c>
      <c r="Q934">
        <f t="shared" si="101"/>
        <v>931348000</v>
      </c>
      <c r="R934" s="7">
        <f t="shared" si="102"/>
        <v>2098</v>
      </c>
      <c r="S934" s="7">
        <f t="shared" si="103"/>
        <v>1</v>
      </c>
      <c r="T934" s="7">
        <f t="shared" si="104"/>
        <v>2098</v>
      </c>
    </row>
    <row r="935" spans="1:20" ht="14.25" customHeight="1" x14ac:dyDescent="0.35">
      <c r="A935" s="2" t="s">
        <v>119</v>
      </c>
      <c r="B935" s="2" t="s">
        <v>20</v>
      </c>
      <c r="C935" s="2" t="s">
        <v>30</v>
      </c>
      <c r="D935" s="2" t="s">
        <v>26</v>
      </c>
      <c r="E935" s="2" t="s">
        <v>22</v>
      </c>
      <c r="F935" s="2" t="s">
        <v>39</v>
      </c>
      <c r="G935" s="2" t="s">
        <v>24</v>
      </c>
      <c r="H935" s="2">
        <v>180000</v>
      </c>
      <c r="I935" s="2">
        <v>8</v>
      </c>
      <c r="J935" s="2" t="s">
        <v>32</v>
      </c>
      <c r="K935" s="2">
        <f t="shared" si="98"/>
        <v>144000</v>
      </c>
      <c r="L935" s="9">
        <f>Table_1[[#This Row],[Unit Price]]*Table_1[[#This Row],[Quantity]]</f>
        <v>1440000</v>
      </c>
      <c r="M935" s="8">
        <f>Table_1[[#This Row],[Cost Price]]*Table_1[[#This Row],[Quantity]]</f>
        <v>1152000</v>
      </c>
      <c r="N935">
        <f>Table_1[[#This Row],[Revenue]]-Table_1[[#This Row],[COGS]]</f>
        <v>288000</v>
      </c>
      <c r="O935" s="11">
        <f t="shared" si="99"/>
        <v>4656740000</v>
      </c>
      <c r="P935">
        <f t="shared" si="100"/>
        <v>3725392000</v>
      </c>
      <c r="Q935">
        <f t="shared" si="101"/>
        <v>931348000</v>
      </c>
      <c r="R935" s="7">
        <f t="shared" si="102"/>
        <v>2098</v>
      </c>
      <c r="S935" s="7">
        <f t="shared" si="103"/>
        <v>1</v>
      </c>
      <c r="T935" s="7">
        <f t="shared" si="104"/>
        <v>2098</v>
      </c>
    </row>
    <row r="936" spans="1:20" ht="14.25" customHeight="1" x14ac:dyDescent="0.35">
      <c r="A936" s="2" t="s">
        <v>49</v>
      </c>
      <c r="B936" s="2" t="s">
        <v>34</v>
      </c>
      <c r="C936" s="2" t="s">
        <v>13</v>
      </c>
      <c r="D936" s="2" t="s">
        <v>14</v>
      </c>
      <c r="E936" s="2" t="s">
        <v>15</v>
      </c>
      <c r="F936" s="2" t="s">
        <v>23</v>
      </c>
      <c r="G936" s="2" t="s">
        <v>24</v>
      </c>
      <c r="H936" s="2">
        <v>30000</v>
      </c>
      <c r="I936" s="2">
        <v>5</v>
      </c>
      <c r="J936" s="2" t="s">
        <v>43</v>
      </c>
      <c r="K936" s="2">
        <f t="shared" si="98"/>
        <v>24000</v>
      </c>
      <c r="L936" s="9">
        <f>Table_1[[#This Row],[Unit Price]]*Table_1[[#This Row],[Quantity]]</f>
        <v>150000</v>
      </c>
      <c r="M936" s="8">
        <f>Table_1[[#This Row],[Cost Price]]*Table_1[[#This Row],[Quantity]]</f>
        <v>120000</v>
      </c>
      <c r="N936">
        <f>Table_1[[#This Row],[Revenue]]-Table_1[[#This Row],[COGS]]</f>
        <v>30000</v>
      </c>
      <c r="O936" s="11">
        <f t="shared" si="99"/>
        <v>4656740000</v>
      </c>
      <c r="P936">
        <f t="shared" si="100"/>
        <v>3725392000</v>
      </c>
      <c r="Q936">
        <f t="shared" si="101"/>
        <v>931348000</v>
      </c>
      <c r="R936" s="7">
        <f t="shared" si="102"/>
        <v>2098</v>
      </c>
      <c r="S936" s="7">
        <f t="shared" si="103"/>
        <v>4</v>
      </c>
      <c r="T936" s="7">
        <f t="shared" si="104"/>
        <v>2098</v>
      </c>
    </row>
    <row r="937" spans="1:20" ht="14.25" customHeight="1" x14ac:dyDescent="0.35">
      <c r="A937" s="2" t="s">
        <v>70</v>
      </c>
      <c r="B937" s="2" t="s">
        <v>29</v>
      </c>
      <c r="C937" s="2" t="s">
        <v>30</v>
      </c>
      <c r="D937" s="2" t="s">
        <v>14</v>
      </c>
      <c r="E937" s="2" t="s">
        <v>22</v>
      </c>
      <c r="F937" s="2" t="s">
        <v>41</v>
      </c>
      <c r="G937" s="2" t="s">
        <v>17</v>
      </c>
      <c r="H937" s="2">
        <v>320000</v>
      </c>
      <c r="I937" s="2">
        <v>8</v>
      </c>
      <c r="J937" s="2" t="s">
        <v>32</v>
      </c>
      <c r="K937" s="2">
        <f t="shared" si="98"/>
        <v>256000</v>
      </c>
      <c r="L937" s="9">
        <f>Table_1[[#This Row],[Unit Price]]*Table_1[[#This Row],[Quantity]]</f>
        <v>2560000</v>
      </c>
      <c r="M937" s="8">
        <f>Table_1[[#This Row],[Cost Price]]*Table_1[[#This Row],[Quantity]]</f>
        <v>2048000</v>
      </c>
      <c r="N937">
        <f>Table_1[[#This Row],[Revenue]]-Table_1[[#This Row],[COGS]]</f>
        <v>512000</v>
      </c>
      <c r="O937" s="11">
        <f t="shared" si="99"/>
        <v>4656740000</v>
      </c>
      <c r="P937">
        <f t="shared" si="100"/>
        <v>3725392000</v>
      </c>
      <c r="Q937">
        <f t="shared" si="101"/>
        <v>931348000</v>
      </c>
      <c r="R937" s="7">
        <f t="shared" si="102"/>
        <v>2098</v>
      </c>
      <c r="S937" s="7">
        <f t="shared" si="103"/>
        <v>2</v>
      </c>
      <c r="T937" s="7">
        <f t="shared" si="104"/>
        <v>2098</v>
      </c>
    </row>
    <row r="938" spans="1:20" ht="14.25" customHeight="1" x14ac:dyDescent="0.35">
      <c r="A938" s="2" t="s">
        <v>94</v>
      </c>
      <c r="B938" s="2" t="s">
        <v>34</v>
      </c>
      <c r="C938" s="2" t="s">
        <v>21</v>
      </c>
      <c r="D938" s="2" t="s">
        <v>14</v>
      </c>
      <c r="E938" s="2" t="s">
        <v>22</v>
      </c>
      <c r="F938" s="2" t="s">
        <v>41</v>
      </c>
      <c r="G938" s="2" t="s">
        <v>17</v>
      </c>
      <c r="H938" s="2">
        <v>320000</v>
      </c>
      <c r="I938" s="2">
        <v>8</v>
      </c>
      <c r="J938" s="2" t="s">
        <v>27</v>
      </c>
      <c r="K938" s="2">
        <f t="shared" si="98"/>
        <v>256000</v>
      </c>
      <c r="L938" s="9">
        <f>Table_1[[#This Row],[Unit Price]]*Table_1[[#This Row],[Quantity]]</f>
        <v>2560000</v>
      </c>
      <c r="M938" s="8">
        <f>Table_1[[#This Row],[Cost Price]]*Table_1[[#This Row],[Quantity]]</f>
        <v>2048000</v>
      </c>
      <c r="N938">
        <f>Table_1[[#This Row],[Revenue]]-Table_1[[#This Row],[COGS]]</f>
        <v>512000</v>
      </c>
      <c r="O938" s="11">
        <f t="shared" si="99"/>
        <v>4656740000</v>
      </c>
      <c r="P938">
        <f t="shared" si="100"/>
        <v>3725392000</v>
      </c>
      <c r="Q938">
        <f t="shared" si="101"/>
        <v>931348000</v>
      </c>
      <c r="R938" s="7">
        <f t="shared" si="102"/>
        <v>2098</v>
      </c>
      <c r="S938" s="7">
        <f t="shared" si="103"/>
        <v>3</v>
      </c>
      <c r="T938" s="7">
        <f t="shared" si="104"/>
        <v>2098</v>
      </c>
    </row>
    <row r="939" spans="1:20" ht="14.25" customHeight="1" x14ac:dyDescent="0.35">
      <c r="A939" s="2" t="s">
        <v>102</v>
      </c>
      <c r="B939" s="2" t="s">
        <v>20</v>
      </c>
      <c r="C939" s="2" t="s">
        <v>30</v>
      </c>
      <c r="D939" s="2" t="s">
        <v>26</v>
      </c>
      <c r="E939" s="2" t="s">
        <v>22</v>
      </c>
      <c r="F939" s="2" t="s">
        <v>23</v>
      </c>
      <c r="G939" s="2" t="s">
        <v>24</v>
      </c>
      <c r="H939" s="2">
        <v>30000</v>
      </c>
      <c r="I939" s="2">
        <v>4</v>
      </c>
      <c r="J939" s="2" t="s">
        <v>32</v>
      </c>
      <c r="K939" s="2">
        <f t="shared" si="98"/>
        <v>24000</v>
      </c>
      <c r="L939" s="9">
        <f>Table_1[[#This Row],[Unit Price]]*Table_1[[#This Row],[Quantity]]</f>
        <v>120000</v>
      </c>
      <c r="M939" s="8">
        <f>Table_1[[#This Row],[Cost Price]]*Table_1[[#This Row],[Quantity]]</f>
        <v>96000</v>
      </c>
      <c r="N939">
        <f>Table_1[[#This Row],[Revenue]]-Table_1[[#This Row],[COGS]]</f>
        <v>24000</v>
      </c>
      <c r="O939" s="11">
        <f t="shared" si="99"/>
        <v>4656740000</v>
      </c>
      <c r="P939">
        <f t="shared" si="100"/>
        <v>3725392000</v>
      </c>
      <c r="Q939">
        <f t="shared" si="101"/>
        <v>931348000</v>
      </c>
      <c r="R939" s="7">
        <f t="shared" si="102"/>
        <v>2098</v>
      </c>
      <c r="S939" s="7">
        <f t="shared" si="103"/>
        <v>1</v>
      </c>
      <c r="T939" s="7">
        <f t="shared" si="104"/>
        <v>2098</v>
      </c>
    </row>
    <row r="940" spans="1:20" ht="14.25" customHeight="1" x14ac:dyDescent="0.35">
      <c r="A940" s="2" t="s">
        <v>19</v>
      </c>
      <c r="B940" s="2" t="s">
        <v>12</v>
      </c>
      <c r="C940" s="2" t="s">
        <v>38</v>
      </c>
      <c r="D940" s="2" t="s">
        <v>14</v>
      </c>
      <c r="E940" s="2" t="s">
        <v>22</v>
      </c>
      <c r="F940" s="2" t="s">
        <v>39</v>
      </c>
      <c r="G940" s="2" t="s">
        <v>24</v>
      </c>
      <c r="H940" s="2">
        <v>180000</v>
      </c>
      <c r="I940" s="2">
        <v>3</v>
      </c>
      <c r="J940" s="2" t="s">
        <v>43</v>
      </c>
      <c r="K940" s="2">
        <f t="shared" si="98"/>
        <v>144000</v>
      </c>
      <c r="L940" s="9">
        <f>Table_1[[#This Row],[Unit Price]]*Table_1[[#This Row],[Quantity]]</f>
        <v>540000</v>
      </c>
      <c r="M940" s="8">
        <f>Table_1[[#This Row],[Cost Price]]*Table_1[[#This Row],[Quantity]]</f>
        <v>432000</v>
      </c>
      <c r="N940">
        <f>Table_1[[#This Row],[Revenue]]-Table_1[[#This Row],[COGS]]</f>
        <v>108000</v>
      </c>
      <c r="O940" s="11">
        <f t="shared" si="99"/>
        <v>4656740000</v>
      </c>
      <c r="P940">
        <f t="shared" si="100"/>
        <v>3725392000</v>
      </c>
      <c r="Q940">
        <f t="shared" si="101"/>
        <v>931348000</v>
      </c>
      <c r="R940" s="7">
        <f t="shared" si="102"/>
        <v>2098</v>
      </c>
      <c r="S940" s="7">
        <f t="shared" si="103"/>
        <v>4</v>
      </c>
      <c r="T940" s="7">
        <f t="shared" si="104"/>
        <v>2098</v>
      </c>
    </row>
    <row r="941" spans="1:20" ht="14.25" customHeight="1" x14ac:dyDescent="0.35">
      <c r="A941" s="2" t="s">
        <v>61</v>
      </c>
      <c r="B941" s="2" t="s">
        <v>34</v>
      </c>
      <c r="C941" s="2" t="s">
        <v>30</v>
      </c>
      <c r="D941" s="2" t="s">
        <v>14</v>
      </c>
      <c r="E941" s="2" t="s">
        <v>15</v>
      </c>
      <c r="F941" s="2" t="s">
        <v>39</v>
      </c>
      <c r="G941" s="2" t="s">
        <v>24</v>
      </c>
      <c r="H941" s="2">
        <v>180000</v>
      </c>
      <c r="I941" s="2">
        <v>9</v>
      </c>
      <c r="J941" s="2" t="s">
        <v>43</v>
      </c>
      <c r="K941" s="2">
        <f t="shared" si="98"/>
        <v>144000</v>
      </c>
      <c r="L941" s="9">
        <f>Table_1[[#This Row],[Unit Price]]*Table_1[[#This Row],[Quantity]]</f>
        <v>1620000</v>
      </c>
      <c r="M941" s="8">
        <f>Table_1[[#This Row],[Cost Price]]*Table_1[[#This Row],[Quantity]]</f>
        <v>1296000</v>
      </c>
      <c r="N941">
        <f>Table_1[[#This Row],[Revenue]]-Table_1[[#This Row],[COGS]]</f>
        <v>324000</v>
      </c>
      <c r="O941" s="11">
        <f t="shared" si="99"/>
        <v>4656740000</v>
      </c>
      <c r="P941">
        <f t="shared" si="100"/>
        <v>3725392000</v>
      </c>
      <c r="Q941">
        <f t="shared" si="101"/>
        <v>931348000</v>
      </c>
      <c r="R941" s="7">
        <f t="shared" si="102"/>
        <v>2098</v>
      </c>
      <c r="S941" s="7">
        <f t="shared" si="103"/>
        <v>5</v>
      </c>
      <c r="T941" s="7">
        <f t="shared" si="104"/>
        <v>2098</v>
      </c>
    </row>
    <row r="942" spans="1:20" ht="14.25" customHeight="1" x14ac:dyDescent="0.35">
      <c r="A942" s="2" t="s">
        <v>139</v>
      </c>
      <c r="B942" s="2" t="s">
        <v>34</v>
      </c>
      <c r="C942" s="2" t="s">
        <v>21</v>
      </c>
      <c r="D942" s="2" t="s">
        <v>26</v>
      </c>
      <c r="E942" s="2" t="s">
        <v>22</v>
      </c>
      <c r="F942" s="2" t="s">
        <v>39</v>
      </c>
      <c r="G942" s="2" t="s">
        <v>24</v>
      </c>
      <c r="H942" s="2">
        <v>180000</v>
      </c>
      <c r="I942" s="2">
        <v>1</v>
      </c>
      <c r="J942" s="2" t="s">
        <v>32</v>
      </c>
      <c r="K942" s="2">
        <f t="shared" si="98"/>
        <v>144000</v>
      </c>
      <c r="L942" s="9">
        <f>Table_1[[#This Row],[Unit Price]]*Table_1[[#This Row],[Quantity]]</f>
        <v>180000</v>
      </c>
      <c r="M942" s="8">
        <f>Table_1[[#This Row],[Cost Price]]*Table_1[[#This Row],[Quantity]]</f>
        <v>144000</v>
      </c>
      <c r="N942">
        <f>Table_1[[#This Row],[Revenue]]-Table_1[[#This Row],[COGS]]</f>
        <v>36000</v>
      </c>
      <c r="O942" s="11">
        <f t="shared" si="99"/>
        <v>4656740000</v>
      </c>
      <c r="P942">
        <f t="shared" si="100"/>
        <v>3725392000</v>
      </c>
      <c r="Q942">
        <f t="shared" si="101"/>
        <v>931348000</v>
      </c>
      <c r="R942" s="7">
        <f t="shared" si="102"/>
        <v>2098</v>
      </c>
      <c r="S942" s="7">
        <f t="shared" si="103"/>
        <v>2</v>
      </c>
      <c r="T942" s="7">
        <f t="shared" si="104"/>
        <v>2098</v>
      </c>
    </row>
    <row r="943" spans="1:20" ht="14.25" customHeight="1" x14ac:dyDescent="0.35">
      <c r="A943" s="2" t="s">
        <v>104</v>
      </c>
      <c r="B943" s="2" t="s">
        <v>12</v>
      </c>
      <c r="C943" s="2" t="s">
        <v>38</v>
      </c>
      <c r="D943" s="2" t="s">
        <v>26</v>
      </c>
      <c r="E943" s="2" t="s">
        <v>15</v>
      </c>
      <c r="F943" s="2" t="s">
        <v>58</v>
      </c>
      <c r="G943" s="2" t="s">
        <v>24</v>
      </c>
      <c r="H943" s="2">
        <v>220000</v>
      </c>
      <c r="I943" s="2">
        <v>6</v>
      </c>
      <c r="J943" s="2" t="s">
        <v>27</v>
      </c>
      <c r="K943" s="2">
        <f t="shared" si="98"/>
        <v>176000</v>
      </c>
      <c r="L943" s="9">
        <f>Table_1[[#This Row],[Unit Price]]*Table_1[[#This Row],[Quantity]]</f>
        <v>1320000</v>
      </c>
      <c r="M943" s="8">
        <f>Table_1[[#This Row],[Cost Price]]*Table_1[[#This Row],[Quantity]]</f>
        <v>1056000</v>
      </c>
      <c r="N943">
        <f>Table_1[[#This Row],[Revenue]]-Table_1[[#This Row],[COGS]]</f>
        <v>264000</v>
      </c>
      <c r="O943" s="11">
        <f t="shared" si="99"/>
        <v>4656740000</v>
      </c>
      <c r="P943">
        <f t="shared" si="100"/>
        <v>3725392000</v>
      </c>
      <c r="Q943">
        <f t="shared" si="101"/>
        <v>931348000</v>
      </c>
      <c r="R943" s="7">
        <f t="shared" si="102"/>
        <v>2098</v>
      </c>
      <c r="S943" s="7">
        <f t="shared" si="103"/>
        <v>2</v>
      </c>
      <c r="T943" s="7">
        <f t="shared" si="104"/>
        <v>2098</v>
      </c>
    </row>
    <row r="944" spans="1:20" ht="14.25" customHeight="1" x14ac:dyDescent="0.35">
      <c r="A944" s="2" t="s">
        <v>122</v>
      </c>
      <c r="B944" s="2" t="s">
        <v>20</v>
      </c>
      <c r="C944" s="2" t="s">
        <v>21</v>
      </c>
      <c r="D944" s="2" t="s">
        <v>14</v>
      </c>
      <c r="E944" s="2" t="s">
        <v>15</v>
      </c>
      <c r="F944" s="2" t="s">
        <v>35</v>
      </c>
      <c r="G944" s="2" t="s">
        <v>36</v>
      </c>
      <c r="H944" s="2">
        <v>300000</v>
      </c>
      <c r="I944" s="2">
        <v>3</v>
      </c>
      <c r="J944" s="2" t="s">
        <v>27</v>
      </c>
      <c r="K944" s="2">
        <f t="shared" si="98"/>
        <v>240000</v>
      </c>
      <c r="L944" s="9">
        <f>Table_1[[#This Row],[Unit Price]]*Table_1[[#This Row],[Quantity]]</f>
        <v>900000</v>
      </c>
      <c r="M944" s="8">
        <f>Table_1[[#This Row],[Cost Price]]*Table_1[[#This Row],[Quantity]]</f>
        <v>720000</v>
      </c>
      <c r="N944">
        <f>Table_1[[#This Row],[Revenue]]-Table_1[[#This Row],[COGS]]</f>
        <v>180000</v>
      </c>
      <c r="O944" s="11">
        <f t="shared" si="99"/>
        <v>4656740000</v>
      </c>
      <c r="P944">
        <f t="shared" si="100"/>
        <v>3725392000</v>
      </c>
      <c r="Q944">
        <f t="shared" si="101"/>
        <v>931348000</v>
      </c>
      <c r="R944" s="7">
        <f t="shared" si="102"/>
        <v>2098</v>
      </c>
      <c r="S944" s="7">
        <f t="shared" si="103"/>
        <v>4</v>
      </c>
      <c r="T944" s="7">
        <f t="shared" si="104"/>
        <v>2098</v>
      </c>
    </row>
    <row r="945" spans="1:20" ht="14.25" customHeight="1" x14ac:dyDescent="0.35">
      <c r="A945" s="2" t="s">
        <v>97</v>
      </c>
      <c r="B945" s="2" t="s">
        <v>29</v>
      </c>
      <c r="C945" s="2" t="s">
        <v>21</v>
      </c>
      <c r="D945" s="2" t="s">
        <v>26</v>
      </c>
      <c r="E945" s="2" t="s">
        <v>22</v>
      </c>
      <c r="F945" s="2" t="s">
        <v>41</v>
      </c>
      <c r="G945" s="2" t="s">
        <v>17</v>
      </c>
      <c r="H945" s="2">
        <v>320000</v>
      </c>
      <c r="I945" s="2">
        <v>1</v>
      </c>
      <c r="J945" s="2" t="s">
        <v>43</v>
      </c>
      <c r="K945" s="2">
        <f t="shared" si="98"/>
        <v>256000</v>
      </c>
      <c r="L945" s="9">
        <f>Table_1[[#This Row],[Unit Price]]*Table_1[[#This Row],[Quantity]]</f>
        <v>320000</v>
      </c>
      <c r="M945" s="8">
        <f>Table_1[[#This Row],[Cost Price]]*Table_1[[#This Row],[Quantity]]</f>
        <v>256000</v>
      </c>
      <c r="N945">
        <f>Table_1[[#This Row],[Revenue]]-Table_1[[#This Row],[COGS]]</f>
        <v>64000</v>
      </c>
      <c r="O945" s="11">
        <f t="shared" si="99"/>
        <v>4656740000</v>
      </c>
      <c r="P945">
        <f t="shared" si="100"/>
        <v>3725392000</v>
      </c>
      <c r="Q945">
        <f t="shared" si="101"/>
        <v>931348000</v>
      </c>
      <c r="R945" s="7">
        <f t="shared" si="102"/>
        <v>2098</v>
      </c>
      <c r="S945" s="7">
        <f t="shared" si="103"/>
        <v>2</v>
      </c>
      <c r="T945" s="7">
        <f t="shared" si="104"/>
        <v>2098</v>
      </c>
    </row>
    <row r="946" spans="1:20" ht="14.25" customHeight="1" x14ac:dyDescent="0.35">
      <c r="A946" s="2" t="s">
        <v>116</v>
      </c>
      <c r="B946" s="2" t="s">
        <v>29</v>
      </c>
      <c r="C946" s="2" t="s">
        <v>13</v>
      </c>
      <c r="D946" s="2" t="s">
        <v>26</v>
      </c>
      <c r="E946" s="2" t="s">
        <v>22</v>
      </c>
      <c r="F946" s="2" t="s">
        <v>47</v>
      </c>
      <c r="G946" s="2" t="s">
        <v>36</v>
      </c>
      <c r="H946" s="2">
        <v>150000</v>
      </c>
      <c r="I946" s="2">
        <v>6</v>
      </c>
      <c r="J946" s="2" t="s">
        <v>43</v>
      </c>
      <c r="K946" s="2">
        <f t="shared" si="98"/>
        <v>120000</v>
      </c>
      <c r="L946" s="9">
        <f>Table_1[[#This Row],[Unit Price]]*Table_1[[#This Row],[Quantity]]</f>
        <v>900000</v>
      </c>
      <c r="M946" s="8">
        <f>Table_1[[#This Row],[Cost Price]]*Table_1[[#This Row],[Quantity]]</f>
        <v>720000</v>
      </c>
      <c r="N946">
        <f>Table_1[[#This Row],[Revenue]]-Table_1[[#This Row],[COGS]]</f>
        <v>180000</v>
      </c>
      <c r="O946" s="11">
        <f t="shared" si="99"/>
        <v>4656740000</v>
      </c>
      <c r="P946">
        <f t="shared" si="100"/>
        <v>3725392000</v>
      </c>
      <c r="Q946">
        <f t="shared" si="101"/>
        <v>931348000</v>
      </c>
      <c r="R946" s="7">
        <f t="shared" si="102"/>
        <v>2098</v>
      </c>
      <c r="S946" s="7">
        <f t="shared" si="103"/>
        <v>3</v>
      </c>
      <c r="T946" s="7">
        <f t="shared" si="104"/>
        <v>2098</v>
      </c>
    </row>
    <row r="947" spans="1:20" ht="14.25" customHeight="1" x14ac:dyDescent="0.35">
      <c r="A947" s="2" t="s">
        <v>80</v>
      </c>
      <c r="B947" s="2" t="s">
        <v>20</v>
      </c>
      <c r="C947" s="2" t="s">
        <v>21</v>
      </c>
      <c r="D947" s="2" t="s">
        <v>26</v>
      </c>
      <c r="E947" s="2" t="s">
        <v>22</v>
      </c>
      <c r="F947" s="2" t="s">
        <v>58</v>
      </c>
      <c r="G947" s="2" t="s">
        <v>24</v>
      </c>
      <c r="H947" s="2">
        <v>220000</v>
      </c>
      <c r="I947" s="2">
        <v>7</v>
      </c>
      <c r="J947" s="2" t="s">
        <v>27</v>
      </c>
      <c r="K947" s="2">
        <f t="shared" si="98"/>
        <v>176000</v>
      </c>
      <c r="L947" s="9">
        <f>Table_1[[#This Row],[Unit Price]]*Table_1[[#This Row],[Quantity]]</f>
        <v>1540000</v>
      </c>
      <c r="M947" s="8">
        <f>Table_1[[#This Row],[Cost Price]]*Table_1[[#This Row],[Quantity]]</f>
        <v>1232000</v>
      </c>
      <c r="N947">
        <f>Table_1[[#This Row],[Revenue]]-Table_1[[#This Row],[COGS]]</f>
        <v>308000</v>
      </c>
      <c r="O947" s="11">
        <f t="shared" si="99"/>
        <v>4656740000</v>
      </c>
      <c r="P947">
        <f t="shared" si="100"/>
        <v>3725392000</v>
      </c>
      <c r="Q947">
        <f t="shared" si="101"/>
        <v>931348000</v>
      </c>
      <c r="R947" s="7">
        <f t="shared" si="102"/>
        <v>2098</v>
      </c>
      <c r="S947" s="7">
        <f t="shared" si="103"/>
        <v>2</v>
      </c>
      <c r="T947" s="7">
        <f t="shared" si="104"/>
        <v>2098</v>
      </c>
    </row>
    <row r="948" spans="1:20" ht="14.25" customHeight="1" x14ac:dyDescent="0.35">
      <c r="A948" s="2" t="s">
        <v>74</v>
      </c>
      <c r="B948" s="2" t="s">
        <v>12</v>
      </c>
      <c r="C948" s="2" t="s">
        <v>21</v>
      </c>
      <c r="D948" s="2" t="s">
        <v>14</v>
      </c>
      <c r="E948" s="2" t="s">
        <v>15</v>
      </c>
      <c r="F948" s="2" t="s">
        <v>58</v>
      </c>
      <c r="G948" s="2" t="s">
        <v>24</v>
      </c>
      <c r="H948" s="2">
        <v>220000</v>
      </c>
      <c r="I948" s="2">
        <v>1</v>
      </c>
      <c r="J948" s="2" t="s">
        <v>32</v>
      </c>
      <c r="K948" s="2">
        <f t="shared" si="98"/>
        <v>176000</v>
      </c>
      <c r="L948" s="9">
        <f>Table_1[[#This Row],[Unit Price]]*Table_1[[#This Row],[Quantity]]</f>
        <v>220000</v>
      </c>
      <c r="M948" s="8">
        <f>Table_1[[#This Row],[Cost Price]]*Table_1[[#This Row],[Quantity]]</f>
        <v>176000</v>
      </c>
      <c r="N948">
        <f>Table_1[[#This Row],[Revenue]]-Table_1[[#This Row],[COGS]]</f>
        <v>44000</v>
      </c>
      <c r="O948" s="11">
        <f t="shared" si="99"/>
        <v>4656740000</v>
      </c>
      <c r="P948">
        <f t="shared" si="100"/>
        <v>3725392000</v>
      </c>
      <c r="Q948">
        <f t="shared" si="101"/>
        <v>931348000</v>
      </c>
      <c r="R948" s="7">
        <f t="shared" si="102"/>
        <v>2098</v>
      </c>
      <c r="S948" s="7">
        <f t="shared" si="103"/>
        <v>2</v>
      </c>
      <c r="T948" s="7">
        <f t="shared" si="104"/>
        <v>2098</v>
      </c>
    </row>
    <row r="949" spans="1:20" ht="14.25" customHeight="1" x14ac:dyDescent="0.35">
      <c r="A949" s="2" t="s">
        <v>92</v>
      </c>
      <c r="B949" s="2" t="s">
        <v>20</v>
      </c>
      <c r="C949" s="2" t="s">
        <v>13</v>
      </c>
      <c r="D949" s="2" t="s">
        <v>14</v>
      </c>
      <c r="E949" s="2" t="s">
        <v>15</v>
      </c>
      <c r="F949" s="2" t="s">
        <v>16</v>
      </c>
      <c r="G949" s="2" t="s">
        <v>17</v>
      </c>
      <c r="H949" s="2">
        <v>85000</v>
      </c>
      <c r="I949" s="2">
        <v>4</v>
      </c>
      <c r="J949" s="2" t="s">
        <v>43</v>
      </c>
      <c r="K949" s="2">
        <f t="shared" si="98"/>
        <v>68000</v>
      </c>
      <c r="L949" s="9">
        <f>Table_1[[#This Row],[Unit Price]]*Table_1[[#This Row],[Quantity]]</f>
        <v>340000</v>
      </c>
      <c r="M949" s="8">
        <f>Table_1[[#This Row],[Cost Price]]*Table_1[[#This Row],[Quantity]]</f>
        <v>272000</v>
      </c>
      <c r="N949">
        <f>Table_1[[#This Row],[Revenue]]-Table_1[[#This Row],[COGS]]</f>
        <v>68000</v>
      </c>
      <c r="O949" s="11">
        <f t="shared" si="99"/>
        <v>4656740000</v>
      </c>
      <c r="P949">
        <f t="shared" si="100"/>
        <v>3725392000</v>
      </c>
      <c r="Q949">
        <f t="shared" si="101"/>
        <v>931348000</v>
      </c>
      <c r="R949" s="7">
        <f t="shared" si="102"/>
        <v>2098</v>
      </c>
      <c r="S949" s="7">
        <f t="shared" si="103"/>
        <v>2</v>
      </c>
      <c r="T949" s="7">
        <f t="shared" si="104"/>
        <v>2098</v>
      </c>
    </row>
    <row r="950" spans="1:20" ht="14.25" customHeight="1" x14ac:dyDescent="0.35">
      <c r="A950" s="2" t="s">
        <v>37</v>
      </c>
      <c r="B950" s="2" t="s">
        <v>12</v>
      </c>
      <c r="C950" s="2" t="s">
        <v>38</v>
      </c>
      <c r="D950" s="2" t="s">
        <v>26</v>
      </c>
      <c r="E950" s="2" t="s">
        <v>15</v>
      </c>
      <c r="F950" s="2" t="s">
        <v>56</v>
      </c>
      <c r="G950" s="2" t="s">
        <v>36</v>
      </c>
      <c r="H950" s="2">
        <v>250000</v>
      </c>
      <c r="I950" s="2">
        <v>10</v>
      </c>
      <c r="J950" s="2" t="s">
        <v>43</v>
      </c>
      <c r="K950" s="2">
        <f t="shared" si="98"/>
        <v>200000</v>
      </c>
      <c r="L950" s="9">
        <f>Table_1[[#This Row],[Unit Price]]*Table_1[[#This Row],[Quantity]]</f>
        <v>2500000</v>
      </c>
      <c r="M950" s="8">
        <f>Table_1[[#This Row],[Cost Price]]*Table_1[[#This Row],[Quantity]]</f>
        <v>2000000</v>
      </c>
      <c r="N950">
        <f>Table_1[[#This Row],[Revenue]]-Table_1[[#This Row],[COGS]]</f>
        <v>500000</v>
      </c>
      <c r="O950" s="11">
        <f t="shared" si="99"/>
        <v>4656740000</v>
      </c>
      <c r="P950">
        <f t="shared" si="100"/>
        <v>3725392000</v>
      </c>
      <c r="Q950">
        <f t="shared" si="101"/>
        <v>931348000</v>
      </c>
      <c r="R950" s="7">
        <f t="shared" si="102"/>
        <v>2098</v>
      </c>
      <c r="S950" s="7">
        <f t="shared" si="103"/>
        <v>3</v>
      </c>
      <c r="T950" s="7">
        <f t="shared" si="104"/>
        <v>2098</v>
      </c>
    </row>
    <row r="951" spans="1:20" ht="14.25" customHeight="1" x14ac:dyDescent="0.35">
      <c r="A951" s="2" t="s">
        <v>136</v>
      </c>
      <c r="B951" s="2" t="s">
        <v>34</v>
      </c>
      <c r="C951" s="2" t="s">
        <v>38</v>
      </c>
      <c r="D951" s="2" t="s">
        <v>14</v>
      </c>
      <c r="E951" s="2" t="s">
        <v>22</v>
      </c>
      <c r="F951" s="2" t="s">
        <v>41</v>
      </c>
      <c r="G951" s="2" t="s">
        <v>17</v>
      </c>
      <c r="H951" s="2">
        <v>320000</v>
      </c>
      <c r="I951" s="2">
        <v>1</v>
      </c>
      <c r="J951" s="2" t="s">
        <v>50</v>
      </c>
      <c r="K951" s="2">
        <f t="shared" si="98"/>
        <v>256000</v>
      </c>
      <c r="L951" s="9">
        <f>Table_1[[#This Row],[Unit Price]]*Table_1[[#This Row],[Quantity]]</f>
        <v>320000</v>
      </c>
      <c r="M951" s="8">
        <f>Table_1[[#This Row],[Cost Price]]*Table_1[[#This Row],[Quantity]]</f>
        <v>256000</v>
      </c>
      <c r="N951">
        <f>Table_1[[#This Row],[Revenue]]-Table_1[[#This Row],[COGS]]</f>
        <v>64000</v>
      </c>
      <c r="O951" s="11">
        <f t="shared" si="99"/>
        <v>4656740000</v>
      </c>
      <c r="P951">
        <f t="shared" si="100"/>
        <v>3725392000</v>
      </c>
      <c r="Q951">
        <f t="shared" si="101"/>
        <v>931348000</v>
      </c>
      <c r="R951" s="7">
        <f t="shared" si="102"/>
        <v>2098</v>
      </c>
      <c r="S951" s="7">
        <f t="shared" si="103"/>
        <v>2</v>
      </c>
      <c r="T951" s="7">
        <f t="shared" si="104"/>
        <v>2098</v>
      </c>
    </row>
    <row r="952" spans="1:20" ht="14.25" customHeight="1" x14ac:dyDescent="0.35">
      <c r="A952" s="2" t="s">
        <v>110</v>
      </c>
      <c r="B952" s="2" t="s">
        <v>12</v>
      </c>
      <c r="C952" s="2" t="s">
        <v>13</v>
      </c>
      <c r="D952" s="2" t="s">
        <v>26</v>
      </c>
      <c r="E952" s="2" t="s">
        <v>22</v>
      </c>
      <c r="F952" s="2" t="s">
        <v>31</v>
      </c>
      <c r="G952" s="2" t="s">
        <v>24</v>
      </c>
      <c r="H952" s="2">
        <v>60000</v>
      </c>
      <c r="I952" s="2">
        <v>8</v>
      </c>
      <c r="J952" s="2" t="s">
        <v>27</v>
      </c>
      <c r="K952" s="2">
        <f t="shared" si="98"/>
        <v>48000</v>
      </c>
      <c r="L952" s="9">
        <f>Table_1[[#This Row],[Unit Price]]*Table_1[[#This Row],[Quantity]]</f>
        <v>480000</v>
      </c>
      <c r="M952" s="8">
        <f>Table_1[[#This Row],[Cost Price]]*Table_1[[#This Row],[Quantity]]</f>
        <v>384000</v>
      </c>
      <c r="N952">
        <f>Table_1[[#This Row],[Revenue]]-Table_1[[#This Row],[COGS]]</f>
        <v>96000</v>
      </c>
      <c r="O952" s="11">
        <f t="shared" si="99"/>
        <v>4656740000</v>
      </c>
      <c r="P952">
        <f t="shared" si="100"/>
        <v>3725392000</v>
      </c>
      <c r="Q952">
        <f t="shared" si="101"/>
        <v>931348000</v>
      </c>
      <c r="R952" s="7">
        <f t="shared" si="102"/>
        <v>2098</v>
      </c>
      <c r="S952" s="7">
        <f t="shared" si="103"/>
        <v>2</v>
      </c>
      <c r="T952" s="7">
        <f t="shared" si="104"/>
        <v>2098</v>
      </c>
    </row>
    <row r="953" spans="1:20" ht="14.25" customHeight="1" x14ac:dyDescent="0.35">
      <c r="A953" s="2" t="s">
        <v>127</v>
      </c>
      <c r="B953" s="2" t="s">
        <v>34</v>
      </c>
      <c r="C953" s="2" t="s">
        <v>38</v>
      </c>
      <c r="D953" s="2" t="s">
        <v>14</v>
      </c>
      <c r="E953" s="2" t="s">
        <v>22</v>
      </c>
      <c r="F953" s="2" t="s">
        <v>52</v>
      </c>
      <c r="G953" s="2" t="s">
        <v>36</v>
      </c>
      <c r="H953" s="2">
        <v>420000</v>
      </c>
      <c r="I953" s="2">
        <v>2</v>
      </c>
      <c r="J953" s="2" t="s">
        <v>50</v>
      </c>
      <c r="K953" s="2">
        <f t="shared" si="98"/>
        <v>336000</v>
      </c>
      <c r="L953" s="9">
        <f>Table_1[[#This Row],[Unit Price]]*Table_1[[#This Row],[Quantity]]</f>
        <v>840000</v>
      </c>
      <c r="M953" s="8">
        <f>Table_1[[#This Row],[Cost Price]]*Table_1[[#This Row],[Quantity]]</f>
        <v>672000</v>
      </c>
      <c r="N953">
        <f>Table_1[[#This Row],[Revenue]]-Table_1[[#This Row],[COGS]]</f>
        <v>168000</v>
      </c>
      <c r="O953" s="11">
        <f t="shared" si="99"/>
        <v>4656740000</v>
      </c>
      <c r="P953">
        <f t="shared" si="100"/>
        <v>3725392000</v>
      </c>
      <c r="Q953">
        <f t="shared" si="101"/>
        <v>931348000</v>
      </c>
      <c r="R953" s="7">
        <f t="shared" si="102"/>
        <v>2098</v>
      </c>
      <c r="S953" s="7">
        <f t="shared" si="103"/>
        <v>4</v>
      </c>
      <c r="T953" s="7">
        <f t="shared" si="104"/>
        <v>2098</v>
      </c>
    </row>
    <row r="954" spans="1:20" ht="14.25" customHeight="1" x14ac:dyDescent="0.35">
      <c r="A954" s="2" t="s">
        <v>146</v>
      </c>
      <c r="B954" s="2" t="s">
        <v>34</v>
      </c>
      <c r="C954" s="2" t="s">
        <v>30</v>
      </c>
      <c r="D954" s="2" t="s">
        <v>26</v>
      </c>
      <c r="E954" s="2" t="s">
        <v>15</v>
      </c>
      <c r="F954" s="2" t="s">
        <v>56</v>
      </c>
      <c r="G954" s="2" t="s">
        <v>36</v>
      </c>
      <c r="H954" s="2">
        <v>250000</v>
      </c>
      <c r="I954" s="2">
        <v>2</v>
      </c>
      <c r="J954" s="2" t="s">
        <v>18</v>
      </c>
      <c r="K954" s="2">
        <f t="shared" si="98"/>
        <v>200000</v>
      </c>
      <c r="L954" s="9">
        <f>Table_1[[#This Row],[Unit Price]]*Table_1[[#This Row],[Quantity]]</f>
        <v>500000</v>
      </c>
      <c r="M954" s="8">
        <f>Table_1[[#This Row],[Cost Price]]*Table_1[[#This Row],[Quantity]]</f>
        <v>400000</v>
      </c>
      <c r="N954">
        <f>Table_1[[#This Row],[Revenue]]-Table_1[[#This Row],[COGS]]</f>
        <v>100000</v>
      </c>
      <c r="O954" s="11">
        <f t="shared" si="99"/>
        <v>4656740000</v>
      </c>
      <c r="P954">
        <f t="shared" si="100"/>
        <v>3725392000</v>
      </c>
      <c r="Q954">
        <f t="shared" si="101"/>
        <v>931348000</v>
      </c>
      <c r="R954" s="7">
        <f t="shared" si="102"/>
        <v>2098</v>
      </c>
      <c r="S954" s="7">
        <f t="shared" si="103"/>
        <v>3</v>
      </c>
      <c r="T954" s="7">
        <f t="shared" si="104"/>
        <v>2098</v>
      </c>
    </row>
    <row r="955" spans="1:20" ht="14.25" customHeight="1" x14ac:dyDescent="0.35">
      <c r="A955" s="2" t="s">
        <v>66</v>
      </c>
      <c r="B955" s="2" t="s">
        <v>12</v>
      </c>
      <c r="C955" s="2" t="s">
        <v>21</v>
      </c>
      <c r="D955" s="2" t="s">
        <v>14</v>
      </c>
      <c r="E955" s="2" t="s">
        <v>22</v>
      </c>
      <c r="F955" s="2" t="s">
        <v>58</v>
      </c>
      <c r="G955" s="2" t="s">
        <v>24</v>
      </c>
      <c r="H955" s="2">
        <v>220000</v>
      </c>
      <c r="I955" s="2">
        <v>6</v>
      </c>
      <c r="J955" s="2" t="s">
        <v>54</v>
      </c>
      <c r="K955" s="2">
        <f t="shared" si="98"/>
        <v>176000</v>
      </c>
      <c r="L955" s="9">
        <f>Table_1[[#This Row],[Unit Price]]*Table_1[[#This Row],[Quantity]]</f>
        <v>1320000</v>
      </c>
      <c r="M955" s="8">
        <f>Table_1[[#This Row],[Cost Price]]*Table_1[[#This Row],[Quantity]]</f>
        <v>1056000</v>
      </c>
      <c r="N955">
        <f>Table_1[[#This Row],[Revenue]]-Table_1[[#This Row],[COGS]]</f>
        <v>264000</v>
      </c>
      <c r="O955" s="11">
        <f t="shared" si="99"/>
        <v>4656740000</v>
      </c>
      <c r="P955">
        <f t="shared" si="100"/>
        <v>3725392000</v>
      </c>
      <c r="Q955">
        <f t="shared" si="101"/>
        <v>931348000</v>
      </c>
      <c r="R955" s="7">
        <f t="shared" si="102"/>
        <v>2098</v>
      </c>
      <c r="S955" s="7">
        <f t="shared" si="103"/>
        <v>3</v>
      </c>
      <c r="T955" s="7">
        <f t="shared" si="104"/>
        <v>2098</v>
      </c>
    </row>
    <row r="956" spans="1:20" ht="14.25" customHeight="1" x14ac:dyDescent="0.35">
      <c r="A956" s="2" t="s">
        <v>19</v>
      </c>
      <c r="B956" s="2" t="s">
        <v>34</v>
      </c>
      <c r="C956" s="2" t="s">
        <v>21</v>
      </c>
      <c r="D956" s="2" t="s">
        <v>26</v>
      </c>
      <c r="E956" s="2" t="s">
        <v>22</v>
      </c>
      <c r="F956" s="2" t="s">
        <v>31</v>
      </c>
      <c r="G956" s="2" t="s">
        <v>24</v>
      </c>
      <c r="H956" s="2">
        <v>60000</v>
      </c>
      <c r="I956" s="2">
        <v>1</v>
      </c>
      <c r="J956" s="2" t="s">
        <v>43</v>
      </c>
      <c r="K956" s="2">
        <f t="shared" si="98"/>
        <v>48000</v>
      </c>
      <c r="L956" s="9">
        <f>Table_1[[#This Row],[Unit Price]]*Table_1[[#This Row],[Quantity]]</f>
        <v>60000</v>
      </c>
      <c r="M956" s="8">
        <f>Table_1[[#This Row],[Cost Price]]*Table_1[[#This Row],[Quantity]]</f>
        <v>48000</v>
      </c>
      <c r="N956">
        <f>Table_1[[#This Row],[Revenue]]-Table_1[[#This Row],[COGS]]</f>
        <v>12000</v>
      </c>
      <c r="O956" s="11">
        <f t="shared" si="99"/>
        <v>4656740000</v>
      </c>
      <c r="P956">
        <f t="shared" si="100"/>
        <v>3725392000</v>
      </c>
      <c r="Q956">
        <f t="shared" si="101"/>
        <v>931348000</v>
      </c>
      <c r="R956" s="7">
        <f t="shared" si="102"/>
        <v>2098</v>
      </c>
      <c r="S956" s="7">
        <f t="shared" si="103"/>
        <v>4</v>
      </c>
      <c r="T956" s="7">
        <f t="shared" si="104"/>
        <v>2098</v>
      </c>
    </row>
    <row r="957" spans="1:20" ht="14.25" customHeight="1" x14ac:dyDescent="0.35">
      <c r="A957" s="2" t="s">
        <v>121</v>
      </c>
      <c r="B957" s="2" t="s">
        <v>12</v>
      </c>
      <c r="C957" s="2" t="s">
        <v>13</v>
      </c>
      <c r="D957" s="2" t="s">
        <v>14</v>
      </c>
      <c r="E957" s="2" t="s">
        <v>22</v>
      </c>
      <c r="F957" s="2" t="s">
        <v>16</v>
      </c>
      <c r="G957" s="2" t="s">
        <v>17</v>
      </c>
      <c r="H957" s="2">
        <v>85000</v>
      </c>
      <c r="I957" s="2">
        <v>9</v>
      </c>
      <c r="J957" s="2" t="s">
        <v>54</v>
      </c>
      <c r="K957" s="2">
        <f t="shared" si="98"/>
        <v>68000</v>
      </c>
      <c r="L957" s="9">
        <f>Table_1[[#This Row],[Unit Price]]*Table_1[[#This Row],[Quantity]]</f>
        <v>765000</v>
      </c>
      <c r="M957" s="8">
        <f>Table_1[[#This Row],[Cost Price]]*Table_1[[#This Row],[Quantity]]</f>
        <v>612000</v>
      </c>
      <c r="N957">
        <f>Table_1[[#This Row],[Revenue]]-Table_1[[#This Row],[COGS]]</f>
        <v>153000</v>
      </c>
      <c r="O957" s="11">
        <f t="shared" si="99"/>
        <v>4656740000</v>
      </c>
      <c r="P957">
        <f t="shared" si="100"/>
        <v>3725392000</v>
      </c>
      <c r="Q957">
        <f t="shared" si="101"/>
        <v>931348000</v>
      </c>
      <c r="R957" s="7">
        <f t="shared" si="102"/>
        <v>2098</v>
      </c>
      <c r="S957" s="7">
        <f t="shared" si="103"/>
        <v>2</v>
      </c>
      <c r="T957" s="7">
        <f t="shared" si="104"/>
        <v>2098</v>
      </c>
    </row>
    <row r="958" spans="1:20" ht="14.25" customHeight="1" x14ac:dyDescent="0.35">
      <c r="A958" s="2" t="s">
        <v>161</v>
      </c>
      <c r="B958" s="2" t="s">
        <v>29</v>
      </c>
      <c r="C958" s="2" t="s">
        <v>21</v>
      </c>
      <c r="D958" s="2" t="s">
        <v>14</v>
      </c>
      <c r="E958" s="2" t="s">
        <v>22</v>
      </c>
      <c r="F958" s="2" t="s">
        <v>31</v>
      </c>
      <c r="G958" s="2" t="s">
        <v>24</v>
      </c>
      <c r="H958" s="2">
        <v>60000</v>
      </c>
      <c r="I958" s="2">
        <v>9</v>
      </c>
      <c r="J958" s="2" t="s">
        <v>50</v>
      </c>
      <c r="K958" s="2">
        <f t="shared" si="98"/>
        <v>48000</v>
      </c>
      <c r="L958" s="9">
        <f>Table_1[[#This Row],[Unit Price]]*Table_1[[#This Row],[Quantity]]</f>
        <v>540000</v>
      </c>
      <c r="M958" s="8">
        <f>Table_1[[#This Row],[Cost Price]]*Table_1[[#This Row],[Quantity]]</f>
        <v>432000</v>
      </c>
      <c r="N958">
        <f>Table_1[[#This Row],[Revenue]]-Table_1[[#This Row],[COGS]]</f>
        <v>108000</v>
      </c>
      <c r="O958" s="11">
        <f t="shared" si="99"/>
        <v>4656740000</v>
      </c>
      <c r="P958">
        <f t="shared" si="100"/>
        <v>3725392000</v>
      </c>
      <c r="Q958">
        <f t="shared" si="101"/>
        <v>931348000</v>
      </c>
      <c r="R958" s="7">
        <f t="shared" si="102"/>
        <v>2098</v>
      </c>
      <c r="S958" s="7">
        <f t="shared" si="103"/>
        <v>1</v>
      </c>
      <c r="T958" s="7">
        <f t="shared" si="104"/>
        <v>2098</v>
      </c>
    </row>
    <row r="959" spans="1:20" ht="14.25" customHeight="1" x14ac:dyDescent="0.35">
      <c r="A959" s="2" t="s">
        <v>99</v>
      </c>
      <c r="B959" s="2" t="s">
        <v>20</v>
      </c>
      <c r="C959" s="2" t="s">
        <v>30</v>
      </c>
      <c r="D959" s="2" t="s">
        <v>26</v>
      </c>
      <c r="E959" s="2" t="s">
        <v>22</v>
      </c>
      <c r="F959" s="2" t="s">
        <v>16</v>
      </c>
      <c r="G959" s="2" t="s">
        <v>17</v>
      </c>
      <c r="H959" s="2">
        <v>85000</v>
      </c>
      <c r="I959" s="2">
        <v>7</v>
      </c>
      <c r="J959" s="2" t="s">
        <v>27</v>
      </c>
      <c r="K959" s="2">
        <f t="shared" si="98"/>
        <v>68000</v>
      </c>
      <c r="L959" s="9">
        <f>Table_1[[#This Row],[Unit Price]]*Table_1[[#This Row],[Quantity]]</f>
        <v>595000</v>
      </c>
      <c r="M959" s="8">
        <f>Table_1[[#This Row],[Cost Price]]*Table_1[[#This Row],[Quantity]]</f>
        <v>476000</v>
      </c>
      <c r="N959">
        <f>Table_1[[#This Row],[Revenue]]-Table_1[[#This Row],[COGS]]</f>
        <v>119000</v>
      </c>
      <c r="O959" s="11">
        <f t="shared" si="99"/>
        <v>4656740000</v>
      </c>
      <c r="P959">
        <f t="shared" si="100"/>
        <v>3725392000</v>
      </c>
      <c r="Q959">
        <f t="shared" si="101"/>
        <v>931348000</v>
      </c>
      <c r="R959" s="7">
        <f t="shared" si="102"/>
        <v>2098</v>
      </c>
      <c r="S959" s="7">
        <f t="shared" si="103"/>
        <v>4</v>
      </c>
      <c r="T959" s="7">
        <f t="shared" si="104"/>
        <v>2098</v>
      </c>
    </row>
    <row r="960" spans="1:20" ht="14.25" customHeight="1" x14ac:dyDescent="0.35">
      <c r="A960" s="2" t="s">
        <v>80</v>
      </c>
      <c r="B960" s="2" t="s">
        <v>29</v>
      </c>
      <c r="C960" s="2" t="s">
        <v>38</v>
      </c>
      <c r="D960" s="2" t="s">
        <v>14</v>
      </c>
      <c r="E960" s="2" t="s">
        <v>15</v>
      </c>
      <c r="F960" s="2" t="s">
        <v>41</v>
      </c>
      <c r="G960" s="2" t="s">
        <v>17</v>
      </c>
      <c r="H960" s="2">
        <v>320000</v>
      </c>
      <c r="I960" s="2">
        <v>4</v>
      </c>
      <c r="J960" s="2" t="s">
        <v>32</v>
      </c>
      <c r="K960" s="2">
        <f t="shared" si="98"/>
        <v>256000</v>
      </c>
      <c r="L960" s="9">
        <f>Table_1[[#This Row],[Unit Price]]*Table_1[[#This Row],[Quantity]]</f>
        <v>1280000</v>
      </c>
      <c r="M960" s="8">
        <f>Table_1[[#This Row],[Cost Price]]*Table_1[[#This Row],[Quantity]]</f>
        <v>1024000</v>
      </c>
      <c r="N960">
        <f>Table_1[[#This Row],[Revenue]]-Table_1[[#This Row],[COGS]]</f>
        <v>256000</v>
      </c>
      <c r="O960" s="11">
        <f t="shared" si="99"/>
        <v>4656740000</v>
      </c>
      <c r="P960">
        <f t="shared" si="100"/>
        <v>3725392000</v>
      </c>
      <c r="Q960">
        <f t="shared" si="101"/>
        <v>931348000</v>
      </c>
      <c r="R960" s="7">
        <f t="shared" si="102"/>
        <v>2098</v>
      </c>
      <c r="S960" s="7">
        <f t="shared" si="103"/>
        <v>2</v>
      </c>
      <c r="T960" s="7">
        <f t="shared" si="104"/>
        <v>2098</v>
      </c>
    </row>
    <row r="961" spans="1:20" ht="14.25" customHeight="1" x14ac:dyDescent="0.35">
      <c r="A961" s="2" t="s">
        <v>63</v>
      </c>
      <c r="B961" s="2" t="s">
        <v>29</v>
      </c>
      <c r="C961" s="2" t="s">
        <v>38</v>
      </c>
      <c r="D961" s="2" t="s">
        <v>26</v>
      </c>
      <c r="E961" s="2" t="s">
        <v>15</v>
      </c>
      <c r="F961" s="2" t="s">
        <v>56</v>
      </c>
      <c r="G961" s="2" t="s">
        <v>36</v>
      </c>
      <c r="H961" s="2">
        <v>250000</v>
      </c>
      <c r="I961" s="2">
        <v>4</v>
      </c>
      <c r="J961" s="2" t="s">
        <v>43</v>
      </c>
      <c r="K961" s="2">
        <f t="shared" si="98"/>
        <v>200000</v>
      </c>
      <c r="L961" s="9">
        <f>Table_1[[#This Row],[Unit Price]]*Table_1[[#This Row],[Quantity]]</f>
        <v>1000000</v>
      </c>
      <c r="M961" s="8">
        <f>Table_1[[#This Row],[Cost Price]]*Table_1[[#This Row],[Quantity]]</f>
        <v>800000</v>
      </c>
      <c r="N961">
        <f>Table_1[[#This Row],[Revenue]]-Table_1[[#This Row],[COGS]]</f>
        <v>200000</v>
      </c>
      <c r="O961" s="11">
        <f t="shared" si="99"/>
        <v>4656740000</v>
      </c>
      <c r="P961">
        <f t="shared" si="100"/>
        <v>3725392000</v>
      </c>
      <c r="Q961">
        <f t="shared" si="101"/>
        <v>931348000</v>
      </c>
      <c r="R961" s="7">
        <f t="shared" si="102"/>
        <v>2098</v>
      </c>
      <c r="S961" s="7">
        <f t="shared" si="103"/>
        <v>4</v>
      </c>
      <c r="T961" s="7">
        <f t="shared" si="104"/>
        <v>2098</v>
      </c>
    </row>
    <row r="962" spans="1:20" ht="14.25" customHeight="1" x14ac:dyDescent="0.35">
      <c r="A962" s="2" t="s">
        <v>156</v>
      </c>
      <c r="B962" s="2" t="s">
        <v>20</v>
      </c>
      <c r="C962" s="2" t="s">
        <v>30</v>
      </c>
      <c r="D962" s="2" t="s">
        <v>26</v>
      </c>
      <c r="E962" s="2" t="s">
        <v>15</v>
      </c>
      <c r="F962" s="2" t="s">
        <v>31</v>
      </c>
      <c r="G962" s="2" t="s">
        <v>24</v>
      </c>
      <c r="H962" s="2">
        <v>60000</v>
      </c>
      <c r="I962" s="2">
        <v>8</v>
      </c>
      <c r="J962" s="2" t="s">
        <v>27</v>
      </c>
      <c r="K962" s="2">
        <f t="shared" ref="K962:K1025" si="105">H962-H962*0.2</f>
        <v>48000</v>
      </c>
      <c r="L962" s="9">
        <f>Table_1[[#This Row],[Unit Price]]*Table_1[[#This Row],[Quantity]]</f>
        <v>480000</v>
      </c>
      <c r="M962" s="8">
        <f>Table_1[[#This Row],[Cost Price]]*Table_1[[#This Row],[Quantity]]</f>
        <v>384000</v>
      </c>
      <c r="N962">
        <f>Table_1[[#This Row],[Revenue]]-Table_1[[#This Row],[COGS]]</f>
        <v>96000</v>
      </c>
      <c r="O962" s="11">
        <f t="shared" ref="O962:O1025" si="106">SUM(L$2:L$1048576)</f>
        <v>4656740000</v>
      </c>
      <c r="P962">
        <f t="shared" ref="P962:P1025" si="107">SUM(M:M)</f>
        <v>3725392000</v>
      </c>
      <c r="Q962">
        <f t="shared" ref="Q962:Q1025" si="108">SUM(N:N)</f>
        <v>931348000</v>
      </c>
      <c r="R962" s="7">
        <f t="shared" ref="R962:R1025" si="109">COUNTA(A$2:A$1048576)</f>
        <v>2098</v>
      </c>
      <c r="S962" s="7">
        <f t="shared" ref="S962:S1025" si="110">MONTH(A962:A2450)</f>
        <v>3</v>
      </c>
      <c r="T962" s="7">
        <f t="shared" ref="T962:T1025" si="111">COUNTA(A:A)-1</f>
        <v>2098</v>
      </c>
    </row>
    <row r="963" spans="1:20" ht="14.25" customHeight="1" x14ac:dyDescent="0.35">
      <c r="A963" s="2" t="s">
        <v>106</v>
      </c>
      <c r="B963" s="2" t="s">
        <v>12</v>
      </c>
      <c r="C963" s="2" t="s">
        <v>30</v>
      </c>
      <c r="D963" s="2" t="s">
        <v>26</v>
      </c>
      <c r="E963" s="2" t="s">
        <v>15</v>
      </c>
      <c r="F963" s="2" t="s">
        <v>52</v>
      </c>
      <c r="G963" s="2" t="s">
        <v>36</v>
      </c>
      <c r="H963" s="2">
        <v>420000</v>
      </c>
      <c r="I963" s="2">
        <v>2</v>
      </c>
      <c r="J963" s="2" t="s">
        <v>54</v>
      </c>
      <c r="K963" s="2">
        <f t="shared" si="105"/>
        <v>336000</v>
      </c>
      <c r="L963" s="9">
        <f>Table_1[[#This Row],[Unit Price]]*Table_1[[#This Row],[Quantity]]</f>
        <v>840000</v>
      </c>
      <c r="M963" s="8">
        <f>Table_1[[#This Row],[Cost Price]]*Table_1[[#This Row],[Quantity]]</f>
        <v>672000</v>
      </c>
      <c r="N963">
        <f>Table_1[[#This Row],[Revenue]]-Table_1[[#This Row],[COGS]]</f>
        <v>168000</v>
      </c>
      <c r="O963" s="11">
        <f t="shared" si="106"/>
        <v>4656740000</v>
      </c>
      <c r="P963">
        <f t="shared" si="107"/>
        <v>3725392000</v>
      </c>
      <c r="Q963">
        <f t="shared" si="108"/>
        <v>931348000</v>
      </c>
      <c r="R963" s="7">
        <f t="shared" si="109"/>
        <v>2098</v>
      </c>
      <c r="S963" s="7">
        <f t="shared" si="110"/>
        <v>4</v>
      </c>
      <c r="T963" s="7">
        <f t="shared" si="111"/>
        <v>2098</v>
      </c>
    </row>
    <row r="964" spans="1:20" ht="14.25" customHeight="1" x14ac:dyDescent="0.35">
      <c r="A964" s="2" t="s">
        <v>145</v>
      </c>
      <c r="B964" s="2" t="s">
        <v>20</v>
      </c>
      <c r="C964" s="2" t="s">
        <v>38</v>
      </c>
      <c r="D964" s="2" t="s">
        <v>26</v>
      </c>
      <c r="E964" s="2" t="s">
        <v>22</v>
      </c>
      <c r="F964" s="2" t="s">
        <v>47</v>
      </c>
      <c r="G964" s="2" t="s">
        <v>36</v>
      </c>
      <c r="H964" s="2">
        <v>150000</v>
      </c>
      <c r="I964" s="2">
        <v>1</v>
      </c>
      <c r="J964" s="2" t="s">
        <v>43</v>
      </c>
      <c r="K964" s="2">
        <f t="shared" si="105"/>
        <v>120000</v>
      </c>
      <c r="L964" s="9">
        <f>Table_1[[#This Row],[Unit Price]]*Table_1[[#This Row],[Quantity]]</f>
        <v>150000</v>
      </c>
      <c r="M964" s="8">
        <f>Table_1[[#This Row],[Cost Price]]*Table_1[[#This Row],[Quantity]]</f>
        <v>120000</v>
      </c>
      <c r="N964">
        <f>Table_1[[#This Row],[Revenue]]-Table_1[[#This Row],[COGS]]</f>
        <v>30000</v>
      </c>
      <c r="O964" s="11">
        <f t="shared" si="106"/>
        <v>4656740000</v>
      </c>
      <c r="P964">
        <f t="shared" si="107"/>
        <v>3725392000</v>
      </c>
      <c r="Q964">
        <f t="shared" si="108"/>
        <v>931348000</v>
      </c>
      <c r="R964" s="7">
        <f t="shared" si="109"/>
        <v>2098</v>
      </c>
      <c r="S964" s="7">
        <f t="shared" si="110"/>
        <v>1</v>
      </c>
      <c r="T964" s="7">
        <f t="shared" si="111"/>
        <v>2098</v>
      </c>
    </row>
    <row r="965" spans="1:20" ht="14.25" customHeight="1" x14ac:dyDescent="0.35">
      <c r="A965" s="2" t="s">
        <v>33</v>
      </c>
      <c r="B965" s="2" t="s">
        <v>29</v>
      </c>
      <c r="C965" s="2" t="s">
        <v>21</v>
      </c>
      <c r="D965" s="2" t="s">
        <v>14</v>
      </c>
      <c r="E965" s="2" t="s">
        <v>15</v>
      </c>
      <c r="F965" s="2" t="s">
        <v>56</v>
      </c>
      <c r="G965" s="2" t="s">
        <v>36</v>
      </c>
      <c r="H965" s="2">
        <v>250000</v>
      </c>
      <c r="I965" s="2">
        <v>8</v>
      </c>
      <c r="J965" s="2" t="s">
        <v>50</v>
      </c>
      <c r="K965" s="2">
        <f t="shared" si="105"/>
        <v>200000</v>
      </c>
      <c r="L965" s="9">
        <f>Table_1[[#This Row],[Unit Price]]*Table_1[[#This Row],[Quantity]]</f>
        <v>2000000</v>
      </c>
      <c r="M965" s="8">
        <f>Table_1[[#This Row],[Cost Price]]*Table_1[[#This Row],[Quantity]]</f>
        <v>1600000</v>
      </c>
      <c r="N965">
        <f>Table_1[[#This Row],[Revenue]]-Table_1[[#This Row],[COGS]]</f>
        <v>400000</v>
      </c>
      <c r="O965" s="11">
        <f t="shared" si="106"/>
        <v>4656740000</v>
      </c>
      <c r="P965">
        <f t="shared" si="107"/>
        <v>3725392000</v>
      </c>
      <c r="Q965">
        <f t="shared" si="108"/>
        <v>931348000</v>
      </c>
      <c r="R965" s="7">
        <f t="shared" si="109"/>
        <v>2098</v>
      </c>
      <c r="S965" s="7">
        <f t="shared" si="110"/>
        <v>4</v>
      </c>
      <c r="T965" s="7">
        <f t="shared" si="111"/>
        <v>2098</v>
      </c>
    </row>
    <row r="966" spans="1:20" ht="14.25" customHeight="1" x14ac:dyDescent="0.35">
      <c r="A966" s="2" t="s">
        <v>140</v>
      </c>
      <c r="B966" s="2" t="s">
        <v>12</v>
      </c>
      <c r="C966" s="2" t="s">
        <v>38</v>
      </c>
      <c r="D966" s="2" t="s">
        <v>14</v>
      </c>
      <c r="E966" s="2" t="s">
        <v>15</v>
      </c>
      <c r="F966" s="2" t="s">
        <v>35</v>
      </c>
      <c r="G966" s="2" t="s">
        <v>36</v>
      </c>
      <c r="H966" s="2">
        <v>300000</v>
      </c>
      <c r="I966" s="2">
        <v>10</v>
      </c>
      <c r="J966" s="2" t="s">
        <v>54</v>
      </c>
      <c r="K966" s="2">
        <f t="shared" si="105"/>
        <v>240000</v>
      </c>
      <c r="L966" s="9">
        <f>Table_1[[#This Row],[Unit Price]]*Table_1[[#This Row],[Quantity]]</f>
        <v>3000000</v>
      </c>
      <c r="M966" s="8">
        <f>Table_1[[#This Row],[Cost Price]]*Table_1[[#This Row],[Quantity]]</f>
        <v>2400000</v>
      </c>
      <c r="N966">
        <f>Table_1[[#This Row],[Revenue]]-Table_1[[#This Row],[COGS]]</f>
        <v>600000</v>
      </c>
      <c r="O966" s="11">
        <f t="shared" si="106"/>
        <v>4656740000</v>
      </c>
      <c r="P966">
        <f t="shared" si="107"/>
        <v>3725392000</v>
      </c>
      <c r="Q966">
        <f t="shared" si="108"/>
        <v>931348000</v>
      </c>
      <c r="R966" s="7">
        <f t="shared" si="109"/>
        <v>2098</v>
      </c>
      <c r="S966" s="7">
        <f t="shared" si="110"/>
        <v>4</v>
      </c>
      <c r="T966" s="7">
        <f t="shared" si="111"/>
        <v>2098</v>
      </c>
    </row>
    <row r="967" spans="1:20" ht="14.25" customHeight="1" x14ac:dyDescent="0.35">
      <c r="A967" s="2" t="s">
        <v>138</v>
      </c>
      <c r="B967" s="2" t="s">
        <v>20</v>
      </c>
      <c r="C967" s="2" t="s">
        <v>21</v>
      </c>
      <c r="D967" s="2" t="s">
        <v>26</v>
      </c>
      <c r="E967" s="2" t="s">
        <v>22</v>
      </c>
      <c r="F967" s="2" t="s">
        <v>31</v>
      </c>
      <c r="G967" s="2" t="s">
        <v>24</v>
      </c>
      <c r="H967" s="2">
        <v>60000</v>
      </c>
      <c r="I967" s="2">
        <v>3</v>
      </c>
      <c r="J967" s="2" t="s">
        <v>27</v>
      </c>
      <c r="K967" s="2">
        <f t="shared" si="105"/>
        <v>48000</v>
      </c>
      <c r="L967" s="9">
        <f>Table_1[[#This Row],[Unit Price]]*Table_1[[#This Row],[Quantity]]</f>
        <v>180000</v>
      </c>
      <c r="M967" s="8">
        <f>Table_1[[#This Row],[Cost Price]]*Table_1[[#This Row],[Quantity]]</f>
        <v>144000</v>
      </c>
      <c r="N967">
        <f>Table_1[[#This Row],[Revenue]]-Table_1[[#This Row],[COGS]]</f>
        <v>36000</v>
      </c>
      <c r="O967" s="11">
        <f t="shared" si="106"/>
        <v>4656740000</v>
      </c>
      <c r="P967">
        <f t="shared" si="107"/>
        <v>3725392000</v>
      </c>
      <c r="Q967">
        <f t="shared" si="108"/>
        <v>931348000</v>
      </c>
      <c r="R967" s="7">
        <f t="shared" si="109"/>
        <v>2098</v>
      </c>
      <c r="S967" s="7">
        <f t="shared" si="110"/>
        <v>3</v>
      </c>
      <c r="T967" s="7">
        <f t="shared" si="111"/>
        <v>2098</v>
      </c>
    </row>
    <row r="968" spans="1:20" ht="14.25" customHeight="1" x14ac:dyDescent="0.35">
      <c r="A968" s="2" t="s">
        <v>137</v>
      </c>
      <c r="B968" s="2" t="s">
        <v>12</v>
      </c>
      <c r="C968" s="2" t="s">
        <v>38</v>
      </c>
      <c r="D968" s="2" t="s">
        <v>26</v>
      </c>
      <c r="E968" s="2" t="s">
        <v>15</v>
      </c>
      <c r="F968" s="2" t="s">
        <v>16</v>
      </c>
      <c r="G968" s="2" t="s">
        <v>17</v>
      </c>
      <c r="H968" s="2">
        <v>85000</v>
      </c>
      <c r="I968" s="2">
        <v>1</v>
      </c>
      <c r="J968" s="2" t="s">
        <v>27</v>
      </c>
      <c r="K968" s="2">
        <f t="shared" si="105"/>
        <v>68000</v>
      </c>
      <c r="L968" s="9">
        <f>Table_1[[#This Row],[Unit Price]]*Table_1[[#This Row],[Quantity]]</f>
        <v>85000</v>
      </c>
      <c r="M968" s="8">
        <f>Table_1[[#This Row],[Cost Price]]*Table_1[[#This Row],[Quantity]]</f>
        <v>68000</v>
      </c>
      <c r="N968">
        <f>Table_1[[#This Row],[Revenue]]-Table_1[[#This Row],[COGS]]</f>
        <v>17000</v>
      </c>
      <c r="O968" s="11">
        <f t="shared" si="106"/>
        <v>4656740000</v>
      </c>
      <c r="P968">
        <f t="shared" si="107"/>
        <v>3725392000</v>
      </c>
      <c r="Q968">
        <f t="shared" si="108"/>
        <v>931348000</v>
      </c>
      <c r="R968" s="7">
        <f t="shared" si="109"/>
        <v>2098</v>
      </c>
      <c r="S968" s="7">
        <f t="shared" si="110"/>
        <v>1</v>
      </c>
      <c r="T968" s="7">
        <f t="shared" si="111"/>
        <v>2098</v>
      </c>
    </row>
    <row r="969" spans="1:20" ht="14.25" customHeight="1" x14ac:dyDescent="0.35">
      <c r="A969" s="2" t="s">
        <v>104</v>
      </c>
      <c r="B969" s="2" t="s">
        <v>20</v>
      </c>
      <c r="C969" s="2" t="s">
        <v>21</v>
      </c>
      <c r="D969" s="2" t="s">
        <v>26</v>
      </c>
      <c r="E969" s="2" t="s">
        <v>15</v>
      </c>
      <c r="F969" s="2" t="s">
        <v>39</v>
      </c>
      <c r="G969" s="2" t="s">
        <v>24</v>
      </c>
      <c r="H969" s="2">
        <v>180000</v>
      </c>
      <c r="I969" s="2">
        <v>7</v>
      </c>
      <c r="J969" s="2" t="s">
        <v>18</v>
      </c>
      <c r="K969" s="2">
        <f t="shared" si="105"/>
        <v>144000</v>
      </c>
      <c r="L969" s="9">
        <f>Table_1[[#This Row],[Unit Price]]*Table_1[[#This Row],[Quantity]]</f>
        <v>1260000</v>
      </c>
      <c r="M969" s="8">
        <f>Table_1[[#This Row],[Cost Price]]*Table_1[[#This Row],[Quantity]]</f>
        <v>1008000</v>
      </c>
      <c r="N969">
        <f>Table_1[[#This Row],[Revenue]]-Table_1[[#This Row],[COGS]]</f>
        <v>252000</v>
      </c>
      <c r="O969" s="11">
        <f t="shared" si="106"/>
        <v>4656740000</v>
      </c>
      <c r="P969">
        <f t="shared" si="107"/>
        <v>3725392000</v>
      </c>
      <c r="Q969">
        <f t="shared" si="108"/>
        <v>931348000</v>
      </c>
      <c r="R969" s="7">
        <f t="shared" si="109"/>
        <v>2098</v>
      </c>
      <c r="S969" s="7">
        <f t="shared" si="110"/>
        <v>2</v>
      </c>
      <c r="T969" s="7">
        <f t="shared" si="111"/>
        <v>2098</v>
      </c>
    </row>
    <row r="970" spans="1:20" ht="14.25" customHeight="1" x14ac:dyDescent="0.35">
      <c r="A970" s="2" t="s">
        <v>156</v>
      </c>
      <c r="B970" s="2" t="s">
        <v>20</v>
      </c>
      <c r="C970" s="2" t="s">
        <v>30</v>
      </c>
      <c r="D970" s="2" t="s">
        <v>26</v>
      </c>
      <c r="E970" s="2" t="s">
        <v>15</v>
      </c>
      <c r="F970" s="2" t="s">
        <v>56</v>
      </c>
      <c r="G970" s="2" t="s">
        <v>36</v>
      </c>
      <c r="H970" s="2">
        <v>250000</v>
      </c>
      <c r="I970" s="2">
        <v>6</v>
      </c>
      <c r="J970" s="2" t="s">
        <v>32</v>
      </c>
      <c r="K970" s="2">
        <f t="shared" si="105"/>
        <v>200000</v>
      </c>
      <c r="L970" s="9">
        <f>Table_1[[#This Row],[Unit Price]]*Table_1[[#This Row],[Quantity]]</f>
        <v>1500000</v>
      </c>
      <c r="M970" s="8">
        <f>Table_1[[#This Row],[Cost Price]]*Table_1[[#This Row],[Quantity]]</f>
        <v>1200000</v>
      </c>
      <c r="N970">
        <f>Table_1[[#This Row],[Revenue]]-Table_1[[#This Row],[COGS]]</f>
        <v>300000</v>
      </c>
      <c r="O970" s="11">
        <f t="shared" si="106"/>
        <v>4656740000</v>
      </c>
      <c r="P970">
        <f t="shared" si="107"/>
        <v>3725392000</v>
      </c>
      <c r="Q970">
        <f t="shared" si="108"/>
        <v>931348000</v>
      </c>
      <c r="R970" s="7">
        <f t="shared" si="109"/>
        <v>2098</v>
      </c>
      <c r="S970" s="7">
        <f t="shared" si="110"/>
        <v>3</v>
      </c>
      <c r="T970" s="7">
        <f t="shared" si="111"/>
        <v>2098</v>
      </c>
    </row>
    <row r="971" spans="1:20" ht="14.25" customHeight="1" x14ac:dyDescent="0.35">
      <c r="A971" s="2" t="s">
        <v>85</v>
      </c>
      <c r="B971" s="2" t="s">
        <v>12</v>
      </c>
      <c r="C971" s="2" t="s">
        <v>13</v>
      </c>
      <c r="D971" s="2" t="s">
        <v>26</v>
      </c>
      <c r="E971" s="2" t="s">
        <v>15</v>
      </c>
      <c r="F971" s="2" t="s">
        <v>52</v>
      </c>
      <c r="G971" s="2" t="s">
        <v>36</v>
      </c>
      <c r="H971" s="2">
        <v>420000</v>
      </c>
      <c r="I971" s="2">
        <v>3</v>
      </c>
      <c r="J971" s="2" t="s">
        <v>18</v>
      </c>
      <c r="K971" s="2">
        <f t="shared" si="105"/>
        <v>336000</v>
      </c>
      <c r="L971" s="9">
        <f>Table_1[[#This Row],[Unit Price]]*Table_1[[#This Row],[Quantity]]</f>
        <v>1260000</v>
      </c>
      <c r="M971" s="8">
        <f>Table_1[[#This Row],[Cost Price]]*Table_1[[#This Row],[Quantity]]</f>
        <v>1008000</v>
      </c>
      <c r="N971">
        <f>Table_1[[#This Row],[Revenue]]-Table_1[[#This Row],[COGS]]</f>
        <v>252000</v>
      </c>
      <c r="O971" s="11">
        <f t="shared" si="106"/>
        <v>4656740000</v>
      </c>
      <c r="P971">
        <f t="shared" si="107"/>
        <v>3725392000</v>
      </c>
      <c r="Q971">
        <f t="shared" si="108"/>
        <v>931348000</v>
      </c>
      <c r="R971" s="7">
        <f t="shared" si="109"/>
        <v>2098</v>
      </c>
      <c r="S971" s="7">
        <f t="shared" si="110"/>
        <v>1</v>
      </c>
      <c r="T971" s="7">
        <f t="shared" si="111"/>
        <v>2098</v>
      </c>
    </row>
    <row r="972" spans="1:20" ht="14.25" customHeight="1" x14ac:dyDescent="0.35">
      <c r="A972" s="2" t="s">
        <v>142</v>
      </c>
      <c r="B972" s="2" t="s">
        <v>12</v>
      </c>
      <c r="C972" s="2" t="s">
        <v>13</v>
      </c>
      <c r="D972" s="2" t="s">
        <v>14</v>
      </c>
      <c r="E972" s="2" t="s">
        <v>15</v>
      </c>
      <c r="F972" s="2" t="s">
        <v>23</v>
      </c>
      <c r="G972" s="2" t="s">
        <v>24</v>
      </c>
      <c r="H972" s="2">
        <v>30000</v>
      </c>
      <c r="I972" s="2">
        <v>1</v>
      </c>
      <c r="J972" s="2" t="s">
        <v>32</v>
      </c>
      <c r="K972" s="2">
        <f t="shared" si="105"/>
        <v>24000</v>
      </c>
      <c r="L972" s="9">
        <f>Table_1[[#This Row],[Unit Price]]*Table_1[[#This Row],[Quantity]]</f>
        <v>30000</v>
      </c>
      <c r="M972" s="8">
        <f>Table_1[[#This Row],[Cost Price]]*Table_1[[#This Row],[Quantity]]</f>
        <v>24000</v>
      </c>
      <c r="N972">
        <f>Table_1[[#This Row],[Revenue]]-Table_1[[#This Row],[COGS]]</f>
        <v>6000</v>
      </c>
      <c r="O972" s="11">
        <f t="shared" si="106"/>
        <v>4656740000</v>
      </c>
      <c r="P972">
        <f t="shared" si="107"/>
        <v>3725392000</v>
      </c>
      <c r="Q972">
        <f t="shared" si="108"/>
        <v>931348000</v>
      </c>
      <c r="R972" s="7">
        <f t="shared" si="109"/>
        <v>2098</v>
      </c>
      <c r="S972" s="7">
        <f t="shared" si="110"/>
        <v>4</v>
      </c>
      <c r="T972" s="7">
        <f t="shared" si="111"/>
        <v>2098</v>
      </c>
    </row>
    <row r="973" spans="1:20" ht="14.25" customHeight="1" x14ac:dyDescent="0.35">
      <c r="A973" s="2" t="s">
        <v>131</v>
      </c>
      <c r="B973" s="2" t="s">
        <v>34</v>
      </c>
      <c r="C973" s="2" t="s">
        <v>13</v>
      </c>
      <c r="D973" s="2" t="s">
        <v>26</v>
      </c>
      <c r="E973" s="2" t="s">
        <v>22</v>
      </c>
      <c r="F973" s="2" t="s">
        <v>56</v>
      </c>
      <c r="G973" s="2" t="s">
        <v>36</v>
      </c>
      <c r="H973" s="2">
        <v>250000</v>
      </c>
      <c r="I973" s="2">
        <v>3</v>
      </c>
      <c r="J973" s="2" t="s">
        <v>18</v>
      </c>
      <c r="K973" s="2">
        <f t="shared" si="105"/>
        <v>200000</v>
      </c>
      <c r="L973" s="9">
        <f>Table_1[[#This Row],[Unit Price]]*Table_1[[#This Row],[Quantity]]</f>
        <v>750000</v>
      </c>
      <c r="M973" s="8">
        <f>Table_1[[#This Row],[Cost Price]]*Table_1[[#This Row],[Quantity]]</f>
        <v>600000</v>
      </c>
      <c r="N973">
        <f>Table_1[[#This Row],[Revenue]]-Table_1[[#This Row],[COGS]]</f>
        <v>150000</v>
      </c>
      <c r="O973" s="11">
        <f t="shared" si="106"/>
        <v>4656740000</v>
      </c>
      <c r="P973">
        <f t="shared" si="107"/>
        <v>3725392000</v>
      </c>
      <c r="Q973">
        <f t="shared" si="108"/>
        <v>931348000</v>
      </c>
      <c r="R973" s="7">
        <f t="shared" si="109"/>
        <v>2098</v>
      </c>
      <c r="S973" s="7">
        <f t="shared" si="110"/>
        <v>1</v>
      </c>
      <c r="T973" s="7">
        <f t="shared" si="111"/>
        <v>2098</v>
      </c>
    </row>
    <row r="974" spans="1:20" ht="14.25" customHeight="1" x14ac:dyDescent="0.35">
      <c r="A974" s="2" t="s">
        <v>45</v>
      </c>
      <c r="B974" s="2" t="s">
        <v>20</v>
      </c>
      <c r="C974" s="2" t="s">
        <v>30</v>
      </c>
      <c r="D974" s="2" t="s">
        <v>14</v>
      </c>
      <c r="E974" s="2" t="s">
        <v>15</v>
      </c>
      <c r="F974" s="2" t="s">
        <v>41</v>
      </c>
      <c r="G974" s="2" t="s">
        <v>17</v>
      </c>
      <c r="H974" s="2">
        <v>320000</v>
      </c>
      <c r="I974" s="2">
        <v>10</v>
      </c>
      <c r="J974" s="2" t="s">
        <v>18</v>
      </c>
      <c r="K974" s="2">
        <f t="shared" si="105"/>
        <v>256000</v>
      </c>
      <c r="L974" s="9">
        <f>Table_1[[#This Row],[Unit Price]]*Table_1[[#This Row],[Quantity]]</f>
        <v>3200000</v>
      </c>
      <c r="M974" s="8">
        <f>Table_1[[#This Row],[Cost Price]]*Table_1[[#This Row],[Quantity]]</f>
        <v>2560000</v>
      </c>
      <c r="N974">
        <f>Table_1[[#This Row],[Revenue]]-Table_1[[#This Row],[COGS]]</f>
        <v>640000</v>
      </c>
      <c r="O974" s="11">
        <f t="shared" si="106"/>
        <v>4656740000</v>
      </c>
      <c r="P974">
        <f t="shared" si="107"/>
        <v>3725392000</v>
      </c>
      <c r="Q974">
        <f t="shared" si="108"/>
        <v>931348000</v>
      </c>
      <c r="R974" s="7">
        <f t="shared" si="109"/>
        <v>2098</v>
      </c>
      <c r="S974" s="7">
        <f t="shared" si="110"/>
        <v>3</v>
      </c>
      <c r="T974" s="7">
        <f t="shared" si="111"/>
        <v>2098</v>
      </c>
    </row>
    <row r="975" spans="1:20" ht="14.25" customHeight="1" x14ac:dyDescent="0.35">
      <c r="A975" s="2" t="s">
        <v>127</v>
      </c>
      <c r="B975" s="2" t="s">
        <v>12</v>
      </c>
      <c r="C975" s="2" t="s">
        <v>13</v>
      </c>
      <c r="D975" s="2" t="s">
        <v>14</v>
      </c>
      <c r="E975" s="2" t="s">
        <v>22</v>
      </c>
      <c r="F975" s="2" t="s">
        <v>56</v>
      </c>
      <c r="G975" s="2" t="s">
        <v>36</v>
      </c>
      <c r="H975" s="2">
        <v>250000</v>
      </c>
      <c r="I975" s="2">
        <v>7</v>
      </c>
      <c r="J975" s="2" t="s">
        <v>27</v>
      </c>
      <c r="K975" s="2">
        <f t="shared" si="105"/>
        <v>200000</v>
      </c>
      <c r="L975" s="9">
        <f>Table_1[[#This Row],[Unit Price]]*Table_1[[#This Row],[Quantity]]</f>
        <v>1750000</v>
      </c>
      <c r="M975" s="8">
        <f>Table_1[[#This Row],[Cost Price]]*Table_1[[#This Row],[Quantity]]</f>
        <v>1400000</v>
      </c>
      <c r="N975">
        <f>Table_1[[#This Row],[Revenue]]-Table_1[[#This Row],[COGS]]</f>
        <v>350000</v>
      </c>
      <c r="O975" s="11">
        <f t="shared" si="106"/>
        <v>4656740000</v>
      </c>
      <c r="P975">
        <f t="shared" si="107"/>
        <v>3725392000</v>
      </c>
      <c r="Q975">
        <f t="shared" si="108"/>
        <v>931348000</v>
      </c>
      <c r="R975" s="7">
        <f t="shared" si="109"/>
        <v>2098</v>
      </c>
      <c r="S975" s="7">
        <f t="shared" si="110"/>
        <v>4</v>
      </c>
      <c r="T975" s="7">
        <f t="shared" si="111"/>
        <v>2098</v>
      </c>
    </row>
    <row r="976" spans="1:20" ht="14.25" customHeight="1" x14ac:dyDescent="0.35">
      <c r="A976" s="2" t="s">
        <v>75</v>
      </c>
      <c r="B976" s="2" t="s">
        <v>34</v>
      </c>
      <c r="C976" s="2" t="s">
        <v>21</v>
      </c>
      <c r="D976" s="2" t="s">
        <v>26</v>
      </c>
      <c r="E976" s="2" t="s">
        <v>15</v>
      </c>
      <c r="F976" s="2" t="s">
        <v>41</v>
      </c>
      <c r="G976" s="2" t="s">
        <v>17</v>
      </c>
      <c r="H976" s="2">
        <v>320000</v>
      </c>
      <c r="I976" s="2">
        <v>2</v>
      </c>
      <c r="J976" s="2" t="s">
        <v>32</v>
      </c>
      <c r="K976" s="2">
        <f t="shared" si="105"/>
        <v>256000</v>
      </c>
      <c r="L976" s="9">
        <f>Table_1[[#This Row],[Unit Price]]*Table_1[[#This Row],[Quantity]]</f>
        <v>640000</v>
      </c>
      <c r="M976" s="8">
        <f>Table_1[[#This Row],[Cost Price]]*Table_1[[#This Row],[Quantity]]</f>
        <v>512000</v>
      </c>
      <c r="N976">
        <f>Table_1[[#This Row],[Revenue]]-Table_1[[#This Row],[COGS]]</f>
        <v>128000</v>
      </c>
      <c r="O976" s="11">
        <f t="shared" si="106"/>
        <v>4656740000</v>
      </c>
      <c r="P976">
        <f t="shared" si="107"/>
        <v>3725392000</v>
      </c>
      <c r="Q976">
        <f t="shared" si="108"/>
        <v>931348000</v>
      </c>
      <c r="R976" s="7">
        <f t="shared" si="109"/>
        <v>2098</v>
      </c>
      <c r="S976" s="7">
        <f t="shared" si="110"/>
        <v>2</v>
      </c>
      <c r="T976" s="7">
        <f t="shared" si="111"/>
        <v>2098</v>
      </c>
    </row>
    <row r="977" spans="1:20" ht="14.25" customHeight="1" x14ac:dyDescent="0.35">
      <c r="A977" s="2" t="s">
        <v>106</v>
      </c>
      <c r="B977" s="2" t="s">
        <v>34</v>
      </c>
      <c r="C977" s="2" t="s">
        <v>13</v>
      </c>
      <c r="D977" s="2" t="s">
        <v>26</v>
      </c>
      <c r="E977" s="2" t="s">
        <v>22</v>
      </c>
      <c r="F977" s="2" t="s">
        <v>58</v>
      </c>
      <c r="G977" s="2" t="s">
        <v>24</v>
      </c>
      <c r="H977" s="2">
        <v>220000</v>
      </c>
      <c r="I977" s="2">
        <v>5</v>
      </c>
      <c r="J977" s="2" t="s">
        <v>43</v>
      </c>
      <c r="K977" s="2">
        <f t="shared" si="105"/>
        <v>176000</v>
      </c>
      <c r="L977" s="9">
        <f>Table_1[[#This Row],[Unit Price]]*Table_1[[#This Row],[Quantity]]</f>
        <v>1100000</v>
      </c>
      <c r="M977" s="8">
        <f>Table_1[[#This Row],[Cost Price]]*Table_1[[#This Row],[Quantity]]</f>
        <v>880000</v>
      </c>
      <c r="N977">
        <f>Table_1[[#This Row],[Revenue]]-Table_1[[#This Row],[COGS]]</f>
        <v>220000</v>
      </c>
      <c r="O977" s="11">
        <f t="shared" si="106"/>
        <v>4656740000</v>
      </c>
      <c r="P977">
        <f t="shared" si="107"/>
        <v>3725392000</v>
      </c>
      <c r="Q977">
        <f t="shared" si="108"/>
        <v>931348000</v>
      </c>
      <c r="R977" s="7">
        <f t="shared" si="109"/>
        <v>2098</v>
      </c>
      <c r="S977" s="7">
        <f t="shared" si="110"/>
        <v>4</v>
      </c>
      <c r="T977" s="7">
        <f t="shared" si="111"/>
        <v>2098</v>
      </c>
    </row>
    <row r="978" spans="1:20" ht="14.25" customHeight="1" x14ac:dyDescent="0.35">
      <c r="A978" s="2" t="s">
        <v>133</v>
      </c>
      <c r="B978" s="2" t="s">
        <v>34</v>
      </c>
      <c r="C978" s="2" t="s">
        <v>38</v>
      </c>
      <c r="D978" s="2" t="s">
        <v>26</v>
      </c>
      <c r="E978" s="2" t="s">
        <v>22</v>
      </c>
      <c r="F978" s="2" t="s">
        <v>52</v>
      </c>
      <c r="G978" s="2" t="s">
        <v>36</v>
      </c>
      <c r="H978" s="2">
        <v>420000</v>
      </c>
      <c r="I978" s="2">
        <v>3</v>
      </c>
      <c r="J978" s="2" t="s">
        <v>43</v>
      </c>
      <c r="K978" s="2">
        <f t="shared" si="105"/>
        <v>336000</v>
      </c>
      <c r="L978" s="9">
        <f>Table_1[[#This Row],[Unit Price]]*Table_1[[#This Row],[Quantity]]</f>
        <v>1260000</v>
      </c>
      <c r="M978" s="8">
        <f>Table_1[[#This Row],[Cost Price]]*Table_1[[#This Row],[Quantity]]</f>
        <v>1008000</v>
      </c>
      <c r="N978">
        <f>Table_1[[#This Row],[Revenue]]-Table_1[[#This Row],[COGS]]</f>
        <v>252000</v>
      </c>
      <c r="O978" s="11">
        <f t="shared" si="106"/>
        <v>4656740000</v>
      </c>
      <c r="P978">
        <f t="shared" si="107"/>
        <v>3725392000</v>
      </c>
      <c r="Q978">
        <f t="shared" si="108"/>
        <v>931348000</v>
      </c>
      <c r="R978" s="7">
        <f t="shared" si="109"/>
        <v>2098</v>
      </c>
      <c r="S978" s="7">
        <f t="shared" si="110"/>
        <v>2</v>
      </c>
      <c r="T978" s="7">
        <f t="shared" si="111"/>
        <v>2098</v>
      </c>
    </row>
    <row r="979" spans="1:20" ht="14.25" customHeight="1" x14ac:dyDescent="0.35">
      <c r="A979" s="2" t="s">
        <v>65</v>
      </c>
      <c r="B979" s="2" t="s">
        <v>34</v>
      </c>
      <c r="C979" s="2" t="s">
        <v>21</v>
      </c>
      <c r="D979" s="2" t="s">
        <v>26</v>
      </c>
      <c r="E979" s="2" t="s">
        <v>15</v>
      </c>
      <c r="F979" s="2" t="s">
        <v>58</v>
      </c>
      <c r="G979" s="2" t="s">
        <v>24</v>
      </c>
      <c r="H979" s="2">
        <v>220000</v>
      </c>
      <c r="I979" s="2">
        <v>3</v>
      </c>
      <c r="J979" s="2" t="s">
        <v>32</v>
      </c>
      <c r="K979" s="2">
        <f t="shared" si="105"/>
        <v>176000</v>
      </c>
      <c r="L979" s="9">
        <f>Table_1[[#This Row],[Unit Price]]*Table_1[[#This Row],[Quantity]]</f>
        <v>660000</v>
      </c>
      <c r="M979" s="8">
        <f>Table_1[[#This Row],[Cost Price]]*Table_1[[#This Row],[Quantity]]</f>
        <v>528000</v>
      </c>
      <c r="N979">
        <f>Table_1[[#This Row],[Revenue]]-Table_1[[#This Row],[COGS]]</f>
        <v>132000</v>
      </c>
      <c r="O979" s="11">
        <f t="shared" si="106"/>
        <v>4656740000</v>
      </c>
      <c r="P979">
        <f t="shared" si="107"/>
        <v>3725392000</v>
      </c>
      <c r="Q979">
        <f t="shared" si="108"/>
        <v>931348000</v>
      </c>
      <c r="R979" s="7">
        <f t="shared" si="109"/>
        <v>2098</v>
      </c>
      <c r="S979" s="7">
        <f t="shared" si="110"/>
        <v>2</v>
      </c>
      <c r="T979" s="7">
        <f t="shared" si="111"/>
        <v>2098</v>
      </c>
    </row>
    <row r="980" spans="1:20" ht="14.25" customHeight="1" x14ac:dyDescent="0.35">
      <c r="A980" s="2" t="s">
        <v>99</v>
      </c>
      <c r="B980" s="2" t="s">
        <v>29</v>
      </c>
      <c r="C980" s="2" t="s">
        <v>13</v>
      </c>
      <c r="D980" s="2" t="s">
        <v>26</v>
      </c>
      <c r="E980" s="2" t="s">
        <v>15</v>
      </c>
      <c r="F980" s="2" t="s">
        <v>41</v>
      </c>
      <c r="G980" s="2" t="s">
        <v>17</v>
      </c>
      <c r="H980" s="2">
        <v>320000</v>
      </c>
      <c r="I980" s="2">
        <v>5</v>
      </c>
      <c r="J980" s="2" t="s">
        <v>27</v>
      </c>
      <c r="K980" s="2">
        <f t="shared" si="105"/>
        <v>256000</v>
      </c>
      <c r="L980" s="9">
        <f>Table_1[[#This Row],[Unit Price]]*Table_1[[#This Row],[Quantity]]</f>
        <v>1600000</v>
      </c>
      <c r="M980" s="8">
        <f>Table_1[[#This Row],[Cost Price]]*Table_1[[#This Row],[Quantity]]</f>
        <v>1280000</v>
      </c>
      <c r="N980">
        <f>Table_1[[#This Row],[Revenue]]-Table_1[[#This Row],[COGS]]</f>
        <v>320000</v>
      </c>
      <c r="O980" s="11">
        <f t="shared" si="106"/>
        <v>4656740000</v>
      </c>
      <c r="P980">
        <f t="shared" si="107"/>
        <v>3725392000</v>
      </c>
      <c r="Q980">
        <f t="shared" si="108"/>
        <v>931348000</v>
      </c>
      <c r="R980" s="7">
        <f t="shared" si="109"/>
        <v>2098</v>
      </c>
      <c r="S980" s="7">
        <f t="shared" si="110"/>
        <v>4</v>
      </c>
      <c r="T980" s="7">
        <f t="shared" si="111"/>
        <v>2098</v>
      </c>
    </row>
    <row r="981" spans="1:20" ht="14.25" customHeight="1" x14ac:dyDescent="0.35">
      <c r="A981" s="2" t="s">
        <v>71</v>
      </c>
      <c r="B981" s="2" t="s">
        <v>20</v>
      </c>
      <c r="C981" s="2" t="s">
        <v>30</v>
      </c>
      <c r="D981" s="2" t="s">
        <v>14</v>
      </c>
      <c r="E981" s="2" t="s">
        <v>22</v>
      </c>
      <c r="F981" s="2" t="s">
        <v>16</v>
      </c>
      <c r="G981" s="2" t="s">
        <v>17</v>
      </c>
      <c r="H981" s="2">
        <v>85000</v>
      </c>
      <c r="I981" s="2">
        <v>8</v>
      </c>
      <c r="J981" s="2" t="s">
        <v>18</v>
      </c>
      <c r="K981" s="2">
        <f t="shared" si="105"/>
        <v>68000</v>
      </c>
      <c r="L981" s="9">
        <f>Table_1[[#This Row],[Unit Price]]*Table_1[[#This Row],[Quantity]]</f>
        <v>680000</v>
      </c>
      <c r="M981" s="8">
        <f>Table_1[[#This Row],[Cost Price]]*Table_1[[#This Row],[Quantity]]</f>
        <v>544000</v>
      </c>
      <c r="N981">
        <f>Table_1[[#This Row],[Revenue]]-Table_1[[#This Row],[COGS]]</f>
        <v>136000</v>
      </c>
      <c r="O981" s="11">
        <f t="shared" si="106"/>
        <v>4656740000</v>
      </c>
      <c r="P981">
        <f t="shared" si="107"/>
        <v>3725392000</v>
      </c>
      <c r="Q981">
        <f t="shared" si="108"/>
        <v>931348000</v>
      </c>
      <c r="R981" s="7">
        <f t="shared" si="109"/>
        <v>2098</v>
      </c>
      <c r="S981" s="7">
        <f t="shared" si="110"/>
        <v>2</v>
      </c>
      <c r="T981" s="7">
        <f t="shared" si="111"/>
        <v>2098</v>
      </c>
    </row>
    <row r="982" spans="1:20" ht="14.25" customHeight="1" x14ac:dyDescent="0.35">
      <c r="A982" s="2" t="s">
        <v>71</v>
      </c>
      <c r="B982" s="2" t="s">
        <v>20</v>
      </c>
      <c r="C982" s="2" t="s">
        <v>38</v>
      </c>
      <c r="D982" s="2" t="s">
        <v>26</v>
      </c>
      <c r="E982" s="2" t="s">
        <v>22</v>
      </c>
      <c r="F982" s="2" t="s">
        <v>47</v>
      </c>
      <c r="G982" s="2" t="s">
        <v>36</v>
      </c>
      <c r="H982" s="2">
        <v>150000</v>
      </c>
      <c r="I982" s="2">
        <v>9</v>
      </c>
      <c r="J982" s="2" t="s">
        <v>54</v>
      </c>
      <c r="K982" s="2">
        <f t="shared" si="105"/>
        <v>120000</v>
      </c>
      <c r="L982" s="9">
        <f>Table_1[[#This Row],[Unit Price]]*Table_1[[#This Row],[Quantity]]</f>
        <v>1350000</v>
      </c>
      <c r="M982" s="8">
        <f>Table_1[[#This Row],[Cost Price]]*Table_1[[#This Row],[Quantity]]</f>
        <v>1080000</v>
      </c>
      <c r="N982">
        <f>Table_1[[#This Row],[Revenue]]-Table_1[[#This Row],[COGS]]</f>
        <v>270000</v>
      </c>
      <c r="O982" s="11">
        <f t="shared" si="106"/>
        <v>4656740000</v>
      </c>
      <c r="P982">
        <f t="shared" si="107"/>
        <v>3725392000</v>
      </c>
      <c r="Q982">
        <f t="shared" si="108"/>
        <v>931348000</v>
      </c>
      <c r="R982" s="7">
        <f t="shared" si="109"/>
        <v>2098</v>
      </c>
      <c r="S982" s="7">
        <f t="shared" si="110"/>
        <v>2</v>
      </c>
      <c r="T982" s="7">
        <f t="shared" si="111"/>
        <v>2098</v>
      </c>
    </row>
    <row r="983" spans="1:20" ht="14.25" customHeight="1" x14ac:dyDescent="0.35">
      <c r="A983" s="2" t="s">
        <v>57</v>
      </c>
      <c r="B983" s="2" t="s">
        <v>12</v>
      </c>
      <c r="C983" s="2" t="s">
        <v>13</v>
      </c>
      <c r="D983" s="2" t="s">
        <v>26</v>
      </c>
      <c r="E983" s="2" t="s">
        <v>15</v>
      </c>
      <c r="F983" s="2" t="s">
        <v>56</v>
      </c>
      <c r="G983" s="2" t="s">
        <v>36</v>
      </c>
      <c r="H983" s="2">
        <v>250000</v>
      </c>
      <c r="I983" s="2">
        <v>4</v>
      </c>
      <c r="J983" s="2" t="s">
        <v>43</v>
      </c>
      <c r="K983" s="2">
        <f t="shared" si="105"/>
        <v>200000</v>
      </c>
      <c r="L983" s="9">
        <f>Table_1[[#This Row],[Unit Price]]*Table_1[[#This Row],[Quantity]]</f>
        <v>1000000</v>
      </c>
      <c r="M983" s="8">
        <f>Table_1[[#This Row],[Cost Price]]*Table_1[[#This Row],[Quantity]]</f>
        <v>800000</v>
      </c>
      <c r="N983">
        <f>Table_1[[#This Row],[Revenue]]-Table_1[[#This Row],[COGS]]</f>
        <v>200000</v>
      </c>
      <c r="O983" s="11">
        <f t="shared" si="106"/>
        <v>4656740000</v>
      </c>
      <c r="P983">
        <f t="shared" si="107"/>
        <v>3725392000</v>
      </c>
      <c r="Q983">
        <f t="shared" si="108"/>
        <v>931348000</v>
      </c>
      <c r="R983" s="7">
        <f t="shared" si="109"/>
        <v>2098</v>
      </c>
      <c r="S983" s="7">
        <f t="shared" si="110"/>
        <v>2</v>
      </c>
      <c r="T983" s="7">
        <f t="shared" si="111"/>
        <v>2098</v>
      </c>
    </row>
    <row r="984" spans="1:20" ht="14.25" customHeight="1" x14ac:dyDescent="0.35">
      <c r="A984" s="2" t="s">
        <v>80</v>
      </c>
      <c r="B984" s="2" t="s">
        <v>34</v>
      </c>
      <c r="C984" s="2" t="s">
        <v>21</v>
      </c>
      <c r="D984" s="2" t="s">
        <v>14</v>
      </c>
      <c r="E984" s="2" t="s">
        <v>22</v>
      </c>
      <c r="F984" s="2" t="s">
        <v>58</v>
      </c>
      <c r="G984" s="2" t="s">
        <v>24</v>
      </c>
      <c r="H984" s="2">
        <v>220000</v>
      </c>
      <c r="I984" s="2">
        <v>4</v>
      </c>
      <c r="J984" s="2" t="s">
        <v>43</v>
      </c>
      <c r="K984" s="2">
        <f t="shared" si="105"/>
        <v>176000</v>
      </c>
      <c r="L984" s="9">
        <f>Table_1[[#This Row],[Unit Price]]*Table_1[[#This Row],[Quantity]]</f>
        <v>880000</v>
      </c>
      <c r="M984" s="8">
        <f>Table_1[[#This Row],[Cost Price]]*Table_1[[#This Row],[Quantity]]</f>
        <v>704000</v>
      </c>
      <c r="N984">
        <f>Table_1[[#This Row],[Revenue]]-Table_1[[#This Row],[COGS]]</f>
        <v>176000</v>
      </c>
      <c r="O984" s="11">
        <f t="shared" si="106"/>
        <v>4656740000</v>
      </c>
      <c r="P984">
        <f t="shared" si="107"/>
        <v>3725392000</v>
      </c>
      <c r="Q984">
        <f t="shared" si="108"/>
        <v>931348000</v>
      </c>
      <c r="R984" s="7">
        <f t="shared" si="109"/>
        <v>2098</v>
      </c>
      <c r="S984" s="7">
        <f t="shared" si="110"/>
        <v>2</v>
      </c>
      <c r="T984" s="7">
        <f t="shared" si="111"/>
        <v>2098</v>
      </c>
    </row>
    <row r="985" spans="1:20" ht="14.25" customHeight="1" x14ac:dyDescent="0.35">
      <c r="A985" s="2" t="s">
        <v>122</v>
      </c>
      <c r="B985" s="2" t="s">
        <v>34</v>
      </c>
      <c r="C985" s="2" t="s">
        <v>13</v>
      </c>
      <c r="D985" s="2" t="s">
        <v>26</v>
      </c>
      <c r="E985" s="2" t="s">
        <v>22</v>
      </c>
      <c r="F985" s="2" t="s">
        <v>16</v>
      </c>
      <c r="G985" s="2" t="s">
        <v>17</v>
      </c>
      <c r="H985" s="2">
        <v>85000</v>
      </c>
      <c r="I985" s="2">
        <v>2</v>
      </c>
      <c r="J985" s="2" t="s">
        <v>18</v>
      </c>
      <c r="K985" s="2">
        <f t="shared" si="105"/>
        <v>68000</v>
      </c>
      <c r="L985" s="9">
        <f>Table_1[[#This Row],[Unit Price]]*Table_1[[#This Row],[Quantity]]</f>
        <v>170000</v>
      </c>
      <c r="M985" s="8">
        <f>Table_1[[#This Row],[Cost Price]]*Table_1[[#This Row],[Quantity]]</f>
        <v>136000</v>
      </c>
      <c r="N985">
        <f>Table_1[[#This Row],[Revenue]]-Table_1[[#This Row],[COGS]]</f>
        <v>34000</v>
      </c>
      <c r="O985" s="11">
        <f t="shared" si="106"/>
        <v>4656740000</v>
      </c>
      <c r="P985">
        <f t="shared" si="107"/>
        <v>3725392000</v>
      </c>
      <c r="Q985">
        <f t="shared" si="108"/>
        <v>931348000</v>
      </c>
      <c r="R985" s="7">
        <f t="shared" si="109"/>
        <v>2098</v>
      </c>
      <c r="S985" s="7">
        <f t="shared" si="110"/>
        <v>4</v>
      </c>
      <c r="T985" s="7">
        <f t="shared" si="111"/>
        <v>2098</v>
      </c>
    </row>
    <row r="986" spans="1:20" ht="14.25" customHeight="1" x14ac:dyDescent="0.35">
      <c r="A986" s="2" t="s">
        <v>144</v>
      </c>
      <c r="B986" s="2" t="s">
        <v>20</v>
      </c>
      <c r="C986" s="2" t="s">
        <v>13</v>
      </c>
      <c r="D986" s="2" t="s">
        <v>14</v>
      </c>
      <c r="E986" s="2" t="s">
        <v>15</v>
      </c>
      <c r="F986" s="2" t="s">
        <v>56</v>
      </c>
      <c r="G986" s="2" t="s">
        <v>36</v>
      </c>
      <c r="H986" s="2">
        <v>250000</v>
      </c>
      <c r="I986" s="2">
        <v>3</v>
      </c>
      <c r="J986" s="2" t="s">
        <v>43</v>
      </c>
      <c r="K986" s="2">
        <f t="shared" si="105"/>
        <v>200000</v>
      </c>
      <c r="L986" s="9">
        <f>Table_1[[#This Row],[Unit Price]]*Table_1[[#This Row],[Quantity]]</f>
        <v>750000</v>
      </c>
      <c r="M986" s="8">
        <f>Table_1[[#This Row],[Cost Price]]*Table_1[[#This Row],[Quantity]]</f>
        <v>600000</v>
      </c>
      <c r="N986">
        <f>Table_1[[#This Row],[Revenue]]-Table_1[[#This Row],[COGS]]</f>
        <v>150000</v>
      </c>
      <c r="O986" s="11">
        <f t="shared" si="106"/>
        <v>4656740000</v>
      </c>
      <c r="P986">
        <f t="shared" si="107"/>
        <v>3725392000</v>
      </c>
      <c r="Q986">
        <f t="shared" si="108"/>
        <v>931348000</v>
      </c>
      <c r="R986" s="7">
        <f t="shared" si="109"/>
        <v>2098</v>
      </c>
      <c r="S986" s="7">
        <f t="shared" si="110"/>
        <v>2</v>
      </c>
      <c r="T986" s="7">
        <f t="shared" si="111"/>
        <v>2098</v>
      </c>
    </row>
    <row r="987" spans="1:20" ht="14.25" customHeight="1" x14ac:dyDescent="0.35">
      <c r="A987" s="2" t="s">
        <v>135</v>
      </c>
      <c r="B987" s="2" t="s">
        <v>34</v>
      </c>
      <c r="C987" s="2" t="s">
        <v>30</v>
      </c>
      <c r="D987" s="2" t="s">
        <v>26</v>
      </c>
      <c r="E987" s="2" t="s">
        <v>15</v>
      </c>
      <c r="F987" s="2" t="s">
        <v>47</v>
      </c>
      <c r="G987" s="2" t="s">
        <v>36</v>
      </c>
      <c r="H987" s="2">
        <v>150000</v>
      </c>
      <c r="I987" s="2">
        <v>4</v>
      </c>
      <c r="J987" s="2" t="s">
        <v>43</v>
      </c>
      <c r="K987" s="2">
        <f t="shared" si="105"/>
        <v>120000</v>
      </c>
      <c r="L987" s="9">
        <f>Table_1[[#This Row],[Unit Price]]*Table_1[[#This Row],[Quantity]]</f>
        <v>600000</v>
      </c>
      <c r="M987" s="8">
        <f>Table_1[[#This Row],[Cost Price]]*Table_1[[#This Row],[Quantity]]</f>
        <v>480000</v>
      </c>
      <c r="N987">
        <f>Table_1[[#This Row],[Revenue]]-Table_1[[#This Row],[COGS]]</f>
        <v>120000</v>
      </c>
      <c r="O987" s="11">
        <f t="shared" si="106"/>
        <v>4656740000</v>
      </c>
      <c r="P987">
        <f t="shared" si="107"/>
        <v>3725392000</v>
      </c>
      <c r="Q987">
        <f t="shared" si="108"/>
        <v>931348000</v>
      </c>
      <c r="R987" s="7">
        <f t="shared" si="109"/>
        <v>2098</v>
      </c>
      <c r="S987" s="7">
        <f t="shared" si="110"/>
        <v>1</v>
      </c>
      <c r="T987" s="7">
        <f t="shared" si="111"/>
        <v>2098</v>
      </c>
    </row>
    <row r="988" spans="1:20" ht="14.25" customHeight="1" x14ac:dyDescent="0.35">
      <c r="A988" s="2" t="s">
        <v>139</v>
      </c>
      <c r="B988" s="2" t="s">
        <v>34</v>
      </c>
      <c r="C988" s="2" t="s">
        <v>13</v>
      </c>
      <c r="D988" s="2" t="s">
        <v>14</v>
      </c>
      <c r="E988" s="2" t="s">
        <v>15</v>
      </c>
      <c r="F988" s="2" t="s">
        <v>16</v>
      </c>
      <c r="G988" s="2" t="s">
        <v>17</v>
      </c>
      <c r="H988" s="2">
        <v>85000</v>
      </c>
      <c r="I988" s="2">
        <v>2</v>
      </c>
      <c r="J988" s="2" t="s">
        <v>18</v>
      </c>
      <c r="K988" s="2">
        <f t="shared" si="105"/>
        <v>68000</v>
      </c>
      <c r="L988" s="9">
        <f>Table_1[[#This Row],[Unit Price]]*Table_1[[#This Row],[Quantity]]</f>
        <v>170000</v>
      </c>
      <c r="M988" s="8">
        <f>Table_1[[#This Row],[Cost Price]]*Table_1[[#This Row],[Quantity]]</f>
        <v>136000</v>
      </c>
      <c r="N988">
        <f>Table_1[[#This Row],[Revenue]]-Table_1[[#This Row],[COGS]]</f>
        <v>34000</v>
      </c>
      <c r="O988" s="11">
        <f t="shared" si="106"/>
        <v>4656740000</v>
      </c>
      <c r="P988">
        <f t="shared" si="107"/>
        <v>3725392000</v>
      </c>
      <c r="Q988">
        <f t="shared" si="108"/>
        <v>931348000</v>
      </c>
      <c r="R988" s="7">
        <f t="shared" si="109"/>
        <v>2098</v>
      </c>
      <c r="S988" s="7">
        <f t="shared" si="110"/>
        <v>2</v>
      </c>
      <c r="T988" s="7">
        <f t="shared" si="111"/>
        <v>2098</v>
      </c>
    </row>
    <row r="989" spans="1:20" ht="14.25" customHeight="1" x14ac:dyDescent="0.35">
      <c r="A989" s="2" t="s">
        <v>83</v>
      </c>
      <c r="B989" s="2" t="s">
        <v>12</v>
      </c>
      <c r="C989" s="2" t="s">
        <v>30</v>
      </c>
      <c r="D989" s="2" t="s">
        <v>26</v>
      </c>
      <c r="E989" s="2" t="s">
        <v>22</v>
      </c>
      <c r="F989" s="2" t="s">
        <v>47</v>
      </c>
      <c r="G989" s="2" t="s">
        <v>36</v>
      </c>
      <c r="H989" s="2">
        <v>150000</v>
      </c>
      <c r="I989" s="2">
        <v>4</v>
      </c>
      <c r="J989" s="2" t="s">
        <v>32</v>
      </c>
      <c r="K989" s="2">
        <f t="shared" si="105"/>
        <v>120000</v>
      </c>
      <c r="L989" s="9">
        <f>Table_1[[#This Row],[Unit Price]]*Table_1[[#This Row],[Quantity]]</f>
        <v>600000</v>
      </c>
      <c r="M989" s="8">
        <f>Table_1[[#This Row],[Cost Price]]*Table_1[[#This Row],[Quantity]]</f>
        <v>480000</v>
      </c>
      <c r="N989">
        <f>Table_1[[#This Row],[Revenue]]-Table_1[[#This Row],[COGS]]</f>
        <v>120000</v>
      </c>
      <c r="O989" s="11">
        <f t="shared" si="106"/>
        <v>4656740000</v>
      </c>
      <c r="P989">
        <f t="shared" si="107"/>
        <v>3725392000</v>
      </c>
      <c r="Q989">
        <f t="shared" si="108"/>
        <v>931348000</v>
      </c>
      <c r="R989" s="7">
        <f t="shared" si="109"/>
        <v>2098</v>
      </c>
      <c r="S989" s="7">
        <f t="shared" si="110"/>
        <v>1</v>
      </c>
      <c r="T989" s="7">
        <f t="shared" si="111"/>
        <v>2098</v>
      </c>
    </row>
    <row r="990" spans="1:20" ht="14.25" customHeight="1" x14ac:dyDescent="0.35">
      <c r="A990" s="2" t="s">
        <v>71</v>
      </c>
      <c r="B990" s="2" t="s">
        <v>34</v>
      </c>
      <c r="C990" s="2" t="s">
        <v>13</v>
      </c>
      <c r="D990" s="2" t="s">
        <v>14</v>
      </c>
      <c r="E990" s="2" t="s">
        <v>15</v>
      </c>
      <c r="F990" s="2" t="s">
        <v>47</v>
      </c>
      <c r="G990" s="2" t="s">
        <v>36</v>
      </c>
      <c r="H990" s="2">
        <v>150000</v>
      </c>
      <c r="I990" s="2">
        <v>3</v>
      </c>
      <c r="J990" s="2" t="s">
        <v>27</v>
      </c>
      <c r="K990" s="2">
        <f t="shared" si="105"/>
        <v>120000</v>
      </c>
      <c r="L990" s="9">
        <f>Table_1[[#This Row],[Unit Price]]*Table_1[[#This Row],[Quantity]]</f>
        <v>450000</v>
      </c>
      <c r="M990" s="8">
        <f>Table_1[[#This Row],[Cost Price]]*Table_1[[#This Row],[Quantity]]</f>
        <v>360000</v>
      </c>
      <c r="N990">
        <f>Table_1[[#This Row],[Revenue]]-Table_1[[#This Row],[COGS]]</f>
        <v>90000</v>
      </c>
      <c r="O990" s="11">
        <f t="shared" si="106"/>
        <v>4656740000</v>
      </c>
      <c r="P990">
        <f t="shared" si="107"/>
        <v>3725392000</v>
      </c>
      <c r="Q990">
        <f t="shared" si="108"/>
        <v>931348000</v>
      </c>
      <c r="R990" s="7">
        <f t="shared" si="109"/>
        <v>2098</v>
      </c>
      <c r="S990" s="7">
        <f t="shared" si="110"/>
        <v>2</v>
      </c>
      <c r="T990" s="7">
        <f t="shared" si="111"/>
        <v>2098</v>
      </c>
    </row>
    <row r="991" spans="1:20" ht="14.25" customHeight="1" x14ac:dyDescent="0.35">
      <c r="A991" s="2" t="s">
        <v>118</v>
      </c>
      <c r="B991" s="2" t="s">
        <v>34</v>
      </c>
      <c r="C991" s="2" t="s">
        <v>13</v>
      </c>
      <c r="D991" s="2" t="s">
        <v>26</v>
      </c>
      <c r="E991" s="2" t="s">
        <v>15</v>
      </c>
      <c r="F991" s="2" t="s">
        <v>23</v>
      </c>
      <c r="G991" s="2" t="s">
        <v>24</v>
      </c>
      <c r="H991" s="2">
        <v>30000</v>
      </c>
      <c r="I991" s="2">
        <v>3</v>
      </c>
      <c r="J991" s="2" t="s">
        <v>27</v>
      </c>
      <c r="K991" s="2">
        <f t="shared" si="105"/>
        <v>24000</v>
      </c>
      <c r="L991" s="9">
        <f>Table_1[[#This Row],[Unit Price]]*Table_1[[#This Row],[Quantity]]</f>
        <v>90000</v>
      </c>
      <c r="M991" s="8">
        <f>Table_1[[#This Row],[Cost Price]]*Table_1[[#This Row],[Quantity]]</f>
        <v>72000</v>
      </c>
      <c r="N991">
        <f>Table_1[[#This Row],[Revenue]]-Table_1[[#This Row],[COGS]]</f>
        <v>18000</v>
      </c>
      <c r="O991" s="11">
        <f t="shared" si="106"/>
        <v>4656740000</v>
      </c>
      <c r="P991">
        <f t="shared" si="107"/>
        <v>3725392000</v>
      </c>
      <c r="Q991">
        <f t="shared" si="108"/>
        <v>931348000</v>
      </c>
      <c r="R991" s="7">
        <f t="shared" si="109"/>
        <v>2098</v>
      </c>
      <c r="S991" s="7">
        <f t="shared" si="110"/>
        <v>1</v>
      </c>
      <c r="T991" s="7">
        <f t="shared" si="111"/>
        <v>2098</v>
      </c>
    </row>
    <row r="992" spans="1:20" ht="14.25" customHeight="1" x14ac:dyDescent="0.35">
      <c r="A992" s="2" t="s">
        <v>28</v>
      </c>
      <c r="B992" s="2" t="s">
        <v>34</v>
      </c>
      <c r="C992" s="2" t="s">
        <v>21</v>
      </c>
      <c r="D992" s="2" t="s">
        <v>26</v>
      </c>
      <c r="E992" s="2" t="s">
        <v>22</v>
      </c>
      <c r="F992" s="2" t="s">
        <v>41</v>
      </c>
      <c r="G992" s="2" t="s">
        <v>17</v>
      </c>
      <c r="H992" s="2">
        <v>320000</v>
      </c>
      <c r="I992" s="2">
        <v>5</v>
      </c>
      <c r="J992" s="2" t="s">
        <v>54</v>
      </c>
      <c r="K992" s="2">
        <f t="shared" si="105"/>
        <v>256000</v>
      </c>
      <c r="L992" s="9">
        <f>Table_1[[#This Row],[Unit Price]]*Table_1[[#This Row],[Quantity]]</f>
        <v>1600000</v>
      </c>
      <c r="M992" s="8">
        <f>Table_1[[#This Row],[Cost Price]]*Table_1[[#This Row],[Quantity]]</f>
        <v>1280000</v>
      </c>
      <c r="N992">
        <f>Table_1[[#This Row],[Revenue]]-Table_1[[#This Row],[COGS]]</f>
        <v>320000</v>
      </c>
      <c r="O992" s="11">
        <f t="shared" si="106"/>
        <v>4656740000</v>
      </c>
      <c r="P992">
        <f t="shared" si="107"/>
        <v>3725392000</v>
      </c>
      <c r="Q992">
        <f t="shared" si="108"/>
        <v>931348000</v>
      </c>
      <c r="R992" s="7">
        <f t="shared" si="109"/>
        <v>2098</v>
      </c>
      <c r="S992" s="7">
        <f t="shared" si="110"/>
        <v>4</v>
      </c>
      <c r="T992" s="7">
        <f t="shared" si="111"/>
        <v>2098</v>
      </c>
    </row>
    <row r="993" spans="1:20" ht="14.25" customHeight="1" x14ac:dyDescent="0.35">
      <c r="A993" s="2" t="s">
        <v>28</v>
      </c>
      <c r="B993" s="2" t="s">
        <v>20</v>
      </c>
      <c r="C993" s="2" t="s">
        <v>38</v>
      </c>
      <c r="D993" s="2" t="s">
        <v>26</v>
      </c>
      <c r="E993" s="2" t="s">
        <v>15</v>
      </c>
      <c r="F993" s="2" t="s">
        <v>56</v>
      </c>
      <c r="G993" s="2" t="s">
        <v>36</v>
      </c>
      <c r="H993" s="2">
        <v>250000</v>
      </c>
      <c r="I993" s="2">
        <v>3</v>
      </c>
      <c r="J993" s="2" t="s">
        <v>18</v>
      </c>
      <c r="K993" s="2">
        <f t="shared" si="105"/>
        <v>200000</v>
      </c>
      <c r="L993" s="9">
        <f>Table_1[[#This Row],[Unit Price]]*Table_1[[#This Row],[Quantity]]</f>
        <v>750000</v>
      </c>
      <c r="M993" s="8">
        <f>Table_1[[#This Row],[Cost Price]]*Table_1[[#This Row],[Quantity]]</f>
        <v>600000</v>
      </c>
      <c r="N993">
        <f>Table_1[[#This Row],[Revenue]]-Table_1[[#This Row],[COGS]]</f>
        <v>150000</v>
      </c>
      <c r="O993" s="11">
        <f t="shared" si="106"/>
        <v>4656740000</v>
      </c>
      <c r="P993">
        <f t="shared" si="107"/>
        <v>3725392000</v>
      </c>
      <c r="Q993">
        <f t="shared" si="108"/>
        <v>931348000</v>
      </c>
      <c r="R993" s="7">
        <f t="shared" si="109"/>
        <v>2098</v>
      </c>
      <c r="S993" s="7">
        <f t="shared" si="110"/>
        <v>4</v>
      </c>
      <c r="T993" s="7">
        <f t="shared" si="111"/>
        <v>2098</v>
      </c>
    </row>
    <row r="994" spans="1:20" ht="14.25" customHeight="1" x14ac:dyDescent="0.35">
      <c r="A994" s="2" t="s">
        <v>64</v>
      </c>
      <c r="B994" s="2" t="s">
        <v>20</v>
      </c>
      <c r="C994" s="2" t="s">
        <v>30</v>
      </c>
      <c r="D994" s="2" t="s">
        <v>26</v>
      </c>
      <c r="E994" s="2" t="s">
        <v>22</v>
      </c>
      <c r="F994" s="2" t="s">
        <v>31</v>
      </c>
      <c r="G994" s="2" t="s">
        <v>24</v>
      </c>
      <c r="H994" s="2">
        <v>60000</v>
      </c>
      <c r="I994" s="2">
        <v>10</v>
      </c>
      <c r="J994" s="2" t="s">
        <v>54</v>
      </c>
      <c r="K994" s="2">
        <f t="shared" si="105"/>
        <v>48000</v>
      </c>
      <c r="L994" s="9">
        <f>Table_1[[#This Row],[Unit Price]]*Table_1[[#This Row],[Quantity]]</f>
        <v>600000</v>
      </c>
      <c r="M994" s="8">
        <f>Table_1[[#This Row],[Cost Price]]*Table_1[[#This Row],[Quantity]]</f>
        <v>480000</v>
      </c>
      <c r="N994">
        <f>Table_1[[#This Row],[Revenue]]-Table_1[[#This Row],[COGS]]</f>
        <v>120000</v>
      </c>
      <c r="O994" s="11">
        <f t="shared" si="106"/>
        <v>4656740000</v>
      </c>
      <c r="P994">
        <f t="shared" si="107"/>
        <v>3725392000</v>
      </c>
      <c r="Q994">
        <f t="shared" si="108"/>
        <v>931348000</v>
      </c>
      <c r="R994" s="7">
        <f t="shared" si="109"/>
        <v>2098</v>
      </c>
      <c r="S994" s="7">
        <f t="shared" si="110"/>
        <v>2</v>
      </c>
      <c r="T994" s="7">
        <f t="shared" si="111"/>
        <v>2098</v>
      </c>
    </row>
    <row r="995" spans="1:20" ht="14.25" customHeight="1" x14ac:dyDescent="0.35">
      <c r="A995" s="2" t="s">
        <v>64</v>
      </c>
      <c r="B995" s="2" t="s">
        <v>34</v>
      </c>
      <c r="C995" s="2" t="s">
        <v>13</v>
      </c>
      <c r="D995" s="2" t="s">
        <v>14</v>
      </c>
      <c r="E995" s="2" t="s">
        <v>22</v>
      </c>
      <c r="F995" s="2" t="s">
        <v>31</v>
      </c>
      <c r="G995" s="2" t="s">
        <v>24</v>
      </c>
      <c r="H995" s="2">
        <v>60000</v>
      </c>
      <c r="I995" s="2">
        <v>3</v>
      </c>
      <c r="J995" s="2" t="s">
        <v>50</v>
      </c>
      <c r="K995" s="2">
        <f t="shared" si="105"/>
        <v>48000</v>
      </c>
      <c r="L995" s="9">
        <f>Table_1[[#This Row],[Unit Price]]*Table_1[[#This Row],[Quantity]]</f>
        <v>180000</v>
      </c>
      <c r="M995" s="8">
        <f>Table_1[[#This Row],[Cost Price]]*Table_1[[#This Row],[Quantity]]</f>
        <v>144000</v>
      </c>
      <c r="N995">
        <f>Table_1[[#This Row],[Revenue]]-Table_1[[#This Row],[COGS]]</f>
        <v>36000</v>
      </c>
      <c r="O995" s="11">
        <f t="shared" si="106"/>
        <v>4656740000</v>
      </c>
      <c r="P995">
        <f t="shared" si="107"/>
        <v>3725392000</v>
      </c>
      <c r="Q995">
        <f t="shared" si="108"/>
        <v>931348000</v>
      </c>
      <c r="R995" s="7">
        <f t="shared" si="109"/>
        <v>2098</v>
      </c>
      <c r="S995" s="7">
        <f t="shared" si="110"/>
        <v>2</v>
      </c>
      <c r="T995" s="7">
        <f t="shared" si="111"/>
        <v>2098</v>
      </c>
    </row>
    <row r="996" spans="1:20" ht="14.25" customHeight="1" x14ac:dyDescent="0.35">
      <c r="A996" s="2" t="s">
        <v>70</v>
      </c>
      <c r="B996" s="2" t="s">
        <v>20</v>
      </c>
      <c r="C996" s="2" t="s">
        <v>21</v>
      </c>
      <c r="D996" s="2" t="s">
        <v>26</v>
      </c>
      <c r="E996" s="2" t="s">
        <v>22</v>
      </c>
      <c r="F996" s="2" t="s">
        <v>16</v>
      </c>
      <c r="G996" s="2" t="s">
        <v>17</v>
      </c>
      <c r="H996" s="2">
        <v>85000</v>
      </c>
      <c r="I996" s="2">
        <v>9</v>
      </c>
      <c r="J996" s="2" t="s">
        <v>43</v>
      </c>
      <c r="K996" s="2">
        <f t="shared" si="105"/>
        <v>68000</v>
      </c>
      <c r="L996" s="9">
        <f>Table_1[[#This Row],[Unit Price]]*Table_1[[#This Row],[Quantity]]</f>
        <v>765000</v>
      </c>
      <c r="M996" s="8">
        <f>Table_1[[#This Row],[Cost Price]]*Table_1[[#This Row],[Quantity]]</f>
        <v>612000</v>
      </c>
      <c r="N996">
        <f>Table_1[[#This Row],[Revenue]]-Table_1[[#This Row],[COGS]]</f>
        <v>153000</v>
      </c>
      <c r="O996" s="11">
        <f t="shared" si="106"/>
        <v>4656740000</v>
      </c>
      <c r="P996">
        <f t="shared" si="107"/>
        <v>3725392000</v>
      </c>
      <c r="Q996">
        <f t="shared" si="108"/>
        <v>931348000</v>
      </c>
      <c r="R996" s="7">
        <f t="shared" si="109"/>
        <v>2098</v>
      </c>
      <c r="S996" s="7">
        <f t="shared" si="110"/>
        <v>2</v>
      </c>
      <c r="T996" s="7">
        <f t="shared" si="111"/>
        <v>2098</v>
      </c>
    </row>
    <row r="997" spans="1:20" ht="14.25" customHeight="1" x14ac:dyDescent="0.35">
      <c r="A997" s="2" t="s">
        <v>116</v>
      </c>
      <c r="B997" s="2" t="s">
        <v>20</v>
      </c>
      <c r="C997" s="2" t="s">
        <v>38</v>
      </c>
      <c r="D997" s="2" t="s">
        <v>26</v>
      </c>
      <c r="E997" s="2" t="s">
        <v>22</v>
      </c>
      <c r="F997" s="2" t="s">
        <v>52</v>
      </c>
      <c r="G997" s="2" t="s">
        <v>36</v>
      </c>
      <c r="H997" s="2">
        <v>420000</v>
      </c>
      <c r="I997" s="2">
        <v>4</v>
      </c>
      <c r="J997" s="2" t="s">
        <v>43</v>
      </c>
      <c r="K997" s="2">
        <f t="shared" si="105"/>
        <v>336000</v>
      </c>
      <c r="L997" s="9">
        <f>Table_1[[#This Row],[Unit Price]]*Table_1[[#This Row],[Quantity]]</f>
        <v>1680000</v>
      </c>
      <c r="M997" s="8">
        <f>Table_1[[#This Row],[Cost Price]]*Table_1[[#This Row],[Quantity]]</f>
        <v>1344000</v>
      </c>
      <c r="N997">
        <f>Table_1[[#This Row],[Revenue]]-Table_1[[#This Row],[COGS]]</f>
        <v>336000</v>
      </c>
      <c r="O997" s="11">
        <f t="shared" si="106"/>
        <v>4656740000</v>
      </c>
      <c r="P997">
        <f t="shared" si="107"/>
        <v>3725392000</v>
      </c>
      <c r="Q997">
        <f t="shared" si="108"/>
        <v>931348000</v>
      </c>
      <c r="R997" s="7">
        <f t="shared" si="109"/>
        <v>2098</v>
      </c>
      <c r="S997" s="7">
        <f t="shared" si="110"/>
        <v>3</v>
      </c>
      <c r="T997" s="7">
        <f t="shared" si="111"/>
        <v>2098</v>
      </c>
    </row>
    <row r="998" spans="1:20" ht="14.25" customHeight="1" x14ac:dyDescent="0.35">
      <c r="A998" s="2" t="s">
        <v>69</v>
      </c>
      <c r="B998" s="2" t="s">
        <v>34</v>
      </c>
      <c r="C998" s="2" t="s">
        <v>30</v>
      </c>
      <c r="D998" s="2" t="s">
        <v>26</v>
      </c>
      <c r="E998" s="2" t="s">
        <v>15</v>
      </c>
      <c r="F998" s="2" t="s">
        <v>47</v>
      </c>
      <c r="G998" s="2" t="s">
        <v>36</v>
      </c>
      <c r="H998" s="2">
        <v>150000</v>
      </c>
      <c r="I998" s="2">
        <v>6</v>
      </c>
      <c r="J998" s="2" t="s">
        <v>50</v>
      </c>
      <c r="K998" s="2">
        <f t="shared" si="105"/>
        <v>120000</v>
      </c>
      <c r="L998" s="9">
        <f>Table_1[[#This Row],[Unit Price]]*Table_1[[#This Row],[Quantity]]</f>
        <v>900000</v>
      </c>
      <c r="M998" s="8">
        <f>Table_1[[#This Row],[Cost Price]]*Table_1[[#This Row],[Quantity]]</f>
        <v>720000</v>
      </c>
      <c r="N998">
        <f>Table_1[[#This Row],[Revenue]]-Table_1[[#This Row],[COGS]]</f>
        <v>180000</v>
      </c>
      <c r="O998" s="11">
        <f t="shared" si="106"/>
        <v>4656740000</v>
      </c>
      <c r="P998">
        <f t="shared" si="107"/>
        <v>3725392000</v>
      </c>
      <c r="Q998">
        <f t="shared" si="108"/>
        <v>931348000</v>
      </c>
      <c r="R998" s="7">
        <f t="shared" si="109"/>
        <v>2098</v>
      </c>
      <c r="S998" s="7">
        <f t="shared" si="110"/>
        <v>1</v>
      </c>
      <c r="T998" s="7">
        <f t="shared" si="111"/>
        <v>2098</v>
      </c>
    </row>
    <row r="999" spans="1:20" ht="14.25" customHeight="1" x14ac:dyDescent="0.35">
      <c r="A999" s="2" t="s">
        <v>148</v>
      </c>
      <c r="B999" s="2" t="s">
        <v>34</v>
      </c>
      <c r="C999" s="2" t="s">
        <v>30</v>
      </c>
      <c r="D999" s="2" t="s">
        <v>26</v>
      </c>
      <c r="E999" s="2" t="s">
        <v>15</v>
      </c>
      <c r="F999" s="2" t="s">
        <v>41</v>
      </c>
      <c r="G999" s="2" t="s">
        <v>17</v>
      </c>
      <c r="H999" s="2">
        <v>320000</v>
      </c>
      <c r="I999" s="2">
        <v>3</v>
      </c>
      <c r="J999" s="2" t="s">
        <v>43</v>
      </c>
      <c r="K999" s="2">
        <f t="shared" si="105"/>
        <v>256000</v>
      </c>
      <c r="L999" s="9">
        <f>Table_1[[#This Row],[Unit Price]]*Table_1[[#This Row],[Quantity]]</f>
        <v>960000</v>
      </c>
      <c r="M999" s="8">
        <f>Table_1[[#This Row],[Cost Price]]*Table_1[[#This Row],[Quantity]]</f>
        <v>768000</v>
      </c>
      <c r="N999">
        <f>Table_1[[#This Row],[Revenue]]-Table_1[[#This Row],[COGS]]</f>
        <v>192000</v>
      </c>
      <c r="O999" s="11">
        <f t="shared" si="106"/>
        <v>4656740000</v>
      </c>
      <c r="P999">
        <f t="shared" si="107"/>
        <v>3725392000</v>
      </c>
      <c r="Q999">
        <f t="shared" si="108"/>
        <v>931348000</v>
      </c>
      <c r="R999" s="7">
        <f t="shared" si="109"/>
        <v>2098</v>
      </c>
      <c r="S999" s="7">
        <f t="shared" si="110"/>
        <v>4</v>
      </c>
      <c r="T999" s="7">
        <f t="shared" si="111"/>
        <v>2098</v>
      </c>
    </row>
    <row r="1000" spans="1:20" ht="14.25" customHeight="1" x14ac:dyDescent="0.35">
      <c r="A1000" s="2" t="s">
        <v>94</v>
      </c>
      <c r="B1000" s="2" t="s">
        <v>29</v>
      </c>
      <c r="C1000" s="2" t="s">
        <v>38</v>
      </c>
      <c r="D1000" s="2" t="s">
        <v>14</v>
      </c>
      <c r="E1000" s="2" t="s">
        <v>22</v>
      </c>
      <c r="F1000" s="2" t="s">
        <v>35</v>
      </c>
      <c r="G1000" s="2" t="s">
        <v>36</v>
      </c>
      <c r="H1000" s="2">
        <v>300000</v>
      </c>
      <c r="I1000" s="2">
        <v>2</v>
      </c>
      <c r="J1000" s="2" t="s">
        <v>18</v>
      </c>
      <c r="K1000" s="2">
        <f t="shared" si="105"/>
        <v>240000</v>
      </c>
      <c r="L1000" s="9">
        <f>Table_1[[#This Row],[Unit Price]]*Table_1[[#This Row],[Quantity]]</f>
        <v>600000</v>
      </c>
      <c r="M1000" s="8">
        <f>Table_1[[#This Row],[Cost Price]]*Table_1[[#This Row],[Quantity]]</f>
        <v>480000</v>
      </c>
      <c r="N1000">
        <f>Table_1[[#This Row],[Revenue]]-Table_1[[#This Row],[COGS]]</f>
        <v>120000</v>
      </c>
      <c r="O1000" s="11">
        <f t="shared" si="106"/>
        <v>4656740000</v>
      </c>
      <c r="P1000">
        <f t="shared" si="107"/>
        <v>3725392000</v>
      </c>
      <c r="Q1000">
        <f t="shared" si="108"/>
        <v>931348000</v>
      </c>
      <c r="R1000" s="7">
        <f t="shared" si="109"/>
        <v>2098</v>
      </c>
      <c r="S1000" s="7">
        <f t="shared" si="110"/>
        <v>3</v>
      </c>
      <c r="T1000" s="7">
        <f t="shared" si="111"/>
        <v>2098</v>
      </c>
    </row>
    <row r="1001" spans="1:20" ht="14.25" customHeight="1" x14ac:dyDescent="0.35">
      <c r="A1001" s="2" t="s">
        <v>82</v>
      </c>
      <c r="B1001" s="2" t="s">
        <v>20</v>
      </c>
      <c r="C1001" s="2" t="s">
        <v>30</v>
      </c>
      <c r="D1001" s="2" t="s">
        <v>26</v>
      </c>
      <c r="E1001" s="2" t="s">
        <v>15</v>
      </c>
      <c r="F1001" s="2" t="s">
        <v>47</v>
      </c>
      <c r="G1001" s="2" t="s">
        <v>36</v>
      </c>
      <c r="H1001" s="2">
        <v>150000</v>
      </c>
      <c r="I1001" s="2">
        <v>10</v>
      </c>
      <c r="J1001" s="2" t="s">
        <v>50</v>
      </c>
      <c r="K1001" s="2">
        <f t="shared" si="105"/>
        <v>120000</v>
      </c>
      <c r="L1001" s="9">
        <f>Table_1[[#This Row],[Unit Price]]*Table_1[[#This Row],[Quantity]]</f>
        <v>1500000</v>
      </c>
      <c r="M1001" s="8">
        <f>Table_1[[#This Row],[Cost Price]]*Table_1[[#This Row],[Quantity]]</f>
        <v>1200000</v>
      </c>
      <c r="N1001">
        <f>Table_1[[#This Row],[Revenue]]-Table_1[[#This Row],[COGS]]</f>
        <v>300000</v>
      </c>
      <c r="O1001" s="11">
        <f t="shared" si="106"/>
        <v>4656740000</v>
      </c>
      <c r="P1001">
        <f t="shared" si="107"/>
        <v>3725392000</v>
      </c>
      <c r="Q1001">
        <f t="shared" si="108"/>
        <v>931348000</v>
      </c>
      <c r="R1001" s="7">
        <f t="shared" si="109"/>
        <v>2098</v>
      </c>
      <c r="S1001" s="7">
        <f t="shared" si="110"/>
        <v>1</v>
      </c>
      <c r="T1001" s="7">
        <f t="shared" si="111"/>
        <v>2098</v>
      </c>
    </row>
    <row r="1002" spans="1:20" ht="14.25" customHeight="1" x14ac:dyDescent="0.35">
      <c r="A1002" s="2" t="s">
        <v>97</v>
      </c>
      <c r="B1002" s="2" t="s">
        <v>20</v>
      </c>
      <c r="C1002" s="2" t="s">
        <v>38</v>
      </c>
      <c r="D1002" s="2" t="s">
        <v>14</v>
      </c>
      <c r="E1002" s="2" t="s">
        <v>22</v>
      </c>
      <c r="F1002" s="2" t="s">
        <v>52</v>
      </c>
      <c r="G1002" s="2" t="s">
        <v>36</v>
      </c>
      <c r="H1002" s="2">
        <v>420000</v>
      </c>
      <c r="I1002" s="2">
        <v>10</v>
      </c>
      <c r="J1002" s="2" t="s">
        <v>32</v>
      </c>
      <c r="K1002" s="2">
        <f t="shared" si="105"/>
        <v>336000</v>
      </c>
      <c r="L1002" s="9">
        <f>Table_1[[#This Row],[Unit Price]]*Table_1[[#This Row],[Quantity]]</f>
        <v>4200000</v>
      </c>
      <c r="M1002" s="8">
        <f>Table_1[[#This Row],[Cost Price]]*Table_1[[#This Row],[Quantity]]</f>
        <v>3360000</v>
      </c>
      <c r="N1002">
        <f>Table_1[[#This Row],[Revenue]]-Table_1[[#This Row],[COGS]]</f>
        <v>840000</v>
      </c>
      <c r="O1002" s="11">
        <f t="shared" si="106"/>
        <v>4656740000</v>
      </c>
      <c r="P1002">
        <f t="shared" si="107"/>
        <v>3725392000</v>
      </c>
      <c r="Q1002">
        <f t="shared" si="108"/>
        <v>931348000</v>
      </c>
      <c r="R1002" s="7">
        <f t="shared" si="109"/>
        <v>2098</v>
      </c>
      <c r="S1002" s="7">
        <f t="shared" si="110"/>
        <v>2</v>
      </c>
      <c r="T1002" s="7">
        <f t="shared" si="111"/>
        <v>2098</v>
      </c>
    </row>
    <row r="1003" spans="1:20" ht="14.25" customHeight="1" x14ac:dyDescent="0.35">
      <c r="A1003" s="2" t="s">
        <v>37</v>
      </c>
      <c r="B1003" s="2" t="s">
        <v>34</v>
      </c>
      <c r="C1003" s="2" t="s">
        <v>38</v>
      </c>
      <c r="D1003" s="2" t="s">
        <v>26</v>
      </c>
      <c r="E1003" s="2" t="s">
        <v>22</v>
      </c>
      <c r="F1003" s="2" t="s">
        <v>39</v>
      </c>
      <c r="G1003" s="2" t="s">
        <v>24</v>
      </c>
      <c r="H1003" s="2">
        <v>180000</v>
      </c>
      <c r="I1003" s="2">
        <v>5</v>
      </c>
      <c r="J1003" s="2" t="s">
        <v>50</v>
      </c>
      <c r="K1003" s="2">
        <f t="shared" si="105"/>
        <v>144000</v>
      </c>
      <c r="L1003" s="9">
        <f>Table_1[[#This Row],[Unit Price]]*Table_1[[#This Row],[Quantity]]</f>
        <v>900000</v>
      </c>
      <c r="M1003" s="8">
        <f>Table_1[[#This Row],[Cost Price]]*Table_1[[#This Row],[Quantity]]</f>
        <v>720000</v>
      </c>
      <c r="N1003">
        <f>Table_1[[#This Row],[Revenue]]-Table_1[[#This Row],[COGS]]</f>
        <v>180000</v>
      </c>
      <c r="O1003" s="11">
        <f t="shared" si="106"/>
        <v>4656740000</v>
      </c>
      <c r="P1003">
        <f t="shared" si="107"/>
        <v>3725392000</v>
      </c>
      <c r="Q1003">
        <f t="shared" si="108"/>
        <v>931348000</v>
      </c>
      <c r="R1003" s="7">
        <f t="shared" si="109"/>
        <v>2098</v>
      </c>
      <c r="S1003" s="7">
        <f t="shared" si="110"/>
        <v>3</v>
      </c>
      <c r="T1003" s="7">
        <f t="shared" si="111"/>
        <v>2098</v>
      </c>
    </row>
    <row r="1004" spans="1:20" ht="14.25" customHeight="1" x14ac:dyDescent="0.35">
      <c r="A1004" s="2" t="s">
        <v>118</v>
      </c>
      <c r="B1004" s="2" t="s">
        <v>20</v>
      </c>
      <c r="C1004" s="2" t="s">
        <v>38</v>
      </c>
      <c r="D1004" s="2" t="s">
        <v>26</v>
      </c>
      <c r="E1004" s="2" t="s">
        <v>22</v>
      </c>
      <c r="F1004" s="2" t="s">
        <v>56</v>
      </c>
      <c r="G1004" s="2" t="s">
        <v>36</v>
      </c>
      <c r="H1004" s="2">
        <v>250000</v>
      </c>
      <c r="I1004" s="2">
        <v>7</v>
      </c>
      <c r="J1004" s="2" t="s">
        <v>32</v>
      </c>
      <c r="K1004" s="2">
        <f t="shared" si="105"/>
        <v>200000</v>
      </c>
      <c r="L1004" s="9">
        <f>Table_1[[#This Row],[Unit Price]]*Table_1[[#This Row],[Quantity]]</f>
        <v>1750000</v>
      </c>
      <c r="M1004" s="8">
        <f>Table_1[[#This Row],[Cost Price]]*Table_1[[#This Row],[Quantity]]</f>
        <v>1400000</v>
      </c>
      <c r="N1004">
        <f>Table_1[[#This Row],[Revenue]]-Table_1[[#This Row],[COGS]]</f>
        <v>350000</v>
      </c>
      <c r="O1004" s="11">
        <f t="shared" si="106"/>
        <v>4656740000</v>
      </c>
      <c r="P1004">
        <f t="shared" si="107"/>
        <v>3725392000</v>
      </c>
      <c r="Q1004">
        <f t="shared" si="108"/>
        <v>931348000</v>
      </c>
      <c r="R1004" s="7">
        <f t="shared" si="109"/>
        <v>2098</v>
      </c>
      <c r="S1004" s="7">
        <f t="shared" si="110"/>
        <v>1</v>
      </c>
      <c r="T1004" s="7">
        <f t="shared" si="111"/>
        <v>2098</v>
      </c>
    </row>
    <row r="1005" spans="1:20" ht="14.25" customHeight="1" x14ac:dyDescent="0.35">
      <c r="A1005" s="2" t="s">
        <v>125</v>
      </c>
      <c r="B1005" s="2" t="s">
        <v>12</v>
      </c>
      <c r="C1005" s="2" t="s">
        <v>21</v>
      </c>
      <c r="D1005" s="2" t="s">
        <v>14</v>
      </c>
      <c r="E1005" s="2" t="s">
        <v>22</v>
      </c>
      <c r="F1005" s="2" t="s">
        <v>41</v>
      </c>
      <c r="G1005" s="2" t="s">
        <v>17</v>
      </c>
      <c r="H1005" s="2">
        <v>320000</v>
      </c>
      <c r="I1005" s="2">
        <v>4</v>
      </c>
      <c r="J1005" s="2" t="s">
        <v>27</v>
      </c>
      <c r="K1005" s="2">
        <f t="shared" si="105"/>
        <v>256000</v>
      </c>
      <c r="L1005" s="9">
        <f>Table_1[[#This Row],[Unit Price]]*Table_1[[#This Row],[Quantity]]</f>
        <v>1280000</v>
      </c>
      <c r="M1005" s="8">
        <f>Table_1[[#This Row],[Cost Price]]*Table_1[[#This Row],[Quantity]]</f>
        <v>1024000</v>
      </c>
      <c r="N1005">
        <f>Table_1[[#This Row],[Revenue]]-Table_1[[#This Row],[COGS]]</f>
        <v>256000</v>
      </c>
      <c r="O1005" s="11">
        <f t="shared" si="106"/>
        <v>4656740000</v>
      </c>
      <c r="P1005">
        <f t="shared" si="107"/>
        <v>3725392000</v>
      </c>
      <c r="Q1005">
        <f t="shared" si="108"/>
        <v>931348000</v>
      </c>
      <c r="R1005" s="7">
        <f t="shared" si="109"/>
        <v>2098</v>
      </c>
      <c r="S1005" s="7">
        <f t="shared" si="110"/>
        <v>4</v>
      </c>
      <c r="T1005" s="7">
        <f t="shared" si="111"/>
        <v>2098</v>
      </c>
    </row>
    <row r="1006" spans="1:20" ht="14.25" customHeight="1" x14ac:dyDescent="0.35">
      <c r="A1006" s="2" t="s">
        <v>160</v>
      </c>
      <c r="B1006" s="2" t="s">
        <v>20</v>
      </c>
      <c r="C1006" s="2" t="s">
        <v>21</v>
      </c>
      <c r="D1006" s="2" t="s">
        <v>14</v>
      </c>
      <c r="E1006" s="2" t="s">
        <v>15</v>
      </c>
      <c r="F1006" s="2" t="s">
        <v>23</v>
      </c>
      <c r="G1006" s="2" t="s">
        <v>24</v>
      </c>
      <c r="H1006" s="2">
        <v>30000</v>
      </c>
      <c r="I1006" s="2">
        <v>2</v>
      </c>
      <c r="J1006" s="2" t="s">
        <v>18</v>
      </c>
      <c r="K1006" s="2">
        <f t="shared" si="105"/>
        <v>24000</v>
      </c>
      <c r="L1006" s="9">
        <f>Table_1[[#This Row],[Unit Price]]*Table_1[[#This Row],[Quantity]]</f>
        <v>60000</v>
      </c>
      <c r="M1006" s="8">
        <f>Table_1[[#This Row],[Cost Price]]*Table_1[[#This Row],[Quantity]]</f>
        <v>48000</v>
      </c>
      <c r="N1006">
        <f>Table_1[[#This Row],[Revenue]]-Table_1[[#This Row],[COGS]]</f>
        <v>12000</v>
      </c>
      <c r="O1006" s="11">
        <f t="shared" si="106"/>
        <v>4656740000</v>
      </c>
      <c r="P1006">
        <f t="shared" si="107"/>
        <v>3725392000</v>
      </c>
      <c r="Q1006">
        <f t="shared" si="108"/>
        <v>931348000</v>
      </c>
      <c r="R1006" s="7">
        <f t="shared" si="109"/>
        <v>2098</v>
      </c>
      <c r="S1006" s="7">
        <f t="shared" si="110"/>
        <v>1</v>
      </c>
      <c r="T1006" s="7">
        <f t="shared" si="111"/>
        <v>2098</v>
      </c>
    </row>
    <row r="1007" spans="1:20" ht="14.25" customHeight="1" x14ac:dyDescent="0.35">
      <c r="A1007" s="2" t="s">
        <v>48</v>
      </c>
      <c r="B1007" s="2" t="s">
        <v>34</v>
      </c>
      <c r="C1007" s="2" t="s">
        <v>38</v>
      </c>
      <c r="D1007" s="2" t="s">
        <v>14</v>
      </c>
      <c r="E1007" s="2" t="s">
        <v>15</v>
      </c>
      <c r="F1007" s="2" t="s">
        <v>47</v>
      </c>
      <c r="G1007" s="2" t="s">
        <v>36</v>
      </c>
      <c r="H1007" s="2">
        <v>150000</v>
      </c>
      <c r="I1007" s="2">
        <v>4</v>
      </c>
      <c r="J1007" s="2" t="s">
        <v>18</v>
      </c>
      <c r="K1007" s="2">
        <f t="shared" si="105"/>
        <v>120000</v>
      </c>
      <c r="L1007" s="9">
        <f>Table_1[[#This Row],[Unit Price]]*Table_1[[#This Row],[Quantity]]</f>
        <v>600000</v>
      </c>
      <c r="M1007" s="8">
        <f>Table_1[[#This Row],[Cost Price]]*Table_1[[#This Row],[Quantity]]</f>
        <v>480000</v>
      </c>
      <c r="N1007">
        <f>Table_1[[#This Row],[Revenue]]-Table_1[[#This Row],[COGS]]</f>
        <v>120000</v>
      </c>
      <c r="O1007" s="11">
        <f t="shared" si="106"/>
        <v>4656740000</v>
      </c>
      <c r="P1007">
        <f t="shared" si="107"/>
        <v>3725392000</v>
      </c>
      <c r="Q1007">
        <f t="shared" si="108"/>
        <v>931348000</v>
      </c>
      <c r="R1007" s="7">
        <f t="shared" si="109"/>
        <v>2098</v>
      </c>
      <c r="S1007" s="7">
        <f t="shared" si="110"/>
        <v>1</v>
      </c>
      <c r="T1007" s="7">
        <f t="shared" si="111"/>
        <v>2098</v>
      </c>
    </row>
    <row r="1008" spans="1:20" ht="14.25" customHeight="1" x14ac:dyDescent="0.35">
      <c r="A1008" s="2" t="s">
        <v>123</v>
      </c>
      <c r="B1008" s="2" t="s">
        <v>34</v>
      </c>
      <c r="C1008" s="2" t="s">
        <v>30</v>
      </c>
      <c r="D1008" s="2" t="s">
        <v>26</v>
      </c>
      <c r="E1008" s="2" t="s">
        <v>22</v>
      </c>
      <c r="F1008" s="2" t="s">
        <v>31</v>
      </c>
      <c r="G1008" s="2" t="s">
        <v>24</v>
      </c>
      <c r="H1008" s="2">
        <v>60000</v>
      </c>
      <c r="I1008" s="2">
        <v>4</v>
      </c>
      <c r="J1008" s="2" t="s">
        <v>32</v>
      </c>
      <c r="K1008" s="2">
        <f t="shared" si="105"/>
        <v>48000</v>
      </c>
      <c r="L1008" s="9">
        <f>Table_1[[#This Row],[Unit Price]]*Table_1[[#This Row],[Quantity]]</f>
        <v>240000</v>
      </c>
      <c r="M1008" s="8">
        <f>Table_1[[#This Row],[Cost Price]]*Table_1[[#This Row],[Quantity]]</f>
        <v>192000</v>
      </c>
      <c r="N1008">
        <f>Table_1[[#This Row],[Revenue]]-Table_1[[#This Row],[COGS]]</f>
        <v>48000</v>
      </c>
      <c r="O1008" s="11">
        <f t="shared" si="106"/>
        <v>4656740000</v>
      </c>
      <c r="P1008">
        <f t="shared" si="107"/>
        <v>3725392000</v>
      </c>
      <c r="Q1008">
        <f t="shared" si="108"/>
        <v>931348000</v>
      </c>
      <c r="R1008" s="7">
        <f t="shared" si="109"/>
        <v>2098</v>
      </c>
      <c r="S1008" s="7">
        <f t="shared" si="110"/>
        <v>4</v>
      </c>
      <c r="T1008" s="7">
        <f t="shared" si="111"/>
        <v>2098</v>
      </c>
    </row>
    <row r="1009" spans="1:20" ht="14.25" customHeight="1" x14ac:dyDescent="0.35">
      <c r="A1009" s="2" t="s">
        <v>145</v>
      </c>
      <c r="B1009" s="2" t="s">
        <v>20</v>
      </c>
      <c r="C1009" s="2" t="s">
        <v>38</v>
      </c>
      <c r="D1009" s="2" t="s">
        <v>14</v>
      </c>
      <c r="E1009" s="2" t="s">
        <v>22</v>
      </c>
      <c r="F1009" s="2" t="s">
        <v>41</v>
      </c>
      <c r="G1009" s="2" t="s">
        <v>17</v>
      </c>
      <c r="H1009" s="2">
        <v>320000</v>
      </c>
      <c r="I1009" s="2">
        <v>4</v>
      </c>
      <c r="J1009" s="2" t="s">
        <v>50</v>
      </c>
      <c r="K1009" s="2">
        <f t="shared" si="105"/>
        <v>256000</v>
      </c>
      <c r="L1009" s="9">
        <f>Table_1[[#This Row],[Unit Price]]*Table_1[[#This Row],[Quantity]]</f>
        <v>1280000</v>
      </c>
      <c r="M1009" s="8">
        <f>Table_1[[#This Row],[Cost Price]]*Table_1[[#This Row],[Quantity]]</f>
        <v>1024000</v>
      </c>
      <c r="N1009">
        <f>Table_1[[#This Row],[Revenue]]-Table_1[[#This Row],[COGS]]</f>
        <v>256000</v>
      </c>
      <c r="O1009" s="11">
        <f t="shared" si="106"/>
        <v>4656740000</v>
      </c>
      <c r="P1009">
        <f t="shared" si="107"/>
        <v>3725392000</v>
      </c>
      <c r="Q1009">
        <f t="shared" si="108"/>
        <v>931348000</v>
      </c>
      <c r="R1009" s="7">
        <f t="shared" si="109"/>
        <v>2098</v>
      </c>
      <c r="S1009" s="7">
        <f t="shared" si="110"/>
        <v>1</v>
      </c>
      <c r="T1009" s="7">
        <f t="shared" si="111"/>
        <v>2098</v>
      </c>
    </row>
    <row r="1010" spans="1:20" ht="14.25" customHeight="1" x14ac:dyDescent="0.35">
      <c r="A1010" s="2" t="s">
        <v>125</v>
      </c>
      <c r="B1010" s="2" t="s">
        <v>34</v>
      </c>
      <c r="C1010" s="2" t="s">
        <v>21</v>
      </c>
      <c r="D1010" s="2" t="s">
        <v>14</v>
      </c>
      <c r="E1010" s="2" t="s">
        <v>15</v>
      </c>
      <c r="F1010" s="2" t="s">
        <v>31</v>
      </c>
      <c r="G1010" s="2" t="s">
        <v>24</v>
      </c>
      <c r="H1010" s="2">
        <v>60000</v>
      </c>
      <c r="I1010" s="2">
        <v>2</v>
      </c>
      <c r="J1010" s="2" t="s">
        <v>27</v>
      </c>
      <c r="K1010" s="2">
        <f t="shared" si="105"/>
        <v>48000</v>
      </c>
      <c r="L1010" s="9">
        <f>Table_1[[#This Row],[Unit Price]]*Table_1[[#This Row],[Quantity]]</f>
        <v>120000</v>
      </c>
      <c r="M1010" s="8">
        <f>Table_1[[#This Row],[Cost Price]]*Table_1[[#This Row],[Quantity]]</f>
        <v>96000</v>
      </c>
      <c r="N1010">
        <f>Table_1[[#This Row],[Revenue]]-Table_1[[#This Row],[COGS]]</f>
        <v>24000</v>
      </c>
      <c r="O1010" s="11">
        <f t="shared" si="106"/>
        <v>4656740000</v>
      </c>
      <c r="P1010">
        <f t="shared" si="107"/>
        <v>3725392000</v>
      </c>
      <c r="Q1010">
        <f t="shared" si="108"/>
        <v>931348000</v>
      </c>
      <c r="R1010" s="7">
        <f t="shared" si="109"/>
        <v>2098</v>
      </c>
      <c r="S1010" s="7">
        <f t="shared" si="110"/>
        <v>4</v>
      </c>
      <c r="T1010" s="7">
        <f t="shared" si="111"/>
        <v>2098</v>
      </c>
    </row>
    <row r="1011" spans="1:20" ht="14.25" customHeight="1" x14ac:dyDescent="0.35">
      <c r="A1011" s="2" t="s">
        <v>28</v>
      </c>
      <c r="B1011" s="2" t="s">
        <v>12</v>
      </c>
      <c r="C1011" s="2" t="s">
        <v>13</v>
      </c>
      <c r="D1011" s="2" t="s">
        <v>26</v>
      </c>
      <c r="E1011" s="2" t="s">
        <v>15</v>
      </c>
      <c r="F1011" s="2" t="s">
        <v>23</v>
      </c>
      <c r="G1011" s="2" t="s">
        <v>24</v>
      </c>
      <c r="H1011" s="2">
        <v>30000</v>
      </c>
      <c r="I1011" s="2">
        <v>7</v>
      </c>
      <c r="J1011" s="2" t="s">
        <v>43</v>
      </c>
      <c r="K1011" s="2">
        <f t="shared" si="105"/>
        <v>24000</v>
      </c>
      <c r="L1011" s="9">
        <f>Table_1[[#This Row],[Unit Price]]*Table_1[[#This Row],[Quantity]]</f>
        <v>210000</v>
      </c>
      <c r="M1011" s="8">
        <f>Table_1[[#This Row],[Cost Price]]*Table_1[[#This Row],[Quantity]]</f>
        <v>168000</v>
      </c>
      <c r="N1011">
        <f>Table_1[[#This Row],[Revenue]]-Table_1[[#This Row],[COGS]]</f>
        <v>42000</v>
      </c>
      <c r="O1011" s="11">
        <f t="shared" si="106"/>
        <v>4656740000</v>
      </c>
      <c r="P1011">
        <f t="shared" si="107"/>
        <v>3725392000</v>
      </c>
      <c r="Q1011">
        <f t="shared" si="108"/>
        <v>931348000</v>
      </c>
      <c r="R1011" s="7">
        <f t="shared" si="109"/>
        <v>2098</v>
      </c>
      <c r="S1011" s="7">
        <f t="shared" si="110"/>
        <v>4</v>
      </c>
      <c r="T1011" s="7">
        <f t="shared" si="111"/>
        <v>2098</v>
      </c>
    </row>
    <row r="1012" spans="1:20" ht="14.25" customHeight="1" x14ac:dyDescent="0.35">
      <c r="A1012" s="2" t="s">
        <v>119</v>
      </c>
      <c r="B1012" s="2" t="s">
        <v>20</v>
      </c>
      <c r="C1012" s="2" t="s">
        <v>13</v>
      </c>
      <c r="D1012" s="2" t="s">
        <v>14</v>
      </c>
      <c r="E1012" s="2" t="s">
        <v>22</v>
      </c>
      <c r="F1012" s="2" t="s">
        <v>56</v>
      </c>
      <c r="G1012" s="2" t="s">
        <v>36</v>
      </c>
      <c r="H1012" s="2">
        <v>250000</v>
      </c>
      <c r="I1012" s="2">
        <v>6</v>
      </c>
      <c r="J1012" s="2" t="s">
        <v>43</v>
      </c>
      <c r="K1012" s="2">
        <f t="shared" si="105"/>
        <v>200000</v>
      </c>
      <c r="L1012" s="9">
        <f>Table_1[[#This Row],[Unit Price]]*Table_1[[#This Row],[Quantity]]</f>
        <v>1500000</v>
      </c>
      <c r="M1012" s="8">
        <f>Table_1[[#This Row],[Cost Price]]*Table_1[[#This Row],[Quantity]]</f>
        <v>1200000</v>
      </c>
      <c r="N1012">
        <f>Table_1[[#This Row],[Revenue]]-Table_1[[#This Row],[COGS]]</f>
        <v>300000</v>
      </c>
      <c r="O1012" s="11">
        <f t="shared" si="106"/>
        <v>4656740000</v>
      </c>
      <c r="P1012">
        <f t="shared" si="107"/>
        <v>3725392000</v>
      </c>
      <c r="Q1012">
        <f t="shared" si="108"/>
        <v>931348000</v>
      </c>
      <c r="R1012" s="7">
        <f t="shared" si="109"/>
        <v>2098</v>
      </c>
      <c r="S1012" s="7">
        <f t="shared" si="110"/>
        <v>1</v>
      </c>
      <c r="T1012" s="7">
        <f t="shared" si="111"/>
        <v>2098</v>
      </c>
    </row>
    <row r="1013" spans="1:20" ht="14.25" customHeight="1" x14ac:dyDescent="0.35">
      <c r="A1013" s="2" t="s">
        <v>67</v>
      </c>
      <c r="B1013" s="2" t="s">
        <v>34</v>
      </c>
      <c r="C1013" s="2" t="s">
        <v>30</v>
      </c>
      <c r="D1013" s="2" t="s">
        <v>14</v>
      </c>
      <c r="E1013" s="2" t="s">
        <v>15</v>
      </c>
      <c r="F1013" s="2" t="s">
        <v>58</v>
      </c>
      <c r="G1013" s="2" t="s">
        <v>24</v>
      </c>
      <c r="H1013" s="2">
        <v>220000</v>
      </c>
      <c r="I1013" s="2">
        <v>9</v>
      </c>
      <c r="J1013" s="2" t="s">
        <v>18</v>
      </c>
      <c r="K1013" s="2">
        <f t="shared" si="105"/>
        <v>176000</v>
      </c>
      <c r="L1013" s="9">
        <f>Table_1[[#This Row],[Unit Price]]*Table_1[[#This Row],[Quantity]]</f>
        <v>1980000</v>
      </c>
      <c r="M1013" s="8">
        <f>Table_1[[#This Row],[Cost Price]]*Table_1[[#This Row],[Quantity]]</f>
        <v>1584000</v>
      </c>
      <c r="N1013">
        <f>Table_1[[#This Row],[Revenue]]-Table_1[[#This Row],[COGS]]</f>
        <v>396000</v>
      </c>
      <c r="O1013" s="11">
        <f t="shared" si="106"/>
        <v>4656740000</v>
      </c>
      <c r="P1013">
        <f t="shared" si="107"/>
        <v>3725392000</v>
      </c>
      <c r="Q1013">
        <f t="shared" si="108"/>
        <v>931348000</v>
      </c>
      <c r="R1013" s="7">
        <f t="shared" si="109"/>
        <v>2098</v>
      </c>
      <c r="S1013" s="7">
        <f t="shared" si="110"/>
        <v>3</v>
      </c>
      <c r="T1013" s="7">
        <f t="shared" si="111"/>
        <v>2098</v>
      </c>
    </row>
    <row r="1014" spans="1:20" ht="14.25" customHeight="1" x14ac:dyDescent="0.35">
      <c r="A1014" s="2" t="s">
        <v>137</v>
      </c>
      <c r="B1014" s="2" t="s">
        <v>20</v>
      </c>
      <c r="C1014" s="2" t="s">
        <v>30</v>
      </c>
      <c r="D1014" s="2" t="s">
        <v>26</v>
      </c>
      <c r="E1014" s="2" t="s">
        <v>15</v>
      </c>
      <c r="F1014" s="2" t="s">
        <v>35</v>
      </c>
      <c r="G1014" s="2" t="s">
        <v>36</v>
      </c>
      <c r="H1014" s="2">
        <v>300000</v>
      </c>
      <c r="I1014" s="2">
        <v>2</v>
      </c>
      <c r="J1014" s="2" t="s">
        <v>27</v>
      </c>
      <c r="K1014" s="2">
        <f t="shared" si="105"/>
        <v>240000</v>
      </c>
      <c r="L1014" s="9">
        <f>Table_1[[#This Row],[Unit Price]]*Table_1[[#This Row],[Quantity]]</f>
        <v>600000</v>
      </c>
      <c r="M1014" s="8">
        <f>Table_1[[#This Row],[Cost Price]]*Table_1[[#This Row],[Quantity]]</f>
        <v>480000</v>
      </c>
      <c r="N1014">
        <f>Table_1[[#This Row],[Revenue]]-Table_1[[#This Row],[COGS]]</f>
        <v>120000</v>
      </c>
      <c r="O1014" s="11">
        <f t="shared" si="106"/>
        <v>4656740000</v>
      </c>
      <c r="P1014">
        <f t="shared" si="107"/>
        <v>3725392000</v>
      </c>
      <c r="Q1014">
        <f t="shared" si="108"/>
        <v>931348000</v>
      </c>
      <c r="R1014" s="7">
        <f t="shared" si="109"/>
        <v>2098</v>
      </c>
      <c r="S1014" s="7">
        <f t="shared" si="110"/>
        <v>1</v>
      </c>
      <c r="T1014" s="7">
        <f t="shared" si="111"/>
        <v>2098</v>
      </c>
    </row>
    <row r="1015" spans="1:20" ht="14.25" customHeight="1" x14ac:dyDescent="0.35">
      <c r="A1015" s="2" t="s">
        <v>113</v>
      </c>
      <c r="B1015" s="2" t="s">
        <v>12</v>
      </c>
      <c r="C1015" s="2" t="s">
        <v>30</v>
      </c>
      <c r="D1015" s="2" t="s">
        <v>14</v>
      </c>
      <c r="E1015" s="2" t="s">
        <v>22</v>
      </c>
      <c r="F1015" s="2" t="s">
        <v>52</v>
      </c>
      <c r="G1015" s="2" t="s">
        <v>36</v>
      </c>
      <c r="H1015" s="2">
        <v>420000</v>
      </c>
      <c r="I1015" s="2">
        <v>2</v>
      </c>
      <c r="J1015" s="2" t="s">
        <v>27</v>
      </c>
      <c r="K1015" s="2">
        <f t="shared" si="105"/>
        <v>336000</v>
      </c>
      <c r="L1015" s="9">
        <f>Table_1[[#This Row],[Unit Price]]*Table_1[[#This Row],[Quantity]]</f>
        <v>840000</v>
      </c>
      <c r="M1015" s="8">
        <f>Table_1[[#This Row],[Cost Price]]*Table_1[[#This Row],[Quantity]]</f>
        <v>672000</v>
      </c>
      <c r="N1015">
        <f>Table_1[[#This Row],[Revenue]]-Table_1[[#This Row],[COGS]]</f>
        <v>168000</v>
      </c>
      <c r="O1015" s="11">
        <f t="shared" si="106"/>
        <v>4656740000</v>
      </c>
      <c r="P1015">
        <f t="shared" si="107"/>
        <v>3725392000</v>
      </c>
      <c r="Q1015">
        <f t="shared" si="108"/>
        <v>931348000</v>
      </c>
      <c r="R1015" s="7">
        <f t="shared" si="109"/>
        <v>2098</v>
      </c>
      <c r="S1015" s="7">
        <f t="shared" si="110"/>
        <v>3</v>
      </c>
      <c r="T1015" s="7">
        <f t="shared" si="111"/>
        <v>2098</v>
      </c>
    </row>
    <row r="1016" spans="1:20" ht="14.25" customHeight="1" x14ac:dyDescent="0.35">
      <c r="A1016" s="2" t="s">
        <v>60</v>
      </c>
      <c r="B1016" s="2" t="s">
        <v>29</v>
      </c>
      <c r="C1016" s="2" t="s">
        <v>21</v>
      </c>
      <c r="D1016" s="2" t="s">
        <v>14</v>
      </c>
      <c r="E1016" s="2" t="s">
        <v>22</v>
      </c>
      <c r="F1016" s="2" t="s">
        <v>58</v>
      </c>
      <c r="G1016" s="2" t="s">
        <v>24</v>
      </c>
      <c r="H1016" s="2">
        <v>220000</v>
      </c>
      <c r="I1016" s="2">
        <v>3</v>
      </c>
      <c r="J1016" s="2" t="s">
        <v>43</v>
      </c>
      <c r="K1016" s="2">
        <f t="shared" si="105"/>
        <v>176000</v>
      </c>
      <c r="L1016" s="9">
        <f>Table_1[[#This Row],[Unit Price]]*Table_1[[#This Row],[Quantity]]</f>
        <v>660000</v>
      </c>
      <c r="M1016" s="8">
        <f>Table_1[[#This Row],[Cost Price]]*Table_1[[#This Row],[Quantity]]</f>
        <v>528000</v>
      </c>
      <c r="N1016">
        <f>Table_1[[#This Row],[Revenue]]-Table_1[[#This Row],[COGS]]</f>
        <v>132000</v>
      </c>
      <c r="O1016" s="11">
        <f t="shared" si="106"/>
        <v>4656740000</v>
      </c>
      <c r="P1016">
        <f t="shared" si="107"/>
        <v>3725392000</v>
      </c>
      <c r="Q1016">
        <f t="shared" si="108"/>
        <v>931348000</v>
      </c>
      <c r="R1016" s="7">
        <f t="shared" si="109"/>
        <v>2098</v>
      </c>
      <c r="S1016" s="7">
        <f t="shared" si="110"/>
        <v>3</v>
      </c>
      <c r="T1016" s="7">
        <f t="shared" si="111"/>
        <v>2098</v>
      </c>
    </row>
    <row r="1017" spans="1:20" ht="14.25" customHeight="1" x14ac:dyDescent="0.35">
      <c r="A1017" s="2" t="s">
        <v>45</v>
      </c>
      <c r="B1017" s="2" t="s">
        <v>29</v>
      </c>
      <c r="C1017" s="2" t="s">
        <v>13</v>
      </c>
      <c r="D1017" s="2" t="s">
        <v>26</v>
      </c>
      <c r="E1017" s="2" t="s">
        <v>15</v>
      </c>
      <c r="F1017" s="2" t="s">
        <v>58</v>
      </c>
      <c r="G1017" s="2" t="s">
        <v>24</v>
      </c>
      <c r="H1017" s="2">
        <v>220000</v>
      </c>
      <c r="I1017" s="2">
        <v>10</v>
      </c>
      <c r="J1017" s="2" t="s">
        <v>43</v>
      </c>
      <c r="K1017" s="2">
        <f t="shared" si="105"/>
        <v>176000</v>
      </c>
      <c r="L1017" s="9">
        <f>Table_1[[#This Row],[Unit Price]]*Table_1[[#This Row],[Quantity]]</f>
        <v>2200000</v>
      </c>
      <c r="M1017" s="8">
        <f>Table_1[[#This Row],[Cost Price]]*Table_1[[#This Row],[Quantity]]</f>
        <v>1760000</v>
      </c>
      <c r="N1017">
        <f>Table_1[[#This Row],[Revenue]]-Table_1[[#This Row],[COGS]]</f>
        <v>440000</v>
      </c>
      <c r="O1017" s="11">
        <f t="shared" si="106"/>
        <v>4656740000</v>
      </c>
      <c r="P1017">
        <f t="shared" si="107"/>
        <v>3725392000</v>
      </c>
      <c r="Q1017">
        <f t="shared" si="108"/>
        <v>931348000</v>
      </c>
      <c r="R1017" s="7">
        <f t="shared" si="109"/>
        <v>2098</v>
      </c>
      <c r="S1017" s="7">
        <f t="shared" si="110"/>
        <v>3</v>
      </c>
      <c r="T1017" s="7">
        <f t="shared" si="111"/>
        <v>2098</v>
      </c>
    </row>
    <row r="1018" spans="1:20" ht="14.25" customHeight="1" x14ac:dyDescent="0.35">
      <c r="A1018" s="2" t="s">
        <v>73</v>
      </c>
      <c r="B1018" s="2" t="s">
        <v>29</v>
      </c>
      <c r="C1018" s="2" t="s">
        <v>38</v>
      </c>
      <c r="D1018" s="2" t="s">
        <v>26</v>
      </c>
      <c r="E1018" s="2" t="s">
        <v>22</v>
      </c>
      <c r="F1018" s="2" t="s">
        <v>56</v>
      </c>
      <c r="G1018" s="2" t="s">
        <v>36</v>
      </c>
      <c r="H1018" s="2">
        <v>250000</v>
      </c>
      <c r="I1018" s="2">
        <v>8</v>
      </c>
      <c r="J1018" s="2" t="s">
        <v>18</v>
      </c>
      <c r="K1018" s="2">
        <f t="shared" si="105"/>
        <v>200000</v>
      </c>
      <c r="L1018" s="9">
        <f>Table_1[[#This Row],[Unit Price]]*Table_1[[#This Row],[Quantity]]</f>
        <v>2000000</v>
      </c>
      <c r="M1018" s="8">
        <f>Table_1[[#This Row],[Cost Price]]*Table_1[[#This Row],[Quantity]]</f>
        <v>1600000</v>
      </c>
      <c r="N1018">
        <f>Table_1[[#This Row],[Revenue]]-Table_1[[#This Row],[COGS]]</f>
        <v>400000</v>
      </c>
      <c r="O1018" s="11">
        <f t="shared" si="106"/>
        <v>4656740000</v>
      </c>
      <c r="P1018">
        <f t="shared" si="107"/>
        <v>3725392000</v>
      </c>
      <c r="Q1018">
        <f t="shared" si="108"/>
        <v>931348000</v>
      </c>
      <c r="R1018" s="7">
        <f t="shared" si="109"/>
        <v>2098</v>
      </c>
      <c r="S1018" s="7">
        <f t="shared" si="110"/>
        <v>2</v>
      </c>
      <c r="T1018" s="7">
        <f t="shared" si="111"/>
        <v>2098</v>
      </c>
    </row>
    <row r="1019" spans="1:20" ht="14.25" customHeight="1" x14ac:dyDescent="0.35">
      <c r="A1019" s="2" t="s">
        <v>70</v>
      </c>
      <c r="B1019" s="2" t="s">
        <v>20</v>
      </c>
      <c r="C1019" s="2" t="s">
        <v>38</v>
      </c>
      <c r="D1019" s="2" t="s">
        <v>14</v>
      </c>
      <c r="E1019" s="2" t="s">
        <v>15</v>
      </c>
      <c r="F1019" s="2" t="s">
        <v>31</v>
      </c>
      <c r="G1019" s="2" t="s">
        <v>24</v>
      </c>
      <c r="H1019" s="2">
        <v>60000</v>
      </c>
      <c r="I1019" s="2">
        <v>6</v>
      </c>
      <c r="J1019" s="2" t="s">
        <v>32</v>
      </c>
      <c r="K1019" s="2">
        <f t="shared" si="105"/>
        <v>48000</v>
      </c>
      <c r="L1019" s="9">
        <f>Table_1[[#This Row],[Unit Price]]*Table_1[[#This Row],[Quantity]]</f>
        <v>360000</v>
      </c>
      <c r="M1019" s="8">
        <f>Table_1[[#This Row],[Cost Price]]*Table_1[[#This Row],[Quantity]]</f>
        <v>288000</v>
      </c>
      <c r="N1019">
        <f>Table_1[[#This Row],[Revenue]]-Table_1[[#This Row],[COGS]]</f>
        <v>72000</v>
      </c>
      <c r="O1019" s="11">
        <f t="shared" si="106"/>
        <v>4656740000</v>
      </c>
      <c r="P1019">
        <f t="shared" si="107"/>
        <v>3725392000</v>
      </c>
      <c r="Q1019">
        <f t="shared" si="108"/>
        <v>931348000</v>
      </c>
      <c r="R1019" s="7">
        <f t="shared" si="109"/>
        <v>2098</v>
      </c>
      <c r="S1019" s="7">
        <f t="shared" si="110"/>
        <v>2</v>
      </c>
      <c r="T1019" s="7">
        <f t="shared" si="111"/>
        <v>2098</v>
      </c>
    </row>
    <row r="1020" spans="1:20" ht="14.25" customHeight="1" x14ac:dyDescent="0.35">
      <c r="A1020" s="2" t="s">
        <v>109</v>
      </c>
      <c r="B1020" s="2" t="s">
        <v>20</v>
      </c>
      <c r="C1020" s="2" t="s">
        <v>21</v>
      </c>
      <c r="D1020" s="2" t="s">
        <v>14</v>
      </c>
      <c r="E1020" s="2" t="s">
        <v>15</v>
      </c>
      <c r="F1020" s="2" t="s">
        <v>41</v>
      </c>
      <c r="G1020" s="2" t="s">
        <v>17</v>
      </c>
      <c r="H1020" s="2">
        <v>320000</v>
      </c>
      <c r="I1020" s="2">
        <v>4</v>
      </c>
      <c r="J1020" s="2" t="s">
        <v>54</v>
      </c>
      <c r="K1020" s="2">
        <f t="shared" si="105"/>
        <v>256000</v>
      </c>
      <c r="L1020" s="9">
        <f>Table_1[[#This Row],[Unit Price]]*Table_1[[#This Row],[Quantity]]</f>
        <v>1280000</v>
      </c>
      <c r="M1020" s="8">
        <f>Table_1[[#This Row],[Cost Price]]*Table_1[[#This Row],[Quantity]]</f>
        <v>1024000</v>
      </c>
      <c r="N1020">
        <f>Table_1[[#This Row],[Revenue]]-Table_1[[#This Row],[COGS]]</f>
        <v>256000</v>
      </c>
      <c r="O1020" s="11">
        <f t="shared" si="106"/>
        <v>4656740000</v>
      </c>
      <c r="P1020">
        <f t="shared" si="107"/>
        <v>3725392000</v>
      </c>
      <c r="Q1020">
        <f t="shared" si="108"/>
        <v>931348000</v>
      </c>
      <c r="R1020" s="7">
        <f t="shared" si="109"/>
        <v>2098</v>
      </c>
      <c r="S1020" s="7">
        <f t="shared" si="110"/>
        <v>2</v>
      </c>
      <c r="T1020" s="7">
        <f t="shared" si="111"/>
        <v>2098</v>
      </c>
    </row>
    <row r="1021" spans="1:20" ht="14.25" customHeight="1" x14ac:dyDescent="0.35">
      <c r="A1021" s="2" t="s">
        <v>48</v>
      </c>
      <c r="B1021" s="2" t="s">
        <v>20</v>
      </c>
      <c r="C1021" s="2" t="s">
        <v>13</v>
      </c>
      <c r="D1021" s="2" t="s">
        <v>14</v>
      </c>
      <c r="E1021" s="2" t="s">
        <v>22</v>
      </c>
      <c r="F1021" s="2" t="s">
        <v>39</v>
      </c>
      <c r="G1021" s="2" t="s">
        <v>24</v>
      </c>
      <c r="H1021" s="2">
        <v>180000</v>
      </c>
      <c r="I1021" s="2">
        <v>7</v>
      </c>
      <c r="J1021" s="2" t="s">
        <v>54</v>
      </c>
      <c r="K1021" s="2">
        <f t="shared" si="105"/>
        <v>144000</v>
      </c>
      <c r="L1021" s="9">
        <f>Table_1[[#This Row],[Unit Price]]*Table_1[[#This Row],[Quantity]]</f>
        <v>1260000</v>
      </c>
      <c r="M1021" s="8">
        <f>Table_1[[#This Row],[Cost Price]]*Table_1[[#This Row],[Quantity]]</f>
        <v>1008000</v>
      </c>
      <c r="N1021">
        <f>Table_1[[#This Row],[Revenue]]-Table_1[[#This Row],[COGS]]</f>
        <v>252000</v>
      </c>
      <c r="O1021" s="11">
        <f t="shared" si="106"/>
        <v>4656740000</v>
      </c>
      <c r="P1021">
        <f t="shared" si="107"/>
        <v>3725392000</v>
      </c>
      <c r="Q1021">
        <f t="shared" si="108"/>
        <v>931348000</v>
      </c>
      <c r="R1021" s="7">
        <f t="shared" si="109"/>
        <v>2098</v>
      </c>
      <c r="S1021" s="7">
        <f t="shared" si="110"/>
        <v>1</v>
      </c>
      <c r="T1021" s="7">
        <f t="shared" si="111"/>
        <v>2098</v>
      </c>
    </row>
    <row r="1022" spans="1:20" ht="14.25" customHeight="1" x14ac:dyDescent="0.35">
      <c r="A1022" s="2" t="s">
        <v>161</v>
      </c>
      <c r="B1022" s="2" t="s">
        <v>20</v>
      </c>
      <c r="C1022" s="2" t="s">
        <v>13</v>
      </c>
      <c r="D1022" s="2" t="s">
        <v>14</v>
      </c>
      <c r="E1022" s="2" t="s">
        <v>15</v>
      </c>
      <c r="F1022" s="2" t="s">
        <v>31</v>
      </c>
      <c r="G1022" s="2" t="s">
        <v>24</v>
      </c>
      <c r="H1022" s="2">
        <v>60000</v>
      </c>
      <c r="I1022" s="2">
        <v>7</v>
      </c>
      <c r="J1022" s="2" t="s">
        <v>18</v>
      </c>
      <c r="K1022" s="2">
        <f t="shared" si="105"/>
        <v>48000</v>
      </c>
      <c r="L1022" s="9">
        <f>Table_1[[#This Row],[Unit Price]]*Table_1[[#This Row],[Quantity]]</f>
        <v>420000</v>
      </c>
      <c r="M1022" s="8">
        <f>Table_1[[#This Row],[Cost Price]]*Table_1[[#This Row],[Quantity]]</f>
        <v>336000</v>
      </c>
      <c r="N1022">
        <f>Table_1[[#This Row],[Revenue]]-Table_1[[#This Row],[COGS]]</f>
        <v>84000</v>
      </c>
      <c r="O1022" s="11">
        <f t="shared" si="106"/>
        <v>4656740000</v>
      </c>
      <c r="P1022">
        <f t="shared" si="107"/>
        <v>3725392000</v>
      </c>
      <c r="Q1022">
        <f t="shared" si="108"/>
        <v>931348000</v>
      </c>
      <c r="R1022" s="7">
        <f t="shared" si="109"/>
        <v>2098</v>
      </c>
      <c r="S1022" s="7">
        <f t="shared" si="110"/>
        <v>1</v>
      </c>
      <c r="T1022" s="7">
        <f t="shared" si="111"/>
        <v>2098</v>
      </c>
    </row>
    <row r="1023" spans="1:20" ht="14.25" customHeight="1" x14ac:dyDescent="0.35">
      <c r="A1023" s="2" t="s">
        <v>161</v>
      </c>
      <c r="B1023" s="2" t="s">
        <v>29</v>
      </c>
      <c r="C1023" s="2" t="s">
        <v>38</v>
      </c>
      <c r="D1023" s="2" t="s">
        <v>14</v>
      </c>
      <c r="E1023" s="2" t="s">
        <v>15</v>
      </c>
      <c r="F1023" s="2" t="s">
        <v>39</v>
      </c>
      <c r="G1023" s="2" t="s">
        <v>24</v>
      </c>
      <c r="H1023" s="2">
        <v>180000</v>
      </c>
      <c r="I1023" s="2">
        <v>9</v>
      </c>
      <c r="J1023" s="2" t="s">
        <v>27</v>
      </c>
      <c r="K1023" s="2">
        <f t="shared" si="105"/>
        <v>144000</v>
      </c>
      <c r="L1023" s="9">
        <f>Table_1[[#This Row],[Unit Price]]*Table_1[[#This Row],[Quantity]]</f>
        <v>1620000</v>
      </c>
      <c r="M1023" s="8">
        <f>Table_1[[#This Row],[Cost Price]]*Table_1[[#This Row],[Quantity]]</f>
        <v>1296000</v>
      </c>
      <c r="N1023">
        <f>Table_1[[#This Row],[Revenue]]-Table_1[[#This Row],[COGS]]</f>
        <v>324000</v>
      </c>
      <c r="O1023" s="11">
        <f t="shared" si="106"/>
        <v>4656740000</v>
      </c>
      <c r="P1023">
        <f t="shared" si="107"/>
        <v>3725392000</v>
      </c>
      <c r="Q1023">
        <f t="shared" si="108"/>
        <v>931348000</v>
      </c>
      <c r="R1023" s="7">
        <f t="shared" si="109"/>
        <v>2098</v>
      </c>
      <c r="S1023" s="7">
        <f t="shared" si="110"/>
        <v>1</v>
      </c>
      <c r="T1023" s="7">
        <f t="shared" si="111"/>
        <v>2098</v>
      </c>
    </row>
    <row r="1024" spans="1:20" ht="14.25" customHeight="1" x14ac:dyDescent="0.35">
      <c r="A1024" s="2" t="s">
        <v>77</v>
      </c>
      <c r="B1024" s="2" t="s">
        <v>34</v>
      </c>
      <c r="C1024" s="2" t="s">
        <v>13</v>
      </c>
      <c r="D1024" s="2" t="s">
        <v>26</v>
      </c>
      <c r="E1024" s="2" t="s">
        <v>15</v>
      </c>
      <c r="F1024" s="2" t="s">
        <v>23</v>
      </c>
      <c r="G1024" s="2" t="s">
        <v>24</v>
      </c>
      <c r="H1024" s="2">
        <v>30000</v>
      </c>
      <c r="I1024" s="2">
        <v>6</v>
      </c>
      <c r="J1024" s="2" t="s">
        <v>27</v>
      </c>
      <c r="K1024" s="2">
        <f t="shared" si="105"/>
        <v>24000</v>
      </c>
      <c r="L1024" s="9">
        <f>Table_1[[#This Row],[Unit Price]]*Table_1[[#This Row],[Quantity]]</f>
        <v>180000</v>
      </c>
      <c r="M1024" s="8">
        <f>Table_1[[#This Row],[Cost Price]]*Table_1[[#This Row],[Quantity]]</f>
        <v>144000</v>
      </c>
      <c r="N1024">
        <f>Table_1[[#This Row],[Revenue]]-Table_1[[#This Row],[COGS]]</f>
        <v>36000</v>
      </c>
      <c r="O1024" s="11">
        <f t="shared" si="106"/>
        <v>4656740000</v>
      </c>
      <c r="P1024">
        <f t="shared" si="107"/>
        <v>3725392000</v>
      </c>
      <c r="Q1024">
        <f t="shared" si="108"/>
        <v>931348000</v>
      </c>
      <c r="R1024" s="7">
        <f t="shared" si="109"/>
        <v>2098</v>
      </c>
      <c r="S1024" s="7">
        <f t="shared" si="110"/>
        <v>1</v>
      </c>
      <c r="T1024" s="7">
        <f t="shared" si="111"/>
        <v>2098</v>
      </c>
    </row>
    <row r="1025" spans="1:20" ht="14.25" customHeight="1" x14ac:dyDescent="0.35">
      <c r="A1025" s="2" t="s">
        <v>115</v>
      </c>
      <c r="B1025" s="2" t="s">
        <v>29</v>
      </c>
      <c r="C1025" s="2" t="s">
        <v>21</v>
      </c>
      <c r="D1025" s="2" t="s">
        <v>14</v>
      </c>
      <c r="E1025" s="2" t="s">
        <v>15</v>
      </c>
      <c r="F1025" s="2" t="s">
        <v>35</v>
      </c>
      <c r="G1025" s="2" t="s">
        <v>36</v>
      </c>
      <c r="H1025" s="2">
        <v>300000</v>
      </c>
      <c r="I1025" s="2">
        <v>10</v>
      </c>
      <c r="J1025" s="2" t="s">
        <v>50</v>
      </c>
      <c r="K1025" s="2">
        <f t="shared" si="105"/>
        <v>240000</v>
      </c>
      <c r="L1025" s="9">
        <f>Table_1[[#This Row],[Unit Price]]*Table_1[[#This Row],[Quantity]]</f>
        <v>3000000</v>
      </c>
      <c r="M1025" s="8">
        <f>Table_1[[#This Row],[Cost Price]]*Table_1[[#This Row],[Quantity]]</f>
        <v>2400000</v>
      </c>
      <c r="N1025">
        <f>Table_1[[#This Row],[Revenue]]-Table_1[[#This Row],[COGS]]</f>
        <v>600000</v>
      </c>
      <c r="O1025" s="11">
        <f t="shared" si="106"/>
        <v>4656740000</v>
      </c>
      <c r="P1025">
        <f t="shared" si="107"/>
        <v>3725392000</v>
      </c>
      <c r="Q1025">
        <f t="shared" si="108"/>
        <v>931348000</v>
      </c>
      <c r="R1025" s="7">
        <f t="shared" si="109"/>
        <v>2098</v>
      </c>
      <c r="S1025" s="7">
        <f t="shared" si="110"/>
        <v>1</v>
      </c>
      <c r="T1025" s="7">
        <f t="shared" si="111"/>
        <v>2098</v>
      </c>
    </row>
    <row r="1026" spans="1:20" ht="14.25" customHeight="1" x14ac:dyDescent="0.35">
      <c r="A1026" s="2" t="s">
        <v>115</v>
      </c>
      <c r="B1026" s="2" t="s">
        <v>29</v>
      </c>
      <c r="C1026" s="2" t="s">
        <v>38</v>
      </c>
      <c r="D1026" s="2" t="s">
        <v>26</v>
      </c>
      <c r="E1026" s="2" t="s">
        <v>15</v>
      </c>
      <c r="F1026" s="2" t="s">
        <v>23</v>
      </c>
      <c r="G1026" s="2" t="s">
        <v>24</v>
      </c>
      <c r="H1026" s="2">
        <v>30000</v>
      </c>
      <c r="I1026" s="2">
        <v>2</v>
      </c>
      <c r="J1026" s="2" t="s">
        <v>32</v>
      </c>
      <c r="K1026" s="2">
        <f t="shared" ref="K1026:K1089" si="112">H1026-H1026*0.2</f>
        <v>24000</v>
      </c>
      <c r="L1026" s="9">
        <f>Table_1[[#This Row],[Unit Price]]*Table_1[[#This Row],[Quantity]]</f>
        <v>60000</v>
      </c>
      <c r="M1026" s="8">
        <f>Table_1[[#This Row],[Cost Price]]*Table_1[[#This Row],[Quantity]]</f>
        <v>48000</v>
      </c>
      <c r="N1026">
        <f>Table_1[[#This Row],[Revenue]]-Table_1[[#This Row],[COGS]]</f>
        <v>12000</v>
      </c>
      <c r="O1026" s="11">
        <f t="shared" ref="O1026:O1089" si="113">SUM(L$2:L$1048576)</f>
        <v>4656740000</v>
      </c>
      <c r="P1026">
        <f t="shared" ref="P1026:P1089" si="114">SUM(M:M)</f>
        <v>3725392000</v>
      </c>
      <c r="Q1026">
        <f t="shared" ref="Q1026:Q1089" si="115">SUM(N:N)</f>
        <v>931348000</v>
      </c>
      <c r="R1026" s="7">
        <f t="shared" ref="R1026:R1089" si="116">COUNTA(A$2:A$1048576)</f>
        <v>2098</v>
      </c>
      <c r="S1026" s="7">
        <f t="shared" ref="S1026:S1089" si="117">MONTH(A1026:A2514)</f>
        <v>1</v>
      </c>
      <c r="T1026" s="7">
        <f t="shared" ref="T1026:T1089" si="118">COUNTA(A:A)-1</f>
        <v>2098</v>
      </c>
    </row>
    <row r="1027" spans="1:20" ht="14.25" customHeight="1" x14ac:dyDescent="0.35">
      <c r="A1027" s="2" t="s">
        <v>89</v>
      </c>
      <c r="B1027" s="2" t="s">
        <v>20</v>
      </c>
      <c r="C1027" s="2" t="s">
        <v>30</v>
      </c>
      <c r="D1027" s="2" t="s">
        <v>26</v>
      </c>
      <c r="E1027" s="2" t="s">
        <v>15</v>
      </c>
      <c r="F1027" s="2" t="s">
        <v>23</v>
      </c>
      <c r="G1027" s="2" t="s">
        <v>24</v>
      </c>
      <c r="H1027" s="2">
        <v>30000</v>
      </c>
      <c r="I1027" s="2">
        <v>8</v>
      </c>
      <c r="J1027" s="2" t="s">
        <v>54</v>
      </c>
      <c r="K1027" s="2">
        <f t="shared" si="112"/>
        <v>24000</v>
      </c>
      <c r="L1027" s="9">
        <f>Table_1[[#This Row],[Unit Price]]*Table_1[[#This Row],[Quantity]]</f>
        <v>240000</v>
      </c>
      <c r="M1027" s="8">
        <f>Table_1[[#This Row],[Cost Price]]*Table_1[[#This Row],[Quantity]]</f>
        <v>192000</v>
      </c>
      <c r="N1027">
        <f>Table_1[[#This Row],[Revenue]]-Table_1[[#This Row],[COGS]]</f>
        <v>48000</v>
      </c>
      <c r="O1027" s="11">
        <f t="shared" si="113"/>
        <v>4656740000</v>
      </c>
      <c r="P1027">
        <f t="shared" si="114"/>
        <v>3725392000</v>
      </c>
      <c r="Q1027">
        <f t="shared" si="115"/>
        <v>931348000</v>
      </c>
      <c r="R1027" s="7">
        <f t="shared" si="116"/>
        <v>2098</v>
      </c>
      <c r="S1027" s="7">
        <f t="shared" si="117"/>
        <v>3</v>
      </c>
      <c r="T1027" s="7">
        <f t="shared" si="118"/>
        <v>2098</v>
      </c>
    </row>
    <row r="1028" spans="1:20" ht="14.25" customHeight="1" x14ac:dyDescent="0.35">
      <c r="A1028" s="2" t="s">
        <v>86</v>
      </c>
      <c r="B1028" s="2" t="s">
        <v>29</v>
      </c>
      <c r="C1028" s="2" t="s">
        <v>30</v>
      </c>
      <c r="D1028" s="2" t="s">
        <v>26</v>
      </c>
      <c r="E1028" s="2" t="s">
        <v>22</v>
      </c>
      <c r="F1028" s="2" t="s">
        <v>23</v>
      </c>
      <c r="G1028" s="2" t="s">
        <v>24</v>
      </c>
      <c r="H1028" s="2">
        <v>30000</v>
      </c>
      <c r="I1028" s="2">
        <v>9</v>
      </c>
      <c r="J1028" s="2" t="s">
        <v>32</v>
      </c>
      <c r="K1028" s="2">
        <f t="shared" si="112"/>
        <v>24000</v>
      </c>
      <c r="L1028" s="9">
        <f>Table_1[[#This Row],[Unit Price]]*Table_1[[#This Row],[Quantity]]</f>
        <v>270000</v>
      </c>
      <c r="M1028" s="8">
        <f>Table_1[[#This Row],[Cost Price]]*Table_1[[#This Row],[Quantity]]</f>
        <v>216000</v>
      </c>
      <c r="N1028">
        <f>Table_1[[#This Row],[Revenue]]-Table_1[[#This Row],[COGS]]</f>
        <v>54000</v>
      </c>
      <c r="O1028" s="11">
        <f t="shared" si="113"/>
        <v>4656740000</v>
      </c>
      <c r="P1028">
        <f t="shared" si="114"/>
        <v>3725392000</v>
      </c>
      <c r="Q1028">
        <f t="shared" si="115"/>
        <v>931348000</v>
      </c>
      <c r="R1028" s="7">
        <f t="shared" si="116"/>
        <v>2098</v>
      </c>
      <c r="S1028" s="7">
        <f t="shared" si="117"/>
        <v>1</v>
      </c>
      <c r="T1028" s="7">
        <f t="shared" si="118"/>
        <v>2098</v>
      </c>
    </row>
    <row r="1029" spans="1:20" ht="14.25" customHeight="1" x14ac:dyDescent="0.35">
      <c r="A1029" s="2" t="s">
        <v>90</v>
      </c>
      <c r="B1029" s="2" t="s">
        <v>34</v>
      </c>
      <c r="C1029" s="2" t="s">
        <v>13</v>
      </c>
      <c r="D1029" s="2" t="s">
        <v>14</v>
      </c>
      <c r="E1029" s="2" t="s">
        <v>22</v>
      </c>
      <c r="F1029" s="2" t="s">
        <v>58</v>
      </c>
      <c r="G1029" s="2" t="s">
        <v>24</v>
      </c>
      <c r="H1029" s="2">
        <v>220000</v>
      </c>
      <c r="I1029" s="2">
        <v>2</v>
      </c>
      <c r="J1029" s="2" t="s">
        <v>54</v>
      </c>
      <c r="K1029" s="2">
        <f t="shared" si="112"/>
        <v>176000</v>
      </c>
      <c r="L1029" s="9">
        <f>Table_1[[#This Row],[Unit Price]]*Table_1[[#This Row],[Quantity]]</f>
        <v>440000</v>
      </c>
      <c r="M1029" s="8">
        <f>Table_1[[#This Row],[Cost Price]]*Table_1[[#This Row],[Quantity]]</f>
        <v>352000</v>
      </c>
      <c r="N1029">
        <f>Table_1[[#This Row],[Revenue]]-Table_1[[#This Row],[COGS]]</f>
        <v>88000</v>
      </c>
      <c r="O1029" s="11">
        <f t="shared" si="113"/>
        <v>4656740000</v>
      </c>
      <c r="P1029">
        <f t="shared" si="114"/>
        <v>3725392000</v>
      </c>
      <c r="Q1029">
        <f t="shared" si="115"/>
        <v>931348000</v>
      </c>
      <c r="R1029" s="7">
        <f t="shared" si="116"/>
        <v>2098</v>
      </c>
      <c r="S1029" s="7">
        <f t="shared" si="117"/>
        <v>3</v>
      </c>
      <c r="T1029" s="7">
        <f t="shared" si="118"/>
        <v>2098</v>
      </c>
    </row>
    <row r="1030" spans="1:20" ht="14.25" customHeight="1" x14ac:dyDescent="0.35">
      <c r="A1030" s="2" t="s">
        <v>121</v>
      </c>
      <c r="B1030" s="2" t="s">
        <v>29</v>
      </c>
      <c r="C1030" s="2" t="s">
        <v>30</v>
      </c>
      <c r="D1030" s="2" t="s">
        <v>14</v>
      </c>
      <c r="E1030" s="2" t="s">
        <v>22</v>
      </c>
      <c r="F1030" s="2" t="s">
        <v>58</v>
      </c>
      <c r="G1030" s="2" t="s">
        <v>24</v>
      </c>
      <c r="H1030" s="2">
        <v>220000</v>
      </c>
      <c r="I1030" s="2">
        <v>3</v>
      </c>
      <c r="J1030" s="2" t="s">
        <v>54</v>
      </c>
      <c r="K1030" s="2">
        <f t="shared" si="112"/>
        <v>176000</v>
      </c>
      <c r="L1030" s="9">
        <f>Table_1[[#This Row],[Unit Price]]*Table_1[[#This Row],[Quantity]]</f>
        <v>660000</v>
      </c>
      <c r="M1030" s="8">
        <f>Table_1[[#This Row],[Cost Price]]*Table_1[[#This Row],[Quantity]]</f>
        <v>528000</v>
      </c>
      <c r="N1030">
        <f>Table_1[[#This Row],[Revenue]]-Table_1[[#This Row],[COGS]]</f>
        <v>132000</v>
      </c>
      <c r="O1030" s="11">
        <f t="shared" si="113"/>
        <v>4656740000</v>
      </c>
      <c r="P1030">
        <f t="shared" si="114"/>
        <v>3725392000</v>
      </c>
      <c r="Q1030">
        <f t="shared" si="115"/>
        <v>931348000</v>
      </c>
      <c r="R1030" s="7">
        <f t="shared" si="116"/>
        <v>2098</v>
      </c>
      <c r="S1030" s="7">
        <f t="shared" si="117"/>
        <v>2</v>
      </c>
      <c r="T1030" s="7">
        <f t="shared" si="118"/>
        <v>2098</v>
      </c>
    </row>
    <row r="1031" spans="1:20" ht="14.25" customHeight="1" x14ac:dyDescent="0.35">
      <c r="A1031" s="2" t="s">
        <v>28</v>
      </c>
      <c r="B1031" s="2" t="s">
        <v>29</v>
      </c>
      <c r="C1031" s="2" t="s">
        <v>38</v>
      </c>
      <c r="D1031" s="2" t="s">
        <v>14</v>
      </c>
      <c r="E1031" s="2" t="s">
        <v>22</v>
      </c>
      <c r="F1031" s="2" t="s">
        <v>16</v>
      </c>
      <c r="G1031" s="2" t="s">
        <v>17</v>
      </c>
      <c r="H1031" s="2">
        <v>85000</v>
      </c>
      <c r="I1031" s="2">
        <v>3</v>
      </c>
      <c r="J1031" s="2" t="s">
        <v>27</v>
      </c>
      <c r="K1031" s="2">
        <f t="shared" si="112"/>
        <v>68000</v>
      </c>
      <c r="L1031" s="9">
        <f>Table_1[[#This Row],[Unit Price]]*Table_1[[#This Row],[Quantity]]</f>
        <v>255000</v>
      </c>
      <c r="M1031" s="8">
        <f>Table_1[[#This Row],[Cost Price]]*Table_1[[#This Row],[Quantity]]</f>
        <v>204000</v>
      </c>
      <c r="N1031">
        <f>Table_1[[#This Row],[Revenue]]-Table_1[[#This Row],[COGS]]</f>
        <v>51000</v>
      </c>
      <c r="O1031" s="11">
        <f t="shared" si="113"/>
        <v>4656740000</v>
      </c>
      <c r="P1031">
        <f t="shared" si="114"/>
        <v>3725392000</v>
      </c>
      <c r="Q1031">
        <f t="shared" si="115"/>
        <v>931348000</v>
      </c>
      <c r="R1031" s="7">
        <f t="shared" si="116"/>
        <v>2098</v>
      </c>
      <c r="S1031" s="7">
        <f t="shared" si="117"/>
        <v>4</v>
      </c>
      <c r="T1031" s="7">
        <f t="shared" si="118"/>
        <v>2098</v>
      </c>
    </row>
    <row r="1032" spans="1:20" ht="14.25" customHeight="1" x14ac:dyDescent="0.35">
      <c r="A1032" s="2" t="s">
        <v>92</v>
      </c>
      <c r="B1032" s="2" t="s">
        <v>12</v>
      </c>
      <c r="C1032" s="2" t="s">
        <v>21</v>
      </c>
      <c r="D1032" s="2" t="s">
        <v>26</v>
      </c>
      <c r="E1032" s="2" t="s">
        <v>15</v>
      </c>
      <c r="F1032" s="2" t="s">
        <v>31</v>
      </c>
      <c r="G1032" s="2" t="s">
        <v>24</v>
      </c>
      <c r="H1032" s="2">
        <v>60000</v>
      </c>
      <c r="I1032" s="2">
        <v>3</v>
      </c>
      <c r="J1032" s="2" t="s">
        <v>43</v>
      </c>
      <c r="K1032" s="2">
        <f t="shared" si="112"/>
        <v>48000</v>
      </c>
      <c r="L1032" s="9">
        <f>Table_1[[#This Row],[Unit Price]]*Table_1[[#This Row],[Quantity]]</f>
        <v>180000</v>
      </c>
      <c r="M1032" s="8">
        <f>Table_1[[#This Row],[Cost Price]]*Table_1[[#This Row],[Quantity]]</f>
        <v>144000</v>
      </c>
      <c r="N1032">
        <f>Table_1[[#This Row],[Revenue]]-Table_1[[#This Row],[COGS]]</f>
        <v>36000</v>
      </c>
      <c r="O1032" s="11">
        <f t="shared" si="113"/>
        <v>4656740000</v>
      </c>
      <c r="P1032">
        <f t="shared" si="114"/>
        <v>3725392000</v>
      </c>
      <c r="Q1032">
        <f t="shared" si="115"/>
        <v>931348000</v>
      </c>
      <c r="R1032" s="7">
        <f t="shared" si="116"/>
        <v>2098</v>
      </c>
      <c r="S1032" s="7">
        <f t="shared" si="117"/>
        <v>2</v>
      </c>
      <c r="T1032" s="7">
        <f t="shared" si="118"/>
        <v>2098</v>
      </c>
    </row>
    <row r="1033" spans="1:20" ht="14.25" customHeight="1" x14ac:dyDescent="0.35">
      <c r="A1033" s="2" t="s">
        <v>28</v>
      </c>
      <c r="B1033" s="2" t="s">
        <v>12</v>
      </c>
      <c r="C1033" s="2" t="s">
        <v>30</v>
      </c>
      <c r="D1033" s="2" t="s">
        <v>26</v>
      </c>
      <c r="E1033" s="2" t="s">
        <v>22</v>
      </c>
      <c r="F1033" s="2" t="s">
        <v>58</v>
      </c>
      <c r="G1033" s="2" t="s">
        <v>24</v>
      </c>
      <c r="H1033" s="2">
        <v>220000</v>
      </c>
      <c r="I1033" s="2">
        <v>3</v>
      </c>
      <c r="J1033" s="2" t="s">
        <v>54</v>
      </c>
      <c r="K1033" s="2">
        <f t="shared" si="112"/>
        <v>176000</v>
      </c>
      <c r="L1033" s="9">
        <f>Table_1[[#This Row],[Unit Price]]*Table_1[[#This Row],[Quantity]]</f>
        <v>660000</v>
      </c>
      <c r="M1033" s="8">
        <f>Table_1[[#This Row],[Cost Price]]*Table_1[[#This Row],[Quantity]]</f>
        <v>528000</v>
      </c>
      <c r="N1033">
        <f>Table_1[[#This Row],[Revenue]]-Table_1[[#This Row],[COGS]]</f>
        <v>132000</v>
      </c>
      <c r="O1033" s="11">
        <f t="shared" si="113"/>
        <v>4656740000</v>
      </c>
      <c r="P1033">
        <f t="shared" si="114"/>
        <v>3725392000</v>
      </c>
      <c r="Q1033">
        <f t="shared" si="115"/>
        <v>931348000</v>
      </c>
      <c r="R1033" s="7">
        <f t="shared" si="116"/>
        <v>2098</v>
      </c>
      <c r="S1033" s="7">
        <f t="shared" si="117"/>
        <v>4</v>
      </c>
      <c r="T1033" s="7">
        <f t="shared" si="118"/>
        <v>2098</v>
      </c>
    </row>
    <row r="1034" spans="1:20" ht="14.25" customHeight="1" x14ac:dyDescent="0.35">
      <c r="A1034" s="2" t="s">
        <v>162</v>
      </c>
      <c r="B1034" s="2" t="s">
        <v>12</v>
      </c>
      <c r="C1034" s="2" t="s">
        <v>13</v>
      </c>
      <c r="D1034" s="2" t="s">
        <v>14</v>
      </c>
      <c r="E1034" s="2" t="s">
        <v>22</v>
      </c>
      <c r="F1034" s="2" t="s">
        <v>23</v>
      </c>
      <c r="G1034" s="2" t="s">
        <v>24</v>
      </c>
      <c r="H1034" s="2">
        <v>30000</v>
      </c>
      <c r="I1034" s="2">
        <v>1</v>
      </c>
      <c r="J1034" s="2" t="s">
        <v>18</v>
      </c>
      <c r="K1034" s="2">
        <f t="shared" si="112"/>
        <v>24000</v>
      </c>
      <c r="L1034" s="9">
        <f>Table_1[[#This Row],[Unit Price]]*Table_1[[#This Row],[Quantity]]</f>
        <v>30000</v>
      </c>
      <c r="M1034" s="8">
        <f>Table_1[[#This Row],[Cost Price]]*Table_1[[#This Row],[Quantity]]</f>
        <v>24000</v>
      </c>
      <c r="N1034">
        <f>Table_1[[#This Row],[Revenue]]-Table_1[[#This Row],[COGS]]</f>
        <v>6000</v>
      </c>
      <c r="O1034" s="11">
        <f t="shared" si="113"/>
        <v>4656740000</v>
      </c>
      <c r="P1034">
        <f t="shared" si="114"/>
        <v>3725392000</v>
      </c>
      <c r="Q1034">
        <f t="shared" si="115"/>
        <v>931348000</v>
      </c>
      <c r="R1034" s="7">
        <f t="shared" si="116"/>
        <v>2098</v>
      </c>
      <c r="S1034" s="7">
        <f t="shared" si="117"/>
        <v>3</v>
      </c>
      <c r="T1034" s="7">
        <f t="shared" si="118"/>
        <v>2098</v>
      </c>
    </row>
    <row r="1035" spans="1:20" ht="14.25" customHeight="1" x14ac:dyDescent="0.35">
      <c r="A1035" s="2" t="s">
        <v>74</v>
      </c>
      <c r="B1035" s="2" t="s">
        <v>20</v>
      </c>
      <c r="C1035" s="2" t="s">
        <v>38</v>
      </c>
      <c r="D1035" s="2" t="s">
        <v>26</v>
      </c>
      <c r="E1035" s="2" t="s">
        <v>22</v>
      </c>
      <c r="F1035" s="2" t="s">
        <v>52</v>
      </c>
      <c r="G1035" s="2" t="s">
        <v>36</v>
      </c>
      <c r="H1035" s="2">
        <v>420000</v>
      </c>
      <c r="I1035" s="2">
        <v>1</v>
      </c>
      <c r="J1035" s="2" t="s">
        <v>54</v>
      </c>
      <c r="K1035" s="2">
        <f t="shared" si="112"/>
        <v>336000</v>
      </c>
      <c r="L1035" s="9">
        <f>Table_1[[#This Row],[Unit Price]]*Table_1[[#This Row],[Quantity]]</f>
        <v>420000</v>
      </c>
      <c r="M1035" s="8">
        <f>Table_1[[#This Row],[Cost Price]]*Table_1[[#This Row],[Quantity]]</f>
        <v>336000</v>
      </c>
      <c r="N1035">
        <f>Table_1[[#This Row],[Revenue]]-Table_1[[#This Row],[COGS]]</f>
        <v>84000</v>
      </c>
      <c r="O1035" s="11">
        <f t="shared" si="113"/>
        <v>4656740000</v>
      </c>
      <c r="P1035">
        <f t="shared" si="114"/>
        <v>3725392000</v>
      </c>
      <c r="Q1035">
        <f t="shared" si="115"/>
        <v>931348000</v>
      </c>
      <c r="R1035" s="7">
        <f t="shared" si="116"/>
        <v>2098</v>
      </c>
      <c r="S1035" s="7">
        <f t="shared" si="117"/>
        <v>2</v>
      </c>
      <c r="T1035" s="7">
        <f t="shared" si="118"/>
        <v>2098</v>
      </c>
    </row>
    <row r="1036" spans="1:20" ht="14.25" customHeight="1" x14ac:dyDescent="0.35">
      <c r="A1036" s="2" t="s">
        <v>154</v>
      </c>
      <c r="B1036" s="2" t="s">
        <v>12</v>
      </c>
      <c r="C1036" s="2" t="s">
        <v>21</v>
      </c>
      <c r="D1036" s="2" t="s">
        <v>14</v>
      </c>
      <c r="E1036" s="2" t="s">
        <v>22</v>
      </c>
      <c r="F1036" s="2" t="s">
        <v>58</v>
      </c>
      <c r="G1036" s="2" t="s">
        <v>24</v>
      </c>
      <c r="H1036" s="2">
        <v>220000</v>
      </c>
      <c r="I1036" s="2">
        <v>10</v>
      </c>
      <c r="J1036" s="2" t="s">
        <v>27</v>
      </c>
      <c r="K1036" s="2">
        <f t="shared" si="112"/>
        <v>176000</v>
      </c>
      <c r="L1036" s="9">
        <f>Table_1[[#This Row],[Unit Price]]*Table_1[[#This Row],[Quantity]]</f>
        <v>2200000</v>
      </c>
      <c r="M1036" s="8">
        <f>Table_1[[#This Row],[Cost Price]]*Table_1[[#This Row],[Quantity]]</f>
        <v>1760000</v>
      </c>
      <c r="N1036">
        <f>Table_1[[#This Row],[Revenue]]-Table_1[[#This Row],[COGS]]</f>
        <v>440000</v>
      </c>
      <c r="O1036" s="11">
        <f t="shared" si="113"/>
        <v>4656740000</v>
      </c>
      <c r="P1036">
        <f t="shared" si="114"/>
        <v>3725392000</v>
      </c>
      <c r="Q1036">
        <f t="shared" si="115"/>
        <v>931348000</v>
      </c>
      <c r="R1036" s="7">
        <f t="shared" si="116"/>
        <v>2098</v>
      </c>
      <c r="S1036" s="7">
        <f t="shared" si="117"/>
        <v>2</v>
      </c>
      <c r="T1036" s="7">
        <f t="shared" si="118"/>
        <v>2098</v>
      </c>
    </row>
    <row r="1037" spans="1:20" ht="14.25" customHeight="1" x14ac:dyDescent="0.35">
      <c r="A1037" s="2" t="s">
        <v>93</v>
      </c>
      <c r="B1037" s="2" t="s">
        <v>29</v>
      </c>
      <c r="C1037" s="2" t="s">
        <v>30</v>
      </c>
      <c r="D1037" s="2" t="s">
        <v>26</v>
      </c>
      <c r="E1037" s="2" t="s">
        <v>22</v>
      </c>
      <c r="F1037" s="2" t="s">
        <v>39</v>
      </c>
      <c r="G1037" s="2" t="s">
        <v>24</v>
      </c>
      <c r="H1037" s="2">
        <v>180000</v>
      </c>
      <c r="I1037" s="2">
        <v>10</v>
      </c>
      <c r="J1037" s="2" t="s">
        <v>54</v>
      </c>
      <c r="K1037" s="2">
        <f t="shared" si="112"/>
        <v>144000</v>
      </c>
      <c r="L1037" s="9">
        <f>Table_1[[#This Row],[Unit Price]]*Table_1[[#This Row],[Quantity]]</f>
        <v>1800000</v>
      </c>
      <c r="M1037" s="8">
        <f>Table_1[[#This Row],[Cost Price]]*Table_1[[#This Row],[Quantity]]</f>
        <v>1440000</v>
      </c>
      <c r="N1037">
        <f>Table_1[[#This Row],[Revenue]]-Table_1[[#This Row],[COGS]]</f>
        <v>360000</v>
      </c>
      <c r="O1037" s="11">
        <f t="shared" si="113"/>
        <v>4656740000</v>
      </c>
      <c r="P1037">
        <f t="shared" si="114"/>
        <v>3725392000</v>
      </c>
      <c r="Q1037">
        <f t="shared" si="115"/>
        <v>931348000</v>
      </c>
      <c r="R1037" s="7">
        <f t="shared" si="116"/>
        <v>2098</v>
      </c>
      <c r="S1037" s="7">
        <f t="shared" si="117"/>
        <v>4</v>
      </c>
      <c r="T1037" s="7">
        <f t="shared" si="118"/>
        <v>2098</v>
      </c>
    </row>
    <row r="1038" spans="1:20" ht="14.25" customHeight="1" x14ac:dyDescent="0.35">
      <c r="A1038" s="2" t="s">
        <v>63</v>
      </c>
      <c r="B1038" s="2" t="s">
        <v>29</v>
      </c>
      <c r="C1038" s="2" t="s">
        <v>13</v>
      </c>
      <c r="D1038" s="2" t="s">
        <v>14</v>
      </c>
      <c r="E1038" s="2" t="s">
        <v>15</v>
      </c>
      <c r="F1038" s="2" t="s">
        <v>52</v>
      </c>
      <c r="G1038" s="2" t="s">
        <v>36</v>
      </c>
      <c r="H1038" s="2">
        <v>420000</v>
      </c>
      <c r="I1038" s="2">
        <v>3</v>
      </c>
      <c r="J1038" s="2" t="s">
        <v>50</v>
      </c>
      <c r="K1038" s="2">
        <f t="shared" si="112"/>
        <v>336000</v>
      </c>
      <c r="L1038" s="9">
        <f>Table_1[[#This Row],[Unit Price]]*Table_1[[#This Row],[Quantity]]</f>
        <v>1260000</v>
      </c>
      <c r="M1038" s="8">
        <f>Table_1[[#This Row],[Cost Price]]*Table_1[[#This Row],[Quantity]]</f>
        <v>1008000</v>
      </c>
      <c r="N1038">
        <f>Table_1[[#This Row],[Revenue]]-Table_1[[#This Row],[COGS]]</f>
        <v>252000</v>
      </c>
      <c r="O1038" s="11">
        <f t="shared" si="113"/>
        <v>4656740000</v>
      </c>
      <c r="P1038">
        <f t="shared" si="114"/>
        <v>3725392000</v>
      </c>
      <c r="Q1038">
        <f t="shared" si="115"/>
        <v>931348000</v>
      </c>
      <c r="R1038" s="7">
        <f t="shared" si="116"/>
        <v>2098</v>
      </c>
      <c r="S1038" s="7">
        <f t="shared" si="117"/>
        <v>4</v>
      </c>
      <c r="T1038" s="7">
        <f t="shared" si="118"/>
        <v>2098</v>
      </c>
    </row>
    <row r="1039" spans="1:20" ht="14.25" customHeight="1" x14ac:dyDescent="0.35">
      <c r="A1039" s="2" t="s">
        <v>79</v>
      </c>
      <c r="B1039" s="2" t="s">
        <v>12</v>
      </c>
      <c r="C1039" s="2" t="s">
        <v>38</v>
      </c>
      <c r="D1039" s="2" t="s">
        <v>26</v>
      </c>
      <c r="E1039" s="2" t="s">
        <v>15</v>
      </c>
      <c r="F1039" s="2" t="s">
        <v>16</v>
      </c>
      <c r="G1039" s="2" t="s">
        <v>17</v>
      </c>
      <c r="H1039" s="2">
        <v>85000</v>
      </c>
      <c r="I1039" s="2">
        <v>4</v>
      </c>
      <c r="J1039" s="2" t="s">
        <v>32</v>
      </c>
      <c r="K1039" s="2">
        <f t="shared" si="112"/>
        <v>68000</v>
      </c>
      <c r="L1039" s="9">
        <f>Table_1[[#This Row],[Unit Price]]*Table_1[[#This Row],[Quantity]]</f>
        <v>340000</v>
      </c>
      <c r="M1039" s="8">
        <f>Table_1[[#This Row],[Cost Price]]*Table_1[[#This Row],[Quantity]]</f>
        <v>272000</v>
      </c>
      <c r="N1039">
        <f>Table_1[[#This Row],[Revenue]]-Table_1[[#This Row],[COGS]]</f>
        <v>68000</v>
      </c>
      <c r="O1039" s="11">
        <f t="shared" si="113"/>
        <v>4656740000</v>
      </c>
      <c r="P1039">
        <f t="shared" si="114"/>
        <v>3725392000</v>
      </c>
      <c r="Q1039">
        <f t="shared" si="115"/>
        <v>931348000</v>
      </c>
      <c r="R1039" s="7">
        <f t="shared" si="116"/>
        <v>2098</v>
      </c>
      <c r="S1039" s="7">
        <f t="shared" si="117"/>
        <v>1</v>
      </c>
      <c r="T1039" s="7">
        <f t="shared" si="118"/>
        <v>2098</v>
      </c>
    </row>
    <row r="1040" spans="1:20" ht="14.25" customHeight="1" x14ac:dyDescent="0.35">
      <c r="A1040" s="2" t="s">
        <v>153</v>
      </c>
      <c r="B1040" s="2" t="s">
        <v>29</v>
      </c>
      <c r="C1040" s="2" t="s">
        <v>30</v>
      </c>
      <c r="D1040" s="2" t="s">
        <v>26</v>
      </c>
      <c r="E1040" s="2" t="s">
        <v>15</v>
      </c>
      <c r="F1040" s="2" t="s">
        <v>41</v>
      </c>
      <c r="G1040" s="2" t="s">
        <v>17</v>
      </c>
      <c r="H1040" s="2">
        <v>320000</v>
      </c>
      <c r="I1040" s="2">
        <v>4</v>
      </c>
      <c r="J1040" s="2" t="s">
        <v>43</v>
      </c>
      <c r="K1040" s="2">
        <f t="shared" si="112"/>
        <v>256000</v>
      </c>
      <c r="L1040" s="9">
        <f>Table_1[[#This Row],[Unit Price]]*Table_1[[#This Row],[Quantity]]</f>
        <v>1280000</v>
      </c>
      <c r="M1040" s="8">
        <f>Table_1[[#This Row],[Cost Price]]*Table_1[[#This Row],[Quantity]]</f>
        <v>1024000</v>
      </c>
      <c r="N1040">
        <f>Table_1[[#This Row],[Revenue]]-Table_1[[#This Row],[COGS]]</f>
        <v>256000</v>
      </c>
      <c r="O1040" s="11">
        <f t="shared" si="113"/>
        <v>4656740000</v>
      </c>
      <c r="P1040">
        <f t="shared" si="114"/>
        <v>3725392000</v>
      </c>
      <c r="Q1040">
        <f t="shared" si="115"/>
        <v>931348000</v>
      </c>
      <c r="R1040" s="7">
        <f t="shared" si="116"/>
        <v>2098</v>
      </c>
      <c r="S1040" s="7">
        <f t="shared" si="117"/>
        <v>4</v>
      </c>
      <c r="T1040" s="7">
        <f t="shared" si="118"/>
        <v>2098</v>
      </c>
    </row>
    <row r="1041" spans="1:20" ht="14.25" customHeight="1" x14ac:dyDescent="0.35">
      <c r="A1041" s="2" t="s">
        <v>160</v>
      </c>
      <c r="B1041" s="2" t="s">
        <v>12</v>
      </c>
      <c r="C1041" s="2" t="s">
        <v>38</v>
      </c>
      <c r="D1041" s="2" t="s">
        <v>14</v>
      </c>
      <c r="E1041" s="2" t="s">
        <v>22</v>
      </c>
      <c r="F1041" s="2" t="s">
        <v>58</v>
      </c>
      <c r="G1041" s="2" t="s">
        <v>24</v>
      </c>
      <c r="H1041" s="2">
        <v>220000</v>
      </c>
      <c r="I1041" s="2">
        <v>1</v>
      </c>
      <c r="J1041" s="2" t="s">
        <v>50</v>
      </c>
      <c r="K1041" s="2">
        <f t="shared" si="112"/>
        <v>176000</v>
      </c>
      <c r="L1041" s="9">
        <f>Table_1[[#This Row],[Unit Price]]*Table_1[[#This Row],[Quantity]]</f>
        <v>220000</v>
      </c>
      <c r="M1041" s="8">
        <f>Table_1[[#This Row],[Cost Price]]*Table_1[[#This Row],[Quantity]]</f>
        <v>176000</v>
      </c>
      <c r="N1041">
        <f>Table_1[[#This Row],[Revenue]]-Table_1[[#This Row],[COGS]]</f>
        <v>44000</v>
      </c>
      <c r="O1041" s="11">
        <f t="shared" si="113"/>
        <v>4656740000</v>
      </c>
      <c r="P1041">
        <f t="shared" si="114"/>
        <v>3725392000</v>
      </c>
      <c r="Q1041">
        <f t="shared" si="115"/>
        <v>931348000</v>
      </c>
      <c r="R1041" s="7">
        <f t="shared" si="116"/>
        <v>2098</v>
      </c>
      <c r="S1041" s="7">
        <f t="shared" si="117"/>
        <v>1</v>
      </c>
      <c r="T1041" s="7">
        <f t="shared" si="118"/>
        <v>2098</v>
      </c>
    </row>
    <row r="1042" spans="1:20" ht="14.25" customHeight="1" x14ac:dyDescent="0.35">
      <c r="A1042" s="2" t="s">
        <v>142</v>
      </c>
      <c r="B1042" s="2" t="s">
        <v>29</v>
      </c>
      <c r="C1042" s="2" t="s">
        <v>21</v>
      </c>
      <c r="D1042" s="2" t="s">
        <v>26</v>
      </c>
      <c r="E1042" s="2" t="s">
        <v>22</v>
      </c>
      <c r="F1042" s="2" t="s">
        <v>16</v>
      </c>
      <c r="G1042" s="2" t="s">
        <v>17</v>
      </c>
      <c r="H1042" s="2">
        <v>85000</v>
      </c>
      <c r="I1042" s="2">
        <v>1</v>
      </c>
      <c r="J1042" s="2" t="s">
        <v>27</v>
      </c>
      <c r="K1042" s="2">
        <f t="shared" si="112"/>
        <v>68000</v>
      </c>
      <c r="L1042" s="9">
        <f>Table_1[[#This Row],[Unit Price]]*Table_1[[#This Row],[Quantity]]</f>
        <v>85000</v>
      </c>
      <c r="M1042" s="8">
        <f>Table_1[[#This Row],[Cost Price]]*Table_1[[#This Row],[Quantity]]</f>
        <v>68000</v>
      </c>
      <c r="N1042">
        <f>Table_1[[#This Row],[Revenue]]-Table_1[[#This Row],[COGS]]</f>
        <v>17000</v>
      </c>
      <c r="O1042" s="11">
        <f t="shared" si="113"/>
        <v>4656740000</v>
      </c>
      <c r="P1042">
        <f t="shared" si="114"/>
        <v>3725392000</v>
      </c>
      <c r="Q1042">
        <f t="shared" si="115"/>
        <v>931348000</v>
      </c>
      <c r="R1042" s="7">
        <f t="shared" si="116"/>
        <v>2098</v>
      </c>
      <c r="S1042" s="7">
        <f t="shared" si="117"/>
        <v>4</v>
      </c>
      <c r="T1042" s="7">
        <f t="shared" si="118"/>
        <v>2098</v>
      </c>
    </row>
    <row r="1043" spans="1:20" ht="14.25" customHeight="1" x14ac:dyDescent="0.35">
      <c r="A1043" s="2" t="s">
        <v>130</v>
      </c>
      <c r="B1043" s="2" t="s">
        <v>12</v>
      </c>
      <c r="C1043" s="2" t="s">
        <v>38</v>
      </c>
      <c r="D1043" s="2" t="s">
        <v>14</v>
      </c>
      <c r="E1043" s="2" t="s">
        <v>15</v>
      </c>
      <c r="F1043" s="2" t="s">
        <v>47</v>
      </c>
      <c r="G1043" s="2" t="s">
        <v>36</v>
      </c>
      <c r="H1043" s="2">
        <v>150000</v>
      </c>
      <c r="I1043" s="2">
        <v>8</v>
      </c>
      <c r="J1043" s="2" t="s">
        <v>54</v>
      </c>
      <c r="K1043" s="2">
        <f t="shared" si="112"/>
        <v>120000</v>
      </c>
      <c r="L1043" s="9">
        <f>Table_1[[#This Row],[Unit Price]]*Table_1[[#This Row],[Quantity]]</f>
        <v>1200000</v>
      </c>
      <c r="M1043" s="8">
        <f>Table_1[[#This Row],[Cost Price]]*Table_1[[#This Row],[Quantity]]</f>
        <v>960000</v>
      </c>
      <c r="N1043">
        <f>Table_1[[#This Row],[Revenue]]-Table_1[[#This Row],[COGS]]</f>
        <v>240000</v>
      </c>
      <c r="O1043" s="11">
        <f t="shared" si="113"/>
        <v>4656740000</v>
      </c>
      <c r="P1043">
        <f t="shared" si="114"/>
        <v>3725392000</v>
      </c>
      <c r="Q1043">
        <f t="shared" si="115"/>
        <v>931348000</v>
      </c>
      <c r="R1043" s="7">
        <f t="shared" si="116"/>
        <v>2098</v>
      </c>
      <c r="S1043" s="7">
        <f t="shared" si="117"/>
        <v>1</v>
      </c>
      <c r="T1043" s="7">
        <f t="shared" si="118"/>
        <v>2098</v>
      </c>
    </row>
    <row r="1044" spans="1:20" ht="14.25" customHeight="1" x14ac:dyDescent="0.35">
      <c r="A1044" s="2" t="s">
        <v>143</v>
      </c>
      <c r="B1044" s="2" t="s">
        <v>34</v>
      </c>
      <c r="C1044" s="2" t="s">
        <v>21</v>
      </c>
      <c r="D1044" s="2" t="s">
        <v>26</v>
      </c>
      <c r="E1044" s="2" t="s">
        <v>15</v>
      </c>
      <c r="F1044" s="2" t="s">
        <v>47</v>
      </c>
      <c r="G1044" s="2" t="s">
        <v>36</v>
      </c>
      <c r="H1044" s="2">
        <v>150000</v>
      </c>
      <c r="I1044" s="2">
        <v>9</v>
      </c>
      <c r="J1044" s="2" t="s">
        <v>18</v>
      </c>
      <c r="K1044" s="2">
        <f t="shared" si="112"/>
        <v>120000</v>
      </c>
      <c r="L1044" s="9">
        <f>Table_1[[#This Row],[Unit Price]]*Table_1[[#This Row],[Quantity]]</f>
        <v>1350000</v>
      </c>
      <c r="M1044" s="8">
        <f>Table_1[[#This Row],[Cost Price]]*Table_1[[#This Row],[Quantity]]</f>
        <v>1080000</v>
      </c>
      <c r="N1044">
        <f>Table_1[[#This Row],[Revenue]]-Table_1[[#This Row],[COGS]]</f>
        <v>270000</v>
      </c>
      <c r="O1044" s="11">
        <f t="shared" si="113"/>
        <v>4656740000</v>
      </c>
      <c r="P1044">
        <f t="shared" si="114"/>
        <v>3725392000</v>
      </c>
      <c r="Q1044">
        <f t="shared" si="115"/>
        <v>931348000</v>
      </c>
      <c r="R1044" s="7">
        <f t="shared" si="116"/>
        <v>2098</v>
      </c>
      <c r="S1044" s="7">
        <f t="shared" si="117"/>
        <v>1</v>
      </c>
      <c r="T1044" s="7">
        <f t="shared" si="118"/>
        <v>2098</v>
      </c>
    </row>
    <row r="1045" spans="1:20" ht="14.25" customHeight="1" x14ac:dyDescent="0.35">
      <c r="A1045" s="2" t="s">
        <v>49</v>
      </c>
      <c r="B1045" s="2" t="s">
        <v>12</v>
      </c>
      <c r="C1045" s="2" t="s">
        <v>21</v>
      </c>
      <c r="D1045" s="2" t="s">
        <v>26</v>
      </c>
      <c r="E1045" s="2" t="s">
        <v>15</v>
      </c>
      <c r="F1045" s="2" t="s">
        <v>35</v>
      </c>
      <c r="G1045" s="2" t="s">
        <v>36</v>
      </c>
      <c r="H1045" s="2">
        <v>300000</v>
      </c>
      <c r="I1045" s="2">
        <v>3</v>
      </c>
      <c r="J1045" s="2" t="s">
        <v>18</v>
      </c>
      <c r="K1045" s="2">
        <f t="shared" si="112"/>
        <v>240000</v>
      </c>
      <c r="L1045" s="9">
        <f>Table_1[[#This Row],[Unit Price]]*Table_1[[#This Row],[Quantity]]</f>
        <v>900000</v>
      </c>
      <c r="M1045" s="8">
        <f>Table_1[[#This Row],[Cost Price]]*Table_1[[#This Row],[Quantity]]</f>
        <v>720000</v>
      </c>
      <c r="N1045">
        <f>Table_1[[#This Row],[Revenue]]-Table_1[[#This Row],[COGS]]</f>
        <v>180000</v>
      </c>
      <c r="O1045" s="11">
        <f t="shared" si="113"/>
        <v>4656740000</v>
      </c>
      <c r="P1045">
        <f t="shared" si="114"/>
        <v>3725392000</v>
      </c>
      <c r="Q1045">
        <f t="shared" si="115"/>
        <v>931348000</v>
      </c>
      <c r="R1045" s="7">
        <f t="shared" si="116"/>
        <v>2098</v>
      </c>
      <c r="S1045" s="7">
        <f t="shared" si="117"/>
        <v>4</v>
      </c>
      <c r="T1045" s="7">
        <f t="shared" si="118"/>
        <v>2098</v>
      </c>
    </row>
    <row r="1046" spans="1:20" ht="14.25" customHeight="1" x14ac:dyDescent="0.35">
      <c r="A1046" s="2" t="s">
        <v>128</v>
      </c>
      <c r="B1046" s="2" t="s">
        <v>34</v>
      </c>
      <c r="C1046" s="2" t="s">
        <v>38</v>
      </c>
      <c r="D1046" s="2" t="s">
        <v>26</v>
      </c>
      <c r="E1046" s="2" t="s">
        <v>15</v>
      </c>
      <c r="F1046" s="2" t="s">
        <v>47</v>
      </c>
      <c r="G1046" s="2" t="s">
        <v>36</v>
      </c>
      <c r="H1046" s="2">
        <v>150000</v>
      </c>
      <c r="I1046" s="2">
        <v>10</v>
      </c>
      <c r="J1046" s="2" t="s">
        <v>43</v>
      </c>
      <c r="K1046" s="2">
        <f t="shared" si="112"/>
        <v>120000</v>
      </c>
      <c r="L1046" s="9">
        <f>Table_1[[#This Row],[Unit Price]]*Table_1[[#This Row],[Quantity]]</f>
        <v>1500000</v>
      </c>
      <c r="M1046" s="8">
        <f>Table_1[[#This Row],[Cost Price]]*Table_1[[#This Row],[Quantity]]</f>
        <v>1200000</v>
      </c>
      <c r="N1046">
        <f>Table_1[[#This Row],[Revenue]]-Table_1[[#This Row],[COGS]]</f>
        <v>300000</v>
      </c>
      <c r="O1046" s="11">
        <f t="shared" si="113"/>
        <v>4656740000</v>
      </c>
      <c r="P1046">
        <f t="shared" si="114"/>
        <v>3725392000</v>
      </c>
      <c r="Q1046">
        <f t="shared" si="115"/>
        <v>931348000</v>
      </c>
      <c r="R1046" s="7">
        <f t="shared" si="116"/>
        <v>2098</v>
      </c>
      <c r="S1046" s="7">
        <f t="shared" si="117"/>
        <v>4</v>
      </c>
      <c r="T1046" s="7">
        <f t="shared" si="118"/>
        <v>2098</v>
      </c>
    </row>
    <row r="1047" spans="1:20" ht="14.25" customHeight="1" x14ac:dyDescent="0.35">
      <c r="A1047" s="2" t="s">
        <v>28</v>
      </c>
      <c r="B1047" s="2" t="s">
        <v>12</v>
      </c>
      <c r="C1047" s="2" t="s">
        <v>38</v>
      </c>
      <c r="D1047" s="2" t="s">
        <v>14</v>
      </c>
      <c r="E1047" s="2" t="s">
        <v>22</v>
      </c>
      <c r="F1047" s="2" t="s">
        <v>16</v>
      </c>
      <c r="G1047" s="2" t="s">
        <v>17</v>
      </c>
      <c r="H1047" s="2">
        <v>85000</v>
      </c>
      <c r="I1047" s="2">
        <v>2</v>
      </c>
      <c r="J1047" s="2" t="s">
        <v>43</v>
      </c>
      <c r="K1047" s="2">
        <f t="shared" si="112"/>
        <v>68000</v>
      </c>
      <c r="L1047" s="9">
        <f>Table_1[[#This Row],[Unit Price]]*Table_1[[#This Row],[Quantity]]</f>
        <v>170000</v>
      </c>
      <c r="M1047" s="8">
        <f>Table_1[[#This Row],[Cost Price]]*Table_1[[#This Row],[Quantity]]</f>
        <v>136000</v>
      </c>
      <c r="N1047">
        <f>Table_1[[#This Row],[Revenue]]-Table_1[[#This Row],[COGS]]</f>
        <v>34000</v>
      </c>
      <c r="O1047" s="11">
        <f t="shared" si="113"/>
        <v>4656740000</v>
      </c>
      <c r="P1047">
        <f t="shared" si="114"/>
        <v>3725392000</v>
      </c>
      <c r="Q1047">
        <f t="shared" si="115"/>
        <v>931348000</v>
      </c>
      <c r="R1047" s="7">
        <f t="shared" si="116"/>
        <v>2098</v>
      </c>
      <c r="S1047" s="7">
        <f t="shared" si="117"/>
        <v>4</v>
      </c>
      <c r="T1047" s="7">
        <f t="shared" si="118"/>
        <v>2098</v>
      </c>
    </row>
    <row r="1048" spans="1:20" ht="14.25" customHeight="1" x14ac:dyDescent="0.35">
      <c r="A1048" s="2" t="s">
        <v>95</v>
      </c>
      <c r="B1048" s="2" t="s">
        <v>20</v>
      </c>
      <c r="C1048" s="2" t="s">
        <v>13</v>
      </c>
      <c r="D1048" s="2" t="s">
        <v>26</v>
      </c>
      <c r="E1048" s="2" t="s">
        <v>22</v>
      </c>
      <c r="F1048" s="2" t="s">
        <v>52</v>
      </c>
      <c r="G1048" s="2" t="s">
        <v>36</v>
      </c>
      <c r="H1048" s="2">
        <v>420000</v>
      </c>
      <c r="I1048" s="2">
        <v>9</v>
      </c>
      <c r="J1048" s="2" t="s">
        <v>27</v>
      </c>
      <c r="K1048" s="2">
        <f t="shared" si="112"/>
        <v>336000</v>
      </c>
      <c r="L1048" s="9">
        <f>Table_1[[#This Row],[Unit Price]]*Table_1[[#This Row],[Quantity]]</f>
        <v>3780000</v>
      </c>
      <c r="M1048" s="8">
        <f>Table_1[[#This Row],[Cost Price]]*Table_1[[#This Row],[Quantity]]</f>
        <v>3024000</v>
      </c>
      <c r="N1048">
        <f>Table_1[[#This Row],[Revenue]]-Table_1[[#This Row],[COGS]]</f>
        <v>756000</v>
      </c>
      <c r="O1048" s="11">
        <f t="shared" si="113"/>
        <v>4656740000</v>
      </c>
      <c r="P1048">
        <f t="shared" si="114"/>
        <v>3725392000</v>
      </c>
      <c r="Q1048">
        <f t="shared" si="115"/>
        <v>931348000</v>
      </c>
      <c r="R1048" s="7">
        <f t="shared" si="116"/>
        <v>2098</v>
      </c>
      <c r="S1048" s="7">
        <f t="shared" si="117"/>
        <v>1</v>
      </c>
      <c r="T1048" s="7">
        <f t="shared" si="118"/>
        <v>2098</v>
      </c>
    </row>
    <row r="1049" spans="1:20" ht="14.25" customHeight="1" x14ac:dyDescent="0.35">
      <c r="A1049" s="2" t="s">
        <v>95</v>
      </c>
      <c r="B1049" s="2" t="s">
        <v>12</v>
      </c>
      <c r="C1049" s="2" t="s">
        <v>21</v>
      </c>
      <c r="D1049" s="2" t="s">
        <v>26</v>
      </c>
      <c r="E1049" s="2" t="s">
        <v>15</v>
      </c>
      <c r="F1049" s="2" t="s">
        <v>35</v>
      </c>
      <c r="G1049" s="2" t="s">
        <v>36</v>
      </c>
      <c r="H1049" s="2">
        <v>300000</v>
      </c>
      <c r="I1049" s="2">
        <v>2</v>
      </c>
      <c r="J1049" s="2" t="s">
        <v>54</v>
      </c>
      <c r="K1049" s="2">
        <f t="shared" si="112"/>
        <v>240000</v>
      </c>
      <c r="L1049" s="9">
        <f>Table_1[[#This Row],[Unit Price]]*Table_1[[#This Row],[Quantity]]</f>
        <v>600000</v>
      </c>
      <c r="M1049" s="8">
        <f>Table_1[[#This Row],[Cost Price]]*Table_1[[#This Row],[Quantity]]</f>
        <v>480000</v>
      </c>
      <c r="N1049">
        <f>Table_1[[#This Row],[Revenue]]-Table_1[[#This Row],[COGS]]</f>
        <v>120000</v>
      </c>
      <c r="O1049" s="11">
        <f t="shared" si="113"/>
        <v>4656740000</v>
      </c>
      <c r="P1049">
        <f t="shared" si="114"/>
        <v>3725392000</v>
      </c>
      <c r="Q1049">
        <f t="shared" si="115"/>
        <v>931348000</v>
      </c>
      <c r="R1049" s="7">
        <f t="shared" si="116"/>
        <v>2098</v>
      </c>
      <c r="S1049" s="7">
        <f t="shared" si="117"/>
        <v>1</v>
      </c>
      <c r="T1049" s="7">
        <f t="shared" si="118"/>
        <v>2098</v>
      </c>
    </row>
    <row r="1050" spans="1:20" ht="14.25" customHeight="1" x14ac:dyDescent="0.35">
      <c r="A1050" s="2" t="s">
        <v>117</v>
      </c>
      <c r="B1050" s="2" t="s">
        <v>20</v>
      </c>
      <c r="C1050" s="2" t="s">
        <v>30</v>
      </c>
      <c r="D1050" s="2" t="s">
        <v>26</v>
      </c>
      <c r="E1050" s="2" t="s">
        <v>15</v>
      </c>
      <c r="F1050" s="2" t="s">
        <v>47</v>
      </c>
      <c r="G1050" s="2" t="s">
        <v>36</v>
      </c>
      <c r="H1050" s="2">
        <v>150000</v>
      </c>
      <c r="I1050" s="2">
        <v>4</v>
      </c>
      <c r="J1050" s="2" t="s">
        <v>50</v>
      </c>
      <c r="K1050" s="2">
        <f t="shared" si="112"/>
        <v>120000</v>
      </c>
      <c r="L1050" s="9">
        <f>Table_1[[#This Row],[Unit Price]]*Table_1[[#This Row],[Quantity]]</f>
        <v>600000</v>
      </c>
      <c r="M1050" s="8">
        <f>Table_1[[#This Row],[Cost Price]]*Table_1[[#This Row],[Quantity]]</f>
        <v>480000</v>
      </c>
      <c r="N1050">
        <f>Table_1[[#This Row],[Revenue]]-Table_1[[#This Row],[COGS]]</f>
        <v>120000</v>
      </c>
      <c r="O1050" s="11">
        <f t="shared" si="113"/>
        <v>4656740000</v>
      </c>
      <c r="P1050">
        <f t="shared" si="114"/>
        <v>3725392000</v>
      </c>
      <c r="Q1050">
        <f t="shared" si="115"/>
        <v>931348000</v>
      </c>
      <c r="R1050" s="7">
        <f t="shared" si="116"/>
        <v>2098</v>
      </c>
      <c r="S1050" s="7">
        <f t="shared" si="117"/>
        <v>4</v>
      </c>
      <c r="T1050" s="7">
        <f t="shared" si="118"/>
        <v>2098</v>
      </c>
    </row>
    <row r="1051" spans="1:20" ht="14.25" customHeight="1" x14ac:dyDescent="0.35">
      <c r="A1051" s="2" t="s">
        <v>55</v>
      </c>
      <c r="B1051" s="2" t="s">
        <v>20</v>
      </c>
      <c r="C1051" s="2" t="s">
        <v>21</v>
      </c>
      <c r="D1051" s="2" t="s">
        <v>14</v>
      </c>
      <c r="E1051" s="2" t="s">
        <v>15</v>
      </c>
      <c r="F1051" s="2" t="s">
        <v>52</v>
      </c>
      <c r="G1051" s="2" t="s">
        <v>36</v>
      </c>
      <c r="H1051" s="2">
        <v>420000</v>
      </c>
      <c r="I1051" s="2">
        <v>9</v>
      </c>
      <c r="J1051" s="2" t="s">
        <v>27</v>
      </c>
      <c r="K1051" s="2">
        <f t="shared" si="112"/>
        <v>336000</v>
      </c>
      <c r="L1051" s="9">
        <f>Table_1[[#This Row],[Unit Price]]*Table_1[[#This Row],[Quantity]]</f>
        <v>3780000</v>
      </c>
      <c r="M1051" s="8">
        <f>Table_1[[#This Row],[Cost Price]]*Table_1[[#This Row],[Quantity]]</f>
        <v>3024000</v>
      </c>
      <c r="N1051">
        <f>Table_1[[#This Row],[Revenue]]-Table_1[[#This Row],[COGS]]</f>
        <v>756000</v>
      </c>
      <c r="O1051" s="11">
        <f t="shared" si="113"/>
        <v>4656740000</v>
      </c>
      <c r="P1051">
        <f t="shared" si="114"/>
        <v>3725392000</v>
      </c>
      <c r="Q1051">
        <f t="shared" si="115"/>
        <v>931348000</v>
      </c>
      <c r="R1051" s="7">
        <f t="shared" si="116"/>
        <v>2098</v>
      </c>
      <c r="S1051" s="7">
        <f t="shared" si="117"/>
        <v>4</v>
      </c>
      <c r="T1051" s="7">
        <f t="shared" si="118"/>
        <v>2098</v>
      </c>
    </row>
    <row r="1052" spans="1:20" ht="14.25" customHeight="1" x14ac:dyDescent="0.35">
      <c r="A1052" s="2" t="s">
        <v>151</v>
      </c>
      <c r="B1052" s="2" t="s">
        <v>34</v>
      </c>
      <c r="C1052" s="2" t="s">
        <v>30</v>
      </c>
      <c r="D1052" s="2" t="s">
        <v>14</v>
      </c>
      <c r="E1052" s="2" t="s">
        <v>22</v>
      </c>
      <c r="F1052" s="2" t="s">
        <v>56</v>
      </c>
      <c r="G1052" s="2" t="s">
        <v>36</v>
      </c>
      <c r="H1052" s="2">
        <v>250000</v>
      </c>
      <c r="I1052" s="2">
        <v>5</v>
      </c>
      <c r="J1052" s="2" t="s">
        <v>27</v>
      </c>
      <c r="K1052" s="2">
        <f t="shared" si="112"/>
        <v>200000</v>
      </c>
      <c r="L1052" s="9">
        <f>Table_1[[#This Row],[Unit Price]]*Table_1[[#This Row],[Quantity]]</f>
        <v>1250000</v>
      </c>
      <c r="M1052" s="8">
        <f>Table_1[[#This Row],[Cost Price]]*Table_1[[#This Row],[Quantity]]</f>
        <v>1000000</v>
      </c>
      <c r="N1052">
        <f>Table_1[[#This Row],[Revenue]]-Table_1[[#This Row],[COGS]]</f>
        <v>250000</v>
      </c>
      <c r="O1052" s="11">
        <f t="shared" si="113"/>
        <v>4656740000</v>
      </c>
      <c r="P1052">
        <f t="shared" si="114"/>
        <v>3725392000</v>
      </c>
      <c r="Q1052">
        <f t="shared" si="115"/>
        <v>931348000</v>
      </c>
      <c r="R1052" s="7">
        <f t="shared" si="116"/>
        <v>2098</v>
      </c>
      <c r="S1052" s="7">
        <f t="shared" si="117"/>
        <v>1</v>
      </c>
      <c r="T1052" s="7">
        <f t="shared" si="118"/>
        <v>2098</v>
      </c>
    </row>
    <row r="1053" spans="1:20" ht="14.25" customHeight="1" x14ac:dyDescent="0.35">
      <c r="A1053" s="2" t="s">
        <v>86</v>
      </c>
      <c r="B1053" s="2" t="s">
        <v>34</v>
      </c>
      <c r="C1053" s="2" t="s">
        <v>38</v>
      </c>
      <c r="D1053" s="2" t="s">
        <v>26</v>
      </c>
      <c r="E1053" s="2" t="s">
        <v>15</v>
      </c>
      <c r="F1053" s="2" t="s">
        <v>23</v>
      </c>
      <c r="G1053" s="2" t="s">
        <v>24</v>
      </c>
      <c r="H1053" s="2">
        <v>30000</v>
      </c>
      <c r="I1053" s="2">
        <v>10</v>
      </c>
      <c r="J1053" s="2" t="s">
        <v>50</v>
      </c>
      <c r="K1053" s="2">
        <f t="shared" si="112"/>
        <v>24000</v>
      </c>
      <c r="L1053" s="9">
        <f>Table_1[[#This Row],[Unit Price]]*Table_1[[#This Row],[Quantity]]</f>
        <v>300000</v>
      </c>
      <c r="M1053" s="8">
        <f>Table_1[[#This Row],[Cost Price]]*Table_1[[#This Row],[Quantity]]</f>
        <v>240000</v>
      </c>
      <c r="N1053">
        <f>Table_1[[#This Row],[Revenue]]-Table_1[[#This Row],[COGS]]</f>
        <v>60000</v>
      </c>
      <c r="O1053" s="11">
        <f t="shared" si="113"/>
        <v>4656740000</v>
      </c>
      <c r="P1053">
        <f t="shared" si="114"/>
        <v>3725392000</v>
      </c>
      <c r="Q1053">
        <f t="shared" si="115"/>
        <v>931348000</v>
      </c>
      <c r="R1053" s="7">
        <f t="shared" si="116"/>
        <v>2098</v>
      </c>
      <c r="S1053" s="7">
        <f t="shared" si="117"/>
        <v>1</v>
      </c>
      <c r="T1053" s="7">
        <f t="shared" si="118"/>
        <v>2098</v>
      </c>
    </row>
    <row r="1054" spans="1:20" ht="14.25" customHeight="1" x14ac:dyDescent="0.35">
      <c r="A1054" s="2" t="s">
        <v>61</v>
      </c>
      <c r="B1054" s="2" t="s">
        <v>29</v>
      </c>
      <c r="C1054" s="2" t="s">
        <v>30</v>
      </c>
      <c r="D1054" s="2" t="s">
        <v>14</v>
      </c>
      <c r="E1054" s="2" t="s">
        <v>22</v>
      </c>
      <c r="F1054" s="2" t="s">
        <v>52</v>
      </c>
      <c r="G1054" s="2" t="s">
        <v>36</v>
      </c>
      <c r="H1054" s="2">
        <v>420000</v>
      </c>
      <c r="I1054" s="2">
        <v>3</v>
      </c>
      <c r="J1054" s="2" t="s">
        <v>18</v>
      </c>
      <c r="K1054" s="2">
        <f t="shared" si="112"/>
        <v>336000</v>
      </c>
      <c r="L1054" s="9">
        <f>Table_1[[#This Row],[Unit Price]]*Table_1[[#This Row],[Quantity]]</f>
        <v>1260000</v>
      </c>
      <c r="M1054" s="8">
        <f>Table_1[[#This Row],[Cost Price]]*Table_1[[#This Row],[Quantity]]</f>
        <v>1008000</v>
      </c>
      <c r="N1054">
        <f>Table_1[[#This Row],[Revenue]]-Table_1[[#This Row],[COGS]]</f>
        <v>252000</v>
      </c>
      <c r="O1054" s="11">
        <f t="shared" si="113"/>
        <v>4656740000</v>
      </c>
      <c r="P1054">
        <f t="shared" si="114"/>
        <v>3725392000</v>
      </c>
      <c r="Q1054">
        <f t="shared" si="115"/>
        <v>931348000</v>
      </c>
      <c r="R1054" s="7">
        <f t="shared" si="116"/>
        <v>2098</v>
      </c>
      <c r="S1054" s="7">
        <f t="shared" si="117"/>
        <v>5</v>
      </c>
      <c r="T1054" s="7">
        <f t="shared" si="118"/>
        <v>2098</v>
      </c>
    </row>
    <row r="1055" spans="1:20" ht="14.25" customHeight="1" x14ac:dyDescent="0.35">
      <c r="A1055" s="2" t="s">
        <v>25</v>
      </c>
      <c r="B1055" s="2" t="s">
        <v>29</v>
      </c>
      <c r="C1055" s="2" t="s">
        <v>38</v>
      </c>
      <c r="D1055" s="2" t="s">
        <v>14</v>
      </c>
      <c r="E1055" s="2" t="s">
        <v>15</v>
      </c>
      <c r="F1055" s="2" t="s">
        <v>41</v>
      </c>
      <c r="G1055" s="2" t="s">
        <v>17</v>
      </c>
      <c r="H1055" s="2">
        <v>320000</v>
      </c>
      <c r="I1055" s="2">
        <v>8</v>
      </c>
      <c r="J1055" s="2" t="s">
        <v>50</v>
      </c>
      <c r="K1055" s="2">
        <f t="shared" si="112"/>
        <v>256000</v>
      </c>
      <c r="L1055" s="9">
        <f>Table_1[[#This Row],[Unit Price]]*Table_1[[#This Row],[Quantity]]</f>
        <v>2560000</v>
      </c>
      <c r="M1055" s="8">
        <f>Table_1[[#This Row],[Cost Price]]*Table_1[[#This Row],[Quantity]]</f>
        <v>2048000</v>
      </c>
      <c r="N1055">
        <f>Table_1[[#This Row],[Revenue]]-Table_1[[#This Row],[COGS]]</f>
        <v>512000</v>
      </c>
      <c r="O1055" s="11">
        <f t="shared" si="113"/>
        <v>4656740000</v>
      </c>
      <c r="P1055">
        <f t="shared" si="114"/>
        <v>3725392000</v>
      </c>
      <c r="Q1055">
        <f t="shared" si="115"/>
        <v>931348000</v>
      </c>
      <c r="R1055" s="7">
        <f t="shared" si="116"/>
        <v>2098</v>
      </c>
      <c r="S1055" s="7">
        <f t="shared" si="117"/>
        <v>2</v>
      </c>
      <c r="T1055" s="7">
        <f t="shared" si="118"/>
        <v>2098</v>
      </c>
    </row>
    <row r="1056" spans="1:20" ht="14.25" customHeight="1" x14ac:dyDescent="0.35">
      <c r="A1056" s="2" t="s">
        <v>59</v>
      </c>
      <c r="B1056" s="2" t="s">
        <v>34</v>
      </c>
      <c r="C1056" s="2" t="s">
        <v>21</v>
      </c>
      <c r="D1056" s="2" t="s">
        <v>26</v>
      </c>
      <c r="E1056" s="2" t="s">
        <v>15</v>
      </c>
      <c r="F1056" s="2" t="s">
        <v>52</v>
      </c>
      <c r="G1056" s="2" t="s">
        <v>36</v>
      </c>
      <c r="H1056" s="2">
        <v>420000</v>
      </c>
      <c r="I1056" s="2">
        <v>8</v>
      </c>
      <c r="J1056" s="2" t="s">
        <v>50</v>
      </c>
      <c r="K1056" s="2">
        <f t="shared" si="112"/>
        <v>336000</v>
      </c>
      <c r="L1056" s="9">
        <f>Table_1[[#This Row],[Unit Price]]*Table_1[[#This Row],[Quantity]]</f>
        <v>3360000</v>
      </c>
      <c r="M1056" s="8">
        <f>Table_1[[#This Row],[Cost Price]]*Table_1[[#This Row],[Quantity]]</f>
        <v>2688000</v>
      </c>
      <c r="N1056">
        <f>Table_1[[#This Row],[Revenue]]-Table_1[[#This Row],[COGS]]</f>
        <v>672000</v>
      </c>
      <c r="O1056" s="11">
        <f t="shared" si="113"/>
        <v>4656740000</v>
      </c>
      <c r="P1056">
        <f t="shared" si="114"/>
        <v>3725392000</v>
      </c>
      <c r="Q1056">
        <f t="shared" si="115"/>
        <v>931348000</v>
      </c>
      <c r="R1056" s="7">
        <f t="shared" si="116"/>
        <v>2098</v>
      </c>
      <c r="S1056" s="7">
        <f t="shared" si="117"/>
        <v>2</v>
      </c>
      <c r="T1056" s="7">
        <f t="shared" si="118"/>
        <v>2098</v>
      </c>
    </row>
    <row r="1057" spans="1:20" ht="14.25" customHeight="1" x14ac:dyDescent="0.35">
      <c r="A1057" s="2" t="s">
        <v>82</v>
      </c>
      <c r="B1057" s="2" t="s">
        <v>29</v>
      </c>
      <c r="C1057" s="2" t="s">
        <v>30</v>
      </c>
      <c r="D1057" s="2" t="s">
        <v>26</v>
      </c>
      <c r="E1057" s="2" t="s">
        <v>15</v>
      </c>
      <c r="F1057" s="2" t="s">
        <v>47</v>
      </c>
      <c r="G1057" s="2" t="s">
        <v>36</v>
      </c>
      <c r="H1057" s="2">
        <v>150000</v>
      </c>
      <c r="I1057" s="2">
        <v>1</v>
      </c>
      <c r="J1057" s="2" t="s">
        <v>50</v>
      </c>
      <c r="K1057" s="2">
        <f t="shared" si="112"/>
        <v>120000</v>
      </c>
      <c r="L1057" s="9">
        <f>Table_1[[#This Row],[Unit Price]]*Table_1[[#This Row],[Quantity]]</f>
        <v>150000</v>
      </c>
      <c r="M1057" s="8">
        <f>Table_1[[#This Row],[Cost Price]]*Table_1[[#This Row],[Quantity]]</f>
        <v>120000</v>
      </c>
      <c r="N1057">
        <f>Table_1[[#This Row],[Revenue]]-Table_1[[#This Row],[COGS]]</f>
        <v>30000</v>
      </c>
      <c r="O1057" s="11">
        <f t="shared" si="113"/>
        <v>4656740000</v>
      </c>
      <c r="P1057">
        <f t="shared" si="114"/>
        <v>3725392000</v>
      </c>
      <c r="Q1057">
        <f t="shared" si="115"/>
        <v>931348000</v>
      </c>
      <c r="R1057" s="7">
        <f t="shared" si="116"/>
        <v>2098</v>
      </c>
      <c r="S1057" s="7">
        <f t="shared" si="117"/>
        <v>1</v>
      </c>
      <c r="T1057" s="7">
        <f t="shared" si="118"/>
        <v>2098</v>
      </c>
    </row>
    <row r="1058" spans="1:20" ht="14.25" customHeight="1" x14ac:dyDescent="0.35">
      <c r="A1058" s="2" t="s">
        <v>162</v>
      </c>
      <c r="B1058" s="2" t="s">
        <v>29</v>
      </c>
      <c r="C1058" s="2" t="s">
        <v>21</v>
      </c>
      <c r="D1058" s="2" t="s">
        <v>14</v>
      </c>
      <c r="E1058" s="2" t="s">
        <v>15</v>
      </c>
      <c r="F1058" s="2" t="s">
        <v>31</v>
      </c>
      <c r="G1058" s="2" t="s">
        <v>24</v>
      </c>
      <c r="H1058" s="2">
        <v>60000</v>
      </c>
      <c r="I1058" s="2">
        <v>7</v>
      </c>
      <c r="J1058" s="2" t="s">
        <v>43</v>
      </c>
      <c r="K1058" s="2">
        <f t="shared" si="112"/>
        <v>48000</v>
      </c>
      <c r="L1058" s="9">
        <f>Table_1[[#This Row],[Unit Price]]*Table_1[[#This Row],[Quantity]]</f>
        <v>420000</v>
      </c>
      <c r="M1058" s="8">
        <f>Table_1[[#This Row],[Cost Price]]*Table_1[[#This Row],[Quantity]]</f>
        <v>336000</v>
      </c>
      <c r="N1058">
        <f>Table_1[[#This Row],[Revenue]]-Table_1[[#This Row],[COGS]]</f>
        <v>84000</v>
      </c>
      <c r="O1058" s="11">
        <f t="shared" si="113"/>
        <v>4656740000</v>
      </c>
      <c r="P1058">
        <f t="shared" si="114"/>
        <v>3725392000</v>
      </c>
      <c r="Q1058">
        <f t="shared" si="115"/>
        <v>931348000</v>
      </c>
      <c r="R1058" s="7">
        <f t="shared" si="116"/>
        <v>2098</v>
      </c>
      <c r="S1058" s="7">
        <f t="shared" si="117"/>
        <v>3</v>
      </c>
      <c r="T1058" s="7">
        <f t="shared" si="118"/>
        <v>2098</v>
      </c>
    </row>
    <row r="1059" spans="1:20" ht="14.25" customHeight="1" x14ac:dyDescent="0.35">
      <c r="A1059" s="2" t="s">
        <v>121</v>
      </c>
      <c r="B1059" s="2" t="s">
        <v>29</v>
      </c>
      <c r="C1059" s="2" t="s">
        <v>21</v>
      </c>
      <c r="D1059" s="2" t="s">
        <v>14</v>
      </c>
      <c r="E1059" s="2" t="s">
        <v>22</v>
      </c>
      <c r="F1059" s="2" t="s">
        <v>52</v>
      </c>
      <c r="G1059" s="2" t="s">
        <v>36</v>
      </c>
      <c r="H1059" s="2">
        <v>420000</v>
      </c>
      <c r="I1059" s="2">
        <v>9</v>
      </c>
      <c r="J1059" s="2" t="s">
        <v>50</v>
      </c>
      <c r="K1059" s="2">
        <f t="shared" si="112"/>
        <v>336000</v>
      </c>
      <c r="L1059" s="9">
        <f>Table_1[[#This Row],[Unit Price]]*Table_1[[#This Row],[Quantity]]</f>
        <v>3780000</v>
      </c>
      <c r="M1059" s="8">
        <f>Table_1[[#This Row],[Cost Price]]*Table_1[[#This Row],[Quantity]]</f>
        <v>3024000</v>
      </c>
      <c r="N1059">
        <f>Table_1[[#This Row],[Revenue]]-Table_1[[#This Row],[COGS]]</f>
        <v>756000</v>
      </c>
      <c r="O1059" s="11">
        <f t="shared" si="113"/>
        <v>4656740000</v>
      </c>
      <c r="P1059">
        <f t="shared" si="114"/>
        <v>3725392000</v>
      </c>
      <c r="Q1059">
        <f t="shared" si="115"/>
        <v>931348000</v>
      </c>
      <c r="R1059" s="7">
        <f t="shared" si="116"/>
        <v>2098</v>
      </c>
      <c r="S1059" s="7">
        <f t="shared" si="117"/>
        <v>2</v>
      </c>
      <c r="T1059" s="7">
        <f t="shared" si="118"/>
        <v>2098</v>
      </c>
    </row>
    <row r="1060" spans="1:20" ht="14.25" customHeight="1" x14ac:dyDescent="0.35">
      <c r="A1060" s="2" t="s">
        <v>158</v>
      </c>
      <c r="B1060" s="2" t="s">
        <v>20</v>
      </c>
      <c r="C1060" s="2" t="s">
        <v>30</v>
      </c>
      <c r="D1060" s="2" t="s">
        <v>26</v>
      </c>
      <c r="E1060" s="2" t="s">
        <v>22</v>
      </c>
      <c r="F1060" s="2" t="s">
        <v>52</v>
      </c>
      <c r="G1060" s="2" t="s">
        <v>36</v>
      </c>
      <c r="H1060" s="2">
        <v>420000</v>
      </c>
      <c r="I1060" s="2">
        <v>6</v>
      </c>
      <c r="J1060" s="2" t="s">
        <v>27</v>
      </c>
      <c r="K1060" s="2">
        <f t="shared" si="112"/>
        <v>336000</v>
      </c>
      <c r="L1060" s="9">
        <f>Table_1[[#This Row],[Unit Price]]*Table_1[[#This Row],[Quantity]]</f>
        <v>2520000</v>
      </c>
      <c r="M1060" s="8">
        <f>Table_1[[#This Row],[Cost Price]]*Table_1[[#This Row],[Quantity]]</f>
        <v>2016000</v>
      </c>
      <c r="N1060">
        <f>Table_1[[#This Row],[Revenue]]-Table_1[[#This Row],[COGS]]</f>
        <v>504000</v>
      </c>
      <c r="O1060" s="11">
        <f t="shared" si="113"/>
        <v>4656740000</v>
      </c>
      <c r="P1060">
        <f t="shared" si="114"/>
        <v>3725392000</v>
      </c>
      <c r="Q1060">
        <f t="shared" si="115"/>
        <v>931348000</v>
      </c>
      <c r="R1060" s="7">
        <f t="shared" si="116"/>
        <v>2098</v>
      </c>
      <c r="S1060" s="7">
        <f t="shared" si="117"/>
        <v>3</v>
      </c>
      <c r="T1060" s="7">
        <f t="shared" si="118"/>
        <v>2098</v>
      </c>
    </row>
    <row r="1061" spans="1:20" ht="14.25" customHeight="1" x14ac:dyDescent="0.35">
      <c r="A1061" s="2" t="s">
        <v>86</v>
      </c>
      <c r="B1061" s="2" t="s">
        <v>20</v>
      </c>
      <c r="C1061" s="2" t="s">
        <v>13</v>
      </c>
      <c r="D1061" s="2" t="s">
        <v>14</v>
      </c>
      <c r="E1061" s="2" t="s">
        <v>15</v>
      </c>
      <c r="F1061" s="2" t="s">
        <v>35</v>
      </c>
      <c r="G1061" s="2" t="s">
        <v>36</v>
      </c>
      <c r="H1061" s="2">
        <v>300000</v>
      </c>
      <c r="I1061" s="2">
        <v>9</v>
      </c>
      <c r="J1061" s="2" t="s">
        <v>50</v>
      </c>
      <c r="K1061" s="2">
        <f t="shared" si="112"/>
        <v>240000</v>
      </c>
      <c r="L1061" s="9">
        <f>Table_1[[#This Row],[Unit Price]]*Table_1[[#This Row],[Quantity]]</f>
        <v>2700000</v>
      </c>
      <c r="M1061" s="8">
        <f>Table_1[[#This Row],[Cost Price]]*Table_1[[#This Row],[Quantity]]</f>
        <v>2160000</v>
      </c>
      <c r="N1061">
        <f>Table_1[[#This Row],[Revenue]]-Table_1[[#This Row],[COGS]]</f>
        <v>540000</v>
      </c>
      <c r="O1061" s="11">
        <f t="shared" si="113"/>
        <v>4656740000</v>
      </c>
      <c r="P1061">
        <f t="shared" si="114"/>
        <v>3725392000</v>
      </c>
      <c r="Q1061">
        <f t="shared" si="115"/>
        <v>931348000</v>
      </c>
      <c r="R1061" s="7">
        <f t="shared" si="116"/>
        <v>2098</v>
      </c>
      <c r="S1061" s="7">
        <f t="shared" si="117"/>
        <v>1</v>
      </c>
      <c r="T1061" s="7">
        <f t="shared" si="118"/>
        <v>2098</v>
      </c>
    </row>
    <row r="1062" spans="1:20" ht="14.25" customHeight="1" x14ac:dyDescent="0.35">
      <c r="A1062" s="2" t="s">
        <v>57</v>
      </c>
      <c r="B1062" s="2" t="s">
        <v>34</v>
      </c>
      <c r="C1062" s="2" t="s">
        <v>13</v>
      </c>
      <c r="D1062" s="2" t="s">
        <v>26</v>
      </c>
      <c r="E1062" s="2" t="s">
        <v>15</v>
      </c>
      <c r="F1062" s="2" t="s">
        <v>39</v>
      </c>
      <c r="G1062" s="2" t="s">
        <v>24</v>
      </c>
      <c r="H1062" s="2">
        <v>180000</v>
      </c>
      <c r="I1062" s="2">
        <v>5</v>
      </c>
      <c r="J1062" s="2" t="s">
        <v>54</v>
      </c>
      <c r="K1062" s="2">
        <f t="shared" si="112"/>
        <v>144000</v>
      </c>
      <c r="L1062" s="9">
        <f>Table_1[[#This Row],[Unit Price]]*Table_1[[#This Row],[Quantity]]</f>
        <v>900000</v>
      </c>
      <c r="M1062" s="8">
        <f>Table_1[[#This Row],[Cost Price]]*Table_1[[#This Row],[Quantity]]</f>
        <v>720000</v>
      </c>
      <c r="N1062">
        <f>Table_1[[#This Row],[Revenue]]-Table_1[[#This Row],[COGS]]</f>
        <v>180000</v>
      </c>
      <c r="O1062" s="11">
        <f t="shared" si="113"/>
        <v>4656740000</v>
      </c>
      <c r="P1062">
        <f t="shared" si="114"/>
        <v>3725392000</v>
      </c>
      <c r="Q1062">
        <f t="shared" si="115"/>
        <v>931348000</v>
      </c>
      <c r="R1062" s="7">
        <f t="shared" si="116"/>
        <v>2098</v>
      </c>
      <c r="S1062" s="7">
        <f t="shared" si="117"/>
        <v>2</v>
      </c>
      <c r="T1062" s="7">
        <f t="shared" si="118"/>
        <v>2098</v>
      </c>
    </row>
    <row r="1063" spans="1:20" ht="14.25" customHeight="1" x14ac:dyDescent="0.35">
      <c r="A1063" s="2" t="s">
        <v>48</v>
      </c>
      <c r="B1063" s="2" t="s">
        <v>29</v>
      </c>
      <c r="C1063" s="2" t="s">
        <v>30</v>
      </c>
      <c r="D1063" s="2" t="s">
        <v>14</v>
      </c>
      <c r="E1063" s="2" t="s">
        <v>22</v>
      </c>
      <c r="F1063" s="2" t="s">
        <v>47</v>
      </c>
      <c r="G1063" s="2" t="s">
        <v>36</v>
      </c>
      <c r="H1063" s="2">
        <v>150000</v>
      </c>
      <c r="I1063" s="2">
        <v>5</v>
      </c>
      <c r="J1063" s="2" t="s">
        <v>32</v>
      </c>
      <c r="K1063" s="2">
        <f t="shared" si="112"/>
        <v>120000</v>
      </c>
      <c r="L1063" s="9">
        <f>Table_1[[#This Row],[Unit Price]]*Table_1[[#This Row],[Quantity]]</f>
        <v>750000</v>
      </c>
      <c r="M1063" s="8">
        <f>Table_1[[#This Row],[Cost Price]]*Table_1[[#This Row],[Quantity]]</f>
        <v>600000</v>
      </c>
      <c r="N1063">
        <f>Table_1[[#This Row],[Revenue]]-Table_1[[#This Row],[COGS]]</f>
        <v>150000</v>
      </c>
      <c r="O1063" s="11">
        <f t="shared" si="113"/>
        <v>4656740000</v>
      </c>
      <c r="P1063">
        <f t="shared" si="114"/>
        <v>3725392000</v>
      </c>
      <c r="Q1063">
        <f t="shared" si="115"/>
        <v>931348000</v>
      </c>
      <c r="R1063" s="7">
        <f t="shared" si="116"/>
        <v>2098</v>
      </c>
      <c r="S1063" s="7">
        <f t="shared" si="117"/>
        <v>1</v>
      </c>
      <c r="T1063" s="7">
        <f t="shared" si="118"/>
        <v>2098</v>
      </c>
    </row>
    <row r="1064" spans="1:20" ht="14.25" customHeight="1" x14ac:dyDescent="0.35">
      <c r="A1064" s="2" t="s">
        <v>151</v>
      </c>
      <c r="B1064" s="2" t="s">
        <v>20</v>
      </c>
      <c r="C1064" s="2" t="s">
        <v>13</v>
      </c>
      <c r="D1064" s="2" t="s">
        <v>14</v>
      </c>
      <c r="E1064" s="2" t="s">
        <v>15</v>
      </c>
      <c r="F1064" s="2" t="s">
        <v>16</v>
      </c>
      <c r="G1064" s="2" t="s">
        <v>17</v>
      </c>
      <c r="H1064" s="2">
        <v>85000</v>
      </c>
      <c r="I1064" s="2">
        <v>9</v>
      </c>
      <c r="J1064" s="2" t="s">
        <v>32</v>
      </c>
      <c r="K1064" s="2">
        <f t="shared" si="112"/>
        <v>68000</v>
      </c>
      <c r="L1064" s="9">
        <f>Table_1[[#This Row],[Unit Price]]*Table_1[[#This Row],[Quantity]]</f>
        <v>765000</v>
      </c>
      <c r="M1064" s="8">
        <f>Table_1[[#This Row],[Cost Price]]*Table_1[[#This Row],[Quantity]]</f>
        <v>612000</v>
      </c>
      <c r="N1064">
        <f>Table_1[[#This Row],[Revenue]]-Table_1[[#This Row],[COGS]]</f>
        <v>153000</v>
      </c>
      <c r="O1064" s="11">
        <f t="shared" si="113"/>
        <v>4656740000</v>
      </c>
      <c r="P1064">
        <f t="shared" si="114"/>
        <v>3725392000</v>
      </c>
      <c r="Q1064">
        <f t="shared" si="115"/>
        <v>931348000</v>
      </c>
      <c r="R1064" s="7">
        <f t="shared" si="116"/>
        <v>2098</v>
      </c>
      <c r="S1064" s="7">
        <f t="shared" si="117"/>
        <v>1</v>
      </c>
      <c r="T1064" s="7">
        <f t="shared" si="118"/>
        <v>2098</v>
      </c>
    </row>
    <row r="1065" spans="1:20" ht="14.25" customHeight="1" x14ac:dyDescent="0.35">
      <c r="A1065" s="2" t="s">
        <v>121</v>
      </c>
      <c r="B1065" s="2" t="s">
        <v>12</v>
      </c>
      <c r="C1065" s="2" t="s">
        <v>38</v>
      </c>
      <c r="D1065" s="2" t="s">
        <v>26</v>
      </c>
      <c r="E1065" s="2" t="s">
        <v>15</v>
      </c>
      <c r="F1065" s="2" t="s">
        <v>52</v>
      </c>
      <c r="G1065" s="2" t="s">
        <v>36</v>
      </c>
      <c r="H1065" s="2">
        <v>420000</v>
      </c>
      <c r="I1065" s="2">
        <v>5</v>
      </c>
      <c r="J1065" s="2" t="s">
        <v>54</v>
      </c>
      <c r="K1065" s="2">
        <f t="shared" si="112"/>
        <v>336000</v>
      </c>
      <c r="L1065" s="9">
        <f>Table_1[[#This Row],[Unit Price]]*Table_1[[#This Row],[Quantity]]</f>
        <v>2100000</v>
      </c>
      <c r="M1065" s="8">
        <f>Table_1[[#This Row],[Cost Price]]*Table_1[[#This Row],[Quantity]]</f>
        <v>1680000</v>
      </c>
      <c r="N1065">
        <f>Table_1[[#This Row],[Revenue]]-Table_1[[#This Row],[COGS]]</f>
        <v>420000</v>
      </c>
      <c r="O1065" s="11">
        <f t="shared" si="113"/>
        <v>4656740000</v>
      </c>
      <c r="P1065">
        <f t="shared" si="114"/>
        <v>3725392000</v>
      </c>
      <c r="Q1065">
        <f t="shared" si="115"/>
        <v>931348000</v>
      </c>
      <c r="R1065" s="7">
        <f t="shared" si="116"/>
        <v>2098</v>
      </c>
      <c r="S1065" s="7">
        <f t="shared" si="117"/>
        <v>2</v>
      </c>
      <c r="T1065" s="7">
        <f t="shared" si="118"/>
        <v>2098</v>
      </c>
    </row>
    <row r="1066" spans="1:20" ht="14.25" customHeight="1" x14ac:dyDescent="0.35">
      <c r="A1066" s="2" t="s">
        <v>107</v>
      </c>
      <c r="B1066" s="2" t="s">
        <v>20</v>
      </c>
      <c r="C1066" s="2" t="s">
        <v>21</v>
      </c>
      <c r="D1066" s="2" t="s">
        <v>14</v>
      </c>
      <c r="E1066" s="2" t="s">
        <v>22</v>
      </c>
      <c r="F1066" s="2" t="s">
        <v>41</v>
      </c>
      <c r="G1066" s="2" t="s">
        <v>17</v>
      </c>
      <c r="H1066" s="2">
        <v>320000</v>
      </c>
      <c r="I1066" s="2">
        <v>4</v>
      </c>
      <c r="J1066" s="2" t="s">
        <v>32</v>
      </c>
      <c r="K1066" s="2">
        <f t="shared" si="112"/>
        <v>256000</v>
      </c>
      <c r="L1066" s="9">
        <f>Table_1[[#This Row],[Unit Price]]*Table_1[[#This Row],[Quantity]]</f>
        <v>1280000</v>
      </c>
      <c r="M1066" s="8">
        <f>Table_1[[#This Row],[Cost Price]]*Table_1[[#This Row],[Quantity]]</f>
        <v>1024000</v>
      </c>
      <c r="N1066">
        <f>Table_1[[#This Row],[Revenue]]-Table_1[[#This Row],[COGS]]</f>
        <v>256000</v>
      </c>
      <c r="O1066" s="11">
        <f t="shared" si="113"/>
        <v>4656740000</v>
      </c>
      <c r="P1066">
        <f t="shared" si="114"/>
        <v>3725392000</v>
      </c>
      <c r="Q1066">
        <f t="shared" si="115"/>
        <v>931348000</v>
      </c>
      <c r="R1066" s="7">
        <f t="shared" si="116"/>
        <v>2098</v>
      </c>
      <c r="S1066" s="7">
        <f t="shared" si="117"/>
        <v>3</v>
      </c>
      <c r="T1066" s="7">
        <f t="shared" si="118"/>
        <v>2098</v>
      </c>
    </row>
    <row r="1067" spans="1:20" ht="14.25" customHeight="1" x14ac:dyDescent="0.35">
      <c r="A1067" s="2" t="s">
        <v>149</v>
      </c>
      <c r="B1067" s="2" t="s">
        <v>20</v>
      </c>
      <c r="C1067" s="2" t="s">
        <v>21</v>
      </c>
      <c r="D1067" s="2" t="s">
        <v>26</v>
      </c>
      <c r="E1067" s="2" t="s">
        <v>15</v>
      </c>
      <c r="F1067" s="2" t="s">
        <v>23</v>
      </c>
      <c r="G1067" s="2" t="s">
        <v>24</v>
      </c>
      <c r="H1067" s="2">
        <v>30000</v>
      </c>
      <c r="I1067" s="2">
        <v>4</v>
      </c>
      <c r="J1067" s="2" t="s">
        <v>32</v>
      </c>
      <c r="K1067" s="2">
        <f t="shared" si="112"/>
        <v>24000</v>
      </c>
      <c r="L1067" s="9">
        <f>Table_1[[#This Row],[Unit Price]]*Table_1[[#This Row],[Quantity]]</f>
        <v>120000</v>
      </c>
      <c r="M1067" s="8">
        <f>Table_1[[#This Row],[Cost Price]]*Table_1[[#This Row],[Quantity]]</f>
        <v>96000</v>
      </c>
      <c r="N1067">
        <f>Table_1[[#This Row],[Revenue]]-Table_1[[#This Row],[COGS]]</f>
        <v>24000</v>
      </c>
      <c r="O1067" s="11">
        <f t="shared" si="113"/>
        <v>4656740000</v>
      </c>
      <c r="P1067">
        <f t="shared" si="114"/>
        <v>3725392000</v>
      </c>
      <c r="Q1067">
        <f t="shared" si="115"/>
        <v>931348000</v>
      </c>
      <c r="R1067" s="7">
        <f t="shared" si="116"/>
        <v>2098</v>
      </c>
      <c r="S1067" s="7">
        <f t="shared" si="117"/>
        <v>3</v>
      </c>
      <c r="T1067" s="7">
        <f t="shared" si="118"/>
        <v>2098</v>
      </c>
    </row>
    <row r="1068" spans="1:20" ht="14.25" customHeight="1" x14ac:dyDescent="0.35">
      <c r="A1068" s="2" t="s">
        <v>132</v>
      </c>
      <c r="B1068" s="2" t="s">
        <v>29</v>
      </c>
      <c r="C1068" s="2" t="s">
        <v>38</v>
      </c>
      <c r="D1068" s="2" t="s">
        <v>26</v>
      </c>
      <c r="E1068" s="2" t="s">
        <v>22</v>
      </c>
      <c r="F1068" s="2" t="s">
        <v>47</v>
      </c>
      <c r="G1068" s="2" t="s">
        <v>36</v>
      </c>
      <c r="H1068" s="2">
        <v>150000</v>
      </c>
      <c r="I1068" s="2">
        <v>3</v>
      </c>
      <c r="J1068" s="2" t="s">
        <v>50</v>
      </c>
      <c r="K1068" s="2">
        <f t="shared" si="112"/>
        <v>120000</v>
      </c>
      <c r="L1068" s="9">
        <f>Table_1[[#This Row],[Unit Price]]*Table_1[[#This Row],[Quantity]]</f>
        <v>450000</v>
      </c>
      <c r="M1068" s="8">
        <f>Table_1[[#This Row],[Cost Price]]*Table_1[[#This Row],[Quantity]]</f>
        <v>360000</v>
      </c>
      <c r="N1068">
        <f>Table_1[[#This Row],[Revenue]]-Table_1[[#This Row],[COGS]]</f>
        <v>90000</v>
      </c>
      <c r="O1068" s="11">
        <f t="shared" si="113"/>
        <v>4656740000</v>
      </c>
      <c r="P1068">
        <f t="shared" si="114"/>
        <v>3725392000</v>
      </c>
      <c r="Q1068">
        <f t="shared" si="115"/>
        <v>931348000</v>
      </c>
      <c r="R1068" s="7">
        <f t="shared" si="116"/>
        <v>2098</v>
      </c>
      <c r="S1068" s="7">
        <f t="shared" si="117"/>
        <v>1</v>
      </c>
      <c r="T1068" s="7">
        <f t="shared" si="118"/>
        <v>2098</v>
      </c>
    </row>
    <row r="1069" spans="1:20" ht="14.25" customHeight="1" x14ac:dyDescent="0.35">
      <c r="A1069" s="2" t="s">
        <v>71</v>
      </c>
      <c r="B1069" s="2" t="s">
        <v>12</v>
      </c>
      <c r="C1069" s="2" t="s">
        <v>21</v>
      </c>
      <c r="D1069" s="2" t="s">
        <v>14</v>
      </c>
      <c r="E1069" s="2" t="s">
        <v>15</v>
      </c>
      <c r="F1069" s="2" t="s">
        <v>58</v>
      </c>
      <c r="G1069" s="2" t="s">
        <v>24</v>
      </c>
      <c r="H1069" s="2">
        <v>220000</v>
      </c>
      <c r="I1069" s="2">
        <v>7</v>
      </c>
      <c r="J1069" s="2" t="s">
        <v>18</v>
      </c>
      <c r="K1069" s="2">
        <f t="shared" si="112"/>
        <v>176000</v>
      </c>
      <c r="L1069" s="9">
        <f>Table_1[[#This Row],[Unit Price]]*Table_1[[#This Row],[Quantity]]</f>
        <v>1540000</v>
      </c>
      <c r="M1069" s="8">
        <f>Table_1[[#This Row],[Cost Price]]*Table_1[[#This Row],[Quantity]]</f>
        <v>1232000</v>
      </c>
      <c r="N1069">
        <f>Table_1[[#This Row],[Revenue]]-Table_1[[#This Row],[COGS]]</f>
        <v>308000</v>
      </c>
      <c r="O1069" s="11">
        <f t="shared" si="113"/>
        <v>4656740000</v>
      </c>
      <c r="P1069">
        <f t="shared" si="114"/>
        <v>3725392000</v>
      </c>
      <c r="Q1069">
        <f t="shared" si="115"/>
        <v>931348000</v>
      </c>
      <c r="R1069" s="7">
        <f t="shared" si="116"/>
        <v>2098</v>
      </c>
      <c r="S1069" s="7">
        <f t="shared" si="117"/>
        <v>2</v>
      </c>
      <c r="T1069" s="7">
        <f t="shared" si="118"/>
        <v>2098</v>
      </c>
    </row>
    <row r="1070" spans="1:20" ht="14.25" customHeight="1" x14ac:dyDescent="0.35">
      <c r="A1070" s="2" t="s">
        <v>68</v>
      </c>
      <c r="B1070" s="2" t="s">
        <v>20</v>
      </c>
      <c r="C1070" s="2" t="s">
        <v>13</v>
      </c>
      <c r="D1070" s="2" t="s">
        <v>14</v>
      </c>
      <c r="E1070" s="2" t="s">
        <v>22</v>
      </c>
      <c r="F1070" s="2" t="s">
        <v>39</v>
      </c>
      <c r="G1070" s="2" t="s">
        <v>24</v>
      </c>
      <c r="H1070" s="2">
        <v>180000</v>
      </c>
      <c r="I1070" s="2">
        <v>10</v>
      </c>
      <c r="J1070" s="2" t="s">
        <v>43</v>
      </c>
      <c r="K1070" s="2">
        <f t="shared" si="112"/>
        <v>144000</v>
      </c>
      <c r="L1070" s="9">
        <f>Table_1[[#This Row],[Unit Price]]*Table_1[[#This Row],[Quantity]]</f>
        <v>1800000</v>
      </c>
      <c r="M1070" s="8">
        <f>Table_1[[#This Row],[Cost Price]]*Table_1[[#This Row],[Quantity]]</f>
        <v>1440000</v>
      </c>
      <c r="N1070">
        <f>Table_1[[#This Row],[Revenue]]-Table_1[[#This Row],[COGS]]</f>
        <v>360000</v>
      </c>
      <c r="O1070" s="11">
        <f t="shared" si="113"/>
        <v>4656740000</v>
      </c>
      <c r="P1070">
        <f t="shared" si="114"/>
        <v>3725392000</v>
      </c>
      <c r="Q1070">
        <f t="shared" si="115"/>
        <v>931348000</v>
      </c>
      <c r="R1070" s="7">
        <f t="shared" si="116"/>
        <v>2098</v>
      </c>
      <c r="S1070" s="7">
        <f t="shared" si="117"/>
        <v>1</v>
      </c>
      <c r="T1070" s="7">
        <f t="shared" si="118"/>
        <v>2098</v>
      </c>
    </row>
    <row r="1071" spans="1:20" ht="14.25" customHeight="1" x14ac:dyDescent="0.35">
      <c r="A1071" s="2" t="s">
        <v>138</v>
      </c>
      <c r="B1071" s="2" t="s">
        <v>12</v>
      </c>
      <c r="C1071" s="2" t="s">
        <v>38</v>
      </c>
      <c r="D1071" s="2" t="s">
        <v>26</v>
      </c>
      <c r="E1071" s="2" t="s">
        <v>15</v>
      </c>
      <c r="F1071" s="2" t="s">
        <v>16</v>
      </c>
      <c r="G1071" s="2" t="s">
        <v>17</v>
      </c>
      <c r="H1071" s="2">
        <v>85000</v>
      </c>
      <c r="I1071" s="2">
        <v>7</v>
      </c>
      <c r="J1071" s="2" t="s">
        <v>27</v>
      </c>
      <c r="K1071" s="2">
        <f t="shared" si="112"/>
        <v>68000</v>
      </c>
      <c r="L1071" s="9">
        <f>Table_1[[#This Row],[Unit Price]]*Table_1[[#This Row],[Quantity]]</f>
        <v>595000</v>
      </c>
      <c r="M1071" s="8">
        <f>Table_1[[#This Row],[Cost Price]]*Table_1[[#This Row],[Quantity]]</f>
        <v>476000</v>
      </c>
      <c r="N1071">
        <f>Table_1[[#This Row],[Revenue]]-Table_1[[#This Row],[COGS]]</f>
        <v>119000</v>
      </c>
      <c r="O1071" s="11">
        <f t="shared" si="113"/>
        <v>4656740000</v>
      </c>
      <c r="P1071">
        <f t="shared" si="114"/>
        <v>3725392000</v>
      </c>
      <c r="Q1071">
        <f t="shared" si="115"/>
        <v>931348000</v>
      </c>
      <c r="R1071" s="7">
        <f t="shared" si="116"/>
        <v>2098</v>
      </c>
      <c r="S1071" s="7">
        <f t="shared" si="117"/>
        <v>3</v>
      </c>
      <c r="T1071" s="7">
        <f t="shared" si="118"/>
        <v>2098</v>
      </c>
    </row>
    <row r="1072" spans="1:20" ht="14.25" customHeight="1" x14ac:dyDescent="0.35">
      <c r="A1072" s="2" t="s">
        <v>104</v>
      </c>
      <c r="B1072" s="2" t="s">
        <v>20</v>
      </c>
      <c r="C1072" s="2" t="s">
        <v>21</v>
      </c>
      <c r="D1072" s="2" t="s">
        <v>14</v>
      </c>
      <c r="E1072" s="2" t="s">
        <v>15</v>
      </c>
      <c r="F1072" s="2" t="s">
        <v>23</v>
      </c>
      <c r="G1072" s="2" t="s">
        <v>24</v>
      </c>
      <c r="H1072" s="2">
        <v>30000</v>
      </c>
      <c r="I1072" s="2">
        <v>3</v>
      </c>
      <c r="J1072" s="2" t="s">
        <v>27</v>
      </c>
      <c r="K1072" s="2">
        <f t="shared" si="112"/>
        <v>24000</v>
      </c>
      <c r="L1072" s="9">
        <f>Table_1[[#This Row],[Unit Price]]*Table_1[[#This Row],[Quantity]]</f>
        <v>90000</v>
      </c>
      <c r="M1072" s="8">
        <f>Table_1[[#This Row],[Cost Price]]*Table_1[[#This Row],[Quantity]]</f>
        <v>72000</v>
      </c>
      <c r="N1072">
        <f>Table_1[[#This Row],[Revenue]]-Table_1[[#This Row],[COGS]]</f>
        <v>18000</v>
      </c>
      <c r="O1072" s="11">
        <f t="shared" si="113"/>
        <v>4656740000</v>
      </c>
      <c r="P1072">
        <f t="shared" si="114"/>
        <v>3725392000</v>
      </c>
      <c r="Q1072">
        <f t="shared" si="115"/>
        <v>931348000</v>
      </c>
      <c r="R1072" s="7">
        <f t="shared" si="116"/>
        <v>2098</v>
      </c>
      <c r="S1072" s="7">
        <f t="shared" si="117"/>
        <v>2</v>
      </c>
      <c r="T1072" s="7">
        <f t="shared" si="118"/>
        <v>2098</v>
      </c>
    </row>
    <row r="1073" spans="1:20" ht="14.25" customHeight="1" x14ac:dyDescent="0.35">
      <c r="A1073" s="2" t="s">
        <v>135</v>
      </c>
      <c r="B1073" s="2" t="s">
        <v>34</v>
      </c>
      <c r="C1073" s="2" t="s">
        <v>13</v>
      </c>
      <c r="D1073" s="2" t="s">
        <v>26</v>
      </c>
      <c r="E1073" s="2" t="s">
        <v>15</v>
      </c>
      <c r="F1073" s="2" t="s">
        <v>41</v>
      </c>
      <c r="G1073" s="2" t="s">
        <v>17</v>
      </c>
      <c r="H1073" s="2">
        <v>320000</v>
      </c>
      <c r="I1073" s="2">
        <v>9</v>
      </c>
      <c r="J1073" s="2" t="s">
        <v>50</v>
      </c>
      <c r="K1073" s="2">
        <f t="shared" si="112"/>
        <v>256000</v>
      </c>
      <c r="L1073" s="9">
        <f>Table_1[[#This Row],[Unit Price]]*Table_1[[#This Row],[Quantity]]</f>
        <v>2880000</v>
      </c>
      <c r="M1073" s="8">
        <f>Table_1[[#This Row],[Cost Price]]*Table_1[[#This Row],[Quantity]]</f>
        <v>2304000</v>
      </c>
      <c r="N1073">
        <f>Table_1[[#This Row],[Revenue]]-Table_1[[#This Row],[COGS]]</f>
        <v>576000</v>
      </c>
      <c r="O1073" s="11">
        <f t="shared" si="113"/>
        <v>4656740000</v>
      </c>
      <c r="P1073">
        <f t="shared" si="114"/>
        <v>3725392000</v>
      </c>
      <c r="Q1073">
        <f t="shared" si="115"/>
        <v>931348000</v>
      </c>
      <c r="R1073" s="7">
        <f t="shared" si="116"/>
        <v>2098</v>
      </c>
      <c r="S1073" s="7">
        <f t="shared" si="117"/>
        <v>1</v>
      </c>
      <c r="T1073" s="7">
        <f t="shared" si="118"/>
        <v>2098</v>
      </c>
    </row>
    <row r="1074" spans="1:20" ht="14.25" customHeight="1" x14ac:dyDescent="0.35">
      <c r="A1074" s="2" t="s">
        <v>110</v>
      </c>
      <c r="B1074" s="2" t="s">
        <v>12</v>
      </c>
      <c r="C1074" s="2" t="s">
        <v>21</v>
      </c>
      <c r="D1074" s="2" t="s">
        <v>14</v>
      </c>
      <c r="E1074" s="2" t="s">
        <v>22</v>
      </c>
      <c r="F1074" s="2" t="s">
        <v>47</v>
      </c>
      <c r="G1074" s="2" t="s">
        <v>36</v>
      </c>
      <c r="H1074" s="2">
        <v>150000</v>
      </c>
      <c r="I1074" s="2">
        <v>2</v>
      </c>
      <c r="J1074" s="2" t="s">
        <v>27</v>
      </c>
      <c r="K1074" s="2">
        <f t="shared" si="112"/>
        <v>120000</v>
      </c>
      <c r="L1074" s="9">
        <f>Table_1[[#This Row],[Unit Price]]*Table_1[[#This Row],[Quantity]]</f>
        <v>300000</v>
      </c>
      <c r="M1074" s="8">
        <f>Table_1[[#This Row],[Cost Price]]*Table_1[[#This Row],[Quantity]]</f>
        <v>240000</v>
      </c>
      <c r="N1074">
        <f>Table_1[[#This Row],[Revenue]]-Table_1[[#This Row],[COGS]]</f>
        <v>60000</v>
      </c>
      <c r="O1074" s="11">
        <f t="shared" si="113"/>
        <v>4656740000</v>
      </c>
      <c r="P1074">
        <f t="shared" si="114"/>
        <v>3725392000</v>
      </c>
      <c r="Q1074">
        <f t="shared" si="115"/>
        <v>931348000</v>
      </c>
      <c r="R1074" s="7">
        <f t="shared" si="116"/>
        <v>2098</v>
      </c>
      <c r="S1074" s="7">
        <f t="shared" si="117"/>
        <v>2</v>
      </c>
      <c r="T1074" s="7">
        <f t="shared" si="118"/>
        <v>2098</v>
      </c>
    </row>
    <row r="1075" spans="1:20" ht="14.25" customHeight="1" x14ac:dyDescent="0.35">
      <c r="A1075" s="2" t="s">
        <v>139</v>
      </c>
      <c r="B1075" s="2" t="s">
        <v>20</v>
      </c>
      <c r="C1075" s="2" t="s">
        <v>21</v>
      </c>
      <c r="D1075" s="2" t="s">
        <v>26</v>
      </c>
      <c r="E1075" s="2" t="s">
        <v>22</v>
      </c>
      <c r="F1075" s="2" t="s">
        <v>39</v>
      </c>
      <c r="G1075" s="2" t="s">
        <v>24</v>
      </c>
      <c r="H1075" s="2">
        <v>180000</v>
      </c>
      <c r="I1075" s="2">
        <v>8</v>
      </c>
      <c r="J1075" s="2" t="s">
        <v>50</v>
      </c>
      <c r="K1075" s="2">
        <f t="shared" si="112"/>
        <v>144000</v>
      </c>
      <c r="L1075" s="9">
        <f>Table_1[[#This Row],[Unit Price]]*Table_1[[#This Row],[Quantity]]</f>
        <v>1440000</v>
      </c>
      <c r="M1075" s="8">
        <f>Table_1[[#This Row],[Cost Price]]*Table_1[[#This Row],[Quantity]]</f>
        <v>1152000</v>
      </c>
      <c r="N1075">
        <f>Table_1[[#This Row],[Revenue]]-Table_1[[#This Row],[COGS]]</f>
        <v>288000</v>
      </c>
      <c r="O1075" s="11">
        <f t="shared" si="113"/>
        <v>4656740000</v>
      </c>
      <c r="P1075">
        <f t="shared" si="114"/>
        <v>3725392000</v>
      </c>
      <c r="Q1075">
        <f t="shared" si="115"/>
        <v>931348000</v>
      </c>
      <c r="R1075" s="7">
        <f t="shared" si="116"/>
        <v>2098</v>
      </c>
      <c r="S1075" s="7">
        <f t="shared" si="117"/>
        <v>2</v>
      </c>
      <c r="T1075" s="7">
        <f t="shared" si="118"/>
        <v>2098</v>
      </c>
    </row>
    <row r="1076" spans="1:20" ht="14.25" customHeight="1" x14ac:dyDescent="0.35">
      <c r="A1076" s="2" t="s">
        <v>80</v>
      </c>
      <c r="B1076" s="2" t="s">
        <v>20</v>
      </c>
      <c r="C1076" s="2" t="s">
        <v>21</v>
      </c>
      <c r="D1076" s="2" t="s">
        <v>26</v>
      </c>
      <c r="E1076" s="2" t="s">
        <v>22</v>
      </c>
      <c r="F1076" s="2" t="s">
        <v>16</v>
      </c>
      <c r="G1076" s="2" t="s">
        <v>17</v>
      </c>
      <c r="H1076" s="2">
        <v>85000</v>
      </c>
      <c r="I1076" s="2">
        <v>7</v>
      </c>
      <c r="J1076" s="2" t="s">
        <v>18</v>
      </c>
      <c r="K1076" s="2">
        <f t="shared" si="112"/>
        <v>68000</v>
      </c>
      <c r="L1076" s="9">
        <f>Table_1[[#This Row],[Unit Price]]*Table_1[[#This Row],[Quantity]]</f>
        <v>595000</v>
      </c>
      <c r="M1076" s="8">
        <f>Table_1[[#This Row],[Cost Price]]*Table_1[[#This Row],[Quantity]]</f>
        <v>476000</v>
      </c>
      <c r="N1076">
        <f>Table_1[[#This Row],[Revenue]]-Table_1[[#This Row],[COGS]]</f>
        <v>119000</v>
      </c>
      <c r="O1076" s="11">
        <f t="shared" si="113"/>
        <v>4656740000</v>
      </c>
      <c r="P1076">
        <f t="shared" si="114"/>
        <v>3725392000</v>
      </c>
      <c r="Q1076">
        <f t="shared" si="115"/>
        <v>931348000</v>
      </c>
      <c r="R1076" s="7">
        <f t="shared" si="116"/>
        <v>2098</v>
      </c>
      <c r="S1076" s="7">
        <f t="shared" si="117"/>
        <v>2</v>
      </c>
      <c r="T1076" s="7">
        <f t="shared" si="118"/>
        <v>2098</v>
      </c>
    </row>
    <row r="1077" spans="1:20" ht="14.25" customHeight="1" x14ac:dyDescent="0.35">
      <c r="A1077" s="2" t="s">
        <v>33</v>
      </c>
      <c r="B1077" s="2" t="s">
        <v>12</v>
      </c>
      <c r="C1077" s="2" t="s">
        <v>38</v>
      </c>
      <c r="D1077" s="2" t="s">
        <v>26</v>
      </c>
      <c r="E1077" s="2" t="s">
        <v>15</v>
      </c>
      <c r="F1077" s="2" t="s">
        <v>39</v>
      </c>
      <c r="G1077" s="2" t="s">
        <v>24</v>
      </c>
      <c r="H1077" s="2">
        <v>180000</v>
      </c>
      <c r="I1077" s="2">
        <v>8</v>
      </c>
      <c r="J1077" s="2" t="s">
        <v>54</v>
      </c>
      <c r="K1077" s="2">
        <f t="shared" si="112"/>
        <v>144000</v>
      </c>
      <c r="L1077" s="9">
        <f>Table_1[[#This Row],[Unit Price]]*Table_1[[#This Row],[Quantity]]</f>
        <v>1440000</v>
      </c>
      <c r="M1077" s="8">
        <f>Table_1[[#This Row],[Cost Price]]*Table_1[[#This Row],[Quantity]]</f>
        <v>1152000</v>
      </c>
      <c r="N1077">
        <f>Table_1[[#This Row],[Revenue]]-Table_1[[#This Row],[COGS]]</f>
        <v>288000</v>
      </c>
      <c r="O1077" s="11">
        <f t="shared" si="113"/>
        <v>4656740000</v>
      </c>
      <c r="P1077">
        <f t="shared" si="114"/>
        <v>3725392000</v>
      </c>
      <c r="Q1077">
        <f t="shared" si="115"/>
        <v>931348000</v>
      </c>
      <c r="R1077" s="7">
        <f t="shared" si="116"/>
        <v>2098</v>
      </c>
      <c r="S1077" s="7">
        <f t="shared" si="117"/>
        <v>4</v>
      </c>
      <c r="T1077" s="7">
        <f t="shared" si="118"/>
        <v>2098</v>
      </c>
    </row>
    <row r="1078" spans="1:20" ht="14.25" customHeight="1" x14ac:dyDescent="0.35">
      <c r="A1078" s="2" t="s">
        <v>64</v>
      </c>
      <c r="B1078" s="2" t="s">
        <v>34</v>
      </c>
      <c r="C1078" s="2" t="s">
        <v>13</v>
      </c>
      <c r="D1078" s="2" t="s">
        <v>26</v>
      </c>
      <c r="E1078" s="2" t="s">
        <v>15</v>
      </c>
      <c r="F1078" s="2" t="s">
        <v>58</v>
      </c>
      <c r="G1078" s="2" t="s">
        <v>24</v>
      </c>
      <c r="H1078" s="2">
        <v>220000</v>
      </c>
      <c r="I1078" s="2">
        <v>5</v>
      </c>
      <c r="J1078" s="2" t="s">
        <v>54</v>
      </c>
      <c r="K1078" s="2">
        <f t="shared" si="112"/>
        <v>176000</v>
      </c>
      <c r="L1078" s="9">
        <f>Table_1[[#This Row],[Unit Price]]*Table_1[[#This Row],[Quantity]]</f>
        <v>1100000</v>
      </c>
      <c r="M1078" s="8">
        <f>Table_1[[#This Row],[Cost Price]]*Table_1[[#This Row],[Quantity]]</f>
        <v>880000</v>
      </c>
      <c r="N1078">
        <f>Table_1[[#This Row],[Revenue]]-Table_1[[#This Row],[COGS]]</f>
        <v>220000</v>
      </c>
      <c r="O1078" s="11">
        <f t="shared" si="113"/>
        <v>4656740000</v>
      </c>
      <c r="P1078">
        <f t="shared" si="114"/>
        <v>3725392000</v>
      </c>
      <c r="Q1078">
        <f t="shared" si="115"/>
        <v>931348000</v>
      </c>
      <c r="R1078" s="7">
        <f t="shared" si="116"/>
        <v>2098</v>
      </c>
      <c r="S1078" s="7">
        <f t="shared" si="117"/>
        <v>2</v>
      </c>
      <c r="T1078" s="7">
        <f t="shared" si="118"/>
        <v>2098</v>
      </c>
    </row>
    <row r="1079" spans="1:20" ht="14.25" customHeight="1" x14ac:dyDescent="0.35">
      <c r="A1079" s="2" t="s">
        <v>71</v>
      </c>
      <c r="B1079" s="2" t="s">
        <v>34</v>
      </c>
      <c r="C1079" s="2" t="s">
        <v>30</v>
      </c>
      <c r="D1079" s="2" t="s">
        <v>14</v>
      </c>
      <c r="E1079" s="2" t="s">
        <v>15</v>
      </c>
      <c r="F1079" s="2" t="s">
        <v>35</v>
      </c>
      <c r="G1079" s="2" t="s">
        <v>36</v>
      </c>
      <c r="H1079" s="2">
        <v>300000</v>
      </c>
      <c r="I1079" s="2">
        <v>5</v>
      </c>
      <c r="J1079" s="2" t="s">
        <v>50</v>
      </c>
      <c r="K1079" s="2">
        <f t="shared" si="112"/>
        <v>240000</v>
      </c>
      <c r="L1079" s="9">
        <f>Table_1[[#This Row],[Unit Price]]*Table_1[[#This Row],[Quantity]]</f>
        <v>1500000</v>
      </c>
      <c r="M1079" s="8">
        <f>Table_1[[#This Row],[Cost Price]]*Table_1[[#This Row],[Quantity]]</f>
        <v>1200000</v>
      </c>
      <c r="N1079">
        <f>Table_1[[#This Row],[Revenue]]-Table_1[[#This Row],[COGS]]</f>
        <v>300000</v>
      </c>
      <c r="O1079" s="11">
        <f t="shared" si="113"/>
        <v>4656740000</v>
      </c>
      <c r="P1079">
        <f t="shared" si="114"/>
        <v>3725392000</v>
      </c>
      <c r="Q1079">
        <f t="shared" si="115"/>
        <v>931348000</v>
      </c>
      <c r="R1079" s="7">
        <f t="shared" si="116"/>
        <v>2098</v>
      </c>
      <c r="S1079" s="7">
        <f t="shared" si="117"/>
        <v>2</v>
      </c>
      <c r="T1079" s="7">
        <f t="shared" si="118"/>
        <v>2098</v>
      </c>
    </row>
    <row r="1080" spans="1:20" ht="14.25" customHeight="1" x14ac:dyDescent="0.35">
      <c r="A1080" s="2" t="s">
        <v>127</v>
      </c>
      <c r="B1080" s="2" t="s">
        <v>34</v>
      </c>
      <c r="C1080" s="2" t="s">
        <v>38</v>
      </c>
      <c r="D1080" s="2" t="s">
        <v>14</v>
      </c>
      <c r="E1080" s="2" t="s">
        <v>22</v>
      </c>
      <c r="F1080" s="2" t="s">
        <v>56</v>
      </c>
      <c r="G1080" s="2" t="s">
        <v>36</v>
      </c>
      <c r="H1080" s="2">
        <v>250000</v>
      </c>
      <c r="I1080" s="2">
        <v>7</v>
      </c>
      <c r="J1080" s="2" t="s">
        <v>18</v>
      </c>
      <c r="K1080" s="2">
        <f t="shared" si="112"/>
        <v>200000</v>
      </c>
      <c r="L1080" s="9">
        <f>Table_1[[#This Row],[Unit Price]]*Table_1[[#This Row],[Quantity]]</f>
        <v>1750000</v>
      </c>
      <c r="M1080" s="8">
        <f>Table_1[[#This Row],[Cost Price]]*Table_1[[#This Row],[Quantity]]</f>
        <v>1400000</v>
      </c>
      <c r="N1080">
        <f>Table_1[[#This Row],[Revenue]]-Table_1[[#This Row],[COGS]]</f>
        <v>350000</v>
      </c>
      <c r="O1080" s="11">
        <f t="shared" si="113"/>
        <v>4656740000</v>
      </c>
      <c r="P1080">
        <f t="shared" si="114"/>
        <v>3725392000</v>
      </c>
      <c r="Q1080">
        <f t="shared" si="115"/>
        <v>931348000</v>
      </c>
      <c r="R1080" s="7">
        <f t="shared" si="116"/>
        <v>2098</v>
      </c>
      <c r="S1080" s="7">
        <f t="shared" si="117"/>
        <v>4</v>
      </c>
      <c r="T1080" s="7">
        <f t="shared" si="118"/>
        <v>2098</v>
      </c>
    </row>
    <row r="1081" spans="1:20" ht="14.25" customHeight="1" x14ac:dyDescent="0.35">
      <c r="A1081" s="2" t="s">
        <v>85</v>
      </c>
      <c r="B1081" s="2" t="s">
        <v>12</v>
      </c>
      <c r="C1081" s="2" t="s">
        <v>38</v>
      </c>
      <c r="D1081" s="2" t="s">
        <v>26</v>
      </c>
      <c r="E1081" s="2" t="s">
        <v>22</v>
      </c>
      <c r="F1081" s="2" t="s">
        <v>31</v>
      </c>
      <c r="G1081" s="2" t="s">
        <v>24</v>
      </c>
      <c r="H1081" s="2">
        <v>60000</v>
      </c>
      <c r="I1081" s="2">
        <v>7</v>
      </c>
      <c r="J1081" s="2" t="s">
        <v>50</v>
      </c>
      <c r="K1081" s="2">
        <f t="shared" si="112"/>
        <v>48000</v>
      </c>
      <c r="L1081" s="9">
        <f>Table_1[[#This Row],[Unit Price]]*Table_1[[#This Row],[Quantity]]</f>
        <v>420000</v>
      </c>
      <c r="M1081" s="8">
        <f>Table_1[[#This Row],[Cost Price]]*Table_1[[#This Row],[Quantity]]</f>
        <v>336000</v>
      </c>
      <c r="N1081">
        <f>Table_1[[#This Row],[Revenue]]-Table_1[[#This Row],[COGS]]</f>
        <v>84000</v>
      </c>
      <c r="O1081" s="11">
        <f t="shared" si="113"/>
        <v>4656740000</v>
      </c>
      <c r="P1081">
        <f t="shared" si="114"/>
        <v>3725392000</v>
      </c>
      <c r="Q1081">
        <f t="shared" si="115"/>
        <v>931348000</v>
      </c>
      <c r="R1081" s="7">
        <f t="shared" si="116"/>
        <v>2098</v>
      </c>
      <c r="S1081" s="7">
        <f t="shared" si="117"/>
        <v>1</v>
      </c>
      <c r="T1081" s="7">
        <f t="shared" si="118"/>
        <v>2098</v>
      </c>
    </row>
    <row r="1082" spans="1:20" ht="14.25" customHeight="1" x14ac:dyDescent="0.35">
      <c r="A1082" s="2" t="s">
        <v>146</v>
      </c>
      <c r="B1082" s="2" t="s">
        <v>20</v>
      </c>
      <c r="C1082" s="2" t="s">
        <v>13</v>
      </c>
      <c r="D1082" s="2" t="s">
        <v>26</v>
      </c>
      <c r="E1082" s="2" t="s">
        <v>15</v>
      </c>
      <c r="F1082" s="2" t="s">
        <v>16</v>
      </c>
      <c r="G1082" s="2" t="s">
        <v>17</v>
      </c>
      <c r="H1082" s="2">
        <v>85000</v>
      </c>
      <c r="I1082" s="2">
        <v>2</v>
      </c>
      <c r="J1082" s="2" t="s">
        <v>43</v>
      </c>
      <c r="K1082" s="2">
        <f t="shared" si="112"/>
        <v>68000</v>
      </c>
      <c r="L1082" s="9">
        <f>Table_1[[#This Row],[Unit Price]]*Table_1[[#This Row],[Quantity]]</f>
        <v>170000</v>
      </c>
      <c r="M1082" s="8">
        <f>Table_1[[#This Row],[Cost Price]]*Table_1[[#This Row],[Quantity]]</f>
        <v>136000</v>
      </c>
      <c r="N1082">
        <f>Table_1[[#This Row],[Revenue]]-Table_1[[#This Row],[COGS]]</f>
        <v>34000</v>
      </c>
      <c r="O1082" s="11">
        <f t="shared" si="113"/>
        <v>4656740000</v>
      </c>
      <c r="P1082">
        <f t="shared" si="114"/>
        <v>3725392000</v>
      </c>
      <c r="Q1082">
        <f t="shared" si="115"/>
        <v>931348000</v>
      </c>
      <c r="R1082" s="7">
        <f t="shared" si="116"/>
        <v>2098</v>
      </c>
      <c r="S1082" s="7">
        <f t="shared" si="117"/>
        <v>3</v>
      </c>
      <c r="T1082" s="7">
        <f t="shared" si="118"/>
        <v>2098</v>
      </c>
    </row>
    <row r="1083" spans="1:20" ht="14.25" customHeight="1" x14ac:dyDescent="0.35">
      <c r="A1083" s="2" t="s">
        <v>131</v>
      </c>
      <c r="B1083" s="2" t="s">
        <v>12</v>
      </c>
      <c r="C1083" s="2" t="s">
        <v>13</v>
      </c>
      <c r="D1083" s="2" t="s">
        <v>14</v>
      </c>
      <c r="E1083" s="2" t="s">
        <v>22</v>
      </c>
      <c r="F1083" s="2" t="s">
        <v>31</v>
      </c>
      <c r="G1083" s="2" t="s">
        <v>24</v>
      </c>
      <c r="H1083" s="2">
        <v>60000</v>
      </c>
      <c r="I1083" s="2">
        <v>2</v>
      </c>
      <c r="J1083" s="2" t="s">
        <v>54</v>
      </c>
      <c r="K1083" s="2">
        <f t="shared" si="112"/>
        <v>48000</v>
      </c>
      <c r="L1083" s="9">
        <f>Table_1[[#This Row],[Unit Price]]*Table_1[[#This Row],[Quantity]]</f>
        <v>120000</v>
      </c>
      <c r="M1083" s="8">
        <f>Table_1[[#This Row],[Cost Price]]*Table_1[[#This Row],[Quantity]]</f>
        <v>96000</v>
      </c>
      <c r="N1083">
        <f>Table_1[[#This Row],[Revenue]]-Table_1[[#This Row],[COGS]]</f>
        <v>24000</v>
      </c>
      <c r="O1083" s="11">
        <f t="shared" si="113"/>
        <v>4656740000</v>
      </c>
      <c r="P1083">
        <f t="shared" si="114"/>
        <v>3725392000</v>
      </c>
      <c r="Q1083">
        <f t="shared" si="115"/>
        <v>931348000</v>
      </c>
      <c r="R1083" s="7">
        <f t="shared" si="116"/>
        <v>2098</v>
      </c>
      <c r="S1083" s="7">
        <f t="shared" si="117"/>
        <v>1</v>
      </c>
      <c r="T1083" s="7">
        <f t="shared" si="118"/>
        <v>2098</v>
      </c>
    </row>
    <row r="1084" spans="1:20" ht="14.25" customHeight="1" x14ac:dyDescent="0.35">
      <c r="A1084" s="2" t="s">
        <v>130</v>
      </c>
      <c r="B1084" s="2" t="s">
        <v>20</v>
      </c>
      <c r="C1084" s="2" t="s">
        <v>38</v>
      </c>
      <c r="D1084" s="2" t="s">
        <v>26</v>
      </c>
      <c r="E1084" s="2" t="s">
        <v>15</v>
      </c>
      <c r="F1084" s="2" t="s">
        <v>23</v>
      </c>
      <c r="G1084" s="2" t="s">
        <v>24</v>
      </c>
      <c r="H1084" s="2">
        <v>30000</v>
      </c>
      <c r="I1084" s="2">
        <v>10</v>
      </c>
      <c r="J1084" s="2" t="s">
        <v>54</v>
      </c>
      <c r="K1084" s="2">
        <f t="shared" si="112"/>
        <v>24000</v>
      </c>
      <c r="L1084" s="9">
        <f>Table_1[[#This Row],[Unit Price]]*Table_1[[#This Row],[Quantity]]</f>
        <v>300000</v>
      </c>
      <c r="M1084" s="8">
        <f>Table_1[[#This Row],[Cost Price]]*Table_1[[#This Row],[Quantity]]</f>
        <v>240000</v>
      </c>
      <c r="N1084">
        <f>Table_1[[#This Row],[Revenue]]-Table_1[[#This Row],[COGS]]</f>
        <v>60000</v>
      </c>
      <c r="O1084" s="11">
        <f t="shared" si="113"/>
        <v>4656740000</v>
      </c>
      <c r="P1084">
        <f t="shared" si="114"/>
        <v>3725392000</v>
      </c>
      <c r="Q1084">
        <f t="shared" si="115"/>
        <v>931348000</v>
      </c>
      <c r="R1084" s="7">
        <f t="shared" si="116"/>
        <v>2098</v>
      </c>
      <c r="S1084" s="7">
        <f t="shared" si="117"/>
        <v>1</v>
      </c>
      <c r="T1084" s="7">
        <f t="shared" si="118"/>
        <v>2098</v>
      </c>
    </row>
    <row r="1085" spans="1:20" ht="14.25" customHeight="1" x14ac:dyDescent="0.35">
      <c r="A1085" s="2" t="s">
        <v>120</v>
      </c>
      <c r="B1085" s="2" t="s">
        <v>34</v>
      </c>
      <c r="C1085" s="2" t="s">
        <v>21</v>
      </c>
      <c r="D1085" s="2" t="s">
        <v>26</v>
      </c>
      <c r="E1085" s="2" t="s">
        <v>22</v>
      </c>
      <c r="F1085" s="2" t="s">
        <v>52</v>
      </c>
      <c r="G1085" s="2" t="s">
        <v>36</v>
      </c>
      <c r="H1085" s="2">
        <v>420000</v>
      </c>
      <c r="I1085" s="2">
        <v>8</v>
      </c>
      <c r="J1085" s="2" t="s">
        <v>27</v>
      </c>
      <c r="K1085" s="2">
        <f t="shared" si="112"/>
        <v>336000</v>
      </c>
      <c r="L1085" s="9">
        <f>Table_1[[#This Row],[Unit Price]]*Table_1[[#This Row],[Quantity]]</f>
        <v>3360000</v>
      </c>
      <c r="M1085" s="8">
        <f>Table_1[[#This Row],[Cost Price]]*Table_1[[#This Row],[Quantity]]</f>
        <v>2688000</v>
      </c>
      <c r="N1085">
        <f>Table_1[[#This Row],[Revenue]]-Table_1[[#This Row],[COGS]]</f>
        <v>672000</v>
      </c>
      <c r="O1085" s="11">
        <f t="shared" si="113"/>
        <v>4656740000</v>
      </c>
      <c r="P1085">
        <f t="shared" si="114"/>
        <v>3725392000</v>
      </c>
      <c r="Q1085">
        <f t="shared" si="115"/>
        <v>931348000</v>
      </c>
      <c r="R1085" s="7">
        <f t="shared" si="116"/>
        <v>2098</v>
      </c>
      <c r="S1085" s="7">
        <f t="shared" si="117"/>
        <v>3</v>
      </c>
      <c r="T1085" s="7">
        <f t="shared" si="118"/>
        <v>2098</v>
      </c>
    </row>
    <row r="1086" spans="1:20" ht="14.25" customHeight="1" x14ac:dyDescent="0.35">
      <c r="A1086" s="2" t="s">
        <v>128</v>
      </c>
      <c r="B1086" s="2" t="s">
        <v>12</v>
      </c>
      <c r="C1086" s="2" t="s">
        <v>21</v>
      </c>
      <c r="D1086" s="2" t="s">
        <v>26</v>
      </c>
      <c r="E1086" s="2" t="s">
        <v>15</v>
      </c>
      <c r="F1086" s="2" t="s">
        <v>31</v>
      </c>
      <c r="G1086" s="2" t="s">
        <v>24</v>
      </c>
      <c r="H1086" s="2">
        <v>60000</v>
      </c>
      <c r="I1086" s="2">
        <v>2</v>
      </c>
      <c r="J1086" s="2" t="s">
        <v>50</v>
      </c>
      <c r="K1086" s="2">
        <f t="shared" si="112"/>
        <v>48000</v>
      </c>
      <c r="L1086" s="9">
        <f>Table_1[[#This Row],[Unit Price]]*Table_1[[#This Row],[Quantity]]</f>
        <v>120000</v>
      </c>
      <c r="M1086" s="8">
        <f>Table_1[[#This Row],[Cost Price]]*Table_1[[#This Row],[Quantity]]</f>
        <v>96000</v>
      </c>
      <c r="N1086">
        <f>Table_1[[#This Row],[Revenue]]-Table_1[[#This Row],[COGS]]</f>
        <v>24000</v>
      </c>
      <c r="O1086" s="11">
        <f t="shared" si="113"/>
        <v>4656740000</v>
      </c>
      <c r="P1086">
        <f t="shared" si="114"/>
        <v>3725392000</v>
      </c>
      <c r="Q1086">
        <f t="shared" si="115"/>
        <v>931348000</v>
      </c>
      <c r="R1086" s="7">
        <f t="shared" si="116"/>
        <v>2098</v>
      </c>
      <c r="S1086" s="7">
        <f t="shared" si="117"/>
        <v>4</v>
      </c>
      <c r="T1086" s="7">
        <f t="shared" si="118"/>
        <v>2098</v>
      </c>
    </row>
    <row r="1087" spans="1:20" ht="14.25" customHeight="1" x14ac:dyDescent="0.35">
      <c r="A1087" s="2" t="s">
        <v>113</v>
      </c>
      <c r="B1087" s="2" t="s">
        <v>29</v>
      </c>
      <c r="C1087" s="2" t="s">
        <v>30</v>
      </c>
      <c r="D1087" s="2" t="s">
        <v>26</v>
      </c>
      <c r="E1087" s="2" t="s">
        <v>22</v>
      </c>
      <c r="F1087" s="2" t="s">
        <v>16</v>
      </c>
      <c r="G1087" s="2" t="s">
        <v>17</v>
      </c>
      <c r="H1087" s="2">
        <v>85000</v>
      </c>
      <c r="I1087" s="2">
        <v>8</v>
      </c>
      <c r="J1087" s="2" t="s">
        <v>54</v>
      </c>
      <c r="K1087" s="2">
        <f t="shared" si="112"/>
        <v>68000</v>
      </c>
      <c r="L1087" s="9">
        <f>Table_1[[#This Row],[Unit Price]]*Table_1[[#This Row],[Quantity]]</f>
        <v>680000</v>
      </c>
      <c r="M1087" s="8">
        <f>Table_1[[#This Row],[Cost Price]]*Table_1[[#This Row],[Quantity]]</f>
        <v>544000</v>
      </c>
      <c r="N1087">
        <f>Table_1[[#This Row],[Revenue]]-Table_1[[#This Row],[COGS]]</f>
        <v>136000</v>
      </c>
      <c r="O1087" s="11">
        <f t="shared" si="113"/>
        <v>4656740000</v>
      </c>
      <c r="P1087">
        <f t="shared" si="114"/>
        <v>3725392000</v>
      </c>
      <c r="Q1087">
        <f t="shared" si="115"/>
        <v>931348000</v>
      </c>
      <c r="R1087" s="7">
        <f t="shared" si="116"/>
        <v>2098</v>
      </c>
      <c r="S1087" s="7">
        <f t="shared" si="117"/>
        <v>3</v>
      </c>
      <c r="T1087" s="7">
        <f t="shared" si="118"/>
        <v>2098</v>
      </c>
    </row>
    <row r="1088" spans="1:20" ht="14.25" customHeight="1" x14ac:dyDescent="0.35">
      <c r="A1088" s="2" t="s">
        <v>71</v>
      </c>
      <c r="B1088" s="2" t="s">
        <v>12</v>
      </c>
      <c r="C1088" s="2" t="s">
        <v>13</v>
      </c>
      <c r="D1088" s="2" t="s">
        <v>14</v>
      </c>
      <c r="E1088" s="2" t="s">
        <v>22</v>
      </c>
      <c r="F1088" s="2" t="s">
        <v>52</v>
      </c>
      <c r="G1088" s="2" t="s">
        <v>36</v>
      </c>
      <c r="H1088" s="2">
        <v>420000</v>
      </c>
      <c r="I1088" s="2">
        <v>7</v>
      </c>
      <c r="J1088" s="2" t="s">
        <v>43</v>
      </c>
      <c r="K1088" s="2">
        <f t="shared" si="112"/>
        <v>336000</v>
      </c>
      <c r="L1088" s="9">
        <f>Table_1[[#This Row],[Unit Price]]*Table_1[[#This Row],[Quantity]]</f>
        <v>2940000</v>
      </c>
      <c r="M1088" s="8">
        <f>Table_1[[#This Row],[Cost Price]]*Table_1[[#This Row],[Quantity]]</f>
        <v>2352000</v>
      </c>
      <c r="N1088">
        <f>Table_1[[#This Row],[Revenue]]-Table_1[[#This Row],[COGS]]</f>
        <v>588000</v>
      </c>
      <c r="O1088" s="11">
        <f t="shared" si="113"/>
        <v>4656740000</v>
      </c>
      <c r="P1088">
        <f t="shared" si="114"/>
        <v>3725392000</v>
      </c>
      <c r="Q1088">
        <f t="shared" si="115"/>
        <v>931348000</v>
      </c>
      <c r="R1088" s="7">
        <f t="shared" si="116"/>
        <v>2098</v>
      </c>
      <c r="S1088" s="7">
        <f t="shared" si="117"/>
        <v>2</v>
      </c>
      <c r="T1088" s="7">
        <f t="shared" si="118"/>
        <v>2098</v>
      </c>
    </row>
    <row r="1089" spans="1:20" ht="14.25" customHeight="1" x14ac:dyDescent="0.35">
      <c r="A1089" s="2" t="s">
        <v>133</v>
      </c>
      <c r="B1089" s="2" t="s">
        <v>20</v>
      </c>
      <c r="C1089" s="2" t="s">
        <v>38</v>
      </c>
      <c r="D1089" s="2" t="s">
        <v>14</v>
      </c>
      <c r="E1089" s="2" t="s">
        <v>22</v>
      </c>
      <c r="F1089" s="2" t="s">
        <v>35</v>
      </c>
      <c r="G1089" s="2" t="s">
        <v>36</v>
      </c>
      <c r="H1089" s="2">
        <v>300000</v>
      </c>
      <c r="I1089" s="2">
        <v>6</v>
      </c>
      <c r="J1089" s="2" t="s">
        <v>54</v>
      </c>
      <c r="K1089" s="2">
        <f t="shared" si="112"/>
        <v>240000</v>
      </c>
      <c r="L1089" s="9">
        <f>Table_1[[#This Row],[Unit Price]]*Table_1[[#This Row],[Quantity]]</f>
        <v>1800000</v>
      </c>
      <c r="M1089" s="8">
        <f>Table_1[[#This Row],[Cost Price]]*Table_1[[#This Row],[Quantity]]</f>
        <v>1440000</v>
      </c>
      <c r="N1089">
        <f>Table_1[[#This Row],[Revenue]]-Table_1[[#This Row],[COGS]]</f>
        <v>360000</v>
      </c>
      <c r="O1089" s="11">
        <f t="shared" si="113"/>
        <v>4656740000</v>
      </c>
      <c r="P1089">
        <f t="shared" si="114"/>
        <v>3725392000</v>
      </c>
      <c r="Q1089">
        <f t="shared" si="115"/>
        <v>931348000</v>
      </c>
      <c r="R1089" s="7">
        <f t="shared" si="116"/>
        <v>2098</v>
      </c>
      <c r="S1089" s="7">
        <f t="shared" si="117"/>
        <v>2</v>
      </c>
      <c r="T1089" s="7">
        <f t="shared" si="118"/>
        <v>2098</v>
      </c>
    </row>
    <row r="1090" spans="1:20" ht="14.25" customHeight="1" x14ac:dyDescent="0.35">
      <c r="A1090" s="2" t="s">
        <v>107</v>
      </c>
      <c r="B1090" s="2" t="s">
        <v>34</v>
      </c>
      <c r="C1090" s="2" t="s">
        <v>13</v>
      </c>
      <c r="D1090" s="2" t="s">
        <v>14</v>
      </c>
      <c r="E1090" s="2" t="s">
        <v>15</v>
      </c>
      <c r="F1090" s="2" t="s">
        <v>52</v>
      </c>
      <c r="G1090" s="2" t="s">
        <v>36</v>
      </c>
      <c r="H1090" s="2">
        <v>420000</v>
      </c>
      <c r="I1090" s="2">
        <v>2</v>
      </c>
      <c r="J1090" s="2" t="s">
        <v>50</v>
      </c>
      <c r="K1090" s="2">
        <f t="shared" ref="K1090:K1153" si="119">H1090-H1090*0.2</f>
        <v>336000</v>
      </c>
      <c r="L1090" s="9">
        <f>Table_1[[#This Row],[Unit Price]]*Table_1[[#This Row],[Quantity]]</f>
        <v>840000</v>
      </c>
      <c r="M1090" s="8">
        <f>Table_1[[#This Row],[Cost Price]]*Table_1[[#This Row],[Quantity]]</f>
        <v>672000</v>
      </c>
      <c r="N1090">
        <f>Table_1[[#This Row],[Revenue]]-Table_1[[#This Row],[COGS]]</f>
        <v>168000</v>
      </c>
      <c r="O1090" s="11">
        <f t="shared" ref="O1090:O1153" si="120">SUM(L$2:L$1048576)</f>
        <v>4656740000</v>
      </c>
      <c r="P1090">
        <f t="shared" ref="P1090:P1153" si="121">SUM(M:M)</f>
        <v>3725392000</v>
      </c>
      <c r="Q1090">
        <f t="shared" ref="Q1090:Q1153" si="122">SUM(N:N)</f>
        <v>931348000</v>
      </c>
      <c r="R1090" s="7">
        <f t="shared" ref="R1090:R1153" si="123">COUNTA(A$2:A$1048576)</f>
        <v>2098</v>
      </c>
      <c r="S1090" s="7">
        <f t="shared" ref="S1090:S1153" si="124">MONTH(A1090:A2578)</f>
        <v>3</v>
      </c>
      <c r="T1090" s="7">
        <f t="shared" ref="T1090:T1153" si="125">COUNTA(A:A)-1</f>
        <v>2098</v>
      </c>
    </row>
    <row r="1091" spans="1:20" ht="14.25" customHeight="1" x14ac:dyDescent="0.35">
      <c r="A1091" s="2" t="s">
        <v>84</v>
      </c>
      <c r="B1091" s="2" t="s">
        <v>34</v>
      </c>
      <c r="C1091" s="2" t="s">
        <v>13</v>
      </c>
      <c r="D1091" s="2" t="s">
        <v>26</v>
      </c>
      <c r="E1091" s="2" t="s">
        <v>15</v>
      </c>
      <c r="F1091" s="2" t="s">
        <v>35</v>
      </c>
      <c r="G1091" s="2" t="s">
        <v>36</v>
      </c>
      <c r="H1091" s="2">
        <v>300000</v>
      </c>
      <c r="I1091" s="2">
        <v>8</v>
      </c>
      <c r="J1091" s="2" t="s">
        <v>43</v>
      </c>
      <c r="K1091" s="2">
        <f t="shared" si="119"/>
        <v>240000</v>
      </c>
      <c r="L1091" s="9">
        <f>Table_1[[#This Row],[Unit Price]]*Table_1[[#This Row],[Quantity]]</f>
        <v>2400000</v>
      </c>
      <c r="M1091" s="8">
        <f>Table_1[[#This Row],[Cost Price]]*Table_1[[#This Row],[Quantity]]</f>
        <v>1920000</v>
      </c>
      <c r="N1091">
        <f>Table_1[[#This Row],[Revenue]]-Table_1[[#This Row],[COGS]]</f>
        <v>480000</v>
      </c>
      <c r="O1091" s="11">
        <f t="shared" si="120"/>
        <v>4656740000</v>
      </c>
      <c r="P1091">
        <f t="shared" si="121"/>
        <v>3725392000</v>
      </c>
      <c r="Q1091">
        <f t="shared" si="122"/>
        <v>931348000</v>
      </c>
      <c r="R1091" s="7">
        <f t="shared" si="123"/>
        <v>2098</v>
      </c>
      <c r="S1091" s="7">
        <f t="shared" si="124"/>
        <v>4</v>
      </c>
      <c r="T1091" s="7">
        <f t="shared" si="125"/>
        <v>2098</v>
      </c>
    </row>
    <row r="1092" spans="1:20" ht="14.25" customHeight="1" x14ac:dyDescent="0.35">
      <c r="A1092" s="2" t="s">
        <v>51</v>
      </c>
      <c r="B1092" s="2" t="s">
        <v>34</v>
      </c>
      <c r="C1092" s="2" t="s">
        <v>30</v>
      </c>
      <c r="D1092" s="2" t="s">
        <v>14</v>
      </c>
      <c r="E1092" s="2" t="s">
        <v>15</v>
      </c>
      <c r="F1092" s="2" t="s">
        <v>56</v>
      </c>
      <c r="G1092" s="2" t="s">
        <v>36</v>
      </c>
      <c r="H1092" s="2">
        <v>250000</v>
      </c>
      <c r="I1092" s="2">
        <v>5</v>
      </c>
      <c r="J1092" s="2" t="s">
        <v>43</v>
      </c>
      <c r="K1092" s="2">
        <f t="shared" si="119"/>
        <v>200000</v>
      </c>
      <c r="L1092" s="9">
        <f>Table_1[[#This Row],[Unit Price]]*Table_1[[#This Row],[Quantity]]</f>
        <v>1250000</v>
      </c>
      <c r="M1092" s="8">
        <f>Table_1[[#This Row],[Cost Price]]*Table_1[[#This Row],[Quantity]]</f>
        <v>1000000</v>
      </c>
      <c r="N1092">
        <f>Table_1[[#This Row],[Revenue]]-Table_1[[#This Row],[COGS]]</f>
        <v>250000</v>
      </c>
      <c r="O1092" s="11">
        <f t="shared" si="120"/>
        <v>4656740000</v>
      </c>
      <c r="P1092">
        <f t="shared" si="121"/>
        <v>3725392000</v>
      </c>
      <c r="Q1092">
        <f t="shared" si="122"/>
        <v>931348000</v>
      </c>
      <c r="R1092" s="7">
        <f t="shared" si="123"/>
        <v>2098</v>
      </c>
      <c r="S1092" s="7">
        <f t="shared" si="124"/>
        <v>3</v>
      </c>
      <c r="T1092" s="7">
        <f t="shared" si="125"/>
        <v>2098</v>
      </c>
    </row>
    <row r="1093" spans="1:20" ht="14.25" customHeight="1" x14ac:dyDescent="0.35">
      <c r="A1093" s="2" t="s">
        <v>76</v>
      </c>
      <c r="B1093" s="2" t="s">
        <v>20</v>
      </c>
      <c r="C1093" s="2" t="s">
        <v>38</v>
      </c>
      <c r="D1093" s="2" t="s">
        <v>26</v>
      </c>
      <c r="E1093" s="2" t="s">
        <v>22</v>
      </c>
      <c r="F1093" s="2" t="s">
        <v>52</v>
      </c>
      <c r="G1093" s="2" t="s">
        <v>36</v>
      </c>
      <c r="H1093" s="2">
        <v>420000</v>
      </c>
      <c r="I1093" s="2">
        <v>5</v>
      </c>
      <c r="J1093" s="2" t="s">
        <v>43</v>
      </c>
      <c r="K1093" s="2">
        <f t="shared" si="119"/>
        <v>336000</v>
      </c>
      <c r="L1093" s="9">
        <f>Table_1[[#This Row],[Unit Price]]*Table_1[[#This Row],[Quantity]]</f>
        <v>2100000</v>
      </c>
      <c r="M1093" s="8">
        <f>Table_1[[#This Row],[Cost Price]]*Table_1[[#This Row],[Quantity]]</f>
        <v>1680000</v>
      </c>
      <c r="N1093">
        <f>Table_1[[#This Row],[Revenue]]-Table_1[[#This Row],[COGS]]</f>
        <v>420000</v>
      </c>
      <c r="O1093" s="11">
        <f t="shared" si="120"/>
        <v>4656740000</v>
      </c>
      <c r="P1093">
        <f t="shared" si="121"/>
        <v>3725392000</v>
      </c>
      <c r="Q1093">
        <f t="shared" si="122"/>
        <v>931348000</v>
      </c>
      <c r="R1093" s="7">
        <f t="shared" si="123"/>
        <v>2098</v>
      </c>
      <c r="S1093" s="7">
        <f t="shared" si="124"/>
        <v>2</v>
      </c>
      <c r="T1093" s="7">
        <f t="shared" si="125"/>
        <v>2098</v>
      </c>
    </row>
    <row r="1094" spans="1:20" ht="14.25" customHeight="1" x14ac:dyDescent="0.35">
      <c r="A1094" s="2" t="s">
        <v>80</v>
      </c>
      <c r="B1094" s="2" t="s">
        <v>20</v>
      </c>
      <c r="C1094" s="2" t="s">
        <v>30</v>
      </c>
      <c r="D1094" s="2" t="s">
        <v>26</v>
      </c>
      <c r="E1094" s="2" t="s">
        <v>15</v>
      </c>
      <c r="F1094" s="2" t="s">
        <v>52</v>
      </c>
      <c r="G1094" s="2" t="s">
        <v>36</v>
      </c>
      <c r="H1094" s="2">
        <v>420000</v>
      </c>
      <c r="I1094" s="2">
        <v>10</v>
      </c>
      <c r="J1094" s="2" t="s">
        <v>27</v>
      </c>
      <c r="K1094" s="2">
        <f t="shared" si="119"/>
        <v>336000</v>
      </c>
      <c r="L1094" s="9">
        <f>Table_1[[#This Row],[Unit Price]]*Table_1[[#This Row],[Quantity]]</f>
        <v>4200000</v>
      </c>
      <c r="M1094" s="8">
        <f>Table_1[[#This Row],[Cost Price]]*Table_1[[#This Row],[Quantity]]</f>
        <v>3360000</v>
      </c>
      <c r="N1094">
        <f>Table_1[[#This Row],[Revenue]]-Table_1[[#This Row],[COGS]]</f>
        <v>840000</v>
      </c>
      <c r="O1094" s="11">
        <f t="shared" si="120"/>
        <v>4656740000</v>
      </c>
      <c r="P1094">
        <f t="shared" si="121"/>
        <v>3725392000</v>
      </c>
      <c r="Q1094">
        <f t="shared" si="122"/>
        <v>931348000</v>
      </c>
      <c r="R1094" s="7">
        <f t="shared" si="123"/>
        <v>2098</v>
      </c>
      <c r="S1094" s="7">
        <f t="shared" si="124"/>
        <v>2</v>
      </c>
      <c r="T1094" s="7">
        <f t="shared" si="125"/>
        <v>2098</v>
      </c>
    </row>
    <row r="1095" spans="1:20" ht="14.25" customHeight="1" x14ac:dyDescent="0.35">
      <c r="A1095" s="2" t="s">
        <v>150</v>
      </c>
      <c r="B1095" s="2" t="s">
        <v>34</v>
      </c>
      <c r="C1095" s="2" t="s">
        <v>30</v>
      </c>
      <c r="D1095" s="2" t="s">
        <v>14</v>
      </c>
      <c r="E1095" s="2" t="s">
        <v>15</v>
      </c>
      <c r="F1095" s="2" t="s">
        <v>41</v>
      </c>
      <c r="G1095" s="2" t="s">
        <v>17</v>
      </c>
      <c r="H1095" s="2">
        <v>320000</v>
      </c>
      <c r="I1095" s="2">
        <v>1</v>
      </c>
      <c r="J1095" s="2" t="s">
        <v>32</v>
      </c>
      <c r="K1095" s="2">
        <f t="shared" si="119"/>
        <v>256000</v>
      </c>
      <c r="L1095" s="9">
        <f>Table_1[[#This Row],[Unit Price]]*Table_1[[#This Row],[Quantity]]</f>
        <v>320000</v>
      </c>
      <c r="M1095" s="8">
        <f>Table_1[[#This Row],[Cost Price]]*Table_1[[#This Row],[Quantity]]</f>
        <v>256000</v>
      </c>
      <c r="N1095">
        <f>Table_1[[#This Row],[Revenue]]-Table_1[[#This Row],[COGS]]</f>
        <v>64000</v>
      </c>
      <c r="O1095" s="11">
        <f t="shared" si="120"/>
        <v>4656740000</v>
      </c>
      <c r="P1095">
        <f t="shared" si="121"/>
        <v>3725392000</v>
      </c>
      <c r="Q1095">
        <f t="shared" si="122"/>
        <v>931348000</v>
      </c>
      <c r="R1095" s="7">
        <f t="shared" si="123"/>
        <v>2098</v>
      </c>
      <c r="S1095" s="7">
        <f t="shared" si="124"/>
        <v>4</v>
      </c>
      <c r="T1095" s="7">
        <f t="shared" si="125"/>
        <v>2098</v>
      </c>
    </row>
    <row r="1096" spans="1:20" ht="14.25" customHeight="1" x14ac:dyDescent="0.35">
      <c r="A1096" s="2" t="s">
        <v>64</v>
      </c>
      <c r="B1096" s="2" t="s">
        <v>29</v>
      </c>
      <c r="C1096" s="2" t="s">
        <v>38</v>
      </c>
      <c r="D1096" s="2" t="s">
        <v>14</v>
      </c>
      <c r="E1096" s="2" t="s">
        <v>15</v>
      </c>
      <c r="F1096" s="2" t="s">
        <v>41</v>
      </c>
      <c r="G1096" s="2" t="s">
        <v>17</v>
      </c>
      <c r="H1096" s="2">
        <v>320000</v>
      </c>
      <c r="I1096" s="2">
        <v>1</v>
      </c>
      <c r="J1096" s="2" t="s">
        <v>43</v>
      </c>
      <c r="K1096" s="2">
        <f t="shared" si="119"/>
        <v>256000</v>
      </c>
      <c r="L1096" s="9">
        <f>Table_1[[#This Row],[Unit Price]]*Table_1[[#This Row],[Quantity]]</f>
        <v>320000</v>
      </c>
      <c r="M1096" s="8">
        <f>Table_1[[#This Row],[Cost Price]]*Table_1[[#This Row],[Quantity]]</f>
        <v>256000</v>
      </c>
      <c r="N1096">
        <f>Table_1[[#This Row],[Revenue]]-Table_1[[#This Row],[COGS]]</f>
        <v>64000</v>
      </c>
      <c r="O1096" s="11">
        <f t="shared" si="120"/>
        <v>4656740000</v>
      </c>
      <c r="P1096">
        <f t="shared" si="121"/>
        <v>3725392000</v>
      </c>
      <c r="Q1096">
        <f t="shared" si="122"/>
        <v>931348000</v>
      </c>
      <c r="R1096" s="7">
        <f t="shared" si="123"/>
        <v>2098</v>
      </c>
      <c r="S1096" s="7">
        <f t="shared" si="124"/>
        <v>2</v>
      </c>
      <c r="T1096" s="7">
        <f t="shared" si="125"/>
        <v>2098</v>
      </c>
    </row>
    <row r="1097" spans="1:20" ht="14.25" customHeight="1" x14ac:dyDescent="0.35">
      <c r="A1097" s="2" t="s">
        <v>106</v>
      </c>
      <c r="B1097" s="2" t="s">
        <v>34</v>
      </c>
      <c r="C1097" s="2" t="s">
        <v>30</v>
      </c>
      <c r="D1097" s="2" t="s">
        <v>26</v>
      </c>
      <c r="E1097" s="2" t="s">
        <v>22</v>
      </c>
      <c r="F1097" s="2" t="s">
        <v>47</v>
      </c>
      <c r="G1097" s="2" t="s">
        <v>36</v>
      </c>
      <c r="H1097" s="2">
        <v>150000</v>
      </c>
      <c r="I1097" s="2">
        <v>1</v>
      </c>
      <c r="J1097" s="2" t="s">
        <v>54</v>
      </c>
      <c r="K1097" s="2">
        <f t="shared" si="119"/>
        <v>120000</v>
      </c>
      <c r="L1097" s="9">
        <f>Table_1[[#This Row],[Unit Price]]*Table_1[[#This Row],[Quantity]]</f>
        <v>150000</v>
      </c>
      <c r="M1097" s="8">
        <f>Table_1[[#This Row],[Cost Price]]*Table_1[[#This Row],[Quantity]]</f>
        <v>120000</v>
      </c>
      <c r="N1097">
        <f>Table_1[[#This Row],[Revenue]]-Table_1[[#This Row],[COGS]]</f>
        <v>30000</v>
      </c>
      <c r="O1097" s="11">
        <f t="shared" si="120"/>
        <v>4656740000</v>
      </c>
      <c r="P1097">
        <f t="shared" si="121"/>
        <v>3725392000</v>
      </c>
      <c r="Q1097">
        <f t="shared" si="122"/>
        <v>931348000</v>
      </c>
      <c r="R1097" s="7">
        <f t="shared" si="123"/>
        <v>2098</v>
      </c>
      <c r="S1097" s="7">
        <f t="shared" si="124"/>
        <v>4</v>
      </c>
      <c r="T1097" s="7">
        <f t="shared" si="125"/>
        <v>2098</v>
      </c>
    </row>
    <row r="1098" spans="1:20" ht="14.25" customHeight="1" x14ac:dyDescent="0.35">
      <c r="A1098" s="2" t="s">
        <v>85</v>
      </c>
      <c r="B1098" s="2" t="s">
        <v>20</v>
      </c>
      <c r="C1098" s="2" t="s">
        <v>13</v>
      </c>
      <c r="D1098" s="2" t="s">
        <v>26</v>
      </c>
      <c r="E1098" s="2" t="s">
        <v>15</v>
      </c>
      <c r="F1098" s="2" t="s">
        <v>39</v>
      </c>
      <c r="G1098" s="2" t="s">
        <v>24</v>
      </c>
      <c r="H1098" s="2">
        <v>180000</v>
      </c>
      <c r="I1098" s="2">
        <v>10</v>
      </c>
      <c r="J1098" s="2" t="s">
        <v>32</v>
      </c>
      <c r="K1098" s="2">
        <f t="shared" si="119"/>
        <v>144000</v>
      </c>
      <c r="L1098" s="9">
        <f>Table_1[[#This Row],[Unit Price]]*Table_1[[#This Row],[Quantity]]</f>
        <v>1800000</v>
      </c>
      <c r="M1098" s="8">
        <f>Table_1[[#This Row],[Cost Price]]*Table_1[[#This Row],[Quantity]]</f>
        <v>1440000</v>
      </c>
      <c r="N1098">
        <f>Table_1[[#This Row],[Revenue]]-Table_1[[#This Row],[COGS]]</f>
        <v>360000</v>
      </c>
      <c r="O1098" s="11">
        <f t="shared" si="120"/>
        <v>4656740000</v>
      </c>
      <c r="P1098">
        <f t="shared" si="121"/>
        <v>3725392000</v>
      </c>
      <c r="Q1098">
        <f t="shared" si="122"/>
        <v>931348000</v>
      </c>
      <c r="R1098" s="7">
        <f t="shared" si="123"/>
        <v>2098</v>
      </c>
      <c r="S1098" s="7">
        <f t="shared" si="124"/>
        <v>1</v>
      </c>
      <c r="T1098" s="7">
        <f t="shared" si="125"/>
        <v>2098</v>
      </c>
    </row>
    <row r="1099" spans="1:20" ht="14.25" customHeight="1" x14ac:dyDescent="0.35">
      <c r="A1099" s="2" t="s">
        <v>19</v>
      </c>
      <c r="B1099" s="2" t="s">
        <v>34</v>
      </c>
      <c r="C1099" s="2" t="s">
        <v>30</v>
      </c>
      <c r="D1099" s="2" t="s">
        <v>14</v>
      </c>
      <c r="E1099" s="2" t="s">
        <v>22</v>
      </c>
      <c r="F1099" s="2" t="s">
        <v>52</v>
      </c>
      <c r="G1099" s="2" t="s">
        <v>36</v>
      </c>
      <c r="H1099" s="2">
        <v>420000</v>
      </c>
      <c r="I1099" s="2">
        <v>3</v>
      </c>
      <c r="J1099" s="2" t="s">
        <v>27</v>
      </c>
      <c r="K1099" s="2">
        <f t="shared" si="119"/>
        <v>336000</v>
      </c>
      <c r="L1099" s="9">
        <f>Table_1[[#This Row],[Unit Price]]*Table_1[[#This Row],[Quantity]]</f>
        <v>1260000</v>
      </c>
      <c r="M1099" s="8">
        <f>Table_1[[#This Row],[Cost Price]]*Table_1[[#This Row],[Quantity]]</f>
        <v>1008000</v>
      </c>
      <c r="N1099">
        <f>Table_1[[#This Row],[Revenue]]-Table_1[[#This Row],[COGS]]</f>
        <v>252000</v>
      </c>
      <c r="O1099" s="11">
        <f t="shared" si="120"/>
        <v>4656740000</v>
      </c>
      <c r="P1099">
        <f t="shared" si="121"/>
        <v>3725392000</v>
      </c>
      <c r="Q1099">
        <f t="shared" si="122"/>
        <v>931348000</v>
      </c>
      <c r="R1099" s="7">
        <f t="shared" si="123"/>
        <v>2098</v>
      </c>
      <c r="S1099" s="7">
        <f t="shared" si="124"/>
        <v>4</v>
      </c>
      <c r="T1099" s="7">
        <f t="shared" si="125"/>
        <v>2098</v>
      </c>
    </row>
    <row r="1100" spans="1:20" ht="14.25" customHeight="1" x14ac:dyDescent="0.35">
      <c r="A1100" s="2" t="s">
        <v>67</v>
      </c>
      <c r="B1100" s="2" t="s">
        <v>34</v>
      </c>
      <c r="C1100" s="2" t="s">
        <v>38</v>
      </c>
      <c r="D1100" s="2" t="s">
        <v>14</v>
      </c>
      <c r="E1100" s="2" t="s">
        <v>15</v>
      </c>
      <c r="F1100" s="2" t="s">
        <v>58</v>
      </c>
      <c r="G1100" s="2" t="s">
        <v>24</v>
      </c>
      <c r="H1100" s="2">
        <v>220000</v>
      </c>
      <c r="I1100" s="2">
        <v>10</v>
      </c>
      <c r="J1100" s="2" t="s">
        <v>54</v>
      </c>
      <c r="K1100" s="2">
        <f t="shared" si="119"/>
        <v>176000</v>
      </c>
      <c r="L1100" s="9">
        <f>Table_1[[#This Row],[Unit Price]]*Table_1[[#This Row],[Quantity]]</f>
        <v>2200000</v>
      </c>
      <c r="M1100" s="8">
        <f>Table_1[[#This Row],[Cost Price]]*Table_1[[#This Row],[Quantity]]</f>
        <v>1760000</v>
      </c>
      <c r="N1100">
        <f>Table_1[[#This Row],[Revenue]]-Table_1[[#This Row],[COGS]]</f>
        <v>440000</v>
      </c>
      <c r="O1100" s="11">
        <f t="shared" si="120"/>
        <v>4656740000</v>
      </c>
      <c r="P1100">
        <f t="shared" si="121"/>
        <v>3725392000</v>
      </c>
      <c r="Q1100">
        <f t="shared" si="122"/>
        <v>931348000</v>
      </c>
      <c r="R1100" s="7">
        <f t="shared" si="123"/>
        <v>2098</v>
      </c>
      <c r="S1100" s="7">
        <f t="shared" si="124"/>
        <v>3</v>
      </c>
      <c r="T1100" s="7">
        <f t="shared" si="125"/>
        <v>2098</v>
      </c>
    </row>
    <row r="1101" spans="1:20" ht="14.25" customHeight="1" x14ac:dyDescent="0.35">
      <c r="A1101" s="2" t="s">
        <v>146</v>
      </c>
      <c r="B1101" s="2" t="s">
        <v>20</v>
      </c>
      <c r="C1101" s="2" t="s">
        <v>38</v>
      </c>
      <c r="D1101" s="2" t="s">
        <v>26</v>
      </c>
      <c r="E1101" s="2" t="s">
        <v>22</v>
      </c>
      <c r="F1101" s="2" t="s">
        <v>52</v>
      </c>
      <c r="G1101" s="2" t="s">
        <v>36</v>
      </c>
      <c r="H1101" s="2">
        <v>420000</v>
      </c>
      <c r="I1101" s="2">
        <v>9</v>
      </c>
      <c r="J1101" s="2" t="s">
        <v>43</v>
      </c>
      <c r="K1101" s="2">
        <f t="shared" si="119"/>
        <v>336000</v>
      </c>
      <c r="L1101" s="9">
        <f>Table_1[[#This Row],[Unit Price]]*Table_1[[#This Row],[Quantity]]</f>
        <v>3780000</v>
      </c>
      <c r="M1101" s="8">
        <f>Table_1[[#This Row],[Cost Price]]*Table_1[[#This Row],[Quantity]]</f>
        <v>3024000</v>
      </c>
      <c r="N1101">
        <f>Table_1[[#This Row],[Revenue]]-Table_1[[#This Row],[COGS]]</f>
        <v>756000</v>
      </c>
      <c r="O1101" s="11">
        <f t="shared" si="120"/>
        <v>4656740000</v>
      </c>
      <c r="P1101">
        <f t="shared" si="121"/>
        <v>3725392000</v>
      </c>
      <c r="Q1101">
        <f t="shared" si="122"/>
        <v>931348000</v>
      </c>
      <c r="R1101" s="7">
        <f t="shared" si="123"/>
        <v>2098</v>
      </c>
      <c r="S1101" s="7">
        <f t="shared" si="124"/>
        <v>3</v>
      </c>
      <c r="T1101" s="7">
        <f t="shared" si="125"/>
        <v>2098</v>
      </c>
    </row>
    <row r="1102" spans="1:20" ht="14.25" customHeight="1" x14ac:dyDescent="0.35">
      <c r="A1102" s="2" t="s">
        <v>76</v>
      </c>
      <c r="B1102" s="2" t="s">
        <v>12</v>
      </c>
      <c r="C1102" s="2" t="s">
        <v>38</v>
      </c>
      <c r="D1102" s="2" t="s">
        <v>14</v>
      </c>
      <c r="E1102" s="2" t="s">
        <v>22</v>
      </c>
      <c r="F1102" s="2" t="s">
        <v>23</v>
      </c>
      <c r="G1102" s="2" t="s">
        <v>24</v>
      </c>
      <c r="H1102" s="2">
        <v>30000</v>
      </c>
      <c r="I1102" s="2">
        <v>6</v>
      </c>
      <c r="J1102" s="2" t="s">
        <v>54</v>
      </c>
      <c r="K1102" s="2">
        <f t="shared" si="119"/>
        <v>24000</v>
      </c>
      <c r="L1102" s="9">
        <f>Table_1[[#This Row],[Unit Price]]*Table_1[[#This Row],[Quantity]]</f>
        <v>180000</v>
      </c>
      <c r="M1102" s="8">
        <f>Table_1[[#This Row],[Cost Price]]*Table_1[[#This Row],[Quantity]]</f>
        <v>144000</v>
      </c>
      <c r="N1102">
        <f>Table_1[[#This Row],[Revenue]]-Table_1[[#This Row],[COGS]]</f>
        <v>36000</v>
      </c>
      <c r="O1102" s="11">
        <f t="shared" si="120"/>
        <v>4656740000</v>
      </c>
      <c r="P1102">
        <f t="shared" si="121"/>
        <v>3725392000</v>
      </c>
      <c r="Q1102">
        <f t="shared" si="122"/>
        <v>931348000</v>
      </c>
      <c r="R1102" s="7">
        <f t="shared" si="123"/>
        <v>2098</v>
      </c>
      <c r="S1102" s="7">
        <f t="shared" si="124"/>
        <v>2</v>
      </c>
      <c r="T1102" s="7">
        <f t="shared" si="125"/>
        <v>2098</v>
      </c>
    </row>
    <row r="1103" spans="1:20" ht="14.25" customHeight="1" x14ac:dyDescent="0.35">
      <c r="A1103" s="2" t="s">
        <v>106</v>
      </c>
      <c r="B1103" s="2" t="s">
        <v>34</v>
      </c>
      <c r="C1103" s="2" t="s">
        <v>13</v>
      </c>
      <c r="D1103" s="2" t="s">
        <v>14</v>
      </c>
      <c r="E1103" s="2" t="s">
        <v>22</v>
      </c>
      <c r="F1103" s="2" t="s">
        <v>56</v>
      </c>
      <c r="G1103" s="2" t="s">
        <v>36</v>
      </c>
      <c r="H1103" s="2">
        <v>250000</v>
      </c>
      <c r="I1103" s="2">
        <v>10</v>
      </c>
      <c r="J1103" s="2" t="s">
        <v>27</v>
      </c>
      <c r="K1103" s="2">
        <f t="shared" si="119"/>
        <v>200000</v>
      </c>
      <c r="L1103" s="9">
        <f>Table_1[[#This Row],[Unit Price]]*Table_1[[#This Row],[Quantity]]</f>
        <v>2500000</v>
      </c>
      <c r="M1103" s="8">
        <f>Table_1[[#This Row],[Cost Price]]*Table_1[[#This Row],[Quantity]]</f>
        <v>2000000</v>
      </c>
      <c r="N1103">
        <f>Table_1[[#This Row],[Revenue]]-Table_1[[#This Row],[COGS]]</f>
        <v>500000</v>
      </c>
      <c r="O1103" s="11">
        <f t="shared" si="120"/>
        <v>4656740000</v>
      </c>
      <c r="P1103">
        <f t="shared" si="121"/>
        <v>3725392000</v>
      </c>
      <c r="Q1103">
        <f t="shared" si="122"/>
        <v>931348000</v>
      </c>
      <c r="R1103" s="7">
        <f t="shared" si="123"/>
        <v>2098</v>
      </c>
      <c r="S1103" s="7">
        <f t="shared" si="124"/>
        <v>4</v>
      </c>
      <c r="T1103" s="7">
        <f t="shared" si="125"/>
        <v>2098</v>
      </c>
    </row>
    <row r="1104" spans="1:20" ht="14.25" customHeight="1" x14ac:dyDescent="0.35">
      <c r="A1104" s="2" t="s">
        <v>160</v>
      </c>
      <c r="B1104" s="2" t="s">
        <v>20</v>
      </c>
      <c r="C1104" s="2" t="s">
        <v>30</v>
      </c>
      <c r="D1104" s="2" t="s">
        <v>14</v>
      </c>
      <c r="E1104" s="2" t="s">
        <v>22</v>
      </c>
      <c r="F1104" s="2" t="s">
        <v>16</v>
      </c>
      <c r="G1104" s="2" t="s">
        <v>17</v>
      </c>
      <c r="H1104" s="2">
        <v>85000</v>
      </c>
      <c r="I1104" s="2">
        <v>6</v>
      </c>
      <c r="J1104" s="2" t="s">
        <v>54</v>
      </c>
      <c r="K1104" s="2">
        <f t="shared" si="119"/>
        <v>68000</v>
      </c>
      <c r="L1104" s="9">
        <f>Table_1[[#This Row],[Unit Price]]*Table_1[[#This Row],[Quantity]]</f>
        <v>510000</v>
      </c>
      <c r="M1104" s="8">
        <f>Table_1[[#This Row],[Cost Price]]*Table_1[[#This Row],[Quantity]]</f>
        <v>408000</v>
      </c>
      <c r="N1104">
        <f>Table_1[[#This Row],[Revenue]]-Table_1[[#This Row],[COGS]]</f>
        <v>102000</v>
      </c>
      <c r="O1104" s="11">
        <f t="shared" si="120"/>
        <v>4656740000</v>
      </c>
      <c r="P1104">
        <f t="shared" si="121"/>
        <v>3725392000</v>
      </c>
      <c r="Q1104">
        <f t="shared" si="122"/>
        <v>931348000</v>
      </c>
      <c r="R1104" s="7">
        <f t="shared" si="123"/>
        <v>2098</v>
      </c>
      <c r="S1104" s="7">
        <f t="shared" si="124"/>
        <v>1</v>
      </c>
      <c r="T1104" s="7">
        <f t="shared" si="125"/>
        <v>2098</v>
      </c>
    </row>
    <row r="1105" spans="1:20" ht="14.25" customHeight="1" x14ac:dyDescent="0.35">
      <c r="A1105" s="2" t="s">
        <v>60</v>
      </c>
      <c r="B1105" s="2" t="s">
        <v>34</v>
      </c>
      <c r="C1105" s="2" t="s">
        <v>21</v>
      </c>
      <c r="D1105" s="2" t="s">
        <v>26</v>
      </c>
      <c r="E1105" s="2" t="s">
        <v>22</v>
      </c>
      <c r="F1105" s="2" t="s">
        <v>52</v>
      </c>
      <c r="G1105" s="2" t="s">
        <v>36</v>
      </c>
      <c r="H1105" s="2">
        <v>420000</v>
      </c>
      <c r="I1105" s="2">
        <v>3</v>
      </c>
      <c r="J1105" s="2" t="s">
        <v>50</v>
      </c>
      <c r="K1105" s="2">
        <f t="shared" si="119"/>
        <v>336000</v>
      </c>
      <c r="L1105" s="9">
        <f>Table_1[[#This Row],[Unit Price]]*Table_1[[#This Row],[Quantity]]</f>
        <v>1260000</v>
      </c>
      <c r="M1105" s="8">
        <f>Table_1[[#This Row],[Cost Price]]*Table_1[[#This Row],[Quantity]]</f>
        <v>1008000</v>
      </c>
      <c r="N1105">
        <f>Table_1[[#This Row],[Revenue]]-Table_1[[#This Row],[COGS]]</f>
        <v>252000</v>
      </c>
      <c r="O1105" s="11">
        <f t="shared" si="120"/>
        <v>4656740000</v>
      </c>
      <c r="P1105">
        <f t="shared" si="121"/>
        <v>3725392000</v>
      </c>
      <c r="Q1105">
        <f t="shared" si="122"/>
        <v>931348000</v>
      </c>
      <c r="R1105" s="7">
        <f t="shared" si="123"/>
        <v>2098</v>
      </c>
      <c r="S1105" s="7">
        <f t="shared" si="124"/>
        <v>3</v>
      </c>
      <c r="T1105" s="7">
        <f t="shared" si="125"/>
        <v>2098</v>
      </c>
    </row>
    <row r="1106" spans="1:20" ht="14.25" customHeight="1" x14ac:dyDescent="0.35">
      <c r="A1106" s="2" t="s">
        <v>139</v>
      </c>
      <c r="B1106" s="2" t="s">
        <v>20</v>
      </c>
      <c r="C1106" s="2" t="s">
        <v>38</v>
      </c>
      <c r="D1106" s="2" t="s">
        <v>14</v>
      </c>
      <c r="E1106" s="2" t="s">
        <v>15</v>
      </c>
      <c r="F1106" s="2" t="s">
        <v>47</v>
      </c>
      <c r="G1106" s="2" t="s">
        <v>36</v>
      </c>
      <c r="H1106" s="2">
        <v>150000</v>
      </c>
      <c r="I1106" s="2">
        <v>8</v>
      </c>
      <c r="J1106" s="2" t="s">
        <v>18</v>
      </c>
      <c r="K1106" s="2">
        <f t="shared" si="119"/>
        <v>120000</v>
      </c>
      <c r="L1106" s="9">
        <f>Table_1[[#This Row],[Unit Price]]*Table_1[[#This Row],[Quantity]]</f>
        <v>1200000</v>
      </c>
      <c r="M1106" s="8">
        <f>Table_1[[#This Row],[Cost Price]]*Table_1[[#This Row],[Quantity]]</f>
        <v>960000</v>
      </c>
      <c r="N1106">
        <f>Table_1[[#This Row],[Revenue]]-Table_1[[#This Row],[COGS]]</f>
        <v>240000</v>
      </c>
      <c r="O1106" s="11">
        <f t="shared" si="120"/>
        <v>4656740000</v>
      </c>
      <c r="P1106">
        <f t="shared" si="121"/>
        <v>3725392000</v>
      </c>
      <c r="Q1106">
        <f t="shared" si="122"/>
        <v>931348000</v>
      </c>
      <c r="R1106" s="7">
        <f t="shared" si="123"/>
        <v>2098</v>
      </c>
      <c r="S1106" s="7">
        <f t="shared" si="124"/>
        <v>2</v>
      </c>
      <c r="T1106" s="7">
        <f t="shared" si="125"/>
        <v>2098</v>
      </c>
    </row>
    <row r="1107" spans="1:20" ht="14.25" customHeight="1" x14ac:dyDescent="0.35">
      <c r="A1107" s="2" t="s">
        <v>131</v>
      </c>
      <c r="B1107" s="2" t="s">
        <v>12</v>
      </c>
      <c r="C1107" s="2" t="s">
        <v>21</v>
      </c>
      <c r="D1107" s="2" t="s">
        <v>26</v>
      </c>
      <c r="E1107" s="2" t="s">
        <v>15</v>
      </c>
      <c r="F1107" s="2" t="s">
        <v>31</v>
      </c>
      <c r="G1107" s="2" t="s">
        <v>24</v>
      </c>
      <c r="H1107" s="2">
        <v>60000</v>
      </c>
      <c r="I1107" s="2">
        <v>5</v>
      </c>
      <c r="J1107" s="2" t="s">
        <v>43</v>
      </c>
      <c r="K1107" s="2">
        <f t="shared" si="119"/>
        <v>48000</v>
      </c>
      <c r="L1107" s="9">
        <f>Table_1[[#This Row],[Unit Price]]*Table_1[[#This Row],[Quantity]]</f>
        <v>300000</v>
      </c>
      <c r="M1107" s="8">
        <f>Table_1[[#This Row],[Cost Price]]*Table_1[[#This Row],[Quantity]]</f>
        <v>240000</v>
      </c>
      <c r="N1107">
        <f>Table_1[[#This Row],[Revenue]]-Table_1[[#This Row],[COGS]]</f>
        <v>60000</v>
      </c>
      <c r="O1107" s="11">
        <f t="shared" si="120"/>
        <v>4656740000</v>
      </c>
      <c r="P1107">
        <f t="shared" si="121"/>
        <v>3725392000</v>
      </c>
      <c r="Q1107">
        <f t="shared" si="122"/>
        <v>931348000</v>
      </c>
      <c r="R1107" s="7">
        <f t="shared" si="123"/>
        <v>2098</v>
      </c>
      <c r="S1107" s="7">
        <f t="shared" si="124"/>
        <v>1</v>
      </c>
      <c r="T1107" s="7">
        <f t="shared" si="125"/>
        <v>2098</v>
      </c>
    </row>
    <row r="1108" spans="1:20" ht="14.25" customHeight="1" x14ac:dyDescent="0.35">
      <c r="A1108" s="2" t="s">
        <v>74</v>
      </c>
      <c r="B1108" s="2" t="s">
        <v>12</v>
      </c>
      <c r="C1108" s="2" t="s">
        <v>30</v>
      </c>
      <c r="D1108" s="2" t="s">
        <v>26</v>
      </c>
      <c r="E1108" s="2" t="s">
        <v>22</v>
      </c>
      <c r="F1108" s="2" t="s">
        <v>41</v>
      </c>
      <c r="G1108" s="2" t="s">
        <v>17</v>
      </c>
      <c r="H1108" s="2">
        <v>320000</v>
      </c>
      <c r="I1108" s="2">
        <v>9</v>
      </c>
      <c r="J1108" s="2" t="s">
        <v>50</v>
      </c>
      <c r="K1108" s="2">
        <f t="shared" si="119"/>
        <v>256000</v>
      </c>
      <c r="L1108" s="9">
        <f>Table_1[[#This Row],[Unit Price]]*Table_1[[#This Row],[Quantity]]</f>
        <v>2880000</v>
      </c>
      <c r="M1108" s="8">
        <f>Table_1[[#This Row],[Cost Price]]*Table_1[[#This Row],[Quantity]]</f>
        <v>2304000</v>
      </c>
      <c r="N1108">
        <f>Table_1[[#This Row],[Revenue]]-Table_1[[#This Row],[COGS]]</f>
        <v>576000</v>
      </c>
      <c r="O1108" s="11">
        <f t="shared" si="120"/>
        <v>4656740000</v>
      </c>
      <c r="P1108">
        <f t="shared" si="121"/>
        <v>3725392000</v>
      </c>
      <c r="Q1108">
        <f t="shared" si="122"/>
        <v>931348000</v>
      </c>
      <c r="R1108" s="7">
        <f t="shared" si="123"/>
        <v>2098</v>
      </c>
      <c r="S1108" s="7">
        <f t="shared" si="124"/>
        <v>2</v>
      </c>
      <c r="T1108" s="7">
        <f t="shared" si="125"/>
        <v>2098</v>
      </c>
    </row>
    <row r="1109" spans="1:20" ht="14.25" customHeight="1" x14ac:dyDescent="0.35">
      <c r="A1109" s="2" t="s">
        <v>124</v>
      </c>
      <c r="B1109" s="2" t="s">
        <v>12</v>
      </c>
      <c r="C1109" s="2" t="s">
        <v>21</v>
      </c>
      <c r="D1109" s="2" t="s">
        <v>26</v>
      </c>
      <c r="E1109" s="2" t="s">
        <v>15</v>
      </c>
      <c r="F1109" s="2" t="s">
        <v>52</v>
      </c>
      <c r="G1109" s="2" t="s">
        <v>36</v>
      </c>
      <c r="H1109" s="2">
        <v>420000</v>
      </c>
      <c r="I1109" s="2">
        <v>5</v>
      </c>
      <c r="J1109" s="2" t="s">
        <v>18</v>
      </c>
      <c r="K1109" s="2">
        <f t="shared" si="119"/>
        <v>336000</v>
      </c>
      <c r="L1109" s="9">
        <f>Table_1[[#This Row],[Unit Price]]*Table_1[[#This Row],[Quantity]]</f>
        <v>2100000</v>
      </c>
      <c r="M1109" s="8">
        <f>Table_1[[#This Row],[Cost Price]]*Table_1[[#This Row],[Quantity]]</f>
        <v>1680000</v>
      </c>
      <c r="N1109">
        <f>Table_1[[#This Row],[Revenue]]-Table_1[[#This Row],[COGS]]</f>
        <v>420000</v>
      </c>
      <c r="O1109" s="11">
        <f t="shared" si="120"/>
        <v>4656740000</v>
      </c>
      <c r="P1109">
        <f t="shared" si="121"/>
        <v>3725392000</v>
      </c>
      <c r="Q1109">
        <f t="shared" si="122"/>
        <v>931348000</v>
      </c>
      <c r="R1109" s="7">
        <f t="shared" si="123"/>
        <v>2098</v>
      </c>
      <c r="S1109" s="7">
        <f t="shared" si="124"/>
        <v>1</v>
      </c>
      <c r="T1109" s="7">
        <f t="shared" si="125"/>
        <v>2098</v>
      </c>
    </row>
    <row r="1110" spans="1:20" ht="14.25" customHeight="1" x14ac:dyDescent="0.35">
      <c r="A1110" s="2" t="s">
        <v>79</v>
      </c>
      <c r="B1110" s="2" t="s">
        <v>34</v>
      </c>
      <c r="C1110" s="2" t="s">
        <v>21</v>
      </c>
      <c r="D1110" s="2" t="s">
        <v>26</v>
      </c>
      <c r="E1110" s="2" t="s">
        <v>15</v>
      </c>
      <c r="F1110" s="2" t="s">
        <v>31</v>
      </c>
      <c r="G1110" s="2" t="s">
        <v>24</v>
      </c>
      <c r="H1110" s="2">
        <v>60000</v>
      </c>
      <c r="I1110" s="2">
        <v>9</v>
      </c>
      <c r="J1110" s="2" t="s">
        <v>32</v>
      </c>
      <c r="K1110" s="2">
        <f t="shared" si="119"/>
        <v>48000</v>
      </c>
      <c r="L1110" s="9">
        <f>Table_1[[#This Row],[Unit Price]]*Table_1[[#This Row],[Quantity]]</f>
        <v>540000</v>
      </c>
      <c r="M1110" s="8">
        <f>Table_1[[#This Row],[Cost Price]]*Table_1[[#This Row],[Quantity]]</f>
        <v>432000</v>
      </c>
      <c r="N1110">
        <f>Table_1[[#This Row],[Revenue]]-Table_1[[#This Row],[COGS]]</f>
        <v>108000</v>
      </c>
      <c r="O1110" s="11">
        <f t="shared" si="120"/>
        <v>4656740000</v>
      </c>
      <c r="P1110">
        <f t="shared" si="121"/>
        <v>3725392000</v>
      </c>
      <c r="Q1110">
        <f t="shared" si="122"/>
        <v>931348000</v>
      </c>
      <c r="R1110" s="7">
        <f t="shared" si="123"/>
        <v>2098</v>
      </c>
      <c r="S1110" s="7">
        <f t="shared" si="124"/>
        <v>1</v>
      </c>
      <c r="T1110" s="7">
        <f t="shared" si="125"/>
        <v>2098</v>
      </c>
    </row>
    <row r="1111" spans="1:20" ht="14.25" customHeight="1" x14ac:dyDescent="0.35">
      <c r="A1111" s="2" t="s">
        <v>109</v>
      </c>
      <c r="B1111" s="2" t="s">
        <v>29</v>
      </c>
      <c r="C1111" s="2" t="s">
        <v>21</v>
      </c>
      <c r="D1111" s="2" t="s">
        <v>14</v>
      </c>
      <c r="E1111" s="2" t="s">
        <v>15</v>
      </c>
      <c r="F1111" s="2" t="s">
        <v>52</v>
      </c>
      <c r="G1111" s="2" t="s">
        <v>36</v>
      </c>
      <c r="H1111" s="2">
        <v>420000</v>
      </c>
      <c r="I1111" s="2">
        <v>1</v>
      </c>
      <c r="J1111" s="2" t="s">
        <v>54</v>
      </c>
      <c r="K1111" s="2">
        <f t="shared" si="119"/>
        <v>336000</v>
      </c>
      <c r="L1111" s="9">
        <f>Table_1[[#This Row],[Unit Price]]*Table_1[[#This Row],[Quantity]]</f>
        <v>420000</v>
      </c>
      <c r="M1111" s="8">
        <f>Table_1[[#This Row],[Cost Price]]*Table_1[[#This Row],[Quantity]]</f>
        <v>336000</v>
      </c>
      <c r="N1111">
        <f>Table_1[[#This Row],[Revenue]]-Table_1[[#This Row],[COGS]]</f>
        <v>84000</v>
      </c>
      <c r="O1111" s="11">
        <f t="shared" si="120"/>
        <v>4656740000</v>
      </c>
      <c r="P1111">
        <f t="shared" si="121"/>
        <v>3725392000</v>
      </c>
      <c r="Q1111">
        <f t="shared" si="122"/>
        <v>931348000</v>
      </c>
      <c r="R1111" s="7">
        <f t="shared" si="123"/>
        <v>2098</v>
      </c>
      <c r="S1111" s="7">
        <f t="shared" si="124"/>
        <v>2</v>
      </c>
      <c r="T1111" s="7">
        <f t="shared" si="125"/>
        <v>2098</v>
      </c>
    </row>
    <row r="1112" spans="1:20" ht="14.25" customHeight="1" x14ac:dyDescent="0.35">
      <c r="A1112" s="2" t="s">
        <v>130</v>
      </c>
      <c r="B1112" s="2" t="s">
        <v>20</v>
      </c>
      <c r="C1112" s="2" t="s">
        <v>38</v>
      </c>
      <c r="D1112" s="2" t="s">
        <v>14</v>
      </c>
      <c r="E1112" s="2" t="s">
        <v>15</v>
      </c>
      <c r="F1112" s="2" t="s">
        <v>47</v>
      </c>
      <c r="G1112" s="2" t="s">
        <v>36</v>
      </c>
      <c r="H1112" s="2">
        <v>150000</v>
      </c>
      <c r="I1112" s="2">
        <v>9</v>
      </c>
      <c r="J1112" s="2" t="s">
        <v>50</v>
      </c>
      <c r="K1112" s="2">
        <f t="shared" si="119"/>
        <v>120000</v>
      </c>
      <c r="L1112" s="9">
        <f>Table_1[[#This Row],[Unit Price]]*Table_1[[#This Row],[Quantity]]</f>
        <v>1350000</v>
      </c>
      <c r="M1112" s="8">
        <f>Table_1[[#This Row],[Cost Price]]*Table_1[[#This Row],[Quantity]]</f>
        <v>1080000</v>
      </c>
      <c r="N1112">
        <f>Table_1[[#This Row],[Revenue]]-Table_1[[#This Row],[COGS]]</f>
        <v>270000</v>
      </c>
      <c r="O1112" s="11">
        <f t="shared" si="120"/>
        <v>4656740000</v>
      </c>
      <c r="P1112">
        <f t="shared" si="121"/>
        <v>3725392000</v>
      </c>
      <c r="Q1112">
        <f t="shared" si="122"/>
        <v>931348000</v>
      </c>
      <c r="R1112" s="7">
        <f t="shared" si="123"/>
        <v>2098</v>
      </c>
      <c r="S1112" s="7">
        <f t="shared" si="124"/>
        <v>1</v>
      </c>
      <c r="T1112" s="7">
        <f t="shared" si="125"/>
        <v>2098</v>
      </c>
    </row>
    <row r="1113" spans="1:20" ht="14.25" customHeight="1" x14ac:dyDescent="0.35">
      <c r="A1113" s="2" t="s">
        <v>33</v>
      </c>
      <c r="B1113" s="2" t="s">
        <v>29</v>
      </c>
      <c r="C1113" s="2" t="s">
        <v>38</v>
      </c>
      <c r="D1113" s="2" t="s">
        <v>26</v>
      </c>
      <c r="E1113" s="2" t="s">
        <v>22</v>
      </c>
      <c r="F1113" s="2" t="s">
        <v>58</v>
      </c>
      <c r="G1113" s="2" t="s">
        <v>24</v>
      </c>
      <c r="H1113" s="2">
        <v>220000</v>
      </c>
      <c r="I1113" s="2">
        <v>7</v>
      </c>
      <c r="J1113" s="2" t="s">
        <v>18</v>
      </c>
      <c r="K1113" s="2">
        <f t="shared" si="119"/>
        <v>176000</v>
      </c>
      <c r="L1113" s="9">
        <f>Table_1[[#This Row],[Unit Price]]*Table_1[[#This Row],[Quantity]]</f>
        <v>1540000</v>
      </c>
      <c r="M1113" s="8">
        <f>Table_1[[#This Row],[Cost Price]]*Table_1[[#This Row],[Quantity]]</f>
        <v>1232000</v>
      </c>
      <c r="N1113">
        <f>Table_1[[#This Row],[Revenue]]-Table_1[[#This Row],[COGS]]</f>
        <v>308000</v>
      </c>
      <c r="O1113" s="11">
        <f t="shared" si="120"/>
        <v>4656740000</v>
      </c>
      <c r="P1113">
        <f t="shared" si="121"/>
        <v>3725392000</v>
      </c>
      <c r="Q1113">
        <f t="shared" si="122"/>
        <v>931348000</v>
      </c>
      <c r="R1113" s="7">
        <f t="shared" si="123"/>
        <v>2098</v>
      </c>
      <c r="S1113" s="7">
        <f t="shared" si="124"/>
        <v>4</v>
      </c>
      <c r="T1113" s="7">
        <f t="shared" si="125"/>
        <v>2098</v>
      </c>
    </row>
    <row r="1114" spans="1:20" ht="14.25" customHeight="1" x14ac:dyDescent="0.35">
      <c r="A1114" s="2" t="s">
        <v>42</v>
      </c>
      <c r="B1114" s="2" t="s">
        <v>34</v>
      </c>
      <c r="C1114" s="2" t="s">
        <v>13</v>
      </c>
      <c r="D1114" s="2" t="s">
        <v>14</v>
      </c>
      <c r="E1114" s="2" t="s">
        <v>22</v>
      </c>
      <c r="F1114" s="2" t="s">
        <v>41</v>
      </c>
      <c r="G1114" s="2" t="s">
        <v>17</v>
      </c>
      <c r="H1114" s="2">
        <v>320000</v>
      </c>
      <c r="I1114" s="2">
        <v>3</v>
      </c>
      <c r="J1114" s="2" t="s">
        <v>43</v>
      </c>
      <c r="K1114" s="2">
        <f t="shared" si="119"/>
        <v>256000</v>
      </c>
      <c r="L1114" s="9">
        <f>Table_1[[#This Row],[Unit Price]]*Table_1[[#This Row],[Quantity]]</f>
        <v>960000</v>
      </c>
      <c r="M1114" s="8">
        <f>Table_1[[#This Row],[Cost Price]]*Table_1[[#This Row],[Quantity]]</f>
        <v>768000</v>
      </c>
      <c r="N1114">
        <f>Table_1[[#This Row],[Revenue]]-Table_1[[#This Row],[COGS]]</f>
        <v>192000</v>
      </c>
      <c r="O1114" s="11">
        <f t="shared" si="120"/>
        <v>4656740000</v>
      </c>
      <c r="P1114">
        <f t="shared" si="121"/>
        <v>3725392000</v>
      </c>
      <c r="Q1114">
        <f t="shared" si="122"/>
        <v>931348000</v>
      </c>
      <c r="R1114" s="7">
        <f t="shared" si="123"/>
        <v>2098</v>
      </c>
      <c r="S1114" s="7">
        <f t="shared" si="124"/>
        <v>2</v>
      </c>
      <c r="T1114" s="7">
        <f t="shared" si="125"/>
        <v>2098</v>
      </c>
    </row>
    <row r="1115" spans="1:20" ht="14.25" customHeight="1" x14ac:dyDescent="0.35">
      <c r="A1115" s="2" t="s">
        <v>75</v>
      </c>
      <c r="B1115" s="2" t="s">
        <v>29</v>
      </c>
      <c r="C1115" s="2" t="s">
        <v>21</v>
      </c>
      <c r="D1115" s="2" t="s">
        <v>26</v>
      </c>
      <c r="E1115" s="2" t="s">
        <v>15</v>
      </c>
      <c r="F1115" s="2" t="s">
        <v>41</v>
      </c>
      <c r="G1115" s="2" t="s">
        <v>17</v>
      </c>
      <c r="H1115" s="2">
        <v>320000</v>
      </c>
      <c r="I1115" s="2">
        <v>8</v>
      </c>
      <c r="J1115" s="2" t="s">
        <v>50</v>
      </c>
      <c r="K1115" s="2">
        <f t="shared" si="119"/>
        <v>256000</v>
      </c>
      <c r="L1115" s="9">
        <f>Table_1[[#This Row],[Unit Price]]*Table_1[[#This Row],[Quantity]]</f>
        <v>2560000</v>
      </c>
      <c r="M1115" s="8">
        <f>Table_1[[#This Row],[Cost Price]]*Table_1[[#This Row],[Quantity]]</f>
        <v>2048000</v>
      </c>
      <c r="N1115">
        <f>Table_1[[#This Row],[Revenue]]-Table_1[[#This Row],[COGS]]</f>
        <v>512000</v>
      </c>
      <c r="O1115" s="11">
        <f t="shared" si="120"/>
        <v>4656740000</v>
      </c>
      <c r="P1115">
        <f t="shared" si="121"/>
        <v>3725392000</v>
      </c>
      <c r="Q1115">
        <f t="shared" si="122"/>
        <v>931348000</v>
      </c>
      <c r="R1115" s="7">
        <f t="shared" si="123"/>
        <v>2098</v>
      </c>
      <c r="S1115" s="7">
        <f t="shared" si="124"/>
        <v>2</v>
      </c>
      <c r="T1115" s="7">
        <f t="shared" si="125"/>
        <v>2098</v>
      </c>
    </row>
    <row r="1116" spans="1:20" ht="14.25" customHeight="1" x14ac:dyDescent="0.35">
      <c r="A1116" s="2" t="s">
        <v>161</v>
      </c>
      <c r="B1116" s="2" t="s">
        <v>29</v>
      </c>
      <c r="C1116" s="2" t="s">
        <v>30</v>
      </c>
      <c r="D1116" s="2" t="s">
        <v>26</v>
      </c>
      <c r="E1116" s="2" t="s">
        <v>15</v>
      </c>
      <c r="F1116" s="2" t="s">
        <v>47</v>
      </c>
      <c r="G1116" s="2" t="s">
        <v>36</v>
      </c>
      <c r="H1116" s="2">
        <v>150000</v>
      </c>
      <c r="I1116" s="2">
        <v>3</v>
      </c>
      <c r="J1116" s="2" t="s">
        <v>50</v>
      </c>
      <c r="K1116" s="2">
        <f t="shared" si="119"/>
        <v>120000</v>
      </c>
      <c r="L1116" s="9">
        <f>Table_1[[#This Row],[Unit Price]]*Table_1[[#This Row],[Quantity]]</f>
        <v>450000</v>
      </c>
      <c r="M1116" s="8">
        <f>Table_1[[#This Row],[Cost Price]]*Table_1[[#This Row],[Quantity]]</f>
        <v>360000</v>
      </c>
      <c r="N1116">
        <f>Table_1[[#This Row],[Revenue]]-Table_1[[#This Row],[COGS]]</f>
        <v>90000</v>
      </c>
      <c r="O1116" s="11">
        <f t="shared" si="120"/>
        <v>4656740000</v>
      </c>
      <c r="P1116">
        <f t="shared" si="121"/>
        <v>3725392000</v>
      </c>
      <c r="Q1116">
        <f t="shared" si="122"/>
        <v>931348000</v>
      </c>
      <c r="R1116" s="7">
        <f t="shared" si="123"/>
        <v>2098</v>
      </c>
      <c r="S1116" s="7">
        <f t="shared" si="124"/>
        <v>1</v>
      </c>
      <c r="T1116" s="7">
        <f t="shared" si="125"/>
        <v>2098</v>
      </c>
    </row>
    <row r="1117" spans="1:20" ht="14.25" customHeight="1" x14ac:dyDescent="0.35">
      <c r="A1117" s="2" t="s">
        <v>142</v>
      </c>
      <c r="B1117" s="2" t="s">
        <v>12</v>
      </c>
      <c r="C1117" s="2" t="s">
        <v>38</v>
      </c>
      <c r="D1117" s="2" t="s">
        <v>14</v>
      </c>
      <c r="E1117" s="2" t="s">
        <v>15</v>
      </c>
      <c r="F1117" s="2" t="s">
        <v>56</v>
      </c>
      <c r="G1117" s="2" t="s">
        <v>36</v>
      </c>
      <c r="H1117" s="2">
        <v>250000</v>
      </c>
      <c r="I1117" s="2">
        <v>9</v>
      </c>
      <c r="J1117" s="2" t="s">
        <v>18</v>
      </c>
      <c r="K1117" s="2">
        <f t="shared" si="119"/>
        <v>200000</v>
      </c>
      <c r="L1117" s="9">
        <f>Table_1[[#This Row],[Unit Price]]*Table_1[[#This Row],[Quantity]]</f>
        <v>2250000</v>
      </c>
      <c r="M1117" s="8">
        <f>Table_1[[#This Row],[Cost Price]]*Table_1[[#This Row],[Quantity]]</f>
        <v>1800000</v>
      </c>
      <c r="N1117">
        <f>Table_1[[#This Row],[Revenue]]-Table_1[[#This Row],[COGS]]</f>
        <v>450000</v>
      </c>
      <c r="O1117" s="11">
        <f t="shared" si="120"/>
        <v>4656740000</v>
      </c>
      <c r="P1117">
        <f t="shared" si="121"/>
        <v>3725392000</v>
      </c>
      <c r="Q1117">
        <f t="shared" si="122"/>
        <v>931348000</v>
      </c>
      <c r="R1117" s="7">
        <f t="shared" si="123"/>
        <v>2098</v>
      </c>
      <c r="S1117" s="7">
        <f t="shared" si="124"/>
        <v>4</v>
      </c>
      <c r="T1117" s="7">
        <f t="shared" si="125"/>
        <v>2098</v>
      </c>
    </row>
    <row r="1118" spans="1:20" ht="14.25" customHeight="1" x14ac:dyDescent="0.35">
      <c r="A1118" s="2" t="s">
        <v>97</v>
      </c>
      <c r="B1118" s="2" t="s">
        <v>12</v>
      </c>
      <c r="C1118" s="2" t="s">
        <v>21</v>
      </c>
      <c r="D1118" s="2" t="s">
        <v>14</v>
      </c>
      <c r="E1118" s="2" t="s">
        <v>22</v>
      </c>
      <c r="F1118" s="2" t="s">
        <v>52</v>
      </c>
      <c r="G1118" s="2" t="s">
        <v>36</v>
      </c>
      <c r="H1118" s="2">
        <v>420000</v>
      </c>
      <c r="I1118" s="2">
        <v>7</v>
      </c>
      <c r="J1118" s="2" t="s">
        <v>32</v>
      </c>
      <c r="K1118" s="2">
        <f t="shared" si="119"/>
        <v>336000</v>
      </c>
      <c r="L1118" s="9">
        <f>Table_1[[#This Row],[Unit Price]]*Table_1[[#This Row],[Quantity]]</f>
        <v>2940000</v>
      </c>
      <c r="M1118" s="8">
        <f>Table_1[[#This Row],[Cost Price]]*Table_1[[#This Row],[Quantity]]</f>
        <v>2352000</v>
      </c>
      <c r="N1118">
        <f>Table_1[[#This Row],[Revenue]]-Table_1[[#This Row],[COGS]]</f>
        <v>588000</v>
      </c>
      <c r="O1118" s="11">
        <f t="shared" si="120"/>
        <v>4656740000</v>
      </c>
      <c r="P1118">
        <f t="shared" si="121"/>
        <v>3725392000</v>
      </c>
      <c r="Q1118">
        <f t="shared" si="122"/>
        <v>931348000</v>
      </c>
      <c r="R1118" s="7">
        <f t="shared" si="123"/>
        <v>2098</v>
      </c>
      <c r="S1118" s="7">
        <f t="shared" si="124"/>
        <v>2</v>
      </c>
      <c r="T1118" s="7">
        <f t="shared" si="125"/>
        <v>2098</v>
      </c>
    </row>
    <row r="1119" spans="1:20" ht="14.25" customHeight="1" x14ac:dyDescent="0.35">
      <c r="A1119" s="2" t="s">
        <v>72</v>
      </c>
      <c r="B1119" s="2" t="s">
        <v>12</v>
      </c>
      <c r="C1119" s="2" t="s">
        <v>13</v>
      </c>
      <c r="D1119" s="2" t="s">
        <v>26</v>
      </c>
      <c r="E1119" s="2" t="s">
        <v>22</v>
      </c>
      <c r="F1119" s="2" t="s">
        <v>56</v>
      </c>
      <c r="G1119" s="2" t="s">
        <v>36</v>
      </c>
      <c r="H1119" s="2">
        <v>250000</v>
      </c>
      <c r="I1119" s="2">
        <v>10</v>
      </c>
      <c r="J1119" s="2" t="s">
        <v>27</v>
      </c>
      <c r="K1119" s="2">
        <f t="shared" si="119"/>
        <v>200000</v>
      </c>
      <c r="L1119" s="9">
        <f>Table_1[[#This Row],[Unit Price]]*Table_1[[#This Row],[Quantity]]</f>
        <v>2500000</v>
      </c>
      <c r="M1119" s="8">
        <f>Table_1[[#This Row],[Cost Price]]*Table_1[[#This Row],[Quantity]]</f>
        <v>2000000</v>
      </c>
      <c r="N1119">
        <f>Table_1[[#This Row],[Revenue]]-Table_1[[#This Row],[COGS]]</f>
        <v>500000</v>
      </c>
      <c r="O1119" s="11">
        <f t="shared" si="120"/>
        <v>4656740000</v>
      </c>
      <c r="P1119">
        <f t="shared" si="121"/>
        <v>3725392000</v>
      </c>
      <c r="Q1119">
        <f t="shared" si="122"/>
        <v>931348000</v>
      </c>
      <c r="R1119" s="7">
        <f t="shared" si="123"/>
        <v>2098</v>
      </c>
      <c r="S1119" s="7">
        <f t="shared" si="124"/>
        <v>3</v>
      </c>
      <c r="T1119" s="7">
        <f t="shared" si="125"/>
        <v>2098</v>
      </c>
    </row>
    <row r="1120" spans="1:20" ht="14.25" customHeight="1" x14ac:dyDescent="0.35">
      <c r="A1120" s="2" t="s">
        <v>122</v>
      </c>
      <c r="B1120" s="2" t="s">
        <v>20</v>
      </c>
      <c r="C1120" s="2" t="s">
        <v>30</v>
      </c>
      <c r="D1120" s="2" t="s">
        <v>14</v>
      </c>
      <c r="E1120" s="2" t="s">
        <v>15</v>
      </c>
      <c r="F1120" s="2" t="s">
        <v>31</v>
      </c>
      <c r="G1120" s="2" t="s">
        <v>24</v>
      </c>
      <c r="H1120" s="2">
        <v>60000</v>
      </c>
      <c r="I1120" s="2">
        <v>4</v>
      </c>
      <c r="J1120" s="2" t="s">
        <v>27</v>
      </c>
      <c r="K1120" s="2">
        <f t="shared" si="119"/>
        <v>48000</v>
      </c>
      <c r="L1120" s="9">
        <f>Table_1[[#This Row],[Unit Price]]*Table_1[[#This Row],[Quantity]]</f>
        <v>240000</v>
      </c>
      <c r="M1120" s="8">
        <f>Table_1[[#This Row],[Cost Price]]*Table_1[[#This Row],[Quantity]]</f>
        <v>192000</v>
      </c>
      <c r="N1120">
        <f>Table_1[[#This Row],[Revenue]]-Table_1[[#This Row],[COGS]]</f>
        <v>48000</v>
      </c>
      <c r="O1120" s="11">
        <f t="shared" si="120"/>
        <v>4656740000</v>
      </c>
      <c r="P1120">
        <f t="shared" si="121"/>
        <v>3725392000</v>
      </c>
      <c r="Q1120">
        <f t="shared" si="122"/>
        <v>931348000</v>
      </c>
      <c r="R1120" s="7">
        <f t="shared" si="123"/>
        <v>2098</v>
      </c>
      <c r="S1120" s="7">
        <f t="shared" si="124"/>
        <v>4</v>
      </c>
      <c r="T1120" s="7">
        <f t="shared" si="125"/>
        <v>2098</v>
      </c>
    </row>
    <row r="1121" spans="1:20" ht="14.25" customHeight="1" x14ac:dyDescent="0.35">
      <c r="A1121" s="2" t="s">
        <v>138</v>
      </c>
      <c r="B1121" s="2" t="s">
        <v>34</v>
      </c>
      <c r="C1121" s="2" t="s">
        <v>21</v>
      </c>
      <c r="D1121" s="2" t="s">
        <v>14</v>
      </c>
      <c r="E1121" s="2" t="s">
        <v>15</v>
      </c>
      <c r="F1121" s="2" t="s">
        <v>56</v>
      </c>
      <c r="G1121" s="2" t="s">
        <v>36</v>
      </c>
      <c r="H1121" s="2">
        <v>250000</v>
      </c>
      <c r="I1121" s="2">
        <v>4</v>
      </c>
      <c r="J1121" s="2" t="s">
        <v>18</v>
      </c>
      <c r="K1121" s="2">
        <f t="shared" si="119"/>
        <v>200000</v>
      </c>
      <c r="L1121" s="9">
        <f>Table_1[[#This Row],[Unit Price]]*Table_1[[#This Row],[Quantity]]</f>
        <v>1000000</v>
      </c>
      <c r="M1121" s="8">
        <f>Table_1[[#This Row],[Cost Price]]*Table_1[[#This Row],[Quantity]]</f>
        <v>800000</v>
      </c>
      <c r="N1121">
        <f>Table_1[[#This Row],[Revenue]]-Table_1[[#This Row],[COGS]]</f>
        <v>200000</v>
      </c>
      <c r="O1121" s="11">
        <f t="shared" si="120"/>
        <v>4656740000</v>
      </c>
      <c r="P1121">
        <f t="shared" si="121"/>
        <v>3725392000</v>
      </c>
      <c r="Q1121">
        <f t="shared" si="122"/>
        <v>931348000</v>
      </c>
      <c r="R1121" s="7">
        <f t="shared" si="123"/>
        <v>2098</v>
      </c>
      <c r="S1121" s="7">
        <f t="shared" si="124"/>
        <v>3</v>
      </c>
      <c r="T1121" s="7">
        <f t="shared" si="125"/>
        <v>2098</v>
      </c>
    </row>
    <row r="1122" spans="1:20" ht="14.25" customHeight="1" x14ac:dyDescent="0.35">
      <c r="A1122" s="2" t="s">
        <v>59</v>
      </c>
      <c r="B1122" s="2" t="s">
        <v>34</v>
      </c>
      <c r="C1122" s="2" t="s">
        <v>13</v>
      </c>
      <c r="D1122" s="2" t="s">
        <v>14</v>
      </c>
      <c r="E1122" s="2" t="s">
        <v>15</v>
      </c>
      <c r="F1122" s="2" t="s">
        <v>35</v>
      </c>
      <c r="G1122" s="2" t="s">
        <v>36</v>
      </c>
      <c r="H1122" s="2">
        <v>300000</v>
      </c>
      <c r="I1122" s="2">
        <v>3</v>
      </c>
      <c r="J1122" s="2" t="s">
        <v>54</v>
      </c>
      <c r="K1122" s="2">
        <f t="shared" si="119"/>
        <v>240000</v>
      </c>
      <c r="L1122" s="9">
        <f>Table_1[[#This Row],[Unit Price]]*Table_1[[#This Row],[Quantity]]</f>
        <v>900000</v>
      </c>
      <c r="M1122" s="8">
        <f>Table_1[[#This Row],[Cost Price]]*Table_1[[#This Row],[Quantity]]</f>
        <v>720000</v>
      </c>
      <c r="N1122">
        <f>Table_1[[#This Row],[Revenue]]-Table_1[[#This Row],[COGS]]</f>
        <v>180000</v>
      </c>
      <c r="O1122" s="11">
        <f t="shared" si="120"/>
        <v>4656740000</v>
      </c>
      <c r="P1122">
        <f t="shared" si="121"/>
        <v>3725392000</v>
      </c>
      <c r="Q1122">
        <f t="shared" si="122"/>
        <v>931348000</v>
      </c>
      <c r="R1122" s="7">
        <f t="shared" si="123"/>
        <v>2098</v>
      </c>
      <c r="S1122" s="7">
        <f t="shared" si="124"/>
        <v>2</v>
      </c>
      <c r="T1122" s="7">
        <f t="shared" si="125"/>
        <v>2098</v>
      </c>
    </row>
    <row r="1123" spans="1:20" ht="14.25" customHeight="1" x14ac:dyDescent="0.35">
      <c r="A1123" s="2" t="s">
        <v>158</v>
      </c>
      <c r="B1123" s="2" t="s">
        <v>29</v>
      </c>
      <c r="C1123" s="2" t="s">
        <v>21</v>
      </c>
      <c r="D1123" s="2" t="s">
        <v>26</v>
      </c>
      <c r="E1123" s="2" t="s">
        <v>15</v>
      </c>
      <c r="F1123" s="2" t="s">
        <v>52</v>
      </c>
      <c r="G1123" s="2" t="s">
        <v>36</v>
      </c>
      <c r="H1123" s="2">
        <v>420000</v>
      </c>
      <c r="I1123" s="2">
        <v>9</v>
      </c>
      <c r="J1123" s="2" t="s">
        <v>50</v>
      </c>
      <c r="K1123" s="2">
        <f t="shared" si="119"/>
        <v>336000</v>
      </c>
      <c r="L1123" s="9">
        <f>Table_1[[#This Row],[Unit Price]]*Table_1[[#This Row],[Quantity]]</f>
        <v>3780000</v>
      </c>
      <c r="M1123" s="8">
        <f>Table_1[[#This Row],[Cost Price]]*Table_1[[#This Row],[Quantity]]</f>
        <v>3024000</v>
      </c>
      <c r="N1123">
        <f>Table_1[[#This Row],[Revenue]]-Table_1[[#This Row],[COGS]]</f>
        <v>756000</v>
      </c>
      <c r="O1123" s="11">
        <f t="shared" si="120"/>
        <v>4656740000</v>
      </c>
      <c r="P1123">
        <f t="shared" si="121"/>
        <v>3725392000</v>
      </c>
      <c r="Q1123">
        <f t="shared" si="122"/>
        <v>931348000</v>
      </c>
      <c r="R1123" s="7">
        <f t="shared" si="123"/>
        <v>2098</v>
      </c>
      <c r="S1123" s="7">
        <f t="shared" si="124"/>
        <v>3</v>
      </c>
      <c r="T1123" s="7">
        <f t="shared" si="125"/>
        <v>2098</v>
      </c>
    </row>
    <row r="1124" spans="1:20" ht="14.25" customHeight="1" x14ac:dyDescent="0.35">
      <c r="A1124" s="2" t="s">
        <v>37</v>
      </c>
      <c r="B1124" s="2" t="s">
        <v>29</v>
      </c>
      <c r="C1124" s="2" t="s">
        <v>21</v>
      </c>
      <c r="D1124" s="2" t="s">
        <v>26</v>
      </c>
      <c r="E1124" s="2" t="s">
        <v>15</v>
      </c>
      <c r="F1124" s="2" t="s">
        <v>52</v>
      </c>
      <c r="G1124" s="2" t="s">
        <v>36</v>
      </c>
      <c r="H1124" s="2">
        <v>420000</v>
      </c>
      <c r="I1124" s="2">
        <v>7</v>
      </c>
      <c r="J1124" s="2" t="s">
        <v>32</v>
      </c>
      <c r="K1124" s="2">
        <f t="shared" si="119"/>
        <v>336000</v>
      </c>
      <c r="L1124" s="9">
        <f>Table_1[[#This Row],[Unit Price]]*Table_1[[#This Row],[Quantity]]</f>
        <v>2940000</v>
      </c>
      <c r="M1124" s="8">
        <f>Table_1[[#This Row],[Cost Price]]*Table_1[[#This Row],[Quantity]]</f>
        <v>2352000</v>
      </c>
      <c r="N1124">
        <f>Table_1[[#This Row],[Revenue]]-Table_1[[#This Row],[COGS]]</f>
        <v>588000</v>
      </c>
      <c r="O1124" s="11">
        <f t="shared" si="120"/>
        <v>4656740000</v>
      </c>
      <c r="P1124">
        <f t="shared" si="121"/>
        <v>3725392000</v>
      </c>
      <c r="Q1124">
        <f t="shared" si="122"/>
        <v>931348000</v>
      </c>
      <c r="R1124" s="7">
        <f t="shared" si="123"/>
        <v>2098</v>
      </c>
      <c r="S1124" s="7">
        <f t="shared" si="124"/>
        <v>3</v>
      </c>
      <c r="T1124" s="7">
        <f t="shared" si="125"/>
        <v>2098</v>
      </c>
    </row>
    <row r="1125" spans="1:20" ht="14.25" customHeight="1" x14ac:dyDescent="0.35">
      <c r="A1125" s="2" t="s">
        <v>80</v>
      </c>
      <c r="B1125" s="2" t="s">
        <v>20</v>
      </c>
      <c r="C1125" s="2" t="s">
        <v>30</v>
      </c>
      <c r="D1125" s="2" t="s">
        <v>14</v>
      </c>
      <c r="E1125" s="2" t="s">
        <v>15</v>
      </c>
      <c r="F1125" s="2" t="s">
        <v>58</v>
      </c>
      <c r="G1125" s="2" t="s">
        <v>24</v>
      </c>
      <c r="H1125" s="2">
        <v>220000</v>
      </c>
      <c r="I1125" s="2">
        <v>9</v>
      </c>
      <c r="J1125" s="2" t="s">
        <v>54</v>
      </c>
      <c r="K1125" s="2">
        <f t="shared" si="119"/>
        <v>176000</v>
      </c>
      <c r="L1125" s="9">
        <f>Table_1[[#This Row],[Unit Price]]*Table_1[[#This Row],[Quantity]]</f>
        <v>1980000</v>
      </c>
      <c r="M1125" s="8">
        <f>Table_1[[#This Row],[Cost Price]]*Table_1[[#This Row],[Quantity]]</f>
        <v>1584000</v>
      </c>
      <c r="N1125">
        <f>Table_1[[#This Row],[Revenue]]-Table_1[[#This Row],[COGS]]</f>
        <v>396000</v>
      </c>
      <c r="O1125" s="11">
        <f t="shared" si="120"/>
        <v>4656740000</v>
      </c>
      <c r="P1125">
        <f t="shared" si="121"/>
        <v>3725392000</v>
      </c>
      <c r="Q1125">
        <f t="shared" si="122"/>
        <v>931348000</v>
      </c>
      <c r="R1125" s="7">
        <f t="shared" si="123"/>
        <v>2098</v>
      </c>
      <c r="S1125" s="7">
        <f t="shared" si="124"/>
        <v>2</v>
      </c>
      <c r="T1125" s="7">
        <f t="shared" si="125"/>
        <v>2098</v>
      </c>
    </row>
    <row r="1126" spans="1:20" ht="14.25" customHeight="1" x14ac:dyDescent="0.35">
      <c r="A1126" s="2" t="s">
        <v>110</v>
      </c>
      <c r="B1126" s="2" t="s">
        <v>20</v>
      </c>
      <c r="C1126" s="2" t="s">
        <v>38</v>
      </c>
      <c r="D1126" s="2" t="s">
        <v>26</v>
      </c>
      <c r="E1126" s="2" t="s">
        <v>15</v>
      </c>
      <c r="F1126" s="2" t="s">
        <v>16</v>
      </c>
      <c r="G1126" s="2" t="s">
        <v>17</v>
      </c>
      <c r="H1126" s="2">
        <v>85000</v>
      </c>
      <c r="I1126" s="2">
        <v>8</v>
      </c>
      <c r="J1126" s="2" t="s">
        <v>32</v>
      </c>
      <c r="K1126" s="2">
        <f t="shared" si="119"/>
        <v>68000</v>
      </c>
      <c r="L1126" s="9">
        <f>Table_1[[#This Row],[Unit Price]]*Table_1[[#This Row],[Quantity]]</f>
        <v>680000</v>
      </c>
      <c r="M1126" s="8">
        <f>Table_1[[#This Row],[Cost Price]]*Table_1[[#This Row],[Quantity]]</f>
        <v>544000</v>
      </c>
      <c r="N1126">
        <f>Table_1[[#This Row],[Revenue]]-Table_1[[#This Row],[COGS]]</f>
        <v>136000</v>
      </c>
      <c r="O1126" s="11">
        <f t="shared" si="120"/>
        <v>4656740000</v>
      </c>
      <c r="P1126">
        <f t="shared" si="121"/>
        <v>3725392000</v>
      </c>
      <c r="Q1126">
        <f t="shared" si="122"/>
        <v>931348000</v>
      </c>
      <c r="R1126" s="7">
        <f t="shared" si="123"/>
        <v>2098</v>
      </c>
      <c r="S1126" s="7">
        <f t="shared" si="124"/>
        <v>2</v>
      </c>
      <c r="T1126" s="7">
        <f t="shared" si="125"/>
        <v>2098</v>
      </c>
    </row>
    <row r="1127" spans="1:20" ht="14.25" customHeight="1" x14ac:dyDescent="0.35">
      <c r="A1127" s="2" t="s">
        <v>11</v>
      </c>
      <c r="B1127" s="2" t="s">
        <v>29</v>
      </c>
      <c r="C1127" s="2" t="s">
        <v>13</v>
      </c>
      <c r="D1127" s="2" t="s">
        <v>26</v>
      </c>
      <c r="E1127" s="2" t="s">
        <v>22</v>
      </c>
      <c r="F1127" s="2" t="s">
        <v>16</v>
      </c>
      <c r="G1127" s="2" t="s">
        <v>17</v>
      </c>
      <c r="H1127" s="2">
        <v>85000</v>
      </c>
      <c r="I1127" s="2">
        <v>5</v>
      </c>
      <c r="J1127" s="2" t="s">
        <v>43</v>
      </c>
      <c r="K1127" s="2">
        <f t="shared" si="119"/>
        <v>68000</v>
      </c>
      <c r="L1127" s="9">
        <f>Table_1[[#This Row],[Unit Price]]*Table_1[[#This Row],[Quantity]]</f>
        <v>425000</v>
      </c>
      <c r="M1127" s="8">
        <f>Table_1[[#This Row],[Cost Price]]*Table_1[[#This Row],[Quantity]]</f>
        <v>340000</v>
      </c>
      <c r="N1127">
        <f>Table_1[[#This Row],[Revenue]]-Table_1[[#This Row],[COGS]]</f>
        <v>85000</v>
      </c>
      <c r="O1127" s="11">
        <f t="shared" si="120"/>
        <v>4656740000</v>
      </c>
      <c r="P1127">
        <f t="shared" si="121"/>
        <v>3725392000</v>
      </c>
      <c r="Q1127">
        <f t="shared" si="122"/>
        <v>931348000</v>
      </c>
      <c r="R1127" s="7">
        <f t="shared" si="123"/>
        <v>2098</v>
      </c>
      <c r="S1127" s="7">
        <f t="shared" si="124"/>
        <v>1</v>
      </c>
      <c r="T1127" s="7">
        <f t="shared" si="125"/>
        <v>2098</v>
      </c>
    </row>
    <row r="1128" spans="1:20" ht="14.25" customHeight="1" x14ac:dyDescent="0.35">
      <c r="A1128" s="2" t="s">
        <v>62</v>
      </c>
      <c r="B1128" s="2" t="s">
        <v>29</v>
      </c>
      <c r="C1128" s="2" t="s">
        <v>38</v>
      </c>
      <c r="D1128" s="2" t="s">
        <v>14</v>
      </c>
      <c r="E1128" s="2" t="s">
        <v>22</v>
      </c>
      <c r="F1128" s="2" t="s">
        <v>56</v>
      </c>
      <c r="G1128" s="2" t="s">
        <v>36</v>
      </c>
      <c r="H1128" s="2">
        <v>250000</v>
      </c>
      <c r="I1128" s="2">
        <v>6</v>
      </c>
      <c r="J1128" s="2" t="s">
        <v>54</v>
      </c>
      <c r="K1128" s="2">
        <f t="shared" si="119"/>
        <v>200000</v>
      </c>
      <c r="L1128" s="9">
        <f>Table_1[[#This Row],[Unit Price]]*Table_1[[#This Row],[Quantity]]</f>
        <v>1500000</v>
      </c>
      <c r="M1128" s="8">
        <f>Table_1[[#This Row],[Cost Price]]*Table_1[[#This Row],[Quantity]]</f>
        <v>1200000</v>
      </c>
      <c r="N1128">
        <f>Table_1[[#This Row],[Revenue]]-Table_1[[#This Row],[COGS]]</f>
        <v>300000</v>
      </c>
      <c r="O1128" s="11">
        <f t="shared" si="120"/>
        <v>4656740000</v>
      </c>
      <c r="P1128">
        <f t="shared" si="121"/>
        <v>3725392000</v>
      </c>
      <c r="Q1128">
        <f t="shared" si="122"/>
        <v>931348000</v>
      </c>
      <c r="R1128" s="7">
        <f t="shared" si="123"/>
        <v>2098</v>
      </c>
      <c r="S1128" s="7">
        <f t="shared" si="124"/>
        <v>4</v>
      </c>
      <c r="T1128" s="7">
        <f t="shared" si="125"/>
        <v>2098</v>
      </c>
    </row>
    <row r="1129" spans="1:20" ht="14.25" customHeight="1" x14ac:dyDescent="0.35">
      <c r="A1129" s="2" t="s">
        <v>98</v>
      </c>
      <c r="B1129" s="2" t="s">
        <v>20</v>
      </c>
      <c r="C1129" s="2" t="s">
        <v>30</v>
      </c>
      <c r="D1129" s="2" t="s">
        <v>26</v>
      </c>
      <c r="E1129" s="2" t="s">
        <v>22</v>
      </c>
      <c r="F1129" s="2" t="s">
        <v>23</v>
      </c>
      <c r="G1129" s="2" t="s">
        <v>24</v>
      </c>
      <c r="H1129" s="2">
        <v>30000</v>
      </c>
      <c r="I1129" s="2">
        <v>8</v>
      </c>
      <c r="J1129" s="2" t="s">
        <v>54</v>
      </c>
      <c r="K1129" s="2">
        <f t="shared" si="119"/>
        <v>24000</v>
      </c>
      <c r="L1129" s="9">
        <f>Table_1[[#This Row],[Unit Price]]*Table_1[[#This Row],[Quantity]]</f>
        <v>240000</v>
      </c>
      <c r="M1129" s="8">
        <f>Table_1[[#This Row],[Cost Price]]*Table_1[[#This Row],[Quantity]]</f>
        <v>192000</v>
      </c>
      <c r="N1129">
        <f>Table_1[[#This Row],[Revenue]]-Table_1[[#This Row],[COGS]]</f>
        <v>48000</v>
      </c>
      <c r="O1129" s="11">
        <f t="shared" si="120"/>
        <v>4656740000</v>
      </c>
      <c r="P1129">
        <f t="shared" si="121"/>
        <v>3725392000</v>
      </c>
      <c r="Q1129">
        <f t="shared" si="122"/>
        <v>931348000</v>
      </c>
      <c r="R1129" s="7">
        <f t="shared" si="123"/>
        <v>2098</v>
      </c>
      <c r="S1129" s="7">
        <f t="shared" si="124"/>
        <v>4</v>
      </c>
      <c r="T1129" s="7">
        <f t="shared" si="125"/>
        <v>2098</v>
      </c>
    </row>
    <row r="1130" spans="1:20" ht="14.25" customHeight="1" x14ac:dyDescent="0.35">
      <c r="A1130" s="2" t="s">
        <v>76</v>
      </c>
      <c r="B1130" s="2" t="s">
        <v>34</v>
      </c>
      <c r="C1130" s="2" t="s">
        <v>13</v>
      </c>
      <c r="D1130" s="2" t="s">
        <v>26</v>
      </c>
      <c r="E1130" s="2" t="s">
        <v>15</v>
      </c>
      <c r="F1130" s="2" t="s">
        <v>56</v>
      </c>
      <c r="G1130" s="2" t="s">
        <v>36</v>
      </c>
      <c r="H1130" s="2">
        <v>250000</v>
      </c>
      <c r="I1130" s="2">
        <v>6</v>
      </c>
      <c r="J1130" s="2" t="s">
        <v>50</v>
      </c>
      <c r="K1130" s="2">
        <f t="shared" si="119"/>
        <v>200000</v>
      </c>
      <c r="L1130" s="9">
        <f>Table_1[[#This Row],[Unit Price]]*Table_1[[#This Row],[Quantity]]</f>
        <v>1500000</v>
      </c>
      <c r="M1130" s="8">
        <f>Table_1[[#This Row],[Cost Price]]*Table_1[[#This Row],[Quantity]]</f>
        <v>1200000</v>
      </c>
      <c r="N1130">
        <f>Table_1[[#This Row],[Revenue]]-Table_1[[#This Row],[COGS]]</f>
        <v>300000</v>
      </c>
      <c r="O1130" s="11">
        <f t="shared" si="120"/>
        <v>4656740000</v>
      </c>
      <c r="P1130">
        <f t="shared" si="121"/>
        <v>3725392000</v>
      </c>
      <c r="Q1130">
        <f t="shared" si="122"/>
        <v>931348000</v>
      </c>
      <c r="R1130" s="7">
        <f t="shared" si="123"/>
        <v>2098</v>
      </c>
      <c r="S1130" s="7">
        <f t="shared" si="124"/>
        <v>2</v>
      </c>
      <c r="T1130" s="7">
        <f t="shared" si="125"/>
        <v>2098</v>
      </c>
    </row>
    <row r="1131" spans="1:20" ht="14.25" customHeight="1" x14ac:dyDescent="0.35">
      <c r="A1131" s="2" t="s">
        <v>90</v>
      </c>
      <c r="B1131" s="2" t="s">
        <v>29</v>
      </c>
      <c r="C1131" s="2" t="s">
        <v>21</v>
      </c>
      <c r="D1131" s="2" t="s">
        <v>26</v>
      </c>
      <c r="E1131" s="2" t="s">
        <v>22</v>
      </c>
      <c r="F1131" s="2" t="s">
        <v>41</v>
      </c>
      <c r="G1131" s="2" t="s">
        <v>17</v>
      </c>
      <c r="H1131" s="2">
        <v>320000</v>
      </c>
      <c r="I1131" s="2">
        <v>10</v>
      </c>
      <c r="J1131" s="2" t="s">
        <v>43</v>
      </c>
      <c r="K1131" s="2">
        <f t="shared" si="119"/>
        <v>256000</v>
      </c>
      <c r="L1131" s="9">
        <f>Table_1[[#This Row],[Unit Price]]*Table_1[[#This Row],[Quantity]]</f>
        <v>3200000</v>
      </c>
      <c r="M1131" s="8">
        <f>Table_1[[#This Row],[Cost Price]]*Table_1[[#This Row],[Quantity]]</f>
        <v>2560000</v>
      </c>
      <c r="N1131">
        <f>Table_1[[#This Row],[Revenue]]-Table_1[[#This Row],[COGS]]</f>
        <v>640000</v>
      </c>
      <c r="O1131" s="11">
        <f t="shared" si="120"/>
        <v>4656740000</v>
      </c>
      <c r="P1131">
        <f t="shared" si="121"/>
        <v>3725392000</v>
      </c>
      <c r="Q1131">
        <f t="shared" si="122"/>
        <v>931348000</v>
      </c>
      <c r="R1131" s="7">
        <f t="shared" si="123"/>
        <v>2098</v>
      </c>
      <c r="S1131" s="7">
        <f t="shared" si="124"/>
        <v>3</v>
      </c>
      <c r="T1131" s="7">
        <f t="shared" si="125"/>
        <v>2098</v>
      </c>
    </row>
    <row r="1132" spans="1:20" ht="14.25" customHeight="1" x14ac:dyDescent="0.35">
      <c r="A1132" s="2" t="s">
        <v>114</v>
      </c>
      <c r="B1132" s="2" t="s">
        <v>20</v>
      </c>
      <c r="C1132" s="2" t="s">
        <v>38</v>
      </c>
      <c r="D1132" s="2" t="s">
        <v>14</v>
      </c>
      <c r="E1132" s="2" t="s">
        <v>22</v>
      </c>
      <c r="F1132" s="2" t="s">
        <v>23</v>
      </c>
      <c r="G1132" s="2" t="s">
        <v>24</v>
      </c>
      <c r="H1132" s="2">
        <v>30000</v>
      </c>
      <c r="I1132" s="2">
        <v>4</v>
      </c>
      <c r="J1132" s="2" t="s">
        <v>43</v>
      </c>
      <c r="K1132" s="2">
        <f t="shared" si="119"/>
        <v>24000</v>
      </c>
      <c r="L1132" s="9">
        <f>Table_1[[#This Row],[Unit Price]]*Table_1[[#This Row],[Quantity]]</f>
        <v>120000</v>
      </c>
      <c r="M1132" s="8">
        <f>Table_1[[#This Row],[Cost Price]]*Table_1[[#This Row],[Quantity]]</f>
        <v>96000</v>
      </c>
      <c r="N1132">
        <f>Table_1[[#This Row],[Revenue]]-Table_1[[#This Row],[COGS]]</f>
        <v>24000</v>
      </c>
      <c r="O1132" s="11">
        <f t="shared" si="120"/>
        <v>4656740000</v>
      </c>
      <c r="P1132">
        <f t="shared" si="121"/>
        <v>3725392000</v>
      </c>
      <c r="Q1132">
        <f t="shared" si="122"/>
        <v>931348000</v>
      </c>
      <c r="R1132" s="7">
        <f t="shared" si="123"/>
        <v>2098</v>
      </c>
      <c r="S1132" s="7">
        <f t="shared" si="124"/>
        <v>3</v>
      </c>
      <c r="T1132" s="7">
        <f t="shared" si="125"/>
        <v>2098</v>
      </c>
    </row>
    <row r="1133" spans="1:20" ht="14.25" customHeight="1" x14ac:dyDescent="0.35">
      <c r="A1133" s="2" t="s">
        <v>80</v>
      </c>
      <c r="B1133" s="2" t="s">
        <v>29</v>
      </c>
      <c r="C1133" s="2" t="s">
        <v>38</v>
      </c>
      <c r="D1133" s="2" t="s">
        <v>14</v>
      </c>
      <c r="E1133" s="2" t="s">
        <v>22</v>
      </c>
      <c r="F1133" s="2" t="s">
        <v>16</v>
      </c>
      <c r="G1133" s="2" t="s">
        <v>17</v>
      </c>
      <c r="H1133" s="2">
        <v>85000</v>
      </c>
      <c r="I1133" s="2">
        <v>10</v>
      </c>
      <c r="J1133" s="2" t="s">
        <v>18</v>
      </c>
      <c r="K1133" s="2">
        <f t="shared" si="119"/>
        <v>68000</v>
      </c>
      <c r="L1133" s="9">
        <f>Table_1[[#This Row],[Unit Price]]*Table_1[[#This Row],[Quantity]]</f>
        <v>850000</v>
      </c>
      <c r="M1133" s="8">
        <f>Table_1[[#This Row],[Cost Price]]*Table_1[[#This Row],[Quantity]]</f>
        <v>680000</v>
      </c>
      <c r="N1133">
        <f>Table_1[[#This Row],[Revenue]]-Table_1[[#This Row],[COGS]]</f>
        <v>170000</v>
      </c>
      <c r="O1133" s="11">
        <f t="shared" si="120"/>
        <v>4656740000</v>
      </c>
      <c r="P1133">
        <f t="shared" si="121"/>
        <v>3725392000</v>
      </c>
      <c r="Q1133">
        <f t="shared" si="122"/>
        <v>931348000</v>
      </c>
      <c r="R1133" s="7">
        <f t="shared" si="123"/>
        <v>2098</v>
      </c>
      <c r="S1133" s="7">
        <f t="shared" si="124"/>
        <v>2</v>
      </c>
      <c r="T1133" s="7">
        <f t="shared" si="125"/>
        <v>2098</v>
      </c>
    </row>
    <row r="1134" spans="1:20" ht="14.25" customHeight="1" x14ac:dyDescent="0.35">
      <c r="A1134" s="2" t="s">
        <v>63</v>
      </c>
      <c r="B1134" s="2" t="s">
        <v>34</v>
      </c>
      <c r="C1134" s="2" t="s">
        <v>38</v>
      </c>
      <c r="D1134" s="2" t="s">
        <v>26</v>
      </c>
      <c r="E1134" s="2" t="s">
        <v>22</v>
      </c>
      <c r="F1134" s="2" t="s">
        <v>56</v>
      </c>
      <c r="G1134" s="2" t="s">
        <v>36</v>
      </c>
      <c r="H1134" s="2">
        <v>250000</v>
      </c>
      <c r="I1134" s="2">
        <v>6</v>
      </c>
      <c r="J1134" s="2" t="s">
        <v>32</v>
      </c>
      <c r="K1134" s="2">
        <f t="shared" si="119"/>
        <v>200000</v>
      </c>
      <c r="L1134" s="9">
        <f>Table_1[[#This Row],[Unit Price]]*Table_1[[#This Row],[Quantity]]</f>
        <v>1500000</v>
      </c>
      <c r="M1134" s="8">
        <f>Table_1[[#This Row],[Cost Price]]*Table_1[[#This Row],[Quantity]]</f>
        <v>1200000</v>
      </c>
      <c r="N1134">
        <f>Table_1[[#This Row],[Revenue]]-Table_1[[#This Row],[COGS]]</f>
        <v>300000</v>
      </c>
      <c r="O1134" s="11">
        <f t="shared" si="120"/>
        <v>4656740000</v>
      </c>
      <c r="P1134">
        <f t="shared" si="121"/>
        <v>3725392000</v>
      </c>
      <c r="Q1134">
        <f t="shared" si="122"/>
        <v>931348000</v>
      </c>
      <c r="R1134" s="7">
        <f t="shared" si="123"/>
        <v>2098</v>
      </c>
      <c r="S1134" s="7">
        <f t="shared" si="124"/>
        <v>4</v>
      </c>
      <c r="T1134" s="7">
        <f t="shared" si="125"/>
        <v>2098</v>
      </c>
    </row>
    <row r="1135" spans="1:20" ht="14.25" customHeight="1" x14ac:dyDescent="0.35">
      <c r="A1135" s="2" t="s">
        <v>135</v>
      </c>
      <c r="B1135" s="2" t="s">
        <v>29</v>
      </c>
      <c r="C1135" s="2" t="s">
        <v>21</v>
      </c>
      <c r="D1135" s="2" t="s">
        <v>14</v>
      </c>
      <c r="E1135" s="2" t="s">
        <v>22</v>
      </c>
      <c r="F1135" s="2" t="s">
        <v>31</v>
      </c>
      <c r="G1135" s="2" t="s">
        <v>24</v>
      </c>
      <c r="H1135" s="2">
        <v>60000</v>
      </c>
      <c r="I1135" s="2">
        <v>10</v>
      </c>
      <c r="J1135" s="2" t="s">
        <v>27</v>
      </c>
      <c r="K1135" s="2">
        <f t="shared" si="119"/>
        <v>48000</v>
      </c>
      <c r="L1135" s="9">
        <f>Table_1[[#This Row],[Unit Price]]*Table_1[[#This Row],[Quantity]]</f>
        <v>600000</v>
      </c>
      <c r="M1135" s="8">
        <f>Table_1[[#This Row],[Cost Price]]*Table_1[[#This Row],[Quantity]]</f>
        <v>480000</v>
      </c>
      <c r="N1135">
        <f>Table_1[[#This Row],[Revenue]]-Table_1[[#This Row],[COGS]]</f>
        <v>120000</v>
      </c>
      <c r="O1135" s="11">
        <f t="shared" si="120"/>
        <v>4656740000</v>
      </c>
      <c r="P1135">
        <f t="shared" si="121"/>
        <v>3725392000</v>
      </c>
      <c r="Q1135">
        <f t="shared" si="122"/>
        <v>931348000</v>
      </c>
      <c r="R1135" s="7">
        <f t="shared" si="123"/>
        <v>2098</v>
      </c>
      <c r="S1135" s="7">
        <f t="shared" si="124"/>
        <v>1</v>
      </c>
      <c r="T1135" s="7">
        <f t="shared" si="125"/>
        <v>2098</v>
      </c>
    </row>
    <row r="1136" spans="1:20" ht="14.25" customHeight="1" x14ac:dyDescent="0.35">
      <c r="A1136" s="2" t="s">
        <v>92</v>
      </c>
      <c r="B1136" s="2" t="s">
        <v>20</v>
      </c>
      <c r="C1136" s="2" t="s">
        <v>21</v>
      </c>
      <c r="D1136" s="2" t="s">
        <v>14</v>
      </c>
      <c r="E1136" s="2" t="s">
        <v>22</v>
      </c>
      <c r="F1136" s="2" t="s">
        <v>35</v>
      </c>
      <c r="G1136" s="2" t="s">
        <v>36</v>
      </c>
      <c r="H1136" s="2">
        <v>300000</v>
      </c>
      <c r="I1136" s="2">
        <v>3</v>
      </c>
      <c r="J1136" s="2" t="s">
        <v>27</v>
      </c>
      <c r="K1136" s="2">
        <f t="shared" si="119"/>
        <v>240000</v>
      </c>
      <c r="L1136" s="9">
        <f>Table_1[[#This Row],[Unit Price]]*Table_1[[#This Row],[Quantity]]</f>
        <v>900000</v>
      </c>
      <c r="M1136" s="8">
        <f>Table_1[[#This Row],[Cost Price]]*Table_1[[#This Row],[Quantity]]</f>
        <v>720000</v>
      </c>
      <c r="N1136">
        <f>Table_1[[#This Row],[Revenue]]-Table_1[[#This Row],[COGS]]</f>
        <v>180000</v>
      </c>
      <c r="O1136" s="11">
        <f t="shared" si="120"/>
        <v>4656740000</v>
      </c>
      <c r="P1136">
        <f t="shared" si="121"/>
        <v>3725392000</v>
      </c>
      <c r="Q1136">
        <f t="shared" si="122"/>
        <v>931348000</v>
      </c>
      <c r="R1136" s="7">
        <f t="shared" si="123"/>
        <v>2098</v>
      </c>
      <c r="S1136" s="7">
        <f t="shared" si="124"/>
        <v>2</v>
      </c>
      <c r="T1136" s="7">
        <f t="shared" si="125"/>
        <v>2098</v>
      </c>
    </row>
    <row r="1137" spans="1:20" ht="14.25" customHeight="1" x14ac:dyDescent="0.35">
      <c r="A1137" s="2" t="s">
        <v>83</v>
      </c>
      <c r="B1137" s="2" t="s">
        <v>12</v>
      </c>
      <c r="C1137" s="2" t="s">
        <v>38</v>
      </c>
      <c r="D1137" s="2" t="s">
        <v>14</v>
      </c>
      <c r="E1137" s="2" t="s">
        <v>22</v>
      </c>
      <c r="F1137" s="2" t="s">
        <v>47</v>
      </c>
      <c r="G1137" s="2" t="s">
        <v>36</v>
      </c>
      <c r="H1137" s="2">
        <v>150000</v>
      </c>
      <c r="I1137" s="2">
        <v>10</v>
      </c>
      <c r="J1137" s="2" t="s">
        <v>54</v>
      </c>
      <c r="K1137" s="2">
        <f t="shared" si="119"/>
        <v>120000</v>
      </c>
      <c r="L1137" s="9">
        <f>Table_1[[#This Row],[Unit Price]]*Table_1[[#This Row],[Quantity]]</f>
        <v>1500000</v>
      </c>
      <c r="M1137" s="8">
        <f>Table_1[[#This Row],[Cost Price]]*Table_1[[#This Row],[Quantity]]</f>
        <v>1200000</v>
      </c>
      <c r="N1137">
        <f>Table_1[[#This Row],[Revenue]]-Table_1[[#This Row],[COGS]]</f>
        <v>300000</v>
      </c>
      <c r="O1137" s="11">
        <f t="shared" si="120"/>
        <v>4656740000</v>
      </c>
      <c r="P1137">
        <f t="shared" si="121"/>
        <v>3725392000</v>
      </c>
      <c r="Q1137">
        <f t="shared" si="122"/>
        <v>931348000</v>
      </c>
      <c r="R1137" s="7">
        <f t="shared" si="123"/>
        <v>2098</v>
      </c>
      <c r="S1137" s="7">
        <f t="shared" si="124"/>
        <v>1</v>
      </c>
      <c r="T1137" s="7">
        <f t="shared" si="125"/>
        <v>2098</v>
      </c>
    </row>
    <row r="1138" spans="1:20" ht="14.25" customHeight="1" x14ac:dyDescent="0.35">
      <c r="A1138" s="2" t="s">
        <v>66</v>
      </c>
      <c r="B1138" s="2" t="s">
        <v>29</v>
      </c>
      <c r="C1138" s="2" t="s">
        <v>21</v>
      </c>
      <c r="D1138" s="2" t="s">
        <v>26</v>
      </c>
      <c r="E1138" s="2" t="s">
        <v>22</v>
      </c>
      <c r="F1138" s="2" t="s">
        <v>23</v>
      </c>
      <c r="G1138" s="2" t="s">
        <v>24</v>
      </c>
      <c r="H1138" s="2">
        <v>30000</v>
      </c>
      <c r="I1138" s="2">
        <v>7</v>
      </c>
      <c r="J1138" s="2" t="s">
        <v>43</v>
      </c>
      <c r="K1138" s="2">
        <f t="shared" si="119"/>
        <v>24000</v>
      </c>
      <c r="L1138" s="9">
        <f>Table_1[[#This Row],[Unit Price]]*Table_1[[#This Row],[Quantity]]</f>
        <v>210000</v>
      </c>
      <c r="M1138" s="8">
        <f>Table_1[[#This Row],[Cost Price]]*Table_1[[#This Row],[Quantity]]</f>
        <v>168000</v>
      </c>
      <c r="N1138">
        <f>Table_1[[#This Row],[Revenue]]-Table_1[[#This Row],[COGS]]</f>
        <v>42000</v>
      </c>
      <c r="O1138" s="11">
        <f t="shared" si="120"/>
        <v>4656740000</v>
      </c>
      <c r="P1138">
        <f t="shared" si="121"/>
        <v>3725392000</v>
      </c>
      <c r="Q1138">
        <f t="shared" si="122"/>
        <v>931348000</v>
      </c>
      <c r="R1138" s="7">
        <f t="shared" si="123"/>
        <v>2098</v>
      </c>
      <c r="S1138" s="7">
        <f t="shared" si="124"/>
        <v>3</v>
      </c>
      <c r="T1138" s="7">
        <f t="shared" si="125"/>
        <v>2098</v>
      </c>
    </row>
    <row r="1139" spans="1:20" ht="14.25" customHeight="1" x14ac:dyDescent="0.35">
      <c r="A1139" s="2" t="s">
        <v>68</v>
      </c>
      <c r="B1139" s="2" t="s">
        <v>20</v>
      </c>
      <c r="C1139" s="2" t="s">
        <v>21</v>
      </c>
      <c r="D1139" s="2" t="s">
        <v>26</v>
      </c>
      <c r="E1139" s="2" t="s">
        <v>22</v>
      </c>
      <c r="F1139" s="2" t="s">
        <v>35</v>
      </c>
      <c r="G1139" s="2" t="s">
        <v>36</v>
      </c>
      <c r="H1139" s="2">
        <v>300000</v>
      </c>
      <c r="I1139" s="2">
        <v>9</v>
      </c>
      <c r="J1139" s="2" t="s">
        <v>50</v>
      </c>
      <c r="K1139" s="2">
        <f t="shared" si="119"/>
        <v>240000</v>
      </c>
      <c r="L1139" s="9">
        <f>Table_1[[#This Row],[Unit Price]]*Table_1[[#This Row],[Quantity]]</f>
        <v>2700000</v>
      </c>
      <c r="M1139" s="8">
        <f>Table_1[[#This Row],[Cost Price]]*Table_1[[#This Row],[Quantity]]</f>
        <v>2160000</v>
      </c>
      <c r="N1139">
        <f>Table_1[[#This Row],[Revenue]]-Table_1[[#This Row],[COGS]]</f>
        <v>540000</v>
      </c>
      <c r="O1139" s="11">
        <f t="shared" si="120"/>
        <v>4656740000</v>
      </c>
      <c r="P1139">
        <f t="shared" si="121"/>
        <v>3725392000</v>
      </c>
      <c r="Q1139">
        <f t="shared" si="122"/>
        <v>931348000</v>
      </c>
      <c r="R1139" s="7">
        <f t="shared" si="123"/>
        <v>2098</v>
      </c>
      <c r="S1139" s="7">
        <f t="shared" si="124"/>
        <v>1</v>
      </c>
      <c r="T1139" s="7">
        <f t="shared" si="125"/>
        <v>2098</v>
      </c>
    </row>
    <row r="1140" spans="1:20" ht="14.25" customHeight="1" x14ac:dyDescent="0.35">
      <c r="A1140" s="2" t="s">
        <v>79</v>
      </c>
      <c r="B1140" s="2" t="s">
        <v>34</v>
      </c>
      <c r="C1140" s="2" t="s">
        <v>38</v>
      </c>
      <c r="D1140" s="2" t="s">
        <v>26</v>
      </c>
      <c r="E1140" s="2" t="s">
        <v>22</v>
      </c>
      <c r="F1140" s="2" t="s">
        <v>58</v>
      </c>
      <c r="G1140" s="2" t="s">
        <v>24</v>
      </c>
      <c r="H1140" s="2">
        <v>220000</v>
      </c>
      <c r="I1140" s="2">
        <v>4</v>
      </c>
      <c r="J1140" s="2" t="s">
        <v>32</v>
      </c>
      <c r="K1140" s="2">
        <f t="shared" si="119"/>
        <v>176000</v>
      </c>
      <c r="L1140" s="9">
        <f>Table_1[[#This Row],[Unit Price]]*Table_1[[#This Row],[Quantity]]</f>
        <v>880000</v>
      </c>
      <c r="M1140" s="8">
        <f>Table_1[[#This Row],[Cost Price]]*Table_1[[#This Row],[Quantity]]</f>
        <v>704000</v>
      </c>
      <c r="N1140">
        <f>Table_1[[#This Row],[Revenue]]-Table_1[[#This Row],[COGS]]</f>
        <v>176000</v>
      </c>
      <c r="O1140" s="11">
        <f t="shared" si="120"/>
        <v>4656740000</v>
      </c>
      <c r="P1140">
        <f t="shared" si="121"/>
        <v>3725392000</v>
      </c>
      <c r="Q1140">
        <f t="shared" si="122"/>
        <v>931348000</v>
      </c>
      <c r="R1140" s="7">
        <f t="shared" si="123"/>
        <v>2098</v>
      </c>
      <c r="S1140" s="7">
        <f t="shared" si="124"/>
        <v>1</v>
      </c>
      <c r="T1140" s="7">
        <f t="shared" si="125"/>
        <v>2098</v>
      </c>
    </row>
    <row r="1141" spans="1:20" ht="14.25" customHeight="1" x14ac:dyDescent="0.35">
      <c r="A1141" s="2" t="s">
        <v>161</v>
      </c>
      <c r="B1141" s="2" t="s">
        <v>20</v>
      </c>
      <c r="C1141" s="2" t="s">
        <v>30</v>
      </c>
      <c r="D1141" s="2" t="s">
        <v>26</v>
      </c>
      <c r="E1141" s="2" t="s">
        <v>15</v>
      </c>
      <c r="F1141" s="2" t="s">
        <v>56</v>
      </c>
      <c r="G1141" s="2" t="s">
        <v>36</v>
      </c>
      <c r="H1141" s="2">
        <v>250000</v>
      </c>
      <c r="I1141" s="2">
        <v>9</v>
      </c>
      <c r="J1141" s="2" t="s">
        <v>18</v>
      </c>
      <c r="K1141" s="2">
        <f t="shared" si="119"/>
        <v>200000</v>
      </c>
      <c r="L1141" s="9">
        <f>Table_1[[#This Row],[Unit Price]]*Table_1[[#This Row],[Quantity]]</f>
        <v>2250000</v>
      </c>
      <c r="M1141" s="8">
        <f>Table_1[[#This Row],[Cost Price]]*Table_1[[#This Row],[Quantity]]</f>
        <v>1800000</v>
      </c>
      <c r="N1141">
        <f>Table_1[[#This Row],[Revenue]]-Table_1[[#This Row],[COGS]]</f>
        <v>450000</v>
      </c>
      <c r="O1141" s="11">
        <f t="shared" si="120"/>
        <v>4656740000</v>
      </c>
      <c r="P1141">
        <f t="shared" si="121"/>
        <v>3725392000</v>
      </c>
      <c r="Q1141">
        <f t="shared" si="122"/>
        <v>931348000</v>
      </c>
      <c r="R1141" s="7">
        <f t="shared" si="123"/>
        <v>2098</v>
      </c>
      <c r="S1141" s="7">
        <f t="shared" si="124"/>
        <v>1</v>
      </c>
      <c r="T1141" s="7">
        <f t="shared" si="125"/>
        <v>2098</v>
      </c>
    </row>
    <row r="1142" spans="1:20" ht="14.25" customHeight="1" x14ac:dyDescent="0.35">
      <c r="A1142" s="2" t="s">
        <v>130</v>
      </c>
      <c r="B1142" s="2" t="s">
        <v>12</v>
      </c>
      <c r="C1142" s="2" t="s">
        <v>13</v>
      </c>
      <c r="D1142" s="2" t="s">
        <v>26</v>
      </c>
      <c r="E1142" s="2" t="s">
        <v>22</v>
      </c>
      <c r="F1142" s="2" t="s">
        <v>35</v>
      </c>
      <c r="G1142" s="2" t="s">
        <v>36</v>
      </c>
      <c r="H1142" s="2">
        <v>300000</v>
      </c>
      <c r="I1142" s="2">
        <v>4</v>
      </c>
      <c r="J1142" s="2" t="s">
        <v>54</v>
      </c>
      <c r="K1142" s="2">
        <f t="shared" si="119"/>
        <v>240000</v>
      </c>
      <c r="L1142" s="9">
        <f>Table_1[[#This Row],[Unit Price]]*Table_1[[#This Row],[Quantity]]</f>
        <v>1200000</v>
      </c>
      <c r="M1142" s="8">
        <f>Table_1[[#This Row],[Cost Price]]*Table_1[[#This Row],[Quantity]]</f>
        <v>960000</v>
      </c>
      <c r="N1142">
        <f>Table_1[[#This Row],[Revenue]]-Table_1[[#This Row],[COGS]]</f>
        <v>240000</v>
      </c>
      <c r="O1142" s="11">
        <f t="shared" si="120"/>
        <v>4656740000</v>
      </c>
      <c r="P1142">
        <f t="shared" si="121"/>
        <v>3725392000</v>
      </c>
      <c r="Q1142">
        <f t="shared" si="122"/>
        <v>931348000</v>
      </c>
      <c r="R1142" s="7">
        <f t="shared" si="123"/>
        <v>2098</v>
      </c>
      <c r="S1142" s="7">
        <f t="shared" si="124"/>
        <v>1</v>
      </c>
      <c r="T1142" s="7">
        <f t="shared" si="125"/>
        <v>2098</v>
      </c>
    </row>
    <row r="1143" spans="1:20" ht="14.25" customHeight="1" x14ac:dyDescent="0.35">
      <c r="A1143" s="2" t="s">
        <v>69</v>
      </c>
      <c r="B1143" s="2" t="s">
        <v>12</v>
      </c>
      <c r="C1143" s="2" t="s">
        <v>13</v>
      </c>
      <c r="D1143" s="2" t="s">
        <v>14</v>
      </c>
      <c r="E1143" s="2" t="s">
        <v>22</v>
      </c>
      <c r="F1143" s="2" t="s">
        <v>31</v>
      </c>
      <c r="G1143" s="2" t="s">
        <v>24</v>
      </c>
      <c r="H1143" s="2">
        <v>60000</v>
      </c>
      <c r="I1143" s="2">
        <v>10</v>
      </c>
      <c r="J1143" s="2" t="s">
        <v>50</v>
      </c>
      <c r="K1143" s="2">
        <f t="shared" si="119"/>
        <v>48000</v>
      </c>
      <c r="L1143" s="9">
        <f>Table_1[[#This Row],[Unit Price]]*Table_1[[#This Row],[Quantity]]</f>
        <v>600000</v>
      </c>
      <c r="M1143" s="8">
        <f>Table_1[[#This Row],[Cost Price]]*Table_1[[#This Row],[Quantity]]</f>
        <v>480000</v>
      </c>
      <c r="N1143">
        <f>Table_1[[#This Row],[Revenue]]-Table_1[[#This Row],[COGS]]</f>
        <v>120000</v>
      </c>
      <c r="O1143" s="11">
        <f t="shared" si="120"/>
        <v>4656740000</v>
      </c>
      <c r="P1143">
        <f t="shared" si="121"/>
        <v>3725392000</v>
      </c>
      <c r="Q1143">
        <f t="shared" si="122"/>
        <v>931348000</v>
      </c>
      <c r="R1143" s="7">
        <f t="shared" si="123"/>
        <v>2098</v>
      </c>
      <c r="S1143" s="7">
        <f t="shared" si="124"/>
        <v>1</v>
      </c>
      <c r="T1143" s="7">
        <f t="shared" si="125"/>
        <v>2098</v>
      </c>
    </row>
    <row r="1144" spans="1:20" ht="14.25" customHeight="1" x14ac:dyDescent="0.35">
      <c r="A1144" s="2" t="s">
        <v>53</v>
      </c>
      <c r="B1144" s="2" t="s">
        <v>34</v>
      </c>
      <c r="C1144" s="2" t="s">
        <v>30</v>
      </c>
      <c r="D1144" s="2" t="s">
        <v>26</v>
      </c>
      <c r="E1144" s="2" t="s">
        <v>15</v>
      </c>
      <c r="F1144" s="2" t="s">
        <v>52</v>
      </c>
      <c r="G1144" s="2" t="s">
        <v>36</v>
      </c>
      <c r="H1144" s="2">
        <v>420000</v>
      </c>
      <c r="I1144" s="2">
        <v>10</v>
      </c>
      <c r="J1144" s="2" t="s">
        <v>32</v>
      </c>
      <c r="K1144" s="2">
        <f t="shared" si="119"/>
        <v>336000</v>
      </c>
      <c r="L1144" s="9">
        <f>Table_1[[#This Row],[Unit Price]]*Table_1[[#This Row],[Quantity]]</f>
        <v>4200000</v>
      </c>
      <c r="M1144" s="8">
        <f>Table_1[[#This Row],[Cost Price]]*Table_1[[#This Row],[Quantity]]</f>
        <v>3360000</v>
      </c>
      <c r="N1144">
        <f>Table_1[[#This Row],[Revenue]]-Table_1[[#This Row],[COGS]]</f>
        <v>840000</v>
      </c>
      <c r="O1144" s="11">
        <f t="shared" si="120"/>
        <v>4656740000</v>
      </c>
      <c r="P1144">
        <f t="shared" si="121"/>
        <v>3725392000</v>
      </c>
      <c r="Q1144">
        <f t="shared" si="122"/>
        <v>931348000</v>
      </c>
      <c r="R1144" s="7">
        <f t="shared" si="123"/>
        <v>2098</v>
      </c>
      <c r="S1144" s="7">
        <f t="shared" si="124"/>
        <v>3</v>
      </c>
      <c r="T1144" s="7">
        <f t="shared" si="125"/>
        <v>2098</v>
      </c>
    </row>
    <row r="1145" spans="1:20" ht="14.25" customHeight="1" x14ac:dyDescent="0.35">
      <c r="A1145" s="2" t="s">
        <v>157</v>
      </c>
      <c r="B1145" s="2" t="s">
        <v>12</v>
      </c>
      <c r="C1145" s="2" t="s">
        <v>30</v>
      </c>
      <c r="D1145" s="2" t="s">
        <v>14</v>
      </c>
      <c r="E1145" s="2" t="s">
        <v>22</v>
      </c>
      <c r="F1145" s="2" t="s">
        <v>47</v>
      </c>
      <c r="G1145" s="2" t="s">
        <v>36</v>
      </c>
      <c r="H1145" s="2">
        <v>150000</v>
      </c>
      <c r="I1145" s="2">
        <v>1</v>
      </c>
      <c r="J1145" s="2" t="s">
        <v>54</v>
      </c>
      <c r="K1145" s="2">
        <f t="shared" si="119"/>
        <v>120000</v>
      </c>
      <c r="L1145" s="9">
        <f>Table_1[[#This Row],[Unit Price]]*Table_1[[#This Row],[Quantity]]</f>
        <v>150000</v>
      </c>
      <c r="M1145" s="8">
        <f>Table_1[[#This Row],[Cost Price]]*Table_1[[#This Row],[Quantity]]</f>
        <v>120000</v>
      </c>
      <c r="N1145">
        <f>Table_1[[#This Row],[Revenue]]-Table_1[[#This Row],[COGS]]</f>
        <v>30000</v>
      </c>
      <c r="O1145" s="11">
        <f t="shared" si="120"/>
        <v>4656740000</v>
      </c>
      <c r="P1145">
        <f t="shared" si="121"/>
        <v>3725392000</v>
      </c>
      <c r="Q1145">
        <f t="shared" si="122"/>
        <v>931348000</v>
      </c>
      <c r="R1145" s="7">
        <f t="shared" si="123"/>
        <v>2098</v>
      </c>
      <c r="S1145" s="7">
        <f t="shared" si="124"/>
        <v>3</v>
      </c>
      <c r="T1145" s="7">
        <f t="shared" si="125"/>
        <v>2098</v>
      </c>
    </row>
    <row r="1146" spans="1:20" ht="14.25" customHeight="1" x14ac:dyDescent="0.35">
      <c r="A1146" s="2" t="s">
        <v>96</v>
      </c>
      <c r="B1146" s="2" t="s">
        <v>29</v>
      </c>
      <c r="C1146" s="2" t="s">
        <v>30</v>
      </c>
      <c r="D1146" s="2" t="s">
        <v>14</v>
      </c>
      <c r="E1146" s="2" t="s">
        <v>22</v>
      </c>
      <c r="F1146" s="2" t="s">
        <v>56</v>
      </c>
      <c r="G1146" s="2" t="s">
        <v>36</v>
      </c>
      <c r="H1146" s="2">
        <v>250000</v>
      </c>
      <c r="I1146" s="2">
        <v>7</v>
      </c>
      <c r="J1146" s="2" t="s">
        <v>27</v>
      </c>
      <c r="K1146" s="2">
        <f t="shared" si="119"/>
        <v>200000</v>
      </c>
      <c r="L1146" s="9">
        <f>Table_1[[#This Row],[Unit Price]]*Table_1[[#This Row],[Quantity]]</f>
        <v>1750000</v>
      </c>
      <c r="M1146" s="8">
        <f>Table_1[[#This Row],[Cost Price]]*Table_1[[#This Row],[Quantity]]</f>
        <v>1400000</v>
      </c>
      <c r="N1146">
        <f>Table_1[[#This Row],[Revenue]]-Table_1[[#This Row],[COGS]]</f>
        <v>350000</v>
      </c>
      <c r="O1146" s="11">
        <f t="shared" si="120"/>
        <v>4656740000</v>
      </c>
      <c r="P1146">
        <f t="shared" si="121"/>
        <v>3725392000</v>
      </c>
      <c r="Q1146">
        <f t="shared" si="122"/>
        <v>931348000</v>
      </c>
      <c r="R1146" s="7">
        <f t="shared" si="123"/>
        <v>2098</v>
      </c>
      <c r="S1146" s="7">
        <f t="shared" si="124"/>
        <v>2</v>
      </c>
      <c r="T1146" s="7">
        <f t="shared" si="125"/>
        <v>2098</v>
      </c>
    </row>
    <row r="1147" spans="1:20" ht="14.25" customHeight="1" x14ac:dyDescent="0.35">
      <c r="A1147" s="2" t="s">
        <v>134</v>
      </c>
      <c r="B1147" s="2" t="s">
        <v>29</v>
      </c>
      <c r="C1147" s="2" t="s">
        <v>38</v>
      </c>
      <c r="D1147" s="2" t="s">
        <v>14</v>
      </c>
      <c r="E1147" s="2" t="s">
        <v>22</v>
      </c>
      <c r="F1147" s="2" t="s">
        <v>35</v>
      </c>
      <c r="G1147" s="2" t="s">
        <v>36</v>
      </c>
      <c r="H1147" s="2">
        <v>300000</v>
      </c>
      <c r="I1147" s="2">
        <v>9</v>
      </c>
      <c r="J1147" s="2" t="s">
        <v>32</v>
      </c>
      <c r="K1147" s="2">
        <f t="shared" si="119"/>
        <v>240000</v>
      </c>
      <c r="L1147" s="9">
        <f>Table_1[[#This Row],[Unit Price]]*Table_1[[#This Row],[Quantity]]</f>
        <v>2700000</v>
      </c>
      <c r="M1147" s="8">
        <f>Table_1[[#This Row],[Cost Price]]*Table_1[[#This Row],[Quantity]]</f>
        <v>2160000</v>
      </c>
      <c r="N1147">
        <f>Table_1[[#This Row],[Revenue]]-Table_1[[#This Row],[COGS]]</f>
        <v>540000</v>
      </c>
      <c r="O1147" s="11">
        <f t="shared" si="120"/>
        <v>4656740000</v>
      </c>
      <c r="P1147">
        <f t="shared" si="121"/>
        <v>3725392000</v>
      </c>
      <c r="Q1147">
        <f t="shared" si="122"/>
        <v>931348000</v>
      </c>
      <c r="R1147" s="7">
        <f t="shared" si="123"/>
        <v>2098</v>
      </c>
      <c r="S1147" s="7">
        <f t="shared" si="124"/>
        <v>4</v>
      </c>
      <c r="T1147" s="7">
        <f t="shared" si="125"/>
        <v>2098</v>
      </c>
    </row>
    <row r="1148" spans="1:20" ht="14.25" customHeight="1" x14ac:dyDescent="0.35">
      <c r="A1148" s="2" t="s">
        <v>157</v>
      </c>
      <c r="B1148" s="2" t="s">
        <v>34</v>
      </c>
      <c r="C1148" s="2" t="s">
        <v>13</v>
      </c>
      <c r="D1148" s="2" t="s">
        <v>14</v>
      </c>
      <c r="E1148" s="2" t="s">
        <v>22</v>
      </c>
      <c r="F1148" s="2" t="s">
        <v>47</v>
      </c>
      <c r="G1148" s="2" t="s">
        <v>36</v>
      </c>
      <c r="H1148" s="2">
        <v>150000</v>
      </c>
      <c r="I1148" s="2">
        <v>2</v>
      </c>
      <c r="J1148" s="2" t="s">
        <v>50</v>
      </c>
      <c r="K1148" s="2">
        <f t="shared" si="119"/>
        <v>120000</v>
      </c>
      <c r="L1148" s="9">
        <f>Table_1[[#This Row],[Unit Price]]*Table_1[[#This Row],[Quantity]]</f>
        <v>300000</v>
      </c>
      <c r="M1148" s="8">
        <f>Table_1[[#This Row],[Cost Price]]*Table_1[[#This Row],[Quantity]]</f>
        <v>240000</v>
      </c>
      <c r="N1148">
        <f>Table_1[[#This Row],[Revenue]]-Table_1[[#This Row],[COGS]]</f>
        <v>60000</v>
      </c>
      <c r="O1148" s="11">
        <f t="shared" si="120"/>
        <v>4656740000</v>
      </c>
      <c r="P1148">
        <f t="shared" si="121"/>
        <v>3725392000</v>
      </c>
      <c r="Q1148">
        <f t="shared" si="122"/>
        <v>931348000</v>
      </c>
      <c r="R1148" s="7">
        <f t="shared" si="123"/>
        <v>2098</v>
      </c>
      <c r="S1148" s="7">
        <f t="shared" si="124"/>
        <v>3</v>
      </c>
      <c r="T1148" s="7">
        <f t="shared" si="125"/>
        <v>2098</v>
      </c>
    </row>
    <row r="1149" spans="1:20" ht="14.25" customHeight="1" x14ac:dyDescent="0.35">
      <c r="A1149" s="2" t="s">
        <v>55</v>
      </c>
      <c r="B1149" s="2" t="s">
        <v>12</v>
      </c>
      <c r="C1149" s="2" t="s">
        <v>21</v>
      </c>
      <c r="D1149" s="2" t="s">
        <v>14</v>
      </c>
      <c r="E1149" s="2" t="s">
        <v>22</v>
      </c>
      <c r="F1149" s="2" t="s">
        <v>58</v>
      </c>
      <c r="G1149" s="2" t="s">
        <v>24</v>
      </c>
      <c r="H1149" s="2">
        <v>220000</v>
      </c>
      <c r="I1149" s="2">
        <v>9</v>
      </c>
      <c r="J1149" s="2" t="s">
        <v>27</v>
      </c>
      <c r="K1149" s="2">
        <f t="shared" si="119"/>
        <v>176000</v>
      </c>
      <c r="L1149" s="9">
        <f>Table_1[[#This Row],[Unit Price]]*Table_1[[#This Row],[Quantity]]</f>
        <v>1980000</v>
      </c>
      <c r="M1149" s="8">
        <f>Table_1[[#This Row],[Cost Price]]*Table_1[[#This Row],[Quantity]]</f>
        <v>1584000</v>
      </c>
      <c r="N1149">
        <f>Table_1[[#This Row],[Revenue]]-Table_1[[#This Row],[COGS]]</f>
        <v>396000</v>
      </c>
      <c r="O1149" s="11">
        <f t="shared" si="120"/>
        <v>4656740000</v>
      </c>
      <c r="P1149">
        <f t="shared" si="121"/>
        <v>3725392000</v>
      </c>
      <c r="Q1149">
        <f t="shared" si="122"/>
        <v>931348000</v>
      </c>
      <c r="R1149" s="7">
        <f t="shared" si="123"/>
        <v>2098</v>
      </c>
      <c r="S1149" s="7">
        <f t="shared" si="124"/>
        <v>4</v>
      </c>
      <c r="T1149" s="7">
        <f t="shared" si="125"/>
        <v>2098</v>
      </c>
    </row>
    <row r="1150" spans="1:20" ht="14.25" customHeight="1" x14ac:dyDescent="0.35">
      <c r="A1150" s="2" t="s">
        <v>45</v>
      </c>
      <c r="B1150" s="2" t="s">
        <v>34</v>
      </c>
      <c r="C1150" s="2" t="s">
        <v>38</v>
      </c>
      <c r="D1150" s="2" t="s">
        <v>14</v>
      </c>
      <c r="E1150" s="2" t="s">
        <v>22</v>
      </c>
      <c r="F1150" s="2" t="s">
        <v>31</v>
      </c>
      <c r="G1150" s="2" t="s">
        <v>24</v>
      </c>
      <c r="H1150" s="2">
        <v>60000</v>
      </c>
      <c r="I1150" s="2">
        <v>5</v>
      </c>
      <c r="J1150" s="2" t="s">
        <v>18</v>
      </c>
      <c r="K1150" s="2">
        <f t="shared" si="119"/>
        <v>48000</v>
      </c>
      <c r="L1150" s="9">
        <f>Table_1[[#This Row],[Unit Price]]*Table_1[[#This Row],[Quantity]]</f>
        <v>300000</v>
      </c>
      <c r="M1150" s="8">
        <f>Table_1[[#This Row],[Cost Price]]*Table_1[[#This Row],[Quantity]]</f>
        <v>240000</v>
      </c>
      <c r="N1150">
        <f>Table_1[[#This Row],[Revenue]]-Table_1[[#This Row],[COGS]]</f>
        <v>60000</v>
      </c>
      <c r="O1150" s="11">
        <f t="shared" si="120"/>
        <v>4656740000</v>
      </c>
      <c r="P1150">
        <f t="shared" si="121"/>
        <v>3725392000</v>
      </c>
      <c r="Q1150">
        <f t="shared" si="122"/>
        <v>931348000</v>
      </c>
      <c r="R1150" s="7">
        <f t="shared" si="123"/>
        <v>2098</v>
      </c>
      <c r="S1150" s="7">
        <f t="shared" si="124"/>
        <v>3</v>
      </c>
      <c r="T1150" s="7">
        <f t="shared" si="125"/>
        <v>2098</v>
      </c>
    </row>
    <row r="1151" spans="1:20" ht="14.25" customHeight="1" x14ac:dyDescent="0.35">
      <c r="A1151" s="2" t="s">
        <v>70</v>
      </c>
      <c r="B1151" s="2" t="s">
        <v>12</v>
      </c>
      <c r="C1151" s="2" t="s">
        <v>13</v>
      </c>
      <c r="D1151" s="2" t="s">
        <v>26</v>
      </c>
      <c r="E1151" s="2" t="s">
        <v>22</v>
      </c>
      <c r="F1151" s="2" t="s">
        <v>39</v>
      </c>
      <c r="G1151" s="2" t="s">
        <v>24</v>
      </c>
      <c r="H1151" s="2">
        <v>180000</v>
      </c>
      <c r="I1151" s="2">
        <v>6</v>
      </c>
      <c r="J1151" s="2" t="s">
        <v>43</v>
      </c>
      <c r="K1151" s="2">
        <f t="shared" si="119"/>
        <v>144000</v>
      </c>
      <c r="L1151" s="9">
        <f>Table_1[[#This Row],[Unit Price]]*Table_1[[#This Row],[Quantity]]</f>
        <v>1080000</v>
      </c>
      <c r="M1151" s="8">
        <f>Table_1[[#This Row],[Cost Price]]*Table_1[[#This Row],[Quantity]]</f>
        <v>864000</v>
      </c>
      <c r="N1151">
        <f>Table_1[[#This Row],[Revenue]]-Table_1[[#This Row],[COGS]]</f>
        <v>216000</v>
      </c>
      <c r="O1151" s="11">
        <f t="shared" si="120"/>
        <v>4656740000</v>
      </c>
      <c r="P1151">
        <f t="shared" si="121"/>
        <v>3725392000</v>
      </c>
      <c r="Q1151">
        <f t="shared" si="122"/>
        <v>931348000</v>
      </c>
      <c r="R1151" s="7">
        <f t="shared" si="123"/>
        <v>2098</v>
      </c>
      <c r="S1151" s="7">
        <f t="shared" si="124"/>
        <v>2</v>
      </c>
      <c r="T1151" s="7">
        <f t="shared" si="125"/>
        <v>2098</v>
      </c>
    </row>
    <row r="1152" spans="1:20" ht="14.25" customHeight="1" x14ac:dyDescent="0.35">
      <c r="A1152" s="2" t="s">
        <v>154</v>
      </c>
      <c r="B1152" s="2" t="s">
        <v>20</v>
      </c>
      <c r="C1152" s="2" t="s">
        <v>13</v>
      </c>
      <c r="D1152" s="2" t="s">
        <v>26</v>
      </c>
      <c r="E1152" s="2" t="s">
        <v>22</v>
      </c>
      <c r="F1152" s="2" t="s">
        <v>56</v>
      </c>
      <c r="G1152" s="2" t="s">
        <v>36</v>
      </c>
      <c r="H1152" s="2">
        <v>250000</v>
      </c>
      <c r="I1152" s="2">
        <v>10</v>
      </c>
      <c r="J1152" s="2" t="s">
        <v>18</v>
      </c>
      <c r="K1152" s="2">
        <f t="shared" si="119"/>
        <v>200000</v>
      </c>
      <c r="L1152" s="9">
        <f>Table_1[[#This Row],[Unit Price]]*Table_1[[#This Row],[Quantity]]</f>
        <v>2500000</v>
      </c>
      <c r="M1152" s="8">
        <f>Table_1[[#This Row],[Cost Price]]*Table_1[[#This Row],[Quantity]]</f>
        <v>2000000</v>
      </c>
      <c r="N1152">
        <f>Table_1[[#This Row],[Revenue]]-Table_1[[#This Row],[COGS]]</f>
        <v>500000</v>
      </c>
      <c r="O1152" s="11">
        <f t="shared" si="120"/>
        <v>4656740000</v>
      </c>
      <c r="P1152">
        <f t="shared" si="121"/>
        <v>3725392000</v>
      </c>
      <c r="Q1152">
        <f t="shared" si="122"/>
        <v>931348000</v>
      </c>
      <c r="R1152" s="7">
        <f t="shared" si="123"/>
        <v>2098</v>
      </c>
      <c r="S1152" s="7">
        <f t="shared" si="124"/>
        <v>2</v>
      </c>
      <c r="T1152" s="7">
        <f t="shared" si="125"/>
        <v>2098</v>
      </c>
    </row>
    <row r="1153" spans="1:20" ht="14.25" customHeight="1" x14ac:dyDescent="0.35">
      <c r="A1153" s="2" t="s">
        <v>146</v>
      </c>
      <c r="B1153" s="2" t="s">
        <v>20</v>
      </c>
      <c r="C1153" s="2" t="s">
        <v>38</v>
      </c>
      <c r="D1153" s="2" t="s">
        <v>14</v>
      </c>
      <c r="E1153" s="2" t="s">
        <v>22</v>
      </c>
      <c r="F1153" s="2" t="s">
        <v>16</v>
      </c>
      <c r="G1153" s="2" t="s">
        <v>17</v>
      </c>
      <c r="H1153" s="2">
        <v>85000</v>
      </c>
      <c r="I1153" s="2">
        <v>1</v>
      </c>
      <c r="J1153" s="2" t="s">
        <v>50</v>
      </c>
      <c r="K1153" s="2">
        <f t="shared" si="119"/>
        <v>68000</v>
      </c>
      <c r="L1153" s="9">
        <f>Table_1[[#This Row],[Unit Price]]*Table_1[[#This Row],[Quantity]]</f>
        <v>85000</v>
      </c>
      <c r="M1153" s="8">
        <f>Table_1[[#This Row],[Cost Price]]*Table_1[[#This Row],[Quantity]]</f>
        <v>68000</v>
      </c>
      <c r="N1153">
        <f>Table_1[[#This Row],[Revenue]]-Table_1[[#This Row],[COGS]]</f>
        <v>17000</v>
      </c>
      <c r="O1153" s="11">
        <f t="shared" si="120"/>
        <v>4656740000</v>
      </c>
      <c r="P1153">
        <f t="shared" si="121"/>
        <v>3725392000</v>
      </c>
      <c r="Q1153">
        <f t="shared" si="122"/>
        <v>931348000</v>
      </c>
      <c r="R1153" s="7">
        <f t="shared" si="123"/>
        <v>2098</v>
      </c>
      <c r="S1153" s="7">
        <f t="shared" si="124"/>
        <v>3</v>
      </c>
      <c r="T1153" s="7">
        <f t="shared" si="125"/>
        <v>2098</v>
      </c>
    </row>
    <row r="1154" spans="1:20" ht="14.25" customHeight="1" x14ac:dyDescent="0.35">
      <c r="A1154" s="2" t="s">
        <v>37</v>
      </c>
      <c r="B1154" s="2" t="s">
        <v>34</v>
      </c>
      <c r="C1154" s="2" t="s">
        <v>13</v>
      </c>
      <c r="D1154" s="2" t="s">
        <v>14</v>
      </c>
      <c r="E1154" s="2" t="s">
        <v>15</v>
      </c>
      <c r="F1154" s="2" t="s">
        <v>56</v>
      </c>
      <c r="G1154" s="2" t="s">
        <v>36</v>
      </c>
      <c r="H1154" s="2">
        <v>250000</v>
      </c>
      <c r="I1154" s="2">
        <v>9</v>
      </c>
      <c r="J1154" s="2" t="s">
        <v>27</v>
      </c>
      <c r="K1154" s="2">
        <f t="shared" ref="K1154:K1217" si="126">H1154-H1154*0.2</f>
        <v>200000</v>
      </c>
      <c r="L1154" s="9">
        <f>Table_1[[#This Row],[Unit Price]]*Table_1[[#This Row],[Quantity]]</f>
        <v>2250000</v>
      </c>
      <c r="M1154" s="8">
        <f>Table_1[[#This Row],[Cost Price]]*Table_1[[#This Row],[Quantity]]</f>
        <v>1800000</v>
      </c>
      <c r="N1154">
        <f>Table_1[[#This Row],[Revenue]]-Table_1[[#This Row],[COGS]]</f>
        <v>450000</v>
      </c>
      <c r="O1154" s="11">
        <f t="shared" ref="O1154:O1217" si="127">SUM(L$2:L$1048576)</f>
        <v>4656740000</v>
      </c>
      <c r="P1154">
        <f t="shared" ref="P1154:P1217" si="128">SUM(M:M)</f>
        <v>3725392000</v>
      </c>
      <c r="Q1154">
        <f t="shared" ref="Q1154:Q1217" si="129">SUM(N:N)</f>
        <v>931348000</v>
      </c>
      <c r="R1154" s="7">
        <f t="shared" ref="R1154:R1217" si="130">COUNTA(A$2:A$1048576)</f>
        <v>2098</v>
      </c>
      <c r="S1154" s="7">
        <f t="shared" ref="S1154:S1217" si="131">MONTH(A1154:A2642)</f>
        <v>3</v>
      </c>
      <c r="T1154" s="7">
        <f t="shared" ref="T1154:T1217" si="132">COUNTA(A:A)-1</f>
        <v>2098</v>
      </c>
    </row>
    <row r="1155" spans="1:20" ht="14.25" customHeight="1" x14ac:dyDescent="0.35">
      <c r="A1155" s="2" t="s">
        <v>153</v>
      </c>
      <c r="B1155" s="2" t="s">
        <v>20</v>
      </c>
      <c r="C1155" s="2" t="s">
        <v>21</v>
      </c>
      <c r="D1155" s="2" t="s">
        <v>14</v>
      </c>
      <c r="E1155" s="2" t="s">
        <v>15</v>
      </c>
      <c r="F1155" s="2" t="s">
        <v>56</v>
      </c>
      <c r="G1155" s="2" t="s">
        <v>36</v>
      </c>
      <c r="H1155" s="2">
        <v>250000</v>
      </c>
      <c r="I1155" s="2">
        <v>2</v>
      </c>
      <c r="J1155" s="2" t="s">
        <v>27</v>
      </c>
      <c r="K1155" s="2">
        <f t="shared" si="126"/>
        <v>200000</v>
      </c>
      <c r="L1155" s="9">
        <f>Table_1[[#This Row],[Unit Price]]*Table_1[[#This Row],[Quantity]]</f>
        <v>500000</v>
      </c>
      <c r="M1155" s="8">
        <f>Table_1[[#This Row],[Cost Price]]*Table_1[[#This Row],[Quantity]]</f>
        <v>400000</v>
      </c>
      <c r="N1155">
        <f>Table_1[[#This Row],[Revenue]]-Table_1[[#This Row],[COGS]]</f>
        <v>100000</v>
      </c>
      <c r="O1155" s="11">
        <f t="shared" si="127"/>
        <v>4656740000</v>
      </c>
      <c r="P1155">
        <f t="shared" si="128"/>
        <v>3725392000</v>
      </c>
      <c r="Q1155">
        <f t="shared" si="129"/>
        <v>931348000</v>
      </c>
      <c r="R1155" s="7">
        <f t="shared" si="130"/>
        <v>2098</v>
      </c>
      <c r="S1155" s="7">
        <f t="shared" si="131"/>
        <v>4</v>
      </c>
      <c r="T1155" s="7">
        <f t="shared" si="132"/>
        <v>2098</v>
      </c>
    </row>
    <row r="1156" spans="1:20" ht="14.25" customHeight="1" x14ac:dyDescent="0.35">
      <c r="A1156" s="2" t="s">
        <v>144</v>
      </c>
      <c r="B1156" s="2" t="s">
        <v>29</v>
      </c>
      <c r="C1156" s="2" t="s">
        <v>21</v>
      </c>
      <c r="D1156" s="2" t="s">
        <v>14</v>
      </c>
      <c r="E1156" s="2" t="s">
        <v>15</v>
      </c>
      <c r="F1156" s="2" t="s">
        <v>56</v>
      </c>
      <c r="G1156" s="2" t="s">
        <v>36</v>
      </c>
      <c r="H1156" s="2">
        <v>250000</v>
      </c>
      <c r="I1156" s="2">
        <v>1</v>
      </c>
      <c r="J1156" s="2" t="s">
        <v>54</v>
      </c>
      <c r="K1156" s="2">
        <f t="shared" si="126"/>
        <v>200000</v>
      </c>
      <c r="L1156" s="9">
        <f>Table_1[[#This Row],[Unit Price]]*Table_1[[#This Row],[Quantity]]</f>
        <v>250000</v>
      </c>
      <c r="M1156" s="8">
        <f>Table_1[[#This Row],[Cost Price]]*Table_1[[#This Row],[Quantity]]</f>
        <v>200000</v>
      </c>
      <c r="N1156">
        <f>Table_1[[#This Row],[Revenue]]-Table_1[[#This Row],[COGS]]</f>
        <v>50000</v>
      </c>
      <c r="O1156" s="11">
        <f t="shared" si="127"/>
        <v>4656740000</v>
      </c>
      <c r="P1156">
        <f t="shared" si="128"/>
        <v>3725392000</v>
      </c>
      <c r="Q1156">
        <f t="shared" si="129"/>
        <v>931348000</v>
      </c>
      <c r="R1156" s="7">
        <f t="shared" si="130"/>
        <v>2098</v>
      </c>
      <c r="S1156" s="7">
        <f t="shared" si="131"/>
        <v>2</v>
      </c>
      <c r="T1156" s="7">
        <f t="shared" si="132"/>
        <v>2098</v>
      </c>
    </row>
    <row r="1157" spans="1:20" ht="14.25" customHeight="1" x14ac:dyDescent="0.35">
      <c r="A1157" s="2" t="s">
        <v>73</v>
      </c>
      <c r="B1157" s="2" t="s">
        <v>12</v>
      </c>
      <c r="C1157" s="2" t="s">
        <v>13</v>
      </c>
      <c r="D1157" s="2" t="s">
        <v>26</v>
      </c>
      <c r="E1157" s="2" t="s">
        <v>22</v>
      </c>
      <c r="F1157" s="2" t="s">
        <v>35</v>
      </c>
      <c r="G1157" s="2" t="s">
        <v>36</v>
      </c>
      <c r="H1157" s="2">
        <v>300000</v>
      </c>
      <c r="I1157" s="2">
        <v>9</v>
      </c>
      <c r="J1157" s="2" t="s">
        <v>32</v>
      </c>
      <c r="K1157" s="2">
        <f t="shared" si="126"/>
        <v>240000</v>
      </c>
      <c r="L1157" s="9">
        <f>Table_1[[#This Row],[Unit Price]]*Table_1[[#This Row],[Quantity]]</f>
        <v>2700000</v>
      </c>
      <c r="M1157" s="8">
        <f>Table_1[[#This Row],[Cost Price]]*Table_1[[#This Row],[Quantity]]</f>
        <v>2160000</v>
      </c>
      <c r="N1157">
        <f>Table_1[[#This Row],[Revenue]]-Table_1[[#This Row],[COGS]]</f>
        <v>540000</v>
      </c>
      <c r="O1157" s="11">
        <f t="shared" si="127"/>
        <v>4656740000</v>
      </c>
      <c r="P1157">
        <f t="shared" si="128"/>
        <v>3725392000</v>
      </c>
      <c r="Q1157">
        <f t="shared" si="129"/>
        <v>931348000</v>
      </c>
      <c r="R1157" s="7">
        <f t="shared" si="130"/>
        <v>2098</v>
      </c>
      <c r="S1157" s="7">
        <f t="shared" si="131"/>
        <v>2</v>
      </c>
      <c r="T1157" s="7">
        <f t="shared" si="132"/>
        <v>2098</v>
      </c>
    </row>
    <row r="1158" spans="1:20" ht="14.25" customHeight="1" x14ac:dyDescent="0.35">
      <c r="A1158" s="2" t="s">
        <v>37</v>
      </c>
      <c r="B1158" s="2" t="s">
        <v>12</v>
      </c>
      <c r="C1158" s="2" t="s">
        <v>21</v>
      </c>
      <c r="D1158" s="2" t="s">
        <v>26</v>
      </c>
      <c r="E1158" s="2" t="s">
        <v>15</v>
      </c>
      <c r="F1158" s="2" t="s">
        <v>41</v>
      </c>
      <c r="G1158" s="2" t="s">
        <v>17</v>
      </c>
      <c r="H1158" s="2">
        <v>320000</v>
      </c>
      <c r="I1158" s="2">
        <v>10</v>
      </c>
      <c r="J1158" s="2" t="s">
        <v>27</v>
      </c>
      <c r="K1158" s="2">
        <f t="shared" si="126"/>
        <v>256000</v>
      </c>
      <c r="L1158" s="9">
        <f>Table_1[[#This Row],[Unit Price]]*Table_1[[#This Row],[Quantity]]</f>
        <v>3200000</v>
      </c>
      <c r="M1158" s="8">
        <f>Table_1[[#This Row],[Cost Price]]*Table_1[[#This Row],[Quantity]]</f>
        <v>2560000</v>
      </c>
      <c r="N1158">
        <f>Table_1[[#This Row],[Revenue]]-Table_1[[#This Row],[COGS]]</f>
        <v>640000</v>
      </c>
      <c r="O1158" s="11">
        <f t="shared" si="127"/>
        <v>4656740000</v>
      </c>
      <c r="P1158">
        <f t="shared" si="128"/>
        <v>3725392000</v>
      </c>
      <c r="Q1158">
        <f t="shared" si="129"/>
        <v>931348000</v>
      </c>
      <c r="R1158" s="7">
        <f t="shared" si="130"/>
        <v>2098</v>
      </c>
      <c r="S1158" s="7">
        <f t="shared" si="131"/>
        <v>3</v>
      </c>
      <c r="T1158" s="7">
        <f t="shared" si="132"/>
        <v>2098</v>
      </c>
    </row>
    <row r="1159" spans="1:20" ht="14.25" customHeight="1" x14ac:dyDescent="0.35">
      <c r="A1159" s="2" t="s">
        <v>160</v>
      </c>
      <c r="B1159" s="2" t="s">
        <v>29</v>
      </c>
      <c r="C1159" s="2" t="s">
        <v>21</v>
      </c>
      <c r="D1159" s="2" t="s">
        <v>26</v>
      </c>
      <c r="E1159" s="2" t="s">
        <v>15</v>
      </c>
      <c r="F1159" s="2" t="s">
        <v>39</v>
      </c>
      <c r="G1159" s="2" t="s">
        <v>24</v>
      </c>
      <c r="H1159" s="2">
        <v>180000</v>
      </c>
      <c r="I1159" s="2">
        <v>9</v>
      </c>
      <c r="J1159" s="2" t="s">
        <v>50</v>
      </c>
      <c r="K1159" s="2">
        <f t="shared" si="126"/>
        <v>144000</v>
      </c>
      <c r="L1159" s="9">
        <f>Table_1[[#This Row],[Unit Price]]*Table_1[[#This Row],[Quantity]]</f>
        <v>1620000</v>
      </c>
      <c r="M1159" s="8">
        <f>Table_1[[#This Row],[Cost Price]]*Table_1[[#This Row],[Quantity]]</f>
        <v>1296000</v>
      </c>
      <c r="N1159">
        <f>Table_1[[#This Row],[Revenue]]-Table_1[[#This Row],[COGS]]</f>
        <v>324000</v>
      </c>
      <c r="O1159" s="11">
        <f t="shared" si="127"/>
        <v>4656740000</v>
      </c>
      <c r="P1159">
        <f t="shared" si="128"/>
        <v>3725392000</v>
      </c>
      <c r="Q1159">
        <f t="shared" si="129"/>
        <v>931348000</v>
      </c>
      <c r="R1159" s="7">
        <f t="shared" si="130"/>
        <v>2098</v>
      </c>
      <c r="S1159" s="7">
        <f t="shared" si="131"/>
        <v>1</v>
      </c>
      <c r="T1159" s="7">
        <f t="shared" si="132"/>
        <v>2098</v>
      </c>
    </row>
    <row r="1160" spans="1:20" ht="14.25" customHeight="1" x14ac:dyDescent="0.35">
      <c r="A1160" s="2" t="s">
        <v>123</v>
      </c>
      <c r="B1160" s="2" t="s">
        <v>29</v>
      </c>
      <c r="C1160" s="2" t="s">
        <v>30</v>
      </c>
      <c r="D1160" s="2" t="s">
        <v>26</v>
      </c>
      <c r="E1160" s="2" t="s">
        <v>15</v>
      </c>
      <c r="F1160" s="2" t="s">
        <v>56</v>
      </c>
      <c r="G1160" s="2" t="s">
        <v>36</v>
      </c>
      <c r="H1160" s="2">
        <v>250000</v>
      </c>
      <c r="I1160" s="2">
        <v>1</v>
      </c>
      <c r="J1160" s="2" t="s">
        <v>54</v>
      </c>
      <c r="K1160" s="2">
        <f t="shared" si="126"/>
        <v>200000</v>
      </c>
      <c r="L1160" s="9">
        <f>Table_1[[#This Row],[Unit Price]]*Table_1[[#This Row],[Quantity]]</f>
        <v>250000</v>
      </c>
      <c r="M1160" s="8">
        <f>Table_1[[#This Row],[Cost Price]]*Table_1[[#This Row],[Quantity]]</f>
        <v>200000</v>
      </c>
      <c r="N1160">
        <f>Table_1[[#This Row],[Revenue]]-Table_1[[#This Row],[COGS]]</f>
        <v>50000</v>
      </c>
      <c r="O1160" s="11">
        <f t="shared" si="127"/>
        <v>4656740000</v>
      </c>
      <c r="P1160">
        <f t="shared" si="128"/>
        <v>3725392000</v>
      </c>
      <c r="Q1160">
        <f t="shared" si="129"/>
        <v>931348000</v>
      </c>
      <c r="R1160" s="7">
        <f t="shared" si="130"/>
        <v>2098</v>
      </c>
      <c r="S1160" s="7">
        <f t="shared" si="131"/>
        <v>4</v>
      </c>
      <c r="T1160" s="7">
        <f t="shared" si="132"/>
        <v>2098</v>
      </c>
    </row>
    <row r="1161" spans="1:20" ht="14.25" customHeight="1" x14ac:dyDescent="0.35">
      <c r="A1161" s="2" t="s">
        <v>94</v>
      </c>
      <c r="B1161" s="2" t="s">
        <v>29</v>
      </c>
      <c r="C1161" s="2" t="s">
        <v>38</v>
      </c>
      <c r="D1161" s="2" t="s">
        <v>26</v>
      </c>
      <c r="E1161" s="2" t="s">
        <v>15</v>
      </c>
      <c r="F1161" s="2" t="s">
        <v>16</v>
      </c>
      <c r="G1161" s="2" t="s">
        <v>17</v>
      </c>
      <c r="H1161" s="2">
        <v>85000</v>
      </c>
      <c r="I1161" s="2">
        <v>7</v>
      </c>
      <c r="J1161" s="2" t="s">
        <v>54</v>
      </c>
      <c r="K1161" s="2">
        <f t="shared" si="126"/>
        <v>68000</v>
      </c>
      <c r="L1161" s="9">
        <f>Table_1[[#This Row],[Unit Price]]*Table_1[[#This Row],[Quantity]]</f>
        <v>595000</v>
      </c>
      <c r="M1161" s="8">
        <f>Table_1[[#This Row],[Cost Price]]*Table_1[[#This Row],[Quantity]]</f>
        <v>476000</v>
      </c>
      <c r="N1161">
        <f>Table_1[[#This Row],[Revenue]]-Table_1[[#This Row],[COGS]]</f>
        <v>119000</v>
      </c>
      <c r="O1161" s="11">
        <f t="shared" si="127"/>
        <v>4656740000</v>
      </c>
      <c r="P1161">
        <f t="shared" si="128"/>
        <v>3725392000</v>
      </c>
      <c r="Q1161">
        <f t="shared" si="129"/>
        <v>931348000</v>
      </c>
      <c r="R1161" s="7">
        <f t="shared" si="130"/>
        <v>2098</v>
      </c>
      <c r="S1161" s="7">
        <f t="shared" si="131"/>
        <v>3</v>
      </c>
      <c r="T1161" s="7">
        <f t="shared" si="132"/>
        <v>2098</v>
      </c>
    </row>
    <row r="1162" spans="1:20" ht="14.25" customHeight="1" x14ac:dyDescent="0.35">
      <c r="A1162" s="2" t="s">
        <v>150</v>
      </c>
      <c r="B1162" s="2" t="s">
        <v>12</v>
      </c>
      <c r="C1162" s="2" t="s">
        <v>13</v>
      </c>
      <c r="D1162" s="2" t="s">
        <v>14</v>
      </c>
      <c r="E1162" s="2" t="s">
        <v>22</v>
      </c>
      <c r="F1162" s="2" t="s">
        <v>23</v>
      </c>
      <c r="G1162" s="2" t="s">
        <v>24</v>
      </c>
      <c r="H1162" s="2">
        <v>30000</v>
      </c>
      <c r="I1162" s="2">
        <v>6</v>
      </c>
      <c r="J1162" s="2" t="s">
        <v>32</v>
      </c>
      <c r="K1162" s="2">
        <f t="shared" si="126"/>
        <v>24000</v>
      </c>
      <c r="L1162" s="9">
        <f>Table_1[[#This Row],[Unit Price]]*Table_1[[#This Row],[Quantity]]</f>
        <v>180000</v>
      </c>
      <c r="M1162" s="8">
        <f>Table_1[[#This Row],[Cost Price]]*Table_1[[#This Row],[Quantity]]</f>
        <v>144000</v>
      </c>
      <c r="N1162">
        <f>Table_1[[#This Row],[Revenue]]-Table_1[[#This Row],[COGS]]</f>
        <v>36000</v>
      </c>
      <c r="O1162" s="11">
        <f t="shared" si="127"/>
        <v>4656740000</v>
      </c>
      <c r="P1162">
        <f t="shared" si="128"/>
        <v>3725392000</v>
      </c>
      <c r="Q1162">
        <f t="shared" si="129"/>
        <v>931348000</v>
      </c>
      <c r="R1162" s="7">
        <f t="shared" si="130"/>
        <v>2098</v>
      </c>
      <c r="S1162" s="7">
        <f t="shared" si="131"/>
        <v>4</v>
      </c>
      <c r="T1162" s="7">
        <f t="shared" si="132"/>
        <v>2098</v>
      </c>
    </row>
    <row r="1163" spans="1:20" ht="14.25" customHeight="1" x14ac:dyDescent="0.35">
      <c r="A1163" s="2" t="s">
        <v>118</v>
      </c>
      <c r="B1163" s="2" t="s">
        <v>12</v>
      </c>
      <c r="C1163" s="2" t="s">
        <v>21</v>
      </c>
      <c r="D1163" s="2" t="s">
        <v>14</v>
      </c>
      <c r="E1163" s="2" t="s">
        <v>22</v>
      </c>
      <c r="F1163" s="2" t="s">
        <v>23</v>
      </c>
      <c r="G1163" s="2" t="s">
        <v>24</v>
      </c>
      <c r="H1163" s="2">
        <v>30000</v>
      </c>
      <c r="I1163" s="2">
        <v>6</v>
      </c>
      <c r="J1163" s="2" t="s">
        <v>27</v>
      </c>
      <c r="K1163" s="2">
        <f t="shared" si="126"/>
        <v>24000</v>
      </c>
      <c r="L1163" s="9">
        <f>Table_1[[#This Row],[Unit Price]]*Table_1[[#This Row],[Quantity]]</f>
        <v>180000</v>
      </c>
      <c r="M1163" s="8">
        <f>Table_1[[#This Row],[Cost Price]]*Table_1[[#This Row],[Quantity]]</f>
        <v>144000</v>
      </c>
      <c r="N1163">
        <f>Table_1[[#This Row],[Revenue]]-Table_1[[#This Row],[COGS]]</f>
        <v>36000</v>
      </c>
      <c r="O1163" s="11">
        <f t="shared" si="127"/>
        <v>4656740000</v>
      </c>
      <c r="P1163">
        <f t="shared" si="128"/>
        <v>3725392000</v>
      </c>
      <c r="Q1163">
        <f t="shared" si="129"/>
        <v>931348000</v>
      </c>
      <c r="R1163" s="7">
        <f t="shared" si="130"/>
        <v>2098</v>
      </c>
      <c r="S1163" s="7">
        <f t="shared" si="131"/>
        <v>1</v>
      </c>
      <c r="T1163" s="7">
        <f t="shared" si="132"/>
        <v>2098</v>
      </c>
    </row>
    <row r="1164" spans="1:20" ht="14.25" customHeight="1" x14ac:dyDescent="0.35">
      <c r="A1164" s="2" t="s">
        <v>120</v>
      </c>
      <c r="B1164" s="2" t="s">
        <v>12</v>
      </c>
      <c r="C1164" s="2" t="s">
        <v>13</v>
      </c>
      <c r="D1164" s="2" t="s">
        <v>26</v>
      </c>
      <c r="E1164" s="2" t="s">
        <v>22</v>
      </c>
      <c r="F1164" s="2" t="s">
        <v>41</v>
      </c>
      <c r="G1164" s="2" t="s">
        <v>17</v>
      </c>
      <c r="H1164" s="2">
        <v>320000</v>
      </c>
      <c r="I1164" s="2">
        <v>2</v>
      </c>
      <c r="J1164" s="2" t="s">
        <v>50</v>
      </c>
      <c r="K1164" s="2">
        <f t="shared" si="126"/>
        <v>256000</v>
      </c>
      <c r="L1164" s="9">
        <f>Table_1[[#This Row],[Unit Price]]*Table_1[[#This Row],[Quantity]]</f>
        <v>640000</v>
      </c>
      <c r="M1164" s="8">
        <f>Table_1[[#This Row],[Cost Price]]*Table_1[[#This Row],[Quantity]]</f>
        <v>512000</v>
      </c>
      <c r="N1164">
        <f>Table_1[[#This Row],[Revenue]]-Table_1[[#This Row],[COGS]]</f>
        <v>128000</v>
      </c>
      <c r="O1164" s="11">
        <f t="shared" si="127"/>
        <v>4656740000</v>
      </c>
      <c r="P1164">
        <f t="shared" si="128"/>
        <v>3725392000</v>
      </c>
      <c r="Q1164">
        <f t="shared" si="129"/>
        <v>931348000</v>
      </c>
      <c r="R1164" s="7">
        <f t="shared" si="130"/>
        <v>2098</v>
      </c>
      <c r="S1164" s="7">
        <f t="shared" si="131"/>
        <v>3</v>
      </c>
      <c r="T1164" s="7">
        <f t="shared" si="132"/>
        <v>2098</v>
      </c>
    </row>
    <row r="1165" spans="1:20" ht="14.25" customHeight="1" x14ac:dyDescent="0.35">
      <c r="A1165" s="2" t="s">
        <v>161</v>
      </c>
      <c r="B1165" s="2" t="s">
        <v>12</v>
      </c>
      <c r="C1165" s="2" t="s">
        <v>38</v>
      </c>
      <c r="D1165" s="2" t="s">
        <v>14</v>
      </c>
      <c r="E1165" s="2" t="s">
        <v>22</v>
      </c>
      <c r="F1165" s="2" t="s">
        <v>31</v>
      </c>
      <c r="G1165" s="2" t="s">
        <v>24</v>
      </c>
      <c r="H1165" s="2">
        <v>60000</v>
      </c>
      <c r="I1165" s="2">
        <v>6</v>
      </c>
      <c r="J1165" s="2" t="s">
        <v>27</v>
      </c>
      <c r="K1165" s="2">
        <f t="shared" si="126"/>
        <v>48000</v>
      </c>
      <c r="L1165" s="9">
        <f>Table_1[[#This Row],[Unit Price]]*Table_1[[#This Row],[Quantity]]</f>
        <v>360000</v>
      </c>
      <c r="M1165" s="8">
        <f>Table_1[[#This Row],[Cost Price]]*Table_1[[#This Row],[Quantity]]</f>
        <v>288000</v>
      </c>
      <c r="N1165">
        <f>Table_1[[#This Row],[Revenue]]-Table_1[[#This Row],[COGS]]</f>
        <v>72000</v>
      </c>
      <c r="O1165" s="11">
        <f t="shared" si="127"/>
        <v>4656740000</v>
      </c>
      <c r="P1165">
        <f t="shared" si="128"/>
        <v>3725392000</v>
      </c>
      <c r="Q1165">
        <f t="shared" si="129"/>
        <v>931348000</v>
      </c>
      <c r="R1165" s="7">
        <f t="shared" si="130"/>
        <v>2098</v>
      </c>
      <c r="S1165" s="7">
        <f t="shared" si="131"/>
        <v>1</v>
      </c>
      <c r="T1165" s="7">
        <f t="shared" si="132"/>
        <v>2098</v>
      </c>
    </row>
    <row r="1166" spans="1:20" ht="14.25" customHeight="1" x14ac:dyDescent="0.35">
      <c r="A1166" s="2" t="s">
        <v>162</v>
      </c>
      <c r="B1166" s="2" t="s">
        <v>12</v>
      </c>
      <c r="C1166" s="2" t="s">
        <v>21</v>
      </c>
      <c r="D1166" s="2" t="s">
        <v>14</v>
      </c>
      <c r="E1166" s="2" t="s">
        <v>22</v>
      </c>
      <c r="F1166" s="2" t="s">
        <v>58</v>
      </c>
      <c r="G1166" s="2" t="s">
        <v>24</v>
      </c>
      <c r="H1166" s="2">
        <v>220000</v>
      </c>
      <c r="I1166" s="2">
        <v>10</v>
      </c>
      <c r="J1166" s="2" t="s">
        <v>54</v>
      </c>
      <c r="K1166" s="2">
        <f t="shared" si="126"/>
        <v>176000</v>
      </c>
      <c r="L1166" s="9">
        <f>Table_1[[#This Row],[Unit Price]]*Table_1[[#This Row],[Quantity]]</f>
        <v>2200000</v>
      </c>
      <c r="M1166" s="8">
        <f>Table_1[[#This Row],[Cost Price]]*Table_1[[#This Row],[Quantity]]</f>
        <v>1760000</v>
      </c>
      <c r="N1166">
        <f>Table_1[[#This Row],[Revenue]]-Table_1[[#This Row],[COGS]]</f>
        <v>440000</v>
      </c>
      <c r="O1166" s="11">
        <f t="shared" si="127"/>
        <v>4656740000</v>
      </c>
      <c r="P1166">
        <f t="shared" si="128"/>
        <v>3725392000</v>
      </c>
      <c r="Q1166">
        <f t="shared" si="129"/>
        <v>931348000</v>
      </c>
      <c r="R1166" s="7">
        <f t="shared" si="130"/>
        <v>2098</v>
      </c>
      <c r="S1166" s="7">
        <f t="shared" si="131"/>
        <v>3</v>
      </c>
      <c r="T1166" s="7">
        <f t="shared" si="132"/>
        <v>2098</v>
      </c>
    </row>
    <row r="1167" spans="1:20" ht="14.25" customHeight="1" x14ac:dyDescent="0.35">
      <c r="A1167" s="2" t="s">
        <v>93</v>
      </c>
      <c r="B1167" s="2" t="s">
        <v>12</v>
      </c>
      <c r="C1167" s="2" t="s">
        <v>38</v>
      </c>
      <c r="D1167" s="2" t="s">
        <v>14</v>
      </c>
      <c r="E1167" s="2" t="s">
        <v>15</v>
      </c>
      <c r="F1167" s="2" t="s">
        <v>31</v>
      </c>
      <c r="G1167" s="2" t="s">
        <v>24</v>
      </c>
      <c r="H1167" s="2">
        <v>60000</v>
      </c>
      <c r="I1167" s="2">
        <v>6</v>
      </c>
      <c r="J1167" s="2" t="s">
        <v>54</v>
      </c>
      <c r="K1167" s="2">
        <f t="shared" si="126"/>
        <v>48000</v>
      </c>
      <c r="L1167" s="9">
        <f>Table_1[[#This Row],[Unit Price]]*Table_1[[#This Row],[Quantity]]</f>
        <v>360000</v>
      </c>
      <c r="M1167" s="8">
        <f>Table_1[[#This Row],[Cost Price]]*Table_1[[#This Row],[Quantity]]</f>
        <v>288000</v>
      </c>
      <c r="N1167">
        <f>Table_1[[#This Row],[Revenue]]-Table_1[[#This Row],[COGS]]</f>
        <v>72000</v>
      </c>
      <c r="O1167" s="11">
        <f t="shared" si="127"/>
        <v>4656740000</v>
      </c>
      <c r="P1167">
        <f t="shared" si="128"/>
        <v>3725392000</v>
      </c>
      <c r="Q1167">
        <f t="shared" si="129"/>
        <v>931348000</v>
      </c>
      <c r="R1167" s="7">
        <f t="shared" si="130"/>
        <v>2098</v>
      </c>
      <c r="S1167" s="7">
        <f t="shared" si="131"/>
        <v>4</v>
      </c>
      <c r="T1167" s="7">
        <f t="shared" si="132"/>
        <v>2098</v>
      </c>
    </row>
    <row r="1168" spans="1:20" ht="14.25" customHeight="1" x14ac:dyDescent="0.35">
      <c r="A1168" s="2" t="s">
        <v>69</v>
      </c>
      <c r="B1168" s="2" t="s">
        <v>12</v>
      </c>
      <c r="C1168" s="2" t="s">
        <v>30</v>
      </c>
      <c r="D1168" s="2" t="s">
        <v>14</v>
      </c>
      <c r="E1168" s="2" t="s">
        <v>15</v>
      </c>
      <c r="F1168" s="2" t="s">
        <v>58</v>
      </c>
      <c r="G1168" s="2" t="s">
        <v>24</v>
      </c>
      <c r="H1168" s="2">
        <v>220000</v>
      </c>
      <c r="I1168" s="2">
        <v>7</v>
      </c>
      <c r="J1168" s="2" t="s">
        <v>50</v>
      </c>
      <c r="K1168" s="2">
        <f t="shared" si="126"/>
        <v>176000</v>
      </c>
      <c r="L1168" s="9">
        <f>Table_1[[#This Row],[Unit Price]]*Table_1[[#This Row],[Quantity]]</f>
        <v>1540000</v>
      </c>
      <c r="M1168" s="8">
        <f>Table_1[[#This Row],[Cost Price]]*Table_1[[#This Row],[Quantity]]</f>
        <v>1232000</v>
      </c>
      <c r="N1168">
        <f>Table_1[[#This Row],[Revenue]]-Table_1[[#This Row],[COGS]]</f>
        <v>308000</v>
      </c>
      <c r="O1168" s="11">
        <f t="shared" si="127"/>
        <v>4656740000</v>
      </c>
      <c r="P1168">
        <f t="shared" si="128"/>
        <v>3725392000</v>
      </c>
      <c r="Q1168">
        <f t="shared" si="129"/>
        <v>931348000</v>
      </c>
      <c r="R1168" s="7">
        <f t="shared" si="130"/>
        <v>2098</v>
      </c>
      <c r="S1168" s="7">
        <f t="shared" si="131"/>
        <v>1</v>
      </c>
      <c r="T1168" s="7">
        <f t="shared" si="132"/>
        <v>2098</v>
      </c>
    </row>
    <row r="1169" spans="1:20" ht="14.25" customHeight="1" x14ac:dyDescent="0.35">
      <c r="A1169" s="2" t="s">
        <v>48</v>
      </c>
      <c r="B1169" s="2" t="s">
        <v>20</v>
      </c>
      <c r="C1169" s="2" t="s">
        <v>21</v>
      </c>
      <c r="D1169" s="2" t="s">
        <v>26</v>
      </c>
      <c r="E1169" s="2" t="s">
        <v>22</v>
      </c>
      <c r="F1169" s="2" t="s">
        <v>52</v>
      </c>
      <c r="G1169" s="2" t="s">
        <v>36</v>
      </c>
      <c r="H1169" s="2">
        <v>420000</v>
      </c>
      <c r="I1169" s="2">
        <v>8</v>
      </c>
      <c r="J1169" s="2" t="s">
        <v>50</v>
      </c>
      <c r="K1169" s="2">
        <f t="shared" si="126"/>
        <v>336000</v>
      </c>
      <c r="L1169" s="9">
        <f>Table_1[[#This Row],[Unit Price]]*Table_1[[#This Row],[Quantity]]</f>
        <v>3360000</v>
      </c>
      <c r="M1169" s="8">
        <f>Table_1[[#This Row],[Cost Price]]*Table_1[[#This Row],[Quantity]]</f>
        <v>2688000</v>
      </c>
      <c r="N1169">
        <f>Table_1[[#This Row],[Revenue]]-Table_1[[#This Row],[COGS]]</f>
        <v>672000</v>
      </c>
      <c r="O1169" s="11">
        <f t="shared" si="127"/>
        <v>4656740000</v>
      </c>
      <c r="P1169">
        <f t="shared" si="128"/>
        <v>3725392000</v>
      </c>
      <c r="Q1169">
        <f t="shared" si="129"/>
        <v>931348000</v>
      </c>
      <c r="R1169" s="7">
        <f t="shared" si="130"/>
        <v>2098</v>
      </c>
      <c r="S1169" s="7">
        <f t="shared" si="131"/>
        <v>1</v>
      </c>
      <c r="T1169" s="7">
        <f t="shared" si="132"/>
        <v>2098</v>
      </c>
    </row>
    <row r="1170" spans="1:20" ht="14.25" customHeight="1" x14ac:dyDescent="0.35">
      <c r="A1170" s="2" t="s">
        <v>85</v>
      </c>
      <c r="B1170" s="2" t="s">
        <v>20</v>
      </c>
      <c r="C1170" s="2" t="s">
        <v>21</v>
      </c>
      <c r="D1170" s="2" t="s">
        <v>14</v>
      </c>
      <c r="E1170" s="2" t="s">
        <v>22</v>
      </c>
      <c r="F1170" s="2" t="s">
        <v>52</v>
      </c>
      <c r="G1170" s="2" t="s">
        <v>36</v>
      </c>
      <c r="H1170" s="2">
        <v>420000</v>
      </c>
      <c r="I1170" s="2">
        <v>1</v>
      </c>
      <c r="J1170" s="2" t="s">
        <v>54</v>
      </c>
      <c r="K1170" s="2">
        <f t="shared" si="126"/>
        <v>336000</v>
      </c>
      <c r="L1170" s="9">
        <f>Table_1[[#This Row],[Unit Price]]*Table_1[[#This Row],[Quantity]]</f>
        <v>420000</v>
      </c>
      <c r="M1170" s="8">
        <f>Table_1[[#This Row],[Cost Price]]*Table_1[[#This Row],[Quantity]]</f>
        <v>336000</v>
      </c>
      <c r="N1170">
        <f>Table_1[[#This Row],[Revenue]]-Table_1[[#This Row],[COGS]]</f>
        <v>84000</v>
      </c>
      <c r="O1170" s="11">
        <f t="shared" si="127"/>
        <v>4656740000</v>
      </c>
      <c r="P1170">
        <f t="shared" si="128"/>
        <v>3725392000</v>
      </c>
      <c r="Q1170">
        <f t="shared" si="129"/>
        <v>931348000</v>
      </c>
      <c r="R1170" s="7">
        <f t="shared" si="130"/>
        <v>2098</v>
      </c>
      <c r="S1170" s="7">
        <f t="shared" si="131"/>
        <v>1</v>
      </c>
      <c r="T1170" s="7">
        <f t="shared" si="132"/>
        <v>2098</v>
      </c>
    </row>
    <row r="1171" spans="1:20" ht="14.25" customHeight="1" x14ac:dyDescent="0.35">
      <c r="A1171" s="2" t="s">
        <v>162</v>
      </c>
      <c r="B1171" s="2" t="s">
        <v>20</v>
      </c>
      <c r="C1171" s="2" t="s">
        <v>13</v>
      </c>
      <c r="D1171" s="2" t="s">
        <v>26</v>
      </c>
      <c r="E1171" s="2" t="s">
        <v>22</v>
      </c>
      <c r="F1171" s="2" t="s">
        <v>56</v>
      </c>
      <c r="G1171" s="2" t="s">
        <v>36</v>
      </c>
      <c r="H1171" s="2">
        <v>250000</v>
      </c>
      <c r="I1171" s="2">
        <v>9</v>
      </c>
      <c r="J1171" s="2" t="s">
        <v>50</v>
      </c>
      <c r="K1171" s="2">
        <f t="shared" si="126"/>
        <v>200000</v>
      </c>
      <c r="L1171" s="9">
        <f>Table_1[[#This Row],[Unit Price]]*Table_1[[#This Row],[Quantity]]</f>
        <v>2250000</v>
      </c>
      <c r="M1171" s="8">
        <f>Table_1[[#This Row],[Cost Price]]*Table_1[[#This Row],[Quantity]]</f>
        <v>1800000</v>
      </c>
      <c r="N1171">
        <f>Table_1[[#This Row],[Revenue]]-Table_1[[#This Row],[COGS]]</f>
        <v>450000</v>
      </c>
      <c r="O1171" s="11">
        <f t="shared" si="127"/>
        <v>4656740000</v>
      </c>
      <c r="P1171">
        <f t="shared" si="128"/>
        <v>3725392000</v>
      </c>
      <c r="Q1171">
        <f t="shared" si="129"/>
        <v>931348000</v>
      </c>
      <c r="R1171" s="7">
        <f t="shared" si="130"/>
        <v>2098</v>
      </c>
      <c r="S1171" s="7">
        <f t="shared" si="131"/>
        <v>3</v>
      </c>
      <c r="T1171" s="7">
        <f t="shared" si="132"/>
        <v>2098</v>
      </c>
    </row>
    <row r="1172" spans="1:20" ht="14.25" customHeight="1" x14ac:dyDescent="0.35">
      <c r="A1172" s="2" t="s">
        <v>159</v>
      </c>
      <c r="B1172" s="2" t="s">
        <v>34</v>
      </c>
      <c r="C1172" s="2" t="s">
        <v>38</v>
      </c>
      <c r="D1172" s="2" t="s">
        <v>14</v>
      </c>
      <c r="E1172" s="2" t="s">
        <v>15</v>
      </c>
      <c r="F1172" s="2" t="s">
        <v>23</v>
      </c>
      <c r="G1172" s="2" t="s">
        <v>24</v>
      </c>
      <c r="H1172" s="2">
        <v>30000</v>
      </c>
      <c r="I1172" s="2">
        <v>3</v>
      </c>
      <c r="J1172" s="2" t="s">
        <v>27</v>
      </c>
      <c r="K1172" s="2">
        <f t="shared" si="126"/>
        <v>24000</v>
      </c>
      <c r="L1172" s="9">
        <f>Table_1[[#This Row],[Unit Price]]*Table_1[[#This Row],[Quantity]]</f>
        <v>90000</v>
      </c>
      <c r="M1172" s="8">
        <f>Table_1[[#This Row],[Cost Price]]*Table_1[[#This Row],[Quantity]]</f>
        <v>72000</v>
      </c>
      <c r="N1172">
        <f>Table_1[[#This Row],[Revenue]]-Table_1[[#This Row],[COGS]]</f>
        <v>18000</v>
      </c>
      <c r="O1172" s="11">
        <f t="shared" si="127"/>
        <v>4656740000</v>
      </c>
      <c r="P1172">
        <f t="shared" si="128"/>
        <v>3725392000</v>
      </c>
      <c r="Q1172">
        <f t="shared" si="129"/>
        <v>931348000</v>
      </c>
      <c r="R1172" s="7">
        <f t="shared" si="130"/>
        <v>2098</v>
      </c>
      <c r="S1172" s="7">
        <f t="shared" si="131"/>
        <v>2</v>
      </c>
      <c r="T1172" s="7">
        <f t="shared" si="132"/>
        <v>2098</v>
      </c>
    </row>
    <row r="1173" spans="1:20" ht="14.25" customHeight="1" x14ac:dyDescent="0.35">
      <c r="A1173" s="2" t="s">
        <v>61</v>
      </c>
      <c r="B1173" s="2" t="s">
        <v>34</v>
      </c>
      <c r="C1173" s="2" t="s">
        <v>30</v>
      </c>
      <c r="D1173" s="2" t="s">
        <v>14</v>
      </c>
      <c r="E1173" s="2" t="s">
        <v>15</v>
      </c>
      <c r="F1173" s="2" t="s">
        <v>41</v>
      </c>
      <c r="G1173" s="2" t="s">
        <v>17</v>
      </c>
      <c r="H1173" s="2">
        <v>320000</v>
      </c>
      <c r="I1173" s="2">
        <v>1</v>
      </c>
      <c r="J1173" s="2" t="s">
        <v>54</v>
      </c>
      <c r="K1173" s="2">
        <f t="shared" si="126"/>
        <v>256000</v>
      </c>
      <c r="L1173" s="9">
        <f>Table_1[[#This Row],[Unit Price]]*Table_1[[#This Row],[Quantity]]</f>
        <v>320000</v>
      </c>
      <c r="M1173" s="8">
        <f>Table_1[[#This Row],[Cost Price]]*Table_1[[#This Row],[Quantity]]</f>
        <v>256000</v>
      </c>
      <c r="N1173">
        <f>Table_1[[#This Row],[Revenue]]-Table_1[[#This Row],[COGS]]</f>
        <v>64000</v>
      </c>
      <c r="O1173" s="11">
        <f t="shared" si="127"/>
        <v>4656740000</v>
      </c>
      <c r="P1173">
        <f t="shared" si="128"/>
        <v>3725392000</v>
      </c>
      <c r="Q1173">
        <f t="shared" si="129"/>
        <v>931348000</v>
      </c>
      <c r="R1173" s="7">
        <f t="shared" si="130"/>
        <v>2098</v>
      </c>
      <c r="S1173" s="7">
        <f t="shared" si="131"/>
        <v>5</v>
      </c>
      <c r="T1173" s="7">
        <f t="shared" si="132"/>
        <v>2098</v>
      </c>
    </row>
    <row r="1174" spans="1:20" ht="14.25" customHeight="1" x14ac:dyDescent="0.35">
      <c r="A1174" s="2" t="s">
        <v>144</v>
      </c>
      <c r="B1174" s="2" t="s">
        <v>12</v>
      </c>
      <c r="C1174" s="2" t="s">
        <v>38</v>
      </c>
      <c r="D1174" s="2" t="s">
        <v>26</v>
      </c>
      <c r="E1174" s="2" t="s">
        <v>15</v>
      </c>
      <c r="F1174" s="2" t="s">
        <v>41</v>
      </c>
      <c r="G1174" s="2" t="s">
        <v>17</v>
      </c>
      <c r="H1174" s="2">
        <v>320000</v>
      </c>
      <c r="I1174" s="2">
        <v>10</v>
      </c>
      <c r="J1174" s="2" t="s">
        <v>32</v>
      </c>
      <c r="K1174" s="2">
        <f t="shared" si="126"/>
        <v>256000</v>
      </c>
      <c r="L1174" s="9">
        <f>Table_1[[#This Row],[Unit Price]]*Table_1[[#This Row],[Quantity]]</f>
        <v>3200000</v>
      </c>
      <c r="M1174" s="8">
        <f>Table_1[[#This Row],[Cost Price]]*Table_1[[#This Row],[Quantity]]</f>
        <v>2560000</v>
      </c>
      <c r="N1174">
        <f>Table_1[[#This Row],[Revenue]]-Table_1[[#This Row],[COGS]]</f>
        <v>640000</v>
      </c>
      <c r="O1174" s="11">
        <f t="shared" si="127"/>
        <v>4656740000</v>
      </c>
      <c r="P1174">
        <f t="shared" si="128"/>
        <v>3725392000</v>
      </c>
      <c r="Q1174">
        <f t="shared" si="129"/>
        <v>931348000</v>
      </c>
      <c r="R1174" s="7">
        <f t="shared" si="130"/>
        <v>2098</v>
      </c>
      <c r="S1174" s="7">
        <f t="shared" si="131"/>
        <v>2</v>
      </c>
      <c r="T1174" s="7">
        <f t="shared" si="132"/>
        <v>2098</v>
      </c>
    </row>
    <row r="1175" spans="1:20" ht="14.25" customHeight="1" x14ac:dyDescent="0.35">
      <c r="A1175" s="2" t="s">
        <v>91</v>
      </c>
      <c r="B1175" s="2" t="s">
        <v>34</v>
      </c>
      <c r="C1175" s="2" t="s">
        <v>21</v>
      </c>
      <c r="D1175" s="2" t="s">
        <v>26</v>
      </c>
      <c r="E1175" s="2" t="s">
        <v>15</v>
      </c>
      <c r="F1175" s="2" t="s">
        <v>39</v>
      </c>
      <c r="G1175" s="2" t="s">
        <v>24</v>
      </c>
      <c r="H1175" s="2">
        <v>180000</v>
      </c>
      <c r="I1175" s="2">
        <v>4</v>
      </c>
      <c r="J1175" s="2" t="s">
        <v>32</v>
      </c>
      <c r="K1175" s="2">
        <f t="shared" si="126"/>
        <v>144000</v>
      </c>
      <c r="L1175" s="9">
        <f>Table_1[[#This Row],[Unit Price]]*Table_1[[#This Row],[Quantity]]</f>
        <v>720000</v>
      </c>
      <c r="M1175" s="8">
        <f>Table_1[[#This Row],[Cost Price]]*Table_1[[#This Row],[Quantity]]</f>
        <v>576000</v>
      </c>
      <c r="N1175">
        <f>Table_1[[#This Row],[Revenue]]-Table_1[[#This Row],[COGS]]</f>
        <v>144000</v>
      </c>
      <c r="O1175" s="11">
        <f t="shared" si="127"/>
        <v>4656740000</v>
      </c>
      <c r="P1175">
        <f t="shared" si="128"/>
        <v>3725392000</v>
      </c>
      <c r="Q1175">
        <f t="shared" si="129"/>
        <v>931348000</v>
      </c>
      <c r="R1175" s="7">
        <f t="shared" si="130"/>
        <v>2098</v>
      </c>
      <c r="S1175" s="7">
        <f t="shared" si="131"/>
        <v>4</v>
      </c>
      <c r="T1175" s="7">
        <f t="shared" si="132"/>
        <v>2098</v>
      </c>
    </row>
    <row r="1176" spans="1:20" ht="14.25" customHeight="1" x14ac:dyDescent="0.35">
      <c r="A1176" s="2" t="s">
        <v>60</v>
      </c>
      <c r="B1176" s="2" t="s">
        <v>12</v>
      </c>
      <c r="C1176" s="2" t="s">
        <v>21</v>
      </c>
      <c r="D1176" s="2" t="s">
        <v>14</v>
      </c>
      <c r="E1176" s="2" t="s">
        <v>22</v>
      </c>
      <c r="F1176" s="2" t="s">
        <v>52</v>
      </c>
      <c r="G1176" s="2" t="s">
        <v>36</v>
      </c>
      <c r="H1176" s="2">
        <v>420000</v>
      </c>
      <c r="I1176" s="2">
        <v>5</v>
      </c>
      <c r="J1176" s="2" t="s">
        <v>50</v>
      </c>
      <c r="K1176" s="2">
        <f t="shared" si="126"/>
        <v>336000</v>
      </c>
      <c r="L1176" s="9">
        <f>Table_1[[#This Row],[Unit Price]]*Table_1[[#This Row],[Quantity]]</f>
        <v>2100000</v>
      </c>
      <c r="M1176" s="8">
        <f>Table_1[[#This Row],[Cost Price]]*Table_1[[#This Row],[Quantity]]</f>
        <v>1680000</v>
      </c>
      <c r="N1176">
        <f>Table_1[[#This Row],[Revenue]]-Table_1[[#This Row],[COGS]]</f>
        <v>420000</v>
      </c>
      <c r="O1176" s="11">
        <f t="shared" si="127"/>
        <v>4656740000</v>
      </c>
      <c r="P1176">
        <f t="shared" si="128"/>
        <v>3725392000</v>
      </c>
      <c r="Q1176">
        <f t="shared" si="129"/>
        <v>931348000</v>
      </c>
      <c r="R1176" s="7">
        <f t="shared" si="130"/>
        <v>2098</v>
      </c>
      <c r="S1176" s="7">
        <f t="shared" si="131"/>
        <v>3</v>
      </c>
      <c r="T1176" s="7">
        <f t="shared" si="132"/>
        <v>2098</v>
      </c>
    </row>
    <row r="1177" spans="1:20" ht="14.25" customHeight="1" x14ac:dyDescent="0.35">
      <c r="A1177" s="2" t="s">
        <v>87</v>
      </c>
      <c r="B1177" s="2" t="s">
        <v>34</v>
      </c>
      <c r="C1177" s="2" t="s">
        <v>38</v>
      </c>
      <c r="D1177" s="2" t="s">
        <v>14</v>
      </c>
      <c r="E1177" s="2" t="s">
        <v>15</v>
      </c>
      <c r="F1177" s="2" t="s">
        <v>31</v>
      </c>
      <c r="G1177" s="2" t="s">
        <v>24</v>
      </c>
      <c r="H1177" s="2">
        <v>60000</v>
      </c>
      <c r="I1177" s="2">
        <v>5</v>
      </c>
      <c r="J1177" s="2" t="s">
        <v>27</v>
      </c>
      <c r="K1177" s="2">
        <f t="shared" si="126"/>
        <v>48000</v>
      </c>
      <c r="L1177" s="9">
        <f>Table_1[[#This Row],[Unit Price]]*Table_1[[#This Row],[Quantity]]</f>
        <v>300000</v>
      </c>
      <c r="M1177" s="8">
        <f>Table_1[[#This Row],[Cost Price]]*Table_1[[#This Row],[Quantity]]</f>
        <v>240000</v>
      </c>
      <c r="N1177">
        <f>Table_1[[#This Row],[Revenue]]-Table_1[[#This Row],[COGS]]</f>
        <v>60000</v>
      </c>
      <c r="O1177" s="11">
        <f t="shared" si="127"/>
        <v>4656740000</v>
      </c>
      <c r="P1177">
        <f t="shared" si="128"/>
        <v>3725392000</v>
      </c>
      <c r="Q1177">
        <f t="shared" si="129"/>
        <v>931348000</v>
      </c>
      <c r="R1177" s="7">
        <f t="shared" si="130"/>
        <v>2098</v>
      </c>
      <c r="S1177" s="7">
        <f t="shared" si="131"/>
        <v>3</v>
      </c>
      <c r="T1177" s="7">
        <f t="shared" si="132"/>
        <v>2098</v>
      </c>
    </row>
    <row r="1178" spans="1:20" ht="14.25" customHeight="1" x14ac:dyDescent="0.35">
      <c r="A1178" s="2" t="s">
        <v>59</v>
      </c>
      <c r="B1178" s="2" t="s">
        <v>34</v>
      </c>
      <c r="C1178" s="2" t="s">
        <v>38</v>
      </c>
      <c r="D1178" s="2" t="s">
        <v>14</v>
      </c>
      <c r="E1178" s="2" t="s">
        <v>22</v>
      </c>
      <c r="F1178" s="2" t="s">
        <v>31</v>
      </c>
      <c r="G1178" s="2" t="s">
        <v>24</v>
      </c>
      <c r="H1178" s="2">
        <v>60000</v>
      </c>
      <c r="I1178" s="2">
        <v>9</v>
      </c>
      <c r="J1178" s="2" t="s">
        <v>50</v>
      </c>
      <c r="K1178" s="2">
        <f t="shared" si="126"/>
        <v>48000</v>
      </c>
      <c r="L1178" s="9">
        <f>Table_1[[#This Row],[Unit Price]]*Table_1[[#This Row],[Quantity]]</f>
        <v>540000</v>
      </c>
      <c r="M1178" s="8">
        <f>Table_1[[#This Row],[Cost Price]]*Table_1[[#This Row],[Quantity]]</f>
        <v>432000</v>
      </c>
      <c r="N1178">
        <f>Table_1[[#This Row],[Revenue]]-Table_1[[#This Row],[COGS]]</f>
        <v>108000</v>
      </c>
      <c r="O1178" s="11">
        <f t="shared" si="127"/>
        <v>4656740000</v>
      </c>
      <c r="P1178">
        <f t="shared" si="128"/>
        <v>3725392000</v>
      </c>
      <c r="Q1178">
        <f t="shared" si="129"/>
        <v>931348000</v>
      </c>
      <c r="R1178" s="7">
        <f t="shared" si="130"/>
        <v>2098</v>
      </c>
      <c r="S1178" s="7">
        <f t="shared" si="131"/>
        <v>2</v>
      </c>
      <c r="T1178" s="7">
        <f t="shared" si="132"/>
        <v>2098</v>
      </c>
    </row>
    <row r="1179" spans="1:20" ht="14.25" customHeight="1" x14ac:dyDescent="0.35">
      <c r="A1179" s="2" t="s">
        <v>11</v>
      </c>
      <c r="B1179" s="2" t="s">
        <v>20</v>
      </c>
      <c r="C1179" s="2" t="s">
        <v>30</v>
      </c>
      <c r="D1179" s="2" t="s">
        <v>26</v>
      </c>
      <c r="E1179" s="2" t="s">
        <v>22</v>
      </c>
      <c r="F1179" s="2" t="s">
        <v>35</v>
      </c>
      <c r="G1179" s="2" t="s">
        <v>36</v>
      </c>
      <c r="H1179" s="2">
        <v>300000</v>
      </c>
      <c r="I1179" s="2">
        <v>10</v>
      </c>
      <c r="J1179" s="2" t="s">
        <v>27</v>
      </c>
      <c r="K1179" s="2">
        <f t="shared" si="126"/>
        <v>240000</v>
      </c>
      <c r="L1179" s="9">
        <f>Table_1[[#This Row],[Unit Price]]*Table_1[[#This Row],[Quantity]]</f>
        <v>3000000</v>
      </c>
      <c r="M1179" s="8">
        <f>Table_1[[#This Row],[Cost Price]]*Table_1[[#This Row],[Quantity]]</f>
        <v>2400000</v>
      </c>
      <c r="N1179">
        <f>Table_1[[#This Row],[Revenue]]-Table_1[[#This Row],[COGS]]</f>
        <v>600000</v>
      </c>
      <c r="O1179" s="11">
        <f t="shared" si="127"/>
        <v>4656740000</v>
      </c>
      <c r="P1179">
        <f t="shared" si="128"/>
        <v>3725392000</v>
      </c>
      <c r="Q1179">
        <f t="shared" si="129"/>
        <v>931348000</v>
      </c>
      <c r="R1179" s="7">
        <f t="shared" si="130"/>
        <v>2098</v>
      </c>
      <c r="S1179" s="7">
        <f t="shared" si="131"/>
        <v>1</v>
      </c>
      <c r="T1179" s="7">
        <f t="shared" si="132"/>
        <v>2098</v>
      </c>
    </row>
    <row r="1180" spans="1:20" ht="14.25" customHeight="1" x14ac:dyDescent="0.35">
      <c r="A1180" s="2" t="s">
        <v>108</v>
      </c>
      <c r="B1180" s="2" t="s">
        <v>29</v>
      </c>
      <c r="C1180" s="2" t="s">
        <v>38</v>
      </c>
      <c r="D1180" s="2" t="s">
        <v>14</v>
      </c>
      <c r="E1180" s="2" t="s">
        <v>22</v>
      </c>
      <c r="F1180" s="2" t="s">
        <v>52</v>
      </c>
      <c r="G1180" s="2" t="s">
        <v>36</v>
      </c>
      <c r="H1180" s="2">
        <v>420000</v>
      </c>
      <c r="I1180" s="2">
        <v>8</v>
      </c>
      <c r="J1180" s="2" t="s">
        <v>54</v>
      </c>
      <c r="K1180" s="2">
        <f t="shared" si="126"/>
        <v>336000</v>
      </c>
      <c r="L1180" s="9">
        <f>Table_1[[#This Row],[Unit Price]]*Table_1[[#This Row],[Quantity]]</f>
        <v>3360000</v>
      </c>
      <c r="M1180" s="8">
        <f>Table_1[[#This Row],[Cost Price]]*Table_1[[#This Row],[Quantity]]</f>
        <v>2688000</v>
      </c>
      <c r="N1180">
        <f>Table_1[[#This Row],[Revenue]]-Table_1[[#This Row],[COGS]]</f>
        <v>672000</v>
      </c>
      <c r="O1180" s="11">
        <f t="shared" si="127"/>
        <v>4656740000</v>
      </c>
      <c r="P1180">
        <f t="shared" si="128"/>
        <v>3725392000</v>
      </c>
      <c r="Q1180">
        <f t="shared" si="129"/>
        <v>931348000</v>
      </c>
      <c r="R1180" s="7">
        <f t="shared" si="130"/>
        <v>2098</v>
      </c>
      <c r="S1180" s="7">
        <f t="shared" si="131"/>
        <v>4</v>
      </c>
      <c r="T1180" s="7">
        <f t="shared" si="132"/>
        <v>2098</v>
      </c>
    </row>
    <row r="1181" spans="1:20" ht="14.25" customHeight="1" x14ac:dyDescent="0.35">
      <c r="A1181" s="2" t="s">
        <v>40</v>
      </c>
      <c r="B1181" s="2" t="s">
        <v>29</v>
      </c>
      <c r="C1181" s="2" t="s">
        <v>30</v>
      </c>
      <c r="D1181" s="2" t="s">
        <v>26</v>
      </c>
      <c r="E1181" s="2" t="s">
        <v>22</v>
      </c>
      <c r="F1181" s="2" t="s">
        <v>39</v>
      </c>
      <c r="G1181" s="2" t="s">
        <v>24</v>
      </c>
      <c r="H1181" s="2">
        <v>180000</v>
      </c>
      <c r="I1181" s="2">
        <v>4</v>
      </c>
      <c r="J1181" s="2" t="s">
        <v>27</v>
      </c>
      <c r="K1181" s="2">
        <f t="shared" si="126"/>
        <v>144000</v>
      </c>
      <c r="L1181" s="9">
        <f>Table_1[[#This Row],[Unit Price]]*Table_1[[#This Row],[Quantity]]</f>
        <v>720000</v>
      </c>
      <c r="M1181" s="8">
        <f>Table_1[[#This Row],[Cost Price]]*Table_1[[#This Row],[Quantity]]</f>
        <v>576000</v>
      </c>
      <c r="N1181">
        <f>Table_1[[#This Row],[Revenue]]-Table_1[[#This Row],[COGS]]</f>
        <v>144000</v>
      </c>
      <c r="O1181" s="11">
        <f t="shared" si="127"/>
        <v>4656740000</v>
      </c>
      <c r="P1181">
        <f t="shared" si="128"/>
        <v>3725392000</v>
      </c>
      <c r="Q1181">
        <f t="shared" si="129"/>
        <v>931348000</v>
      </c>
      <c r="R1181" s="7">
        <f t="shared" si="130"/>
        <v>2098</v>
      </c>
      <c r="S1181" s="7">
        <f t="shared" si="131"/>
        <v>3</v>
      </c>
      <c r="T1181" s="7">
        <f t="shared" si="132"/>
        <v>2098</v>
      </c>
    </row>
    <row r="1182" spans="1:20" ht="14.25" customHeight="1" x14ac:dyDescent="0.35">
      <c r="A1182" s="2" t="s">
        <v>71</v>
      </c>
      <c r="B1182" s="2" t="s">
        <v>20</v>
      </c>
      <c r="C1182" s="2" t="s">
        <v>30</v>
      </c>
      <c r="D1182" s="2" t="s">
        <v>14</v>
      </c>
      <c r="E1182" s="2" t="s">
        <v>22</v>
      </c>
      <c r="F1182" s="2" t="s">
        <v>23</v>
      </c>
      <c r="G1182" s="2" t="s">
        <v>24</v>
      </c>
      <c r="H1182" s="2">
        <v>30000</v>
      </c>
      <c r="I1182" s="2">
        <v>5</v>
      </c>
      <c r="J1182" s="2" t="s">
        <v>50</v>
      </c>
      <c r="K1182" s="2">
        <f t="shared" si="126"/>
        <v>24000</v>
      </c>
      <c r="L1182" s="9">
        <f>Table_1[[#This Row],[Unit Price]]*Table_1[[#This Row],[Quantity]]</f>
        <v>150000</v>
      </c>
      <c r="M1182" s="8">
        <f>Table_1[[#This Row],[Cost Price]]*Table_1[[#This Row],[Quantity]]</f>
        <v>120000</v>
      </c>
      <c r="N1182">
        <f>Table_1[[#This Row],[Revenue]]-Table_1[[#This Row],[COGS]]</f>
        <v>30000</v>
      </c>
      <c r="O1182" s="11">
        <f t="shared" si="127"/>
        <v>4656740000</v>
      </c>
      <c r="P1182">
        <f t="shared" si="128"/>
        <v>3725392000</v>
      </c>
      <c r="Q1182">
        <f t="shared" si="129"/>
        <v>931348000</v>
      </c>
      <c r="R1182" s="7">
        <f t="shared" si="130"/>
        <v>2098</v>
      </c>
      <c r="S1182" s="7">
        <f t="shared" si="131"/>
        <v>2</v>
      </c>
      <c r="T1182" s="7">
        <f t="shared" si="132"/>
        <v>2098</v>
      </c>
    </row>
    <row r="1183" spans="1:20" ht="14.25" customHeight="1" x14ac:dyDescent="0.35">
      <c r="A1183" s="2" t="s">
        <v>77</v>
      </c>
      <c r="B1183" s="2" t="s">
        <v>34</v>
      </c>
      <c r="C1183" s="2" t="s">
        <v>21</v>
      </c>
      <c r="D1183" s="2" t="s">
        <v>14</v>
      </c>
      <c r="E1183" s="2" t="s">
        <v>15</v>
      </c>
      <c r="F1183" s="2" t="s">
        <v>56</v>
      </c>
      <c r="G1183" s="2" t="s">
        <v>36</v>
      </c>
      <c r="H1183" s="2">
        <v>250000</v>
      </c>
      <c r="I1183" s="2">
        <v>3</v>
      </c>
      <c r="J1183" s="2" t="s">
        <v>27</v>
      </c>
      <c r="K1183" s="2">
        <f t="shared" si="126"/>
        <v>200000</v>
      </c>
      <c r="L1183" s="9">
        <f>Table_1[[#This Row],[Unit Price]]*Table_1[[#This Row],[Quantity]]</f>
        <v>750000</v>
      </c>
      <c r="M1183" s="8">
        <f>Table_1[[#This Row],[Cost Price]]*Table_1[[#This Row],[Quantity]]</f>
        <v>600000</v>
      </c>
      <c r="N1183">
        <f>Table_1[[#This Row],[Revenue]]-Table_1[[#This Row],[COGS]]</f>
        <v>150000</v>
      </c>
      <c r="O1183" s="11">
        <f t="shared" si="127"/>
        <v>4656740000</v>
      </c>
      <c r="P1183">
        <f t="shared" si="128"/>
        <v>3725392000</v>
      </c>
      <c r="Q1183">
        <f t="shared" si="129"/>
        <v>931348000</v>
      </c>
      <c r="R1183" s="7">
        <f t="shared" si="130"/>
        <v>2098</v>
      </c>
      <c r="S1183" s="7">
        <f t="shared" si="131"/>
        <v>1</v>
      </c>
      <c r="T1183" s="7">
        <f t="shared" si="132"/>
        <v>2098</v>
      </c>
    </row>
    <row r="1184" spans="1:20" ht="14.25" customHeight="1" x14ac:dyDescent="0.35">
      <c r="A1184" s="2" t="s">
        <v>44</v>
      </c>
      <c r="B1184" s="2" t="s">
        <v>20</v>
      </c>
      <c r="C1184" s="2" t="s">
        <v>30</v>
      </c>
      <c r="D1184" s="2" t="s">
        <v>26</v>
      </c>
      <c r="E1184" s="2" t="s">
        <v>22</v>
      </c>
      <c r="F1184" s="2" t="s">
        <v>16</v>
      </c>
      <c r="G1184" s="2" t="s">
        <v>17</v>
      </c>
      <c r="H1184" s="2">
        <v>85000</v>
      </c>
      <c r="I1184" s="2">
        <v>8</v>
      </c>
      <c r="J1184" s="2" t="s">
        <v>32</v>
      </c>
      <c r="K1184" s="2">
        <f t="shared" si="126"/>
        <v>68000</v>
      </c>
      <c r="L1184" s="9">
        <f>Table_1[[#This Row],[Unit Price]]*Table_1[[#This Row],[Quantity]]</f>
        <v>680000</v>
      </c>
      <c r="M1184" s="8">
        <f>Table_1[[#This Row],[Cost Price]]*Table_1[[#This Row],[Quantity]]</f>
        <v>544000</v>
      </c>
      <c r="N1184">
        <f>Table_1[[#This Row],[Revenue]]-Table_1[[#This Row],[COGS]]</f>
        <v>136000</v>
      </c>
      <c r="O1184" s="11">
        <f t="shared" si="127"/>
        <v>4656740000</v>
      </c>
      <c r="P1184">
        <f t="shared" si="128"/>
        <v>3725392000</v>
      </c>
      <c r="Q1184">
        <f t="shared" si="129"/>
        <v>931348000</v>
      </c>
      <c r="R1184" s="7">
        <f t="shared" si="130"/>
        <v>2098</v>
      </c>
      <c r="S1184" s="7">
        <f t="shared" si="131"/>
        <v>3</v>
      </c>
      <c r="T1184" s="7">
        <f t="shared" si="132"/>
        <v>2098</v>
      </c>
    </row>
    <row r="1185" spans="1:20" ht="14.25" customHeight="1" x14ac:dyDescent="0.35">
      <c r="A1185" s="2" t="s">
        <v>137</v>
      </c>
      <c r="B1185" s="2" t="s">
        <v>29</v>
      </c>
      <c r="C1185" s="2" t="s">
        <v>13</v>
      </c>
      <c r="D1185" s="2" t="s">
        <v>26</v>
      </c>
      <c r="E1185" s="2" t="s">
        <v>15</v>
      </c>
      <c r="F1185" s="2" t="s">
        <v>31</v>
      </c>
      <c r="G1185" s="2" t="s">
        <v>24</v>
      </c>
      <c r="H1185" s="2">
        <v>60000</v>
      </c>
      <c r="I1185" s="2">
        <v>8</v>
      </c>
      <c r="J1185" s="2" t="s">
        <v>50</v>
      </c>
      <c r="K1185" s="2">
        <f t="shared" si="126"/>
        <v>48000</v>
      </c>
      <c r="L1185" s="9">
        <f>Table_1[[#This Row],[Unit Price]]*Table_1[[#This Row],[Quantity]]</f>
        <v>480000</v>
      </c>
      <c r="M1185" s="8">
        <f>Table_1[[#This Row],[Cost Price]]*Table_1[[#This Row],[Quantity]]</f>
        <v>384000</v>
      </c>
      <c r="N1185">
        <f>Table_1[[#This Row],[Revenue]]-Table_1[[#This Row],[COGS]]</f>
        <v>96000</v>
      </c>
      <c r="O1185" s="11">
        <f t="shared" si="127"/>
        <v>4656740000</v>
      </c>
      <c r="P1185">
        <f t="shared" si="128"/>
        <v>3725392000</v>
      </c>
      <c r="Q1185">
        <f t="shared" si="129"/>
        <v>931348000</v>
      </c>
      <c r="R1185" s="7">
        <f t="shared" si="130"/>
        <v>2098</v>
      </c>
      <c r="S1185" s="7">
        <f t="shared" si="131"/>
        <v>1</v>
      </c>
      <c r="T1185" s="7">
        <f t="shared" si="132"/>
        <v>2098</v>
      </c>
    </row>
    <row r="1186" spans="1:20" ht="14.25" customHeight="1" x14ac:dyDescent="0.35">
      <c r="A1186" s="2" t="s">
        <v>162</v>
      </c>
      <c r="B1186" s="2" t="s">
        <v>29</v>
      </c>
      <c r="C1186" s="2" t="s">
        <v>13</v>
      </c>
      <c r="D1186" s="2" t="s">
        <v>26</v>
      </c>
      <c r="E1186" s="2" t="s">
        <v>22</v>
      </c>
      <c r="F1186" s="2" t="s">
        <v>47</v>
      </c>
      <c r="G1186" s="2" t="s">
        <v>36</v>
      </c>
      <c r="H1186" s="2">
        <v>150000</v>
      </c>
      <c r="I1186" s="2">
        <v>5</v>
      </c>
      <c r="J1186" s="2" t="s">
        <v>18</v>
      </c>
      <c r="K1186" s="2">
        <f t="shared" si="126"/>
        <v>120000</v>
      </c>
      <c r="L1186" s="9">
        <f>Table_1[[#This Row],[Unit Price]]*Table_1[[#This Row],[Quantity]]</f>
        <v>750000</v>
      </c>
      <c r="M1186" s="8">
        <f>Table_1[[#This Row],[Cost Price]]*Table_1[[#This Row],[Quantity]]</f>
        <v>600000</v>
      </c>
      <c r="N1186">
        <f>Table_1[[#This Row],[Revenue]]-Table_1[[#This Row],[COGS]]</f>
        <v>150000</v>
      </c>
      <c r="O1186" s="11">
        <f t="shared" si="127"/>
        <v>4656740000</v>
      </c>
      <c r="P1186">
        <f t="shared" si="128"/>
        <v>3725392000</v>
      </c>
      <c r="Q1186">
        <f t="shared" si="129"/>
        <v>931348000</v>
      </c>
      <c r="R1186" s="7">
        <f t="shared" si="130"/>
        <v>2098</v>
      </c>
      <c r="S1186" s="7">
        <f t="shared" si="131"/>
        <v>3</v>
      </c>
      <c r="T1186" s="7">
        <f t="shared" si="132"/>
        <v>2098</v>
      </c>
    </row>
    <row r="1187" spans="1:20" ht="14.25" customHeight="1" x14ac:dyDescent="0.35">
      <c r="A1187" s="2" t="s">
        <v>89</v>
      </c>
      <c r="B1187" s="2" t="s">
        <v>34</v>
      </c>
      <c r="C1187" s="2" t="s">
        <v>13</v>
      </c>
      <c r="D1187" s="2" t="s">
        <v>26</v>
      </c>
      <c r="E1187" s="2" t="s">
        <v>15</v>
      </c>
      <c r="F1187" s="2" t="s">
        <v>41</v>
      </c>
      <c r="G1187" s="2" t="s">
        <v>17</v>
      </c>
      <c r="H1187" s="2">
        <v>320000</v>
      </c>
      <c r="I1187" s="2">
        <v>9</v>
      </c>
      <c r="J1187" s="2" t="s">
        <v>43</v>
      </c>
      <c r="K1187" s="2">
        <f t="shared" si="126"/>
        <v>256000</v>
      </c>
      <c r="L1187" s="9">
        <f>Table_1[[#This Row],[Unit Price]]*Table_1[[#This Row],[Quantity]]</f>
        <v>2880000</v>
      </c>
      <c r="M1187" s="8">
        <f>Table_1[[#This Row],[Cost Price]]*Table_1[[#This Row],[Quantity]]</f>
        <v>2304000</v>
      </c>
      <c r="N1187">
        <f>Table_1[[#This Row],[Revenue]]-Table_1[[#This Row],[COGS]]</f>
        <v>576000</v>
      </c>
      <c r="O1187" s="11">
        <f t="shared" si="127"/>
        <v>4656740000</v>
      </c>
      <c r="P1187">
        <f t="shared" si="128"/>
        <v>3725392000</v>
      </c>
      <c r="Q1187">
        <f t="shared" si="129"/>
        <v>931348000</v>
      </c>
      <c r="R1187" s="7">
        <f t="shared" si="130"/>
        <v>2098</v>
      </c>
      <c r="S1187" s="7">
        <f t="shared" si="131"/>
        <v>3</v>
      </c>
      <c r="T1187" s="7">
        <f t="shared" si="132"/>
        <v>2098</v>
      </c>
    </row>
    <row r="1188" spans="1:20" ht="14.25" customHeight="1" x14ac:dyDescent="0.35">
      <c r="A1188" s="2" t="s">
        <v>71</v>
      </c>
      <c r="B1188" s="2" t="s">
        <v>34</v>
      </c>
      <c r="C1188" s="2" t="s">
        <v>38</v>
      </c>
      <c r="D1188" s="2" t="s">
        <v>26</v>
      </c>
      <c r="E1188" s="2" t="s">
        <v>15</v>
      </c>
      <c r="F1188" s="2" t="s">
        <v>52</v>
      </c>
      <c r="G1188" s="2" t="s">
        <v>36</v>
      </c>
      <c r="H1188" s="2">
        <v>420000</v>
      </c>
      <c r="I1188" s="2">
        <v>7</v>
      </c>
      <c r="J1188" s="2" t="s">
        <v>18</v>
      </c>
      <c r="K1188" s="2">
        <f t="shared" si="126"/>
        <v>336000</v>
      </c>
      <c r="L1188" s="9">
        <f>Table_1[[#This Row],[Unit Price]]*Table_1[[#This Row],[Quantity]]</f>
        <v>2940000</v>
      </c>
      <c r="M1188" s="8">
        <f>Table_1[[#This Row],[Cost Price]]*Table_1[[#This Row],[Quantity]]</f>
        <v>2352000</v>
      </c>
      <c r="N1188">
        <f>Table_1[[#This Row],[Revenue]]-Table_1[[#This Row],[COGS]]</f>
        <v>588000</v>
      </c>
      <c r="O1188" s="11">
        <f t="shared" si="127"/>
        <v>4656740000</v>
      </c>
      <c r="P1188">
        <f t="shared" si="128"/>
        <v>3725392000</v>
      </c>
      <c r="Q1188">
        <f t="shared" si="129"/>
        <v>931348000</v>
      </c>
      <c r="R1188" s="7">
        <f t="shared" si="130"/>
        <v>2098</v>
      </c>
      <c r="S1188" s="7">
        <f t="shared" si="131"/>
        <v>2</v>
      </c>
      <c r="T1188" s="7">
        <f t="shared" si="132"/>
        <v>2098</v>
      </c>
    </row>
    <row r="1189" spans="1:20" ht="14.25" customHeight="1" x14ac:dyDescent="0.35">
      <c r="A1189" s="2" t="s">
        <v>91</v>
      </c>
      <c r="B1189" s="2" t="s">
        <v>29</v>
      </c>
      <c r="C1189" s="2" t="s">
        <v>30</v>
      </c>
      <c r="D1189" s="2" t="s">
        <v>26</v>
      </c>
      <c r="E1189" s="2" t="s">
        <v>22</v>
      </c>
      <c r="F1189" s="2" t="s">
        <v>31</v>
      </c>
      <c r="G1189" s="2" t="s">
        <v>24</v>
      </c>
      <c r="H1189" s="2">
        <v>60000</v>
      </c>
      <c r="I1189" s="2">
        <v>6</v>
      </c>
      <c r="J1189" s="2" t="s">
        <v>50</v>
      </c>
      <c r="K1189" s="2">
        <f t="shared" si="126"/>
        <v>48000</v>
      </c>
      <c r="L1189" s="9">
        <f>Table_1[[#This Row],[Unit Price]]*Table_1[[#This Row],[Quantity]]</f>
        <v>360000</v>
      </c>
      <c r="M1189" s="8">
        <f>Table_1[[#This Row],[Cost Price]]*Table_1[[#This Row],[Quantity]]</f>
        <v>288000</v>
      </c>
      <c r="N1189">
        <f>Table_1[[#This Row],[Revenue]]-Table_1[[#This Row],[COGS]]</f>
        <v>72000</v>
      </c>
      <c r="O1189" s="11">
        <f t="shared" si="127"/>
        <v>4656740000</v>
      </c>
      <c r="P1189">
        <f t="shared" si="128"/>
        <v>3725392000</v>
      </c>
      <c r="Q1189">
        <f t="shared" si="129"/>
        <v>931348000</v>
      </c>
      <c r="R1189" s="7">
        <f t="shared" si="130"/>
        <v>2098</v>
      </c>
      <c r="S1189" s="7">
        <f t="shared" si="131"/>
        <v>4</v>
      </c>
      <c r="T1189" s="7">
        <f t="shared" si="132"/>
        <v>2098</v>
      </c>
    </row>
    <row r="1190" spans="1:20" ht="14.25" customHeight="1" x14ac:dyDescent="0.35">
      <c r="A1190" s="2" t="s">
        <v>156</v>
      </c>
      <c r="B1190" s="2" t="s">
        <v>34</v>
      </c>
      <c r="C1190" s="2" t="s">
        <v>13</v>
      </c>
      <c r="D1190" s="2" t="s">
        <v>14</v>
      </c>
      <c r="E1190" s="2" t="s">
        <v>22</v>
      </c>
      <c r="F1190" s="2" t="s">
        <v>47</v>
      </c>
      <c r="G1190" s="2" t="s">
        <v>36</v>
      </c>
      <c r="H1190" s="2">
        <v>150000</v>
      </c>
      <c r="I1190" s="2">
        <v>7</v>
      </c>
      <c r="J1190" s="2" t="s">
        <v>54</v>
      </c>
      <c r="K1190" s="2">
        <f t="shared" si="126"/>
        <v>120000</v>
      </c>
      <c r="L1190" s="9">
        <f>Table_1[[#This Row],[Unit Price]]*Table_1[[#This Row],[Quantity]]</f>
        <v>1050000</v>
      </c>
      <c r="M1190" s="8">
        <f>Table_1[[#This Row],[Cost Price]]*Table_1[[#This Row],[Quantity]]</f>
        <v>840000</v>
      </c>
      <c r="N1190">
        <f>Table_1[[#This Row],[Revenue]]-Table_1[[#This Row],[COGS]]</f>
        <v>210000</v>
      </c>
      <c r="O1190" s="11">
        <f t="shared" si="127"/>
        <v>4656740000</v>
      </c>
      <c r="P1190">
        <f t="shared" si="128"/>
        <v>3725392000</v>
      </c>
      <c r="Q1190">
        <f t="shared" si="129"/>
        <v>931348000</v>
      </c>
      <c r="R1190" s="7">
        <f t="shared" si="130"/>
        <v>2098</v>
      </c>
      <c r="S1190" s="7">
        <f t="shared" si="131"/>
        <v>3</v>
      </c>
      <c r="T1190" s="7">
        <f t="shared" si="132"/>
        <v>2098</v>
      </c>
    </row>
    <row r="1191" spans="1:20" ht="14.25" customHeight="1" x14ac:dyDescent="0.35">
      <c r="A1191" s="2" t="s">
        <v>51</v>
      </c>
      <c r="B1191" s="2" t="s">
        <v>20</v>
      </c>
      <c r="C1191" s="2" t="s">
        <v>30</v>
      </c>
      <c r="D1191" s="2" t="s">
        <v>14</v>
      </c>
      <c r="E1191" s="2" t="s">
        <v>22</v>
      </c>
      <c r="F1191" s="2" t="s">
        <v>41</v>
      </c>
      <c r="G1191" s="2" t="s">
        <v>17</v>
      </c>
      <c r="H1191" s="2">
        <v>320000</v>
      </c>
      <c r="I1191" s="2">
        <v>10</v>
      </c>
      <c r="J1191" s="2" t="s">
        <v>32</v>
      </c>
      <c r="K1191" s="2">
        <f t="shared" si="126"/>
        <v>256000</v>
      </c>
      <c r="L1191" s="9">
        <f>Table_1[[#This Row],[Unit Price]]*Table_1[[#This Row],[Quantity]]</f>
        <v>3200000</v>
      </c>
      <c r="M1191" s="8">
        <f>Table_1[[#This Row],[Cost Price]]*Table_1[[#This Row],[Quantity]]</f>
        <v>2560000</v>
      </c>
      <c r="N1191">
        <f>Table_1[[#This Row],[Revenue]]-Table_1[[#This Row],[COGS]]</f>
        <v>640000</v>
      </c>
      <c r="O1191" s="11">
        <f t="shared" si="127"/>
        <v>4656740000</v>
      </c>
      <c r="P1191">
        <f t="shared" si="128"/>
        <v>3725392000</v>
      </c>
      <c r="Q1191">
        <f t="shared" si="129"/>
        <v>931348000</v>
      </c>
      <c r="R1191" s="7">
        <f t="shared" si="130"/>
        <v>2098</v>
      </c>
      <c r="S1191" s="7">
        <f t="shared" si="131"/>
        <v>3</v>
      </c>
      <c r="T1191" s="7">
        <f t="shared" si="132"/>
        <v>2098</v>
      </c>
    </row>
    <row r="1192" spans="1:20" ht="14.25" customHeight="1" x14ac:dyDescent="0.35">
      <c r="A1192" s="2" t="s">
        <v>81</v>
      </c>
      <c r="B1192" s="2" t="s">
        <v>20</v>
      </c>
      <c r="C1192" s="2" t="s">
        <v>13</v>
      </c>
      <c r="D1192" s="2" t="s">
        <v>26</v>
      </c>
      <c r="E1192" s="2" t="s">
        <v>15</v>
      </c>
      <c r="F1192" s="2" t="s">
        <v>35</v>
      </c>
      <c r="G1192" s="2" t="s">
        <v>36</v>
      </c>
      <c r="H1192" s="2">
        <v>300000</v>
      </c>
      <c r="I1192" s="2">
        <v>8</v>
      </c>
      <c r="J1192" s="2" t="s">
        <v>27</v>
      </c>
      <c r="K1192" s="2">
        <f t="shared" si="126"/>
        <v>240000</v>
      </c>
      <c r="L1192" s="9">
        <f>Table_1[[#This Row],[Unit Price]]*Table_1[[#This Row],[Quantity]]</f>
        <v>2400000</v>
      </c>
      <c r="M1192" s="8">
        <f>Table_1[[#This Row],[Cost Price]]*Table_1[[#This Row],[Quantity]]</f>
        <v>1920000</v>
      </c>
      <c r="N1192">
        <f>Table_1[[#This Row],[Revenue]]-Table_1[[#This Row],[COGS]]</f>
        <v>480000</v>
      </c>
      <c r="O1192" s="11">
        <f t="shared" si="127"/>
        <v>4656740000</v>
      </c>
      <c r="P1192">
        <f t="shared" si="128"/>
        <v>3725392000</v>
      </c>
      <c r="Q1192">
        <f t="shared" si="129"/>
        <v>931348000</v>
      </c>
      <c r="R1192" s="7">
        <f t="shared" si="130"/>
        <v>2098</v>
      </c>
      <c r="S1192" s="7">
        <f t="shared" si="131"/>
        <v>3</v>
      </c>
      <c r="T1192" s="7">
        <f t="shared" si="132"/>
        <v>2098</v>
      </c>
    </row>
    <row r="1193" spans="1:20" ht="14.25" customHeight="1" x14ac:dyDescent="0.35">
      <c r="A1193" s="2" t="s">
        <v>102</v>
      </c>
      <c r="B1193" s="2" t="s">
        <v>12</v>
      </c>
      <c r="C1193" s="2" t="s">
        <v>13</v>
      </c>
      <c r="D1193" s="2" t="s">
        <v>14</v>
      </c>
      <c r="E1193" s="2" t="s">
        <v>15</v>
      </c>
      <c r="F1193" s="2" t="s">
        <v>52</v>
      </c>
      <c r="G1193" s="2" t="s">
        <v>36</v>
      </c>
      <c r="H1193" s="2">
        <v>420000</v>
      </c>
      <c r="I1193" s="2">
        <v>5</v>
      </c>
      <c r="J1193" s="2" t="s">
        <v>43</v>
      </c>
      <c r="K1193" s="2">
        <f t="shared" si="126"/>
        <v>336000</v>
      </c>
      <c r="L1193" s="9">
        <f>Table_1[[#This Row],[Unit Price]]*Table_1[[#This Row],[Quantity]]</f>
        <v>2100000</v>
      </c>
      <c r="M1193" s="8">
        <f>Table_1[[#This Row],[Cost Price]]*Table_1[[#This Row],[Quantity]]</f>
        <v>1680000</v>
      </c>
      <c r="N1193">
        <f>Table_1[[#This Row],[Revenue]]-Table_1[[#This Row],[COGS]]</f>
        <v>420000</v>
      </c>
      <c r="O1193" s="11">
        <f t="shared" si="127"/>
        <v>4656740000</v>
      </c>
      <c r="P1193">
        <f t="shared" si="128"/>
        <v>3725392000</v>
      </c>
      <c r="Q1193">
        <f t="shared" si="129"/>
        <v>931348000</v>
      </c>
      <c r="R1193" s="7">
        <f t="shared" si="130"/>
        <v>2098</v>
      </c>
      <c r="S1193" s="7">
        <f t="shared" si="131"/>
        <v>1</v>
      </c>
      <c r="T1193" s="7">
        <f t="shared" si="132"/>
        <v>2098</v>
      </c>
    </row>
    <row r="1194" spans="1:20" ht="14.25" customHeight="1" x14ac:dyDescent="0.35">
      <c r="A1194" s="2" t="s">
        <v>49</v>
      </c>
      <c r="B1194" s="2" t="s">
        <v>20</v>
      </c>
      <c r="C1194" s="2" t="s">
        <v>30</v>
      </c>
      <c r="D1194" s="2" t="s">
        <v>14</v>
      </c>
      <c r="E1194" s="2" t="s">
        <v>22</v>
      </c>
      <c r="F1194" s="2" t="s">
        <v>58</v>
      </c>
      <c r="G1194" s="2" t="s">
        <v>24</v>
      </c>
      <c r="H1194" s="2">
        <v>220000</v>
      </c>
      <c r="I1194" s="2">
        <v>5</v>
      </c>
      <c r="J1194" s="2" t="s">
        <v>18</v>
      </c>
      <c r="K1194" s="2">
        <f t="shared" si="126"/>
        <v>176000</v>
      </c>
      <c r="L1194" s="9">
        <f>Table_1[[#This Row],[Unit Price]]*Table_1[[#This Row],[Quantity]]</f>
        <v>1100000</v>
      </c>
      <c r="M1194" s="8">
        <f>Table_1[[#This Row],[Cost Price]]*Table_1[[#This Row],[Quantity]]</f>
        <v>880000</v>
      </c>
      <c r="N1194">
        <f>Table_1[[#This Row],[Revenue]]-Table_1[[#This Row],[COGS]]</f>
        <v>220000</v>
      </c>
      <c r="O1194" s="11">
        <f t="shared" si="127"/>
        <v>4656740000</v>
      </c>
      <c r="P1194">
        <f t="shared" si="128"/>
        <v>3725392000</v>
      </c>
      <c r="Q1194">
        <f t="shared" si="129"/>
        <v>931348000</v>
      </c>
      <c r="R1194" s="7">
        <f t="shared" si="130"/>
        <v>2098</v>
      </c>
      <c r="S1194" s="7">
        <f t="shared" si="131"/>
        <v>4</v>
      </c>
      <c r="T1194" s="7">
        <f t="shared" si="132"/>
        <v>2098</v>
      </c>
    </row>
    <row r="1195" spans="1:20" ht="14.25" customHeight="1" x14ac:dyDescent="0.35">
      <c r="A1195" s="2" t="s">
        <v>84</v>
      </c>
      <c r="B1195" s="2" t="s">
        <v>12</v>
      </c>
      <c r="C1195" s="2" t="s">
        <v>13</v>
      </c>
      <c r="D1195" s="2" t="s">
        <v>26</v>
      </c>
      <c r="E1195" s="2" t="s">
        <v>22</v>
      </c>
      <c r="F1195" s="2" t="s">
        <v>41</v>
      </c>
      <c r="G1195" s="2" t="s">
        <v>17</v>
      </c>
      <c r="H1195" s="2">
        <v>320000</v>
      </c>
      <c r="I1195" s="2">
        <v>3</v>
      </c>
      <c r="J1195" s="2" t="s">
        <v>27</v>
      </c>
      <c r="K1195" s="2">
        <f t="shared" si="126"/>
        <v>256000</v>
      </c>
      <c r="L1195" s="9">
        <f>Table_1[[#This Row],[Unit Price]]*Table_1[[#This Row],[Quantity]]</f>
        <v>960000</v>
      </c>
      <c r="M1195" s="8">
        <f>Table_1[[#This Row],[Cost Price]]*Table_1[[#This Row],[Quantity]]</f>
        <v>768000</v>
      </c>
      <c r="N1195">
        <f>Table_1[[#This Row],[Revenue]]-Table_1[[#This Row],[COGS]]</f>
        <v>192000</v>
      </c>
      <c r="O1195" s="11">
        <f t="shared" si="127"/>
        <v>4656740000</v>
      </c>
      <c r="P1195">
        <f t="shared" si="128"/>
        <v>3725392000</v>
      </c>
      <c r="Q1195">
        <f t="shared" si="129"/>
        <v>931348000</v>
      </c>
      <c r="R1195" s="7">
        <f t="shared" si="130"/>
        <v>2098</v>
      </c>
      <c r="S1195" s="7">
        <f t="shared" si="131"/>
        <v>4</v>
      </c>
      <c r="T1195" s="7">
        <f t="shared" si="132"/>
        <v>2098</v>
      </c>
    </row>
    <row r="1196" spans="1:20" ht="14.25" customHeight="1" x14ac:dyDescent="0.35">
      <c r="A1196" s="2" t="s">
        <v>91</v>
      </c>
      <c r="B1196" s="2" t="s">
        <v>20</v>
      </c>
      <c r="C1196" s="2" t="s">
        <v>13</v>
      </c>
      <c r="D1196" s="2" t="s">
        <v>14</v>
      </c>
      <c r="E1196" s="2" t="s">
        <v>15</v>
      </c>
      <c r="F1196" s="2" t="s">
        <v>39</v>
      </c>
      <c r="G1196" s="2" t="s">
        <v>24</v>
      </c>
      <c r="H1196" s="2">
        <v>180000</v>
      </c>
      <c r="I1196" s="2">
        <v>9</v>
      </c>
      <c r="J1196" s="2" t="s">
        <v>54</v>
      </c>
      <c r="K1196" s="2">
        <f t="shared" si="126"/>
        <v>144000</v>
      </c>
      <c r="L1196" s="9">
        <f>Table_1[[#This Row],[Unit Price]]*Table_1[[#This Row],[Quantity]]</f>
        <v>1620000</v>
      </c>
      <c r="M1196" s="8">
        <f>Table_1[[#This Row],[Cost Price]]*Table_1[[#This Row],[Quantity]]</f>
        <v>1296000</v>
      </c>
      <c r="N1196">
        <f>Table_1[[#This Row],[Revenue]]-Table_1[[#This Row],[COGS]]</f>
        <v>324000</v>
      </c>
      <c r="O1196" s="11">
        <f t="shared" si="127"/>
        <v>4656740000</v>
      </c>
      <c r="P1196">
        <f t="shared" si="128"/>
        <v>3725392000</v>
      </c>
      <c r="Q1196">
        <f t="shared" si="129"/>
        <v>931348000</v>
      </c>
      <c r="R1196" s="7">
        <f t="shared" si="130"/>
        <v>2098</v>
      </c>
      <c r="S1196" s="7">
        <f t="shared" si="131"/>
        <v>4</v>
      </c>
      <c r="T1196" s="7">
        <f t="shared" si="132"/>
        <v>2098</v>
      </c>
    </row>
    <row r="1197" spans="1:20" ht="14.25" customHeight="1" x14ac:dyDescent="0.35">
      <c r="A1197" s="2" t="s">
        <v>66</v>
      </c>
      <c r="B1197" s="2" t="s">
        <v>34</v>
      </c>
      <c r="C1197" s="2" t="s">
        <v>13</v>
      </c>
      <c r="D1197" s="2" t="s">
        <v>14</v>
      </c>
      <c r="E1197" s="2" t="s">
        <v>15</v>
      </c>
      <c r="F1197" s="2" t="s">
        <v>35</v>
      </c>
      <c r="G1197" s="2" t="s">
        <v>36</v>
      </c>
      <c r="H1197" s="2">
        <v>300000</v>
      </c>
      <c r="I1197" s="2">
        <v>1</v>
      </c>
      <c r="J1197" s="2" t="s">
        <v>54</v>
      </c>
      <c r="K1197" s="2">
        <f t="shared" si="126"/>
        <v>240000</v>
      </c>
      <c r="L1197" s="9">
        <f>Table_1[[#This Row],[Unit Price]]*Table_1[[#This Row],[Quantity]]</f>
        <v>300000</v>
      </c>
      <c r="M1197" s="8">
        <f>Table_1[[#This Row],[Cost Price]]*Table_1[[#This Row],[Quantity]]</f>
        <v>240000</v>
      </c>
      <c r="N1197">
        <f>Table_1[[#This Row],[Revenue]]-Table_1[[#This Row],[COGS]]</f>
        <v>60000</v>
      </c>
      <c r="O1197" s="11">
        <f t="shared" si="127"/>
        <v>4656740000</v>
      </c>
      <c r="P1197">
        <f t="shared" si="128"/>
        <v>3725392000</v>
      </c>
      <c r="Q1197">
        <f t="shared" si="129"/>
        <v>931348000</v>
      </c>
      <c r="R1197" s="7">
        <f t="shared" si="130"/>
        <v>2098</v>
      </c>
      <c r="S1197" s="7">
        <f t="shared" si="131"/>
        <v>3</v>
      </c>
      <c r="T1197" s="7">
        <f t="shared" si="132"/>
        <v>2098</v>
      </c>
    </row>
    <row r="1198" spans="1:20" ht="14.25" customHeight="1" x14ac:dyDescent="0.35">
      <c r="A1198" s="2" t="s">
        <v>128</v>
      </c>
      <c r="B1198" s="2" t="s">
        <v>34</v>
      </c>
      <c r="C1198" s="2" t="s">
        <v>30</v>
      </c>
      <c r="D1198" s="2" t="s">
        <v>14</v>
      </c>
      <c r="E1198" s="2" t="s">
        <v>22</v>
      </c>
      <c r="F1198" s="2" t="s">
        <v>58</v>
      </c>
      <c r="G1198" s="2" t="s">
        <v>24</v>
      </c>
      <c r="H1198" s="2">
        <v>220000</v>
      </c>
      <c r="I1198" s="2">
        <v>7</v>
      </c>
      <c r="J1198" s="2" t="s">
        <v>54</v>
      </c>
      <c r="K1198" s="2">
        <f t="shared" si="126"/>
        <v>176000</v>
      </c>
      <c r="L1198" s="9">
        <f>Table_1[[#This Row],[Unit Price]]*Table_1[[#This Row],[Quantity]]</f>
        <v>1540000</v>
      </c>
      <c r="M1198" s="8">
        <f>Table_1[[#This Row],[Cost Price]]*Table_1[[#This Row],[Quantity]]</f>
        <v>1232000</v>
      </c>
      <c r="N1198">
        <f>Table_1[[#This Row],[Revenue]]-Table_1[[#This Row],[COGS]]</f>
        <v>308000</v>
      </c>
      <c r="O1198" s="11">
        <f t="shared" si="127"/>
        <v>4656740000</v>
      </c>
      <c r="P1198">
        <f t="shared" si="128"/>
        <v>3725392000</v>
      </c>
      <c r="Q1198">
        <f t="shared" si="129"/>
        <v>931348000</v>
      </c>
      <c r="R1198" s="7">
        <f t="shared" si="130"/>
        <v>2098</v>
      </c>
      <c r="S1198" s="7">
        <f t="shared" si="131"/>
        <v>4</v>
      </c>
      <c r="T1198" s="7">
        <f t="shared" si="132"/>
        <v>2098</v>
      </c>
    </row>
    <row r="1199" spans="1:20" ht="14.25" customHeight="1" x14ac:dyDescent="0.35">
      <c r="A1199" s="2" t="s">
        <v>149</v>
      </c>
      <c r="B1199" s="2" t="s">
        <v>20</v>
      </c>
      <c r="C1199" s="2" t="s">
        <v>21</v>
      </c>
      <c r="D1199" s="2" t="s">
        <v>26</v>
      </c>
      <c r="E1199" s="2" t="s">
        <v>22</v>
      </c>
      <c r="F1199" s="2" t="s">
        <v>16</v>
      </c>
      <c r="G1199" s="2" t="s">
        <v>17</v>
      </c>
      <c r="H1199" s="2">
        <v>85000</v>
      </c>
      <c r="I1199" s="2">
        <v>9</v>
      </c>
      <c r="J1199" s="2" t="s">
        <v>27</v>
      </c>
      <c r="K1199" s="2">
        <f t="shared" si="126"/>
        <v>68000</v>
      </c>
      <c r="L1199" s="9">
        <f>Table_1[[#This Row],[Unit Price]]*Table_1[[#This Row],[Quantity]]</f>
        <v>765000</v>
      </c>
      <c r="M1199" s="8">
        <f>Table_1[[#This Row],[Cost Price]]*Table_1[[#This Row],[Quantity]]</f>
        <v>612000</v>
      </c>
      <c r="N1199">
        <f>Table_1[[#This Row],[Revenue]]-Table_1[[#This Row],[COGS]]</f>
        <v>153000</v>
      </c>
      <c r="O1199" s="11">
        <f t="shared" si="127"/>
        <v>4656740000</v>
      </c>
      <c r="P1199">
        <f t="shared" si="128"/>
        <v>3725392000</v>
      </c>
      <c r="Q1199">
        <f t="shared" si="129"/>
        <v>931348000</v>
      </c>
      <c r="R1199" s="7">
        <f t="shared" si="130"/>
        <v>2098</v>
      </c>
      <c r="S1199" s="7">
        <f t="shared" si="131"/>
        <v>3</v>
      </c>
      <c r="T1199" s="7">
        <f t="shared" si="132"/>
        <v>2098</v>
      </c>
    </row>
    <row r="1200" spans="1:20" ht="14.25" customHeight="1" x14ac:dyDescent="0.35">
      <c r="A1200" s="2" t="s">
        <v>129</v>
      </c>
      <c r="B1200" s="2" t="s">
        <v>20</v>
      </c>
      <c r="C1200" s="2" t="s">
        <v>21</v>
      </c>
      <c r="D1200" s="2" t="s">
        <v>14</v>
      </c>
      <c r="E1200" s="2" t="s">
        <v>15</v>
      </c>
      <c r="F1200" s="2" t="s">
        <v>16</v>
      </c>
      <c r="G1200" s="2" t="s">
        <v>17</v>
      </c>
      <c r="H1200" s="2">
        <v>85000</v>
      </c>
      <c r="I1200" s="2">
        <v>4</v>
      </c>
      <c r="J1200" s="2" t="s">
        <v>32</v>
      </c>
      <c r="K1200" s="2">
        <f t="shared" si="126"/>
        <v>68000</v>
      </c>
      <c r="L1200" s="9">
        <f>Table_1[[#This Row],[Unit Price]]*Table_1[[#This Row],[Quantity]]</f>
        <v>340000</v>
      </c>
      <c r="M1200" s="8">
        <f>Table_1[[#This Row],[Cost Price]]*Table_1[[#This Row],[Quantity]]</f>
        <v>272000</v>
      </c>
      <c r="N1200">
        <f>Table_1[[#This Row],[Revenue]]-Table_1[[#This Row],[COGS]]</f>
        <v>68000</v>
      </c>
      <c r="O1200" s="11">
        <f t="shared" si="127"/>
        <v>4656740000</v>
      </c>
      <c r="P1200">
        <f t="shared" si="128"/>
        <v>3725392000</v>
      </c>
      <c r="Q1200">
        <f t="shared" si="129"/>
        <v>931348000</v>
      </c>
      <c r="R1200" s="7">
        <f t="shared" si="130"/>
        <v>2098</v>
      </c>
      <c r="S1200" s="7">
        <f t="shared" si="131"/>
        <v>2</v>
      </c>
      <c r="T1200" s="7">
        <f t="shared" si="132"/>
        <v>2098</v>
      </c>
    </row>
    <row r="1201" spans="1:20" ht="14.25" customHeight="1" x14ac:dyDescent="0.35">
      <c r="A1201" s="2" t="s">
        <v>66</v>
      </c>
      <c r="B1201" s="2" t="s">
        <v>20</v>
      </c>
      <c r="C1201" s="2" t="s">
        <v>38</v>
      </c>
      <c r="D1201" s="2" t="s">
        <v>14</v>
      </c>
      <c r="E1201" s="2" t="s">
        <v>22</v>
      </c>
      <c r="F1201" s="2" t="s">
        <v>31</v>
      </c>
      <c r="G1201" s="2" t="s">
        <v>24</v>
      </c>
      <c r="H1201" s="2">
        <v>60000</v>
      </c>
      <c r="I1201" s="2">
        <v>8</v>
      </c>
      <c r="J1201" s="2" t="s">
        <v>32</v>
      </c>
      <c r="K1201" s="2">
        <f t="shared" si="126"/>
        <v>48000</v>
      </c>
      <c r="L1201" s="9">
        <f>Table_1[[#This Row],[Unit Price]]*Table_1[[#This Row],[Quantity]]</f>
        <v>480000</v>
      </c>
      <c r="M1201" s="8">
        <f>Table_1[[#This Row],[Cost Price]]*Table_1[[#This Row],[Quantity]]</f>
        <v>384000</v>
      </c>
      <c r="N1201">
        <f>Table_1[[#This Row],[Revenue]]-Table_1[[#This Row],[COGS]]</f>
        <v>96000</v>
      </c>
      <c r="O1201" s="11">
        <f t="shared" si="127"/>
        <v>4656740000</v>
      </c>
      <c r="P1201">
        <f t="shared" si="128"/>
        <v>3725392000</v>
      </c>
      <c r="Q1201">
        <f t="shared" si="129"/>
        <v>931348000</v>
      </c>
      <c r="R1201" s="7">
        <f t="shared" si="130"/>
        <v>2098</v>
      </c>
      <c r="S1201" s="7">
        <f t="shared" si="131"/>
        <v>3</v>
      </c>
      <c r="T1201" s="7">
        <f t="shared" si="132"/>
        <v>2098</v>
      </c>
    </row>
    <row r="1202" spans="1:20" ht="14.25" customHeight="1" x14ac:dyDescent="0.35">
      <c r="A1202" s="2" t="s">
        <v>46</v>
      </c>
      <c r="B1202" s="2" t="s">
        <v>29</v>
      </c>
      <c r="C1202" s="2" t="s">
        <v>21</v>
      </c>
      <c r="D1202" s="2" t="s">
        <v>26</v>
      </c>
      <c r="E1202" s="2" t="s">
        <v>22</v>
      </c>
      <c r="F1202" s="2" t="s">
        <v>47</v>
      </c>
      <c r="G1202" s="2" t="s">
        <v>36</v>
      </c>
      <c r="H1202" s="2">
        <v>150000</v>
      </c>
      <c r="I1202" s="2">
        <v>6</v>
      </c>
      <c r="J1202" s="2" t="s">
        <v>43</v>
      </c>
      <c r="K1202" s="2">
        <f t="shared" si="126"/>
        <v>120000</v>
      </c>
      <c r="L1202" s="9">
        <f>Table_1[[#This Row],[Unit Price]]*Table_1[[#This Row],[Quantity]]</f>
        <v>900000</v>
      </c>
      <c r="M1202" s="8">
        <f>Table_1[[#This Row],[Cost Price]]*Table_1[[#This Row],[Quantity]]</f>
        <v>720000</v>
      </c>
      <c r="N1202">
        <f>Table_1[[#This Row],[Revenue]]-Table_1[[#This Row],[COGS]]</f>
        <v>180000</v>
      </c>
      <c r="O1202" s="11">
        <f t="shared" si="127"/>
        <v>4656740000</v>
      </c>
      <c r="P1202">
        <f t="shared" si="128"/>
        <v>3725392000</v>
      </c>
      <c r="Q1202">
        <f t="shared" si="129"/>
        <v>931348000</v>
      </c>
      <c r="R1202" s="7">
        <f t="shared" si="130"/>
        <v>2098</v>
      </c>
      <c r="S1202" s="7">
        <f t="shared" si="131"/>
        <v>1</v>
      </c>
      <c r="T1202" s="7">
        <f t="shared" si="132"/>
        <v>2098</v>
      </c>
    </row>
    <row r="1203" spans="1:20" ht="14.25" customHeight="1" x14ac:dyDescent="0.35">
      <c r="A1203" s="2" t="s">
        <v>122</v>
      </c>
      <c r="B1203" s="2" t="s">
        <v>20</v>
      </c>
      <c r="C1203" s="2" t="s">
        <v>30</v>
      </c>
      <c r="D1203" s="2" t="s">
        <v>26</v>
      </c>
      <c r="E1203" s="2" t="s">
        <v>15</v>
      </c>
      <c r="F1203" s="2" t="s">
        <v>16</v>
      </c>
      <c r="G1203" s="2" t="s">
        <v>17</v>
      </c>
      <c r="H1203" s="2">
        <v>85000</v>
      </c>
      <c r="I1203" s="2">
        <v>10</v>
      </c>
      <c r="J1203" s="2" t="s">
        <v>32</v>
      </c>
      <c r="K1203" s="2">
        <f t="shared" si="126"/>
        <v>68000</v>
      </c>
      <c r="L1203" s="9">
        <f>Table_1[[#This Row],[Unit Price]]*Table_1[[#This Row],[Quantity]]</f>
        <v>850000</v>
      </c>
      <c r="M1203" s="8">
        <f>Table_1[[#This Row],[Cost Price]]*Table_1[[#This Row],[Quantity]]</f>
        <v>680000</v>
      </c>
      <c r="N1203">
        <f>Table_1[[#This Row],[Revenue]]-Table_1[[#This Row],[COGS]]</f>
        <v>170000</v>
      </c>
      <c r="O1203" s="11">
        <f t="shared" si="127"/>
        <v>4656740000</v>
      </c>
      <c r="P1203">
        <f t="shared" si="128"/>
        <v>3725392000</v>
      </c>
      <c r="Q1203">
        <f t="shared" si="129"/>
        <v>931348000</v>
      </c>
      <c r="R1203" s="7">
        <f t="shared" si="130"/>
        <v>2098</v>
      </c>
      <c r="S1203" s="7">
        <f t="shared" si="131"/>
        <v>4</v>
      </c>
      <c r="T1203" s="7">
        <f t="shared" si="132"/>
        <v>2098</v>
      </c>
    </row>
    <row r="1204" spans="1:20" ht="14.25" customHeight="1" x14ac:dyDescent="0.35">
      <c r="A1204" s="2" t="s">
        <v>134</v>
      </c>
      <c r="B1204" s="2" t="s">
        <v>12</v>
      </c>
      <c r="C1204" s="2" t="s">
        <v>21</v>
      </c>
      <c r="D1204" s="2" t="s">
        <v>26</v>
      </c>
      <c r="E1204" s="2" t="s">
        <v>22</v>
      </c>
      <c r="F1204" s="2" t="s">
        <v>16</v>
      </c>
      <c r="G1204" s="2" t="s">
        <v>17</v>
      </c>
      <c r="H1204" s="2">
        <v>85000</v>
      </c>
      <c r="I1204" s="2">
        <v>3</v>
      </c>
      <c r="J1204" s="2" t="s">
        <v>54</v>
      </c>
      <c r="K1204" s="2">
        <f t="shared" si="126"/>
        <v>68000</v>
      </c>
      <c r="L1204" s="9">
        <f>Table_1[[#This Row],[Unit Price]]*Table_1[[#This Row],[Quantity]]</f>
        <v>255000</v>
      </c>
      <c r="M1204" s="8">
        <f>Table_1[[#This Row],[Cost Price]]*Table_1[[#This Row],[Quantity]]</f>
        <v>204000</v>
      </c>
      <c r="N1204">
        <f>Table_1[[#This Row],[Revenue]]-Table_1[[#This Row],[COGS]]</f>
        <v>51000</v>
      </c>
      <c r="O1204" s="11">
        <f t="shared" si="127"/>
        <v>4656740000</v>
      </c>
      <c r="P1204">
        <f t="shared" si="128"/>
        <v>3725392000</v>
      </c>
      <c r="Q1204">
        <f t="shared" si="129"/>
        <v>931348000</v>
      </c>
      <c r="R1204" s="7">
        <f t="shared" si="130"/>
        <v>2098</v>
      </c>
      <c r="S1204" s="7">
        <f t="shared" si="131"/>
        <v>4</v>
      </c>
      <c r="T1204" s="7">
        <f t="shared" si="132"/>
        <v>2098</v>
      </c>
    </row>
    <row r="1205" spans="1:20" ht="14.25" customHeight="1" x14ac:dyDescent="0.35">
      <c r="A1205" s="2" t="s">
        <v>45</v>
      </c>
      <c r="B1205" s="2" t="s">
        <v>12</v>
      </c>
      <c r="C1205" s="2" t="s">
        <v>30</v>
      </c>
      <c r="D1205" s="2" t="s">
        <v>26</v>
      </c>
      <c r="E1205" s="2" t="s">
        <v>15</v>
      </c>
      <c r="F1205" s="2" t="s">
        <v>35</v>
      </c>
      <c r="G1205" s="2" t="s">
        <v>36</v>
      </c>
      <c r="H1205" s="2">
        <v>300000</v>
      </c>
      <c r="I1205" s="2">
        <v>8</v>
      </c>
      <c r="J1205" s="2" t="s">
        <v>43</v>
      </c>
      <c r="K1205" s="2">
        <f t="shared" si="126"/>
        <v>240000</v>
      </c>
      <c r="L1205" s="9">
        <f>Table_1[[#This Row],[Unit Price]]*Table_1[[#This Row],[Quantity]]</f>
        <v>2400000</v>
      </c>
      <c r="M1205" s="8">
        <f>Table_1[[#This Row],[Cost Price]]*Table_1[[#This Row],[Quantity]]</f>
        <v>1920000</v>
      </c>
      <c r="N1205">
        <f>Table_1[[#This Row],[Revenue]]-Table_1[[#This Row],[COGS]]</f>
        <v>480000</v>
      </c>
      <c r="O1205" s="11">
        <f t="shared" si="127"/>
        <v>4656740000</v>
      </c>
      <c r="P1205">
        <f t="shared" si="128"/>
        <v>3725392000</v>
      </c>
      <c r="Q1205">
        <f t="shared" si="129"/>
        <v>931348000</v>
      </c>
      <c r="R1205" s="7">
        <f t="shared" si="130"/>
        <v>2098</v>
      </c>
      <c r="S1205" s="7">
        <f t="shared" si="131"/>
        <v>3</v>
      </c>
      <c r="T1205" s="7">
        <f t="shared" si="132"/>
        <v>2098</v>
      </c>
    </row>
    <row r="1206" spans="1:20" ht="14.25" customHeight="1" x14ac:dyDescent="0.35">
      <c r="A1206" s="2" t="s">
        <v>136</v>
      </c>
      <c r="B1206" s="2" t="s">
        <v>12</v>
      </c>
      <c r="C1206" s="2" t="s">
        <v>13</v>
      </c>
      <c r="D1206" s="2" t="s">
        <v>26</v>
      </c>
      <c r="E1206" s="2" t="s">
        <v>15</v>
      </c>
      <c r="F1206" s="2" t="s">
        <v>52</v>
      </c>
      <c r="G1206" s="2" t="s">
        <v>36</v>
      </c>
      <c r="H1206" s="2">
        <v>420000</v>
      </c>
      <c r="I1206" s="2">
        <v>6</v>
      </c>
      <c r="J1206" s="2" t="s">
        <v>50</v>
      </c>
      <c r="K1206" s="2">
        <f t="shared" si="126"/>
        <v>336000</v>
      </c>
      <c r="L1206" s="9">
        <f>Table_1[[#This Row],[Unit Price]]*Table_1[[#This Row],[Quantity]]</f>
        <v>2520000</v>
      </c>
      <c r="M1206" s="8">
        <f>Table_1[[#This Row],[Cost Price]]*Table_1[[#This Row],[Quantity]]</f>
        <v>2016000</v>
      </c>
      <c r="N1206">
        <f>Table_1[[#This Row],[Revenue]]-Table_1[[#This Row],[COGS]]</f>
        <v>504000</v>
      </c>
      <c r="O1206" s="11">
        <f t="shared" si="127"/>
        <v>4656740000</v>
      </c>
      <c r="P1206">
        <f t="shared" si="128"/>
        <v>3725392000</v>
      </c>
      <c r="Q1206">
        <f t="shared" si="129"/>
        <v>931348000</v>
      </c>
      <c r="R1206" s="7">
        <f t="shared" si="130"/>
        <v>2098</v>
      </c>
      <c r="S1206" s="7">
        <f t="shared" si="131"/>
        <v>2</v>
      </c>
      <c r="T1206" s="7">
        <f t="shared" si="132"/>
        <v>2098</v>
      </c>
    </row>
    <row r="1207" spans="1:20" ht="14.25" customHeight="1" x14ac:dyDescent="0.35">
      <c r="A1207" s="2" t="s">
        <v>132</v>
      </c>
      <c r="B1207" s="2" t="s">
        <v>29</v>
      </c>
      <c r="C1207" s="2" t="s">
        <v>30</v>
      </c>
      <c r="D1207" s="2" t="s">
        <v>26</v>
      </c>
      <c r="E1207" s="2" t="s">
        <v>15</v>
      </c>
      <c r="F1207" s="2" t="s">
        <v>56</v>
      </c>
      <c r="G1207" s="2" t="s">
        <v>36</v>
      </c>
      <c r="H1207" s="2">
        <v>250000</v>
      </c>
      <c r="I1207" s="2">
        <v>3</v>
      </c>
      <c r="J1207" s="2" t="s">
        <v>27</v>
      </c>
      <c r="K1207" s="2">
        <f t="shared" si="126"/>
        <v>200000</v>
      </c>
      <c r="L1207" s="9">
        <f>Table_1[[#This Row],[Unit Price]]*Table_1[[#This Row],[Quantity]]</f>
        <v>750000</v>
      </c>
      <c r="M1207" s="8">
        <f>Table_1[[#This Row],[Cost Price]]*Table_1[[#This Row],[Quantity]]</f>
        <v>600000</v>
      </c>
      <c r="N1207">
        <f>Table_1[[#This Row],[Revenue]]-Table_1[[#This Row],[COGS]]</f>
        <v>150000</v>
      </c>
      <c r="O1207" s="11">
        <f t="shared" si="127"/>
        <v>4656740000</v>
      </c>
      <c r="P1207">
        <f t="shared" si="128"/>
        <v>3725392000</v>
      </c>
      <c r="Q1207">
        <f t="shared" si="129"/>
        <v>931348000</v>
      </c>
      <c r="R1207" s="7">
        <f t="shared" si="130"/>
        <v>2098</v>
      </c>
      <c r="S1207" s="7">
        <f t="shared" si="131"/>
        <v>1</v>
      </c>
      <c r="T1207" s="7">
        <f t="shared" si="132"/>
        <v>2098</v>
      </c>
    </row>
    <row r="1208" spans="1:20" ht="14.25" customHeight="1" x14ac:dyDescent="0.35">
      <c r="A1208" s="2" t="s">
        <v>138</v>
      </c>
      <c r="B1208" s="2" t="s">
        <v>12</v>
      </c>
      <c r="C1208" s="2" t="s">
        <v>38</v>
      </c>
      <c r="D1208" s="2" t="s">
        <v>14</v>
      </c>
      <c r="E1208" s="2" t="s">
        <v>22</v>
      </c>
      <c r="F1208" s="2" t="s">
        <v>56</v>
      </c>
      <c r="G1208" s="2" t="s">
        <v>36</v>
      </c>
      <c r="H1208" s="2">
        <v>250000</v>
      </c>
      <c r="I1208" s="2">
        <v>8</v>
      </c>
      <c r="J1208" s="2" t="s">
        <v>32</v>
      </c>
      <c r="K1208" s="2">
        <f t="shared" si="126"/>
        <v>200000</v>
      </c>
      <c r="L1208" s="9">
        <f>Table_1[[#This Row],[Unit Price]]*Table_1[[#This Row],[Quantity]]</f>
        <v>2000000</v>
      </c>
      <c r="M1208" s="8">
        <f>Table_1[[#This Row],[Cost Price]]*Table_1[[#This Row],[Quantity]]</f>
        <v>1600000</v>
      </c>
      <c r="N1208">
        <f>Table_1[[#This Row],[Revenue]]-Table_1[[#This Row],[COGS]]</f>
        <v>400000</v>
      </c>
      <c r="O1208" s="11">
        <f t="shared" si="127"/>
        <v>4656740000</v>
      </c>
      <c r="P1208">
        <f t="shared" si="128"/>
        <v>3725392000</v>
      </c>
      <c r="Q1208">
        <f t="shared" si="129"/>
        <v>931348000</v>
      </c>
      <c r="R1208" s="7">
        <f t="shared" si="130"/>
        <v>2098</v>
      </c>
      <c r="S1208" s="7">
        <f t="shared" si="131"/>
        <v>3</v>
      </c>
      <c r="T1208" s="7">
        <f t="shared" si="132"/>
        <v>2098</v>
      </c>
    </row>
    <row r="1209" spans="1:20" ht="14.25" customHeight="1" x14ac:dyDescent="0.35">
      <c r="A1209" s="2" t="s">
        <v>160</v>
      </c>
      <c r="B1209" s="2" t="s">
        <v>34</v>
      </c>
      <c r="C1209" s="2" t="s">
        <v>21</v>
      </c>
      <c r="D1209" s="2" t="s">
        <v>26</v>
      </c>
      <c r="E1209" s="2" t="s">
        <v>15</v>
      </c>
      <c r="F1209" s="2" t="s">
        <v>16</v>
      </c>
      <c r="G1209" s="2" t="s">
        <v>17</v>
      </c>
      <c r="H1209" s="2">
        <v>85000</v>
      </c>
      <c r="I1209" s="2">
        <v>3</v>
      </c>
      <c r="J1209" s="2" t="s">
        <v>32</v>
      </c>
      <c r="K1209" s="2">
        <f t="shared" si="126"/>
        <v>68000</v>
      </c>
      <c r="L1209" s="9">
        <f>Table_1[[#This Row],[Unit Price]]*Table_1[[#This Row],[Quantity]]</f>
        <v>255000</v>
      </c>
      <c r="M1209" s="8">
        <f>Table_1[[#This Row],[Cost Price]]*Table_1[[#This Row],[Quantity]]</f>
        <v>204000</v>
      </c>
      <c r="N1209">
        <f>Table_1[[#This Row],[Revenue]]-Table_1[[#This Row],[COGS]]</f>
        <v>51000</v>
      </c>
      <c r="O1209" s="11">
        <f t="shared" si="127"/>
        <v>4656740000</v>
      </c>
      <c r="P1209">
        <f t="shared" si="128"/>
        <v>3725392000</v>
      </c>
      <c r="Q1209">
        <f t="shared" si="129"/>
        <v>931348000</v>
      </c>
      <c r="R1209" s="7">
        <f t="shared" si="130"/>
        <v>2098</v>
      </c>
      <c r="S1209" s="7">
        <f t="shared" si="131"/>
        <v>1</v>
      </c>
      <c r="T1209" s="7">
        <f t="shared" si="132"/>
        <v>2098</v>
      </c>
    </row>
    <row r="1210" spans="1:20" ht="14.25" customHeight="1" x14ac:dyDescent="0.35">
      <c r="A1210" s="2" t="s">
        <v>146</v>
      </c>
      <c r="B1210" s="2" t="s">
        <v>34</v>
      </c>
      <c r="C1210" s="2" t="s">
        <v>38</v>
      </c>
      <c r="D1210" s="2" t="s">
        <v>26</v>
      </c>
      <c r="E1210" s="2" t="s">
        <v>15</v>
      </c>
      <c r="F1210" s="2" t="s">
        <v>23</v>
      </c>
      <c r="G1210" s="2" t="s">
        <v>24</v>
      </c>
      <c r="H1210" s="2">
        <v>30000</v>
      </c>
      <c r="I1210" s="2">
        <v>7</v>
      </c>
      <c r="J1210" s="2" t="s">
        <v>32</v>
      </c>
      <c r="K1210" s="2">
        <f t="shared" si="126"/>
        <v>24000</v>
      </c>
      <c r="L1210" s="9">
        <f>Table_1[[#This Row],[Unit Price]]*Table_1[[#This Row],[Quantity]]</f>
        <v>210000</v>
      </c>
      <c r="M1210" s="8">
        <f>Table_1[[#This Row],[Cost Price]]*Table_1[[#This Row],[Quantity]]</f>
        <v>168000</v>
      </c>
      <c r="N1210">
        <f>Table_1[[#This Row],[Revenue]]-Table_1[[#This Row],[COGS]]</f>
        <v>42000</v>
      </c>
      <c r="O1210" s="11">
        <f t="shared" si="127"/>
        <v>4656740000</v>
      </c>
      <c r="P1210">
        <f t="shared" si="128"/>
        <v>3725392000</v>
      </c>
      <c r="Q1210">
        <f t="shared" si="129"/>
        <v>931348000</v>
      </c>
      <c r="R1210" s="7">
        <f t="shared" si="130"/>
        <v>2098</v>
      </c>
      <c r="S1210" s="7">
        <f t="shared" si="131"/>
        <v>3</v>
      </c>
      <c r="T1210" s="7">
        <f t="shared" si="132"/>
        <v>2098</v>
      </c>
    </row>
    <row r="1211" spans="1:20" ht="14.25" customHeight="1" x14ac:dyDescent="0.35">
      <c r="A1211" s="2" t="s">
        <v>111</v>
      </c>
      <c r="B1211" s="2" t="s">
        <v>20</v>
      </c>
      <c r="C1211" s="2" t="s">
        <v>30</v>
      </c>
      <c r="D1211" s="2" t="s">
        <v>14</v>
      </c>
      <c r="E1211" s="2" t="s">
        <v>22</v>
      </c>
      <c r="F1211" s="2" t="s">
        <v>31</v>
      </c>
      <c r="G1211" s="2" t="s">
        <v>24</v>
      </c>
      <c r="H1211" s="2">
        <v>60000</v>
      </c>
      <c r="I1211" s="2">
        <v>7</v>
      </c>
      <c r="J1211" s="2" t="s">
        <v>43</v>
      </c>
      <c r="K1211" s="2">
        <f t="shared" si="126"/>
        <v>48000</v>
      </c>
      <c r="L1211" s="9">
        <f>Table_1[[#This Row],[Unit Price]]*Table_1[[#This Row],[Quantity]]</f>
        <v>420000</v>
      </c>
      <c r="M1211" s="8">
        <f>Table_1[[#This Row],[Cost Price]]*Table_1[[#This Row],[Quantity]]</f>
        <v>336000</v>
      </c>
      <c r="N1211">
        <f>Table_1[[#This Row],[Revenue]]-Table_1[[#This Row],[COGS]]</f>
        <v>84000</v>
      </c>
      <c r="O1211" s="11">
        <f t="shared" si="127"/>
        <v>4656740000</v>
      </c>
      <c r="P1211">
        <f t="shared" si="128"/>
        <v>3725392000</v>
      </c>
      <c r="Q1211">
        <f t="shared" si="129"/>
        <v>931348000</v>
      </c>
      <c r="R1211" s="7">
        <f t="shared" si="130"/>
        <v>2098</v>
      </c>
      <c r="S1211" s="7">
        <f t="shared" si="131"/>
        <v>1</v>
      </c>
      <c r="T1211" s="7">
        <f t="shared" si="132"/>
        <v>2098</v>
      </c>
    </row>
    <row r="1212" spans="1:20" ht="14.25" customHeight="1" x14ac:dyDescent="0.35">
      <c r="A1212" s="2" t="s">
        <v>131</v>
      </c>
      <c r="B1212" s="2" t="s">
        <v>29</v>
      </c>
      <c r="C1212" s="2" t="s">
        <v>13</v>
      </c>
      <c r="D1212" s="2" t="s">
        <v>14</v>
      </c>
      <c r="E1212" s="2" t="s">
        <v>22</v>
      </c>
      <c r="F1212" s="2" t="s">
        <v>58</v>
      </c>
      <c r="G1212" s="2" t="s">
        <v>24</v>
      </c>
      <c r="H1212" s="2">
        <v>220000</v>
      </c>
      <c r="I1212" s="2">
        <v>10</v>
      </c>
      <c r="J1212" s="2" t="s">
        <v>27</v>
      </c>
      <c r="K1212" s="2">
        <f t="shared" si="126"/>
        <v>176000</v>
      </c>
      <c r="L1212" s="9">
        <f>Table_1[[#This Row],[Unit Price]]*Table_1[[#This Row],[Quantity]]</f>
        <v>2200000</v>
      </c>
      <c r="M1212" s="8">
        <f>Table_1[[#This Row],[Cost Price]]*Table_1[[#This Row],[Quantity]]</f>
        <v>1760000</v>
      </c>
      <c r="N1212">
        <f>Table_1[[#This Row],[Revenue]]-Table_1[[#This Row],[COGS]]</f>
        <v>440000</v>
      </c>
      <c r="O1212" s="11">
        <f t="shared" si="127"/>
        <v>4656740000</v>
      </c>
      <c r="P1212">
        <f t="shared" si="128"/>
        <v>3725392000</v>
      </c>
      <c r="Q1212">
        <f t="shared" si="129"/>
        <v>931348000</v>
      </c>
      <c r="R1212" s="7">
        <f t="shared" si="130"/>
        <v>2098</v>
      </c>
      <c r="S1212" s="7">
        <f t="shared" si="131"/>
        <v>1</v>
      </c>
      <c r="T1212" s="7">
        <f t="shared" si="132"/>
        <v>2098</v>
      </c>
    </row>
    <row r="1213" spans="1:20" ht="14.25" customHeight="1" x14ac:dyDescent="0.35">
      <c r="A1213" s="2" t="s">
        <v>122</v>
      </c>
      <c r="B1213" s="2" t="s">
        <v>29</v>
      </c>
      <c r="C1213" s="2" t="s">
        <v>21</v>
      </c>
      <c r="D1213" s="2" t="s">
        <v>14</v>
      </c>
      <c r="E1213" s="2" t="s">
        <v>22</v>
      </c>
      <c r="F1213" s="2" t="s">
        <v>56</v>
      </c>
      <c r="G1213" s="2" t="s">
        <v>36</v>
      </c>
      <c r="H1213" s="2">
        <v>250000</v>
      </c>
      <c r="I1213" s="2">
        <v>5</v>
      </c>
      <c r="J1213" s="2" t="s">
        <v>54</v>
      </c>
      <c r="K1213" s="2">
        <f t="shared" si="126"/>
        <v>200000</v>
      </c>
      <c r="L1213" s="9">
        <f>Table_1[[#This Row],[Unit Price]]*Table_1[[#This Row],[Quantity]]</f>
        <v>1250000</v>
      </c>
      <c r="M1213" s="8">
        <f>Table_1[[#This Row],[Cost Price]]*Table_1[[#This Row],[Quantity]]</f>
        <v>1000000</v>
      </c>
      <c r="N1213">
        <f>Table_1[[#This Row],[Revenue]]-Table_1[[#This Row],[COGS]]</f>
        <v>250000</v>
      </c>
      <c r="O1213" s="11">
        <f t="shared" si="127"/>
        <v>4656740000</v>
      </c>
      <c r="P1213">
        <f t="shared" si="128"/>
        <v>3725392000</v>
      </c>
      <c r="Q1213">
        <f t="shared" si="129"/>
        <v>931348000</v>
      </c>
      <c r="R1213" s="7">
        <f t="shared" si="130"/>
        <v>2098</v>
      </c>
      <c r="S1213" s="7">
        <f t="shared" si="131"/>
        <v>4</v>
      </c>
      <c r="T1213" s="7">
        <f t="shared" si="132"/>
        <v>2098</v>
      </c>
    </row>
    <row r="1214" spans="1:20" ht="14.25" customHeight="1" x14ac:dyDescent="0.35">
      <c r="A1214" s="2" t="s">
        <v>153</v>
      </c>
      <c r="B1214" s="2" t="s">
        <v>29</v>
      </c>
      <c r="C1214" s="2" t="s">
        <v>38</v>
      </c>
      <c r="D1214" s="2" t="s">
        <v>14</v>
      </c>
      <c r="E1214" s="2" t="s">
        <v>15</v>
      </c>
      <c r="F1214" s="2" t="s">
        <v>16</v>
      </c>
      <c r="G1214" s="2" t="s">
        <v>17</v>
      </c>
      <c r="H1214" s="2">
        <v>85000</v>
      </c>
      <c r="I1214" s="2">
        <v>7</v>
      </c>
      <c r="J1214" s="2" t="s">
        <v>54</v>
      </c>
      <c r="K1214" s="2">
        <f t="shared" si="126"/>
        <v>68000</v>
      </c>
      <c r="L1214" s="9">
        <f>Table_1[[#This Row],[Unit Price]]*Table_1[[#This Row],[Quantity]]</f>
        <v>595000</v>
      </c>
      <c r="M1214" s="8">
        <f>Table_1[[#This Row],[Cost Price]]*Table_1[[#This Row],[Quantity]]</f>
        <v>476000</v>
      </c>
      <c r="N1214">
        <f>Table_1[[#This Row],[Revenue]]-Table_1[[#This Row],[COGS]]</f>
        <v>119000</v>
      </c>
      <c r="O1214" s="11">
        <f t="shared" si="127"/>
        <v>4656740000</v>
      </c>
      <c r="P1214">
        <f t="shared" si="128"/>
        <v>3725392000</v>
      </c>
      <c r="Q1214">
        <f t="shared" si="129"/>
        <v>931348000</v>
      </c>
      <c r="R1214" s="7">
        <f t="shared" si="130"/>
        <v>2098</v>
      </c>
      <c r="S1214" s="7">
        <f t="shared" si="131"/>
        <v>4</v>
      </c>
      <c r="T1214" s="7">
        <f t="shared" si="132"/>
        <v>2098</v>
      </c>
    </row>
    <row r="1215" spans="1:20" ht="14.25" customHeight="1" x14ac:dyDescent="0.35">
      <c r="A1215" s="2" t="s">
        <v>106</v>
      </c>
      <c r="B1215" s="2" t="s">
        <v>12</v>
      </c>
      <c r="C1215" s="2" t="s">
        <v>21</v>
      </c>
      <c r="D1215" s="2" t="s">
        <v>26</v>
      </c>
      <c r="E1215" s="2" t="s">
        <v>15</v>
      </c>
      <c r="F1215" s="2" t="s">
        <v>47</v>
      </c>
      <c r="G1215" s="2" t="s">
        <v>36</v>
      </c>
      <c r="H1215" s="2">
        <v>150000</v>
      </c>
      <c r="I1215" s="2">
        <v>4</v>
      </c>
      <c r="J1215" s="2" t="s">
        <v>32</v>
      </c>
      <c r="K1215" s="2">
        <f t="shared" si="126"/>
        <v>120000</v>
      </c>
      <c r="L1215" s="9">
        <f>Table_1[[#This Row],[Unit Price]]*Table_1[[#This Row],[Quantity]]</f>
        <v>600000</v>
      </c>
      <c r="M1215" s="8">
        <f>Table_1[[#This Row],[Cost Price]]*Table_1[[#This Row],[Quantity]]</f>
        <v>480000</v>
      </c>
      <c r="N1215">
        <f>Table_1[[#This Row],[Revenue]]-Table_1[[#This Row],[COGS]]</f>
        <v>120000</v>
      </c>
      <c r="O1215" s="11">
        <f t="shared" si="127"/>
        <v>4656740000</v>
      </c>
      <c r="P1215">
        <f t="shared" si="128"/>
        <v>3725392000</v>
      </c>
      <c r="Q1215">
        <f t="shared" si="129"/>
        <v>931348000</v>
      </c>
      <c r="R1215" s="7">
        <f t="shared" si="130"/>
        <v>2098</v>
      </c>
      <c r="S1215" s="7">
        <f t="shared" si="131"/>
        <v>4</v>
      </c>
      <c r="T1215" s="7">
        <f t="shared" si="132"/>
        <v>2098</v>
      </c>
    </row>
    <row r="1216" spans="1:20" ht="14.25" customHeight="1" x14ac:dyDescent="0.35">
      <c r="A1216" s="2" t="s">
        <v>122</v>
      </c>
      <c r="B1216" s="2" t="s">
        <v>29</v>
      </c>
      <c r="C1216" s="2" t="s">
        <v>38</v>
      </c>
      <c r="D1216" s="2" t="s">
        <v>14</v>
      </c>
      <c r="E1216" s="2" t="s">
        <v>15</v>
      </c>
      <c r="F1216" s="2" t="s">
        <v>52</v>
      </c>
      <c r="G1216" s="2" t="s">
        <v>36</v>
      </c>
      <c r="H1216" s="2">
        <v>420000</v>
      </c>
      <c r="I1216" s="2">
        <v>5</v>
      </c>
      <c r="J1216" s="2" t="s">
        <v>27</v>
      </c>
      <c r="K1216" s="2">
        <f t="shared" si="126"/>
        <v>336000</v>
      </c>
      <c r="L1216" s="9">
        <f>Table_1[[#This Row],[Unit Price]]*Table_1[[#This Row],[Quantity]]</f>
        <v>2100000</v>
      </c>
      <c r="M1216" s="8">
        <f>Table_1[[#This Row],[Cost Price]]*Table_1[[#This Row],[Quantity]]</f>
        <v>1680000</v>
      </c>
      <c r="N1216">
        <f>Table_1[[#This Row],[Revenue]]-Table_1[[#This Row],[COGS]]</f>
        <v>420000</v>
      </c>
      <c r="O1216" s="11">
        <f t="shared" si="127"/>
        <v>4656740000</v>
      </c>
      <c r="P1216">
        <f t="shared" si="128"/>
        <v>3725392000</v>
      </c>
      <c r="Q1216">
        <f t="shared" si="129"/>
        <v>931348000</v>
      </c>
      <c r="R1216" s="7">
        <f t="shared" si="130"/>
        <v>2098</v>
      </c>
      <c r="S1216" s="7">
        <f t="shared" si="131"/>
        <v>4</v>
      </c>
      <c r="T1216" s="7">
        <f t="shared" si="132"/>
        <v>2098</v>
      </c>
    </row>
    <row r="1217" spans="1:20" ht="14.25" customHeight="1" x14ac:dyDescent="0.35">
      <c r="A1217" s="2" t="s">
        <v>139</v>
      </c>
      <c r="B1217" s="2" t="s">
        <v>20</v>
      </c>
      <c r="C1217" s="2" t="s">
        <v>30</v>
      </c>
      <c r="D1217" s="2" t="s">
        <v>14</v>
      </c>
      <c r="E1217" s="2" t="s">
        <v>15</v>
      </c>
      <c r="F1217" s="2" t="s">
        <v>31</v>
      </c>
      <c r="G1217" s="2" t="s">
        <v>24</v>
      </c>
      <c r="H1217" s="2">
        <v>60000</v>
      </c>
      <c r="I1217" s="2">
        <v>5</v>
      </c>
      <c r="J1217" s="2" t="s">
        <v>18</v>
      </c>
      <c r="K1217" s="2">
        <f t="shared" si="126"/>
        <v>48000</v>
      </c>
      <c r="L1217" s="9">
        <f>Table_1[[#This Row],[Unit Price]]*Table_1[[#This Row],[Quantity]]</f>
        <v>300000</v>
      </c>
      <c r="M1217" s="8">
        <f>Table_1[[#This Row],[Cost Price]]*Table_1[[#This Row],[Quantity]]</f>
        <v>240000</v>
      </c>
      <c r="N1217">
        <f>Table_1[[#This Row],[Revenue]]-Table_1[[#This Row],[COGS]]</f>
        <v>60000</v>
      </c>
      <c r="O1217" s="11">
        <f t="shared" si="127"/>
        <v>4656740000</v>
      </c>
      <c r="P1217">
        <f t="shared" si="128"/>
        <v>3725392000</v>
      </c>
      <c r="Q1217">
        <f t="shared" si="129"/>
        <v>931348000</v>
      </c>
      <c r="R1217" s="7">
        <f t="shared" si="130"/>
        <v>2098</v>
      </c>
      <c r="S1217" s="7">
        <f t="shared" si="131"/>
        <v>2</v>
      </c>
      <c r="T1217" s="7">
        <f t="shared" si="132"/>
        <v>2098</v>
      </c>
    </row>
    <row r="1218" spans="1:20" ht="14.25" customHeight="1" x14ac:dyDescent="0.35">
      <c r="A1218" s="2" t="s">
        <v>75</v>
      </c>
      <c r="B1218" s="2" t="s">
        <v>29</v>
      </c>
      <c r="C1218" s="2" t="s">
        <v>13</v>
      </c>
      <c r="D1218" s="2" t="s">
        <v>26</v>
      </c>
      <c r="E1218" s="2" t="s">
        <v>15</v>
      </c>
      <c r="F1218" s="2" t="s">
        <v>56</v>
      </c>
      <c r="G1218" s="2" t="s">
        <v>36</v>
      </c>
      <c r="H1218" s="2">
        <v>250000</v>
      </c>
      <c r="I1218" s="2">
        <v>10</v>
      </c>
      <c r="J1218" s="2" t="s">
        <v>27</v>
      </c>
      <c r="K1218" s="2">
        <f t="shared" ref="K1218:K1281" si="133">H1218-H1218*0.2</f>
        <v>200000</v>
      </c>
      <c r="L1218" s="9">
        <f>Table_1[[#This Row],[Unit Price]]*Table_1[[#This Row],[Quantity]]</f>
        <v>2500000</v>
      </c>
      <c r="M1218" s="8">
        <f>Table_1[[#This Row],[Cost Price]]*Table_1[[#This Row],[Quantity]]</f>
        <v>2000000</v>
      </c>
      <c r="N1218">
        <f>Table_1[[#This Row],[Revenue]]-Table_1[[#This Row],[COGS]]</f>
        <v>500000</v>
      </c>
      <c r="O1218" s="11">
        <f t="shared" ref="O1218:O1281" si="134">SUM(L$2:L$1048576)</f>
        <v>4656740000</v>
      </c>
      <c r="P1218">
        <f t="shared" ref="P1218:P1281" si="135">SUM(M:M)</f>
        <v>3725392000</v>
      </c>
      <c r="Q1218">
        <f t="shared" ref="Q1218:Q1281" si="136">SUM(N:N)</f>
        <v>931348000</v>
      </c>
      <c r="R1218" s="7">
        <f t="shared" ref="R1218:R1281" si="137">COUNTA(A$2:A$1048576)</f>
        <v>2098</v>
      </c>
      <c r="S1218" s="7">
        <f t="shared" ref="S1218:S1281" si="138">MONTH(A1218:A2706)</f>
        <v>2</v>
      </c>
      <c r="T1218" s="7">
        <f t="shared" ref="T1218:T1281" si="139">COUNTA(A:A)-1</f>
        <v>2098</v>
      </c>
    </row>
    <row r="1219" spans="1:20" ht="14.25" customHeight="1" x14ac:dyDescent="0.35">
      <c r="A1219" s="2" t="s">
        <v>122</v>
      </c>
      <c r="B1219" s="2" t="s">
        <v>12</v>
      </c>
      <c r="C1219" s="2" t="s">
        <v>21</v>
      </c>
      <c r="D1219" s="2" t="s">
        <v>14</v>
      </c>
      <c r="E1219" s="2" t="s">
        <v>15</v>
      </c>
      <c r="F1219" s="2" t="s">
        <v>31</v>
      </c>
      <c r="G1219" s="2" t="s">
        <v>24</v>
      </c>
      <c r="H1219" s="2">
        <v>60000</v>
      </c>
      <c r="I1219" s="2">
        <v>3</v>
      </c>
      <c r="J1219" s="2" t="s">
        <v>27</v>
      </c>
      <c r="K1219" s="2">
        <f t="shared" si="133"/>
        <v>48000</v>
      </c>
      <c r="L1219" s="9">
        <f>Table_1[[#This Row],[Unit Price]]*Table_1[[#This Row],[Quantity]]</f>
        <v>180000</v>
      </c>
      <c r="M1219" s="8">
        <f>Table_1[[#This Row],[Cost Price]]*Table_1[[#This Row],[Quantity]]</f>
        <v>144000</v>
      </c>
      <c r="N1219">
        <f>Table_1[[#This Row],[Revenue]]-Table_1[[#This Row],[COGS]]</f>
        <v>36000</v>
      </c>
      <c r="O1219" s="11">
        <f t="shared" si="134"/>
        <v>4656740000</v>
      </c>
      <c r="P1219">
        <f t="shared" si="135"/>
        <v>3725392000</v>
      </c>
      <c r="Q1219">
        <f t="shared" si="136"/>
        <v>931348000</v>
      </c>
      <c r="R1219" s="7">
        <f t="shared" si="137"/>
        <v>2098</v>
      </c>
      <c r="S1219" s="7">
        <f t="shared" si="138"/>
        <v>4</v>
      </c>
      <c r="T1219" s="7">
        <f t="shared" si="139"/>
        <v>2098</v>
      </c>
    </row>
    <row r="1220" spans="1:20" ht="14.25" customHeight="1" x14ac:dyDescent="0.35">
      <c r="A1220" s="2" t="s">
        <v>135</v>
      </c>
      <c r="B1220" s="2" t="s">
        <v>12</v>
      </c>
      <c r="C1220" s="2" t="s">
        <v>38</v>
      </c>
      <c r="D1220" s="2" t="s">
        <v>26</v>
      </c>
      <c r="E1220" s="2" t="s">
        <v>15</v>
      </c>
      <c r="F1220" s="2" t="s">
        <v>58</v>
      </c>
      <c r="G1220" s="2" t="s">
        <v>24</v>
      </c>
      <c r="H1220" s="2">
        <v>220000</v>
      </c>
      <c r="I1220" s="2">
        <v>5</v>
      </c>
      <c r="J1220" s="2" t="s">
        <v>50</v>
      </c>
      <c r="K1220" s="2">
        <f t="shared" si="133"/>
        <v>176000</v>
      </c>
      <c r="L1220" s="9">
        <f>Table_1[[#This Row],[Unit Price]]*Table_1[[#This Row],[Quantity]]</f>
        <v>1100000</v>
      </c>
      <c r="M1220" s="8">
        <f>Table_1[[#This Row],[Cost Price]]*Table_1[[#This Row],[Quantity]]</f>
        <v>880000</v>
      </c>
      <c r="N1220">
        <f>Table_1[[#This Row],[Revenue]]-Table_1[[#This Row],[COGS]]</f>
        <v>220000</v>
      </c>
      <c r="O1220" s="11">
        <f t="shared" si="134"/>
        <v>4656740000</v>
      </c>
      <c r="P1220">
        <f t="shared" si="135"/>
        <v>3725392000</v>
      </c>
      <c r="Q1220">
        <f t="shared" si="136"/>
        <v>931348000</v>
      </c>
      <c r="R1220" s="7">
        <f t="shared" si="137"/>
        <v>2098</v>
      </c>
      <c r="S1220" s="7">
        <f t="shared" si="138"/>
        <v>1</v>
      </c>
      <c r="T1220" s="7">
        <f t="shared" si="139"/>
        <v>2098</v>
      </c>
    </row>
    <row r="1221" spans="1:20" ht="14.25" customHeight="1" x14ac:dyDescent="0.35">
      <c r="A1221" s="2" t="s">
        <v>150</v>
      </c>
      <c r="B1221" s="2" t="s">
        <v>29</v>
      </c>
      <c r="C1221" s="2" t="s">
        <v>13</v>
      </c>
      <c r="D1221" s="2" t="s">
        <v>26</v>
      </c>
      <c r="E1221" s="2" t="s">
        <v>22</v>
      </c>
      <c r="F1221" s="2" t="s">
        <v>52</v>
      </c>
      <c r="G1221" s="2" t="s">
        <v>36</v>
      </c>
      <c r="H1221" s="2">
        <v>420000</v>
      </c>
      <c r="I1221" s="2">
        <v>3</v>
      </c>
      <c r="J1221" s="2" t="s">
        <v>32</v>
      </c>
      <c r="K1221" s="2">
        <f t="shared" si="133"/>
        <v>336000</v>
      </c>
      <c r="L1221" s="9">
        <f>Table_1[[#This Row],[Unit Price]]*Table_1[[#This Row],[Quantity]]</f>
        <v>1260000</v>
      </c>
      <c r="M1221" s="8">
        <f>Table_1[[#This Row],[Cost Price]]*Table_1[[#This Row],[Quantity]]</f>
        <v>1008000</v>
      </c>
      <c r="N1221">
        <f>Table_1[[#This Row],[Revenue]]-Table_1[[#This Row],[COGS]]</f>
        <v>252000</v>
      </c>
      <c r="O1221" s="11">
        <f t="shared" si="134"/>
        <v>4656740000</v>
      </c>
      <c r="P1221">
        <f t="shared" si="135"/>
        <v>3725392000</v>
      </c>
      <c r="Q1221">
        <f t="shared" si="136"/>
        <v>931348000</v>
      </c>
      <c r="R1221" s="7">
        <f t="shared" si="137"/>
        <v>2098</v>
      </c>
      <c r="S1221" s="7">
        <f t="shared" si="138"/>
        <v>4</v>
      </c>
      <c r="T1221" s="7">
        <f t="shared" si="139"/>
        <v>2098</v>
      </c>
    </row>
    <row r="1222" spans="1:20" ht="14.25" customHeight="1" x14ac:dyDescent="0.35">
      <c r="A1222" s="2" t="s">
        <v>53</v>
      </c>
      <c r="B1222" s="2" t="s">
        <v>12</v>
      </c>
      <c r="C1222" s="2" t="s">
        <v>21</v>
      </c>
      <c r="D1222" s="2" t="s">
        <v>26</v>
      </c>
      <c r="E1222" s="2" t="s">
        <v>22</v>
      </c>
      <c r="F1222" s="2" t="s">
        <v>31</v>
      </c>
      <c r="G1222" s="2" t="s">
        <v>24</v>
      </c>
      <c r="H1222" s="2">
        <v>60000</v>
      </c>
      <c r="I1222" s="2">
        <v>7</v>
      </c>
      <c r="J1222" s="2" t="s">
        <v>43</v>
      </c>
      <c r="K1222" s="2">
        <f t="shared" si="133"/>
        <v>48000</v>
      </c>
      <c r="L1222" s="9">
        <f>Table_1[[#This Row],[Unit Price]]*Table_1[[#This Row],[Quantity]]</f>
        <v>420000</v>
      </c>
      <c r="M1222" s="8">
        <f>Table_1[[#This Row],[Cost Price]]*Table_1[[#This Row],[Quantity]]</f>
        <v>336000</v>
      </c>
      <c r="N1222">
        <f>Table_1[[#This Row],[Revenue]]-Table_1[[#This Row],[COGS]]</f>
        <v>84000</v>
      </c>
      <c r="O1222" s="11">
        <f t="shared" si="134"/>
        <v>4656740000</v>
      </c>
      <c r="P1222">
        <f t="shared" si="135"/>
        <v>3725392000</v>
      </c>
      <c r="Q1222">
        <f t="shared" si="136"/>
        <v>931348000</v>
      </c>
      <c r="R1222" s="7">
        <f t="shared" si="137"/>
        <v>2098</v>
      </c>
      <c r="S1222" s="7">
        <f t="shared" si="138"/>
        <v>3</v>
      </c>
      <c r="T1222" s="7">
        <f t="shared" si="139"/>
        <v>2098</v>
      </c>
    </row>
    <row r="1223" spans="1:20" ht="14.25" customHeight="1" x14ac:dyDescent="0.35">
      <c r="A1223" s="2" t="s">
        <v>60</v>
      </c>
      <c r="B1223" s="2" t="s">
        <v>12</v>
      </c>
      <c r="C1223" s="2" t="s">
        <v>13</v>
      </c>
      <c r="D1223" s="2" t="s">
        <v>14</v>
      </c>
      <c r="E1223" s="2" t="s">
        <v>15</v>
      </c>
      <c r="F1223" s="2" t="s">
        <v>58</v>
      </c>
      <c r="G1223" s="2" t="s">
        <v>24</v>
      </c>
      <c r="H1223" s="2">
        <v>220000</v>
      </c>
      <c r="I1223" s="2">
        <v>8</v>
      </c>
      <c r="J1223" s="2" t="s">
        <v>32</v>
      </c>
      <c r="K1223" s="2">
        <f t="shared" si="133"/>
        <v>176000</v>
      </c>
      <c r="L1223" s="9">
        <f>Table_1[[#This Row],[Unit Price]]*Table_1[[#This Row],[Quantity]]</f>
        <v>1760000</v>
      </c>
      <c r="M1223" s="8">
        <f>Table_1[[#This Row],[Cost Price]]*Table_1[[#This Row],[Quantity]]</f>
        <v>1408000</v>
      </c>
      <c r="N1223">
        <f>Table_1[[#This Row],[Revenue]]-Table_1[[#This Row],[COGS]]</f>
        <v>352000</v>
      </c>
      <c r="O1223" s="11">
        <f t="shared" si="134"/>
        <v>4656740000</v>
      </c>
      <c r="P1223">
        <f t="shared" si="135"/>
        <v>3725392000</v>
      </c>
      <c r="Q1223">
        <f t="shared" si="136"/>
        <v>931348000</v>
      </c>
      <c r="R1223" s="7">
        <f t="shared" si="137"/>
        <v>2098</v>
      </c>
      <c r="S1223" s="7">
        <f t="shared" si="138"/>
        <v>3</v>
      </c>
      <c r="T1223" s="7">
        <f t="shared" si="139"/>
        <v>2098</v>
      </c>
    </row>
    <row r="1224" spans="1:20" ht="14.25" customHeight="1" x14ac:dyDescent="0.35">
      <c r="A1224" s="2" t="s">
        <v>61</v>
      </c>
      <c r="B1224" s="2" t="s">
        <v>12</v>
      </c>
      <c r="C1224" s="2" t="s">
        <v>38</v>
      </c>
      <c r="D1224" s="2" t="s">
        <v>26</v>
      </c>
      <c r="E1224" s="2" t="s">
        <v>22</v>
      </c>
      <c r="F1224" s="2" t="s">
        <v>56</v>
      </c>
      <c r="G1224" s="2" t="s">
        <v>36</v>
      </c>
      <c r="H1224" s="2">
        <v>250000</v>
      </c>
      <c r="I1224" s="2">
        <v>6</v>
      </c>
      <c r="J1224" s="2" t="s">
        <v>50</v>
      </c>
      <c r="K1224" s="2">
        <f t="shared" si="133"/>
        <v>200000</v>
      </c>
      <c r="L1224" s="9">
        <f>Table_1[[#This Row],[Unit Price]]*Table_1[[#This Row],[Quantity]]</f>
        <v>1500000</v>
      </c>
      <c r="M1224" s="8">
        <f>Table_1[[#This Row],[Cost Price]]*Table_1[[#This Row],[Quantity]]</f>
        <v>1200000</v>
      </c>
      <c r="N1224">
        <f>Table_1[[#This Row],[Revenue]]-Table_1[[#This Row],[COGS]]</f>
        <v>300000</v>
      </c>
      <c r="O1224" s="11">
        <f t="shared" si="134"/>
        <v>4656740000</v>
      </c>
      <c r="P1224">
        <f t="shared" si="135"/>
        <v>3725392000</v>
      </c>
      <c r="Q1224">
        <f t="shared" si="136"/>
        <v>931348000</v>
      </c>
      <c r="R1224" s="7">
        <f t="shared" si="137"/>
        <v>2098</v>
      </c>
      <c r="S1224" s="7">
        <f t="shared" si="138"/>
        <v>5</v>
      </c>
      <c r="T1224" s="7">
        <f t="shared" si="139"/>
        <v>2098</v>
      </c>
    </row>
    <row r="1225" spans="1:20" ht="14.25" customHeight="1" x14ac:dyDescent="0.35">
      <c r="A1225" s="2" t="s">
        <v>140</v>
      </c>
      <c r="B1225" s="2" t="s">
        <v>12</v>
      </c>
      <c r="C1225" s="2" t="s">
        <v>21</v>
      </c>
      <c r="D1225" s="2" t="s">
        <v>26</v>
      </c>
      <c r="E1225" s="2" t="s">
        <v>15</v>
      </c>
      <c r="F1225" s="2" t="s">
        <v>47</v>
      </c>
      <c r="G1225" s="2" t="s">
        <v>36</v>
      </c>
      <c r="H1225" s="2">
        <v>150000</v>
      </c>
      <c r="I1225" s="2">
        <v>5</v>
      </c>
      <c r="J1225" s="2" t="s">
        <v>32</v>
      </c>
      <c r="K1225" s="2">
        <f t="shared" si="133"/>
        <v>120000</v>
      </c>
      <c r="L1225" s="9">
        <f>Table_1[[#This Row],[Unit Price]]*Table_1[[#This Row],[Quantity]]</f>
        <v>750000</v>
      </c>
      <c r="M1225" s="8">
        <f>Table_1[[#This Row],[Cost Price]]*Table_1[[#This Row],[Quantity]]</f>
        <v>600000</v>
      </c>
      <c r="N1225">
        <f>Table_1[[#This Row],[Revenue]]-Table_1[[#This Row],[COGS]]</f>
        <v>150000</v>
      </c>
      <c r="O1225" s="11">
        <f t="shared" si="134"/>
        <v>4656740000</v>
      </c>
      <c r="P1225">
        <f t="shared" si="135"/>
        <v>3725392000</v>
      </c>
      <c r="Q1225">
        <f t="shared" si="136"/>
        <v>931348000</v>
      </c>
      <c r="R1225" s="7">
        <f t="shared" si="137"/>
        <v>2098</v>
      </c>
      <c r="S1225" s="7">
        <f t="shared" si="138"/>
        <v>4</v>
      </c>
      <c r="T1225" s="7">
        <f t="shared" si="139"/>
        <v>2098</v>
      </c>
    </row>
    <row r="1226" spans="1:20" ht="14.25" customHeight="1" x14ac:dyDescent="0.35">
      <c r="A1226" s="2" t="s">
        <v>48</v>
      </c>
      <c r="B1226" s="2" t="s">
        <v>34</v>
      </c>
      <c r="C1226" s="2" t="s">
        <v>21</v>
      </c>
      <c r="D1226" s="2" t="s">
        <v>26</v>
      </c>
      <c r="E1226" s="2" t="s">
        <v>15</v>
      </c>
      <c r="F1226" s="2" t="s">
        <v>16</v>
      </c>
      <c r="G1226" s="2" t="s">
        <v>17</v>
      </c>
      <c r="H1226" s="2">
        <v>85000</v>
      </c>
      <c r="I1226" s="2">
        <v>2</v>
      </c>
      <c r="J1226" s="2" t="s">
        <v>43</v>
      </c>
      <c r="K1226" s="2">
        <f t="shared" si="133"/>
        <v>68000</v>
      </c>
      <c r="L1226" s="9">
        <f>Table_1[[#This Row],[Unit Price]]*Table_1[[#This Row],[Quantity]]</f>
        <v>170000</v>
      </c>
      <c r="M1226" s="8">
        <f>Table_1[[#This Row],[Cost Price]]*Table_1[[#This Row],[Quantity]]</f>
        <v>136000</v>
      </c>
      <c r="N1226">
        <f>Table_1[[#This Row],[Revenue]]-Table_1[[#This Row],[COGS]]</f>
        <v>34000</v>
      </c>
      <c r="O1226" s="11">
        <f t="shared" si="134"/>
        <v>4656740000</v>
      </c>
      <c r="P1226">
        <f t="shared" si="135"/>
        <v>3725392000</v>
      </c>
      <c r="Q1226">
        <f t="shared" si="136"/>
        <v>931348000</v>
      </c>
      <c r="R1226" s="7">
        <f t="shared" si="137"/>
        <v>2098</v>
      </c>
      <c r="S1226" s="7">
        <f t="shared" si="138"/>
        <v>1</v>
      </c>
      <c r="T1226" s="7">
        <f t="shared" si="139"/>
        <v>2098</v>
      </c>
    </row>
    <row r="1227" spans="1:20" ht="14.25" customHeight="1" x14ac:dyDescent="0.35">
      <c r="A1227" s="2" t="s">
        <v>129</v>
      </c>
      <c r="B1227" s="2" t="s">
        <v>29</v>
      </c>
      <c r="C1227" s="2" t="s">
        <v>13</v>
      </c>
      <c r="D1227" s="2" t="s">
        <v>26</v>
      </c>
      <c r="E1227" s="2" t="s">
        <v>22</v>
      </c>
      <c r="F1227" s="2" t="s">
        <v>16</v>
      </c>
      <c r="G1227" s="2" t="s">
        <v>17</v>
      </c>
      <c r="H1227" s="2">
        <v>85000</v>
      </c>
      <c r="I1227" s="2">
        <v>6</v>
      </c>
      <c r="J1227" s="2" t="s">
        <v>27</v>
      </c>
      <c r="K1227" s="2">
        <f t="shared" si="133"/>
        <v>68000</v>
      </c>
      <c r="L1227" s="9">
        <f>Table_1[[#This Row],[Unit Price]]*Table_1[[#This Row],[Quantity]]</f>
        <v>510000</v>
      </c>
      <c r="M1227" s="8">
        <f>Table_1[[#This Row],[Cost Price]]*Table_1[[#This Row],[Quantity]]</f>
        <v>408000</v>
      </c>
      <c r="N1227">
        <f>Table_1[[#This Row],[Revenue]]-Table_1[[#This Row],[COGS]]</f>
        <v>102000</v>
      </c>
      <c r="O1227" s="11">
        <f t="shared" si="134"/>
        <v>4656740000</v>
      </c>
      <c r="P1227">
        <f t="shared" si="135"/>
        <v>3725392000</v>
      </c>
      <c r="Q1227">
        <f t="shared" si="136"/>
        <v>931348000</v>
      </c>
      <c r="R1227" s="7">
        <f t="shared" si="137"/>
        <v>2098</v>
      </c>
      <c r="S1227" s="7">
        <f t="shared" si="138"/>
        <v>2</v>
      </c>
      <c r="T1227" s="7">
        <f t="shared" si="139"/>
        <v>2098</v>
      </c>
    </row>
    <row r="1228" spans="1:20" ht="14.25" customHeight="1" x14ac:dyDescent="0.35">
      <c r="A1228" s="2" t="s">
        <v>145</v>
      </c>
      <c r="B1228" s="2" t="s">
        <v>12</v>
      </c>
      <c r="C1228" s="2" t="s">
        <v>38</v>
      </c>
      <c r="D1228" s="2" t="s">
        <v>26</v>
      </c>
      <c r="E1228" s="2" t="s">
        <v>15</v>
      </c>
      <c r="F1228" s="2" t="s">
        <v>47</v>
      </c>
      <c r="G1228" s="2" t="s">
        <v>36</v>
      </c>
      <c r="H1228" s="2">
        <v>150000</v>
      </c>
      <c r="I1228" s="2">
        <v>5</v>
      </c>
      <c r="J1228" s="2" t="s">
        <v>43</v>
      </c>
      <c r="K1228" s="2">
        <f t="shared" si="133"/>
        <v>120000</v>
      </c>
      <c r="L1228" s="9">
        <f>Table_1[[#This Row],[Unit Price]]*Table_1[[#This Row],[Quantity]]</f>
        <v>750000</v>
      </c>
      <c r="M1228" s="8">
        <f>Table_1[[#This Row],[Cost Price]]*Table_1[[#This Row],[Quantity]]</f>
        <v>600000</v>
      </c>
      <c r="N1228">
        <f>Table_1[[#This Row],[Revenue]]-Table_1[[#This Row],[COGS]]</f>
        <v>150000</v>
      </c>
      <c r="O1228" s="11">
        <f t="shared" si="134"/>
        <v>4656740000</v>
      </c>
      <c r="P1228">
        <f t="shared" si="135"/>
        <v>3725392000</v>
      </c>
      <c r="Q1228">
        <f t="shared" si="136"/>
        <v>931348000</v>
      </c>
      <c r="R1228" s="7">
        <f t="shared" si="137"/>
        <v>2098</v>
      </c>
      <c r="S1228" s="7">
        <f t="shared" si="138"/>
        <v>1</v>
      </c>
      <c r="T1228" s="7">
        <f t="shared" si="139"/>
        <v>2098</v>
      </c>
    </row>
    <row r="1229" spans="1:20" ht="14.25" customHeight="1" x14ac:dyDescent="0.35">
      <c r="A1229" s="2" t="s">
        <v>130</v>
      </c>
      <c r="B1229" s="2" t="s">
        <v>12</v>
      </c>
      <c r="C1229" s="2" t="s">
        <v>30</v>
      </c>
      <c r="D1229" s="2" t="s">
        <v>26</v>
      </c>
      <c r="E1229" s="2" t="s">
        <v>22</v>
      </c>
      <c r="F1229" s="2" t="s">
        <v>52</v>
      </c>
      <c r="G1229" s="2" t="s">
        <v>36</v>
      </c>
      <c r="H1229" s="2">
        <v>420000</v>
      </c>
      <c r="I1229" s="2">
        <v>4</v>
      </c>
      <c r="J1229" s="2" t="s">
        <v>50</v>
      </c>
      <c r="K1229" s="2">
        <f t="shared" si="133"/>
        <v>336000</v>
      </c>
      <c r="L1229" s="9">
        <f>Table_1[[#This Row],[Unit Price]]*Table_1[[#This Row],[Quantity]]</f>
        <v>1680000</v>
      </c>
      <c r="M1229" s="8">
        <f>Table_1[[#This Row],[Cost Price]]*Table_1[[#This Row],[Quantity]]</f>
        <v>1344000</v>
      </c>
      <c r="N1229">
        <f>Table_1[[#This Row],[Revenue]]-Table_1[[#This Row],[COGS]]</f>
        <v>336000</v>
      </c>
      <c r="O1229" s="11">
        <f t="shared" si="134"/>
        <v>4656740000</v>
      </c>
      <c r="P1229">
        <f t="shared" si="135"/>
        <v>3725392000</v>
      </c>
      <c r="Q1229">
        <f t="shared" si="136"/>
        <v>931348000</v>
      </c>
      <c r="R1229" s="7">
        <f t="shared" si="137"/>
        <v>2098</v>
      </c>
      <c r="S1229" s="7">
        <f t="shared" si="138"/>
        <v>1</v>
      </c>
      <c r="T1229" s="7">
        <f t="shared" si="139"/>
        <v>2098</v>
      </c>
    </row>
    <row r="1230" spans="1:20" ht="14.25" customHeight="1" x14ac:dyDescent="0.35">
      <c r="A1230" s="2" t="s">
        <v>123</v>
      </c>
      <c r="B1230" s="2" t="s">
        <v>20</v>
      </c>
      <c r="C1230" s="2" t="s">
        <v>30</v>
      </c>
      <c r="D1230" s="2" t="s">
        <v>26</v>
      </c>
      <c r="E1230" s="2" t="s">
        <v>22</v>
      </c>
      <c r="F1230" s="2" t="s">
        <v>35</v>
      </c>
      <c r="G1230" s="2" t="s">
        <v>36</v>
      </c>
      <c r="H1230" s="2">
        <v>300000</v>
      </c>
      <c r="I1230" s="2">
        <v>6</v>
      </c>
      <c r="J1230" s="2" t="s">
        <v>54</v>
      </c>
      <c r="K1230" s="2">
        <f t="shared" si="133"/>
        <v>240000</v>
      </c>
      <c r="L1230" s="9">
        <f>Table_1[[#This Row],[Unit Price]]*Table_1[[#This Row],[Quantity]]</f>
        <v>1800000</v>
      </c>
      <c r="M1230" s="8">
        <f>Table_1[[#This Row],[Cost Price]]*Table_1[[#This Row],[Quantity]]</f>
        <v>1440000</v>
      </c>
      <c r="N1230">
        <f>Table_1[[#This Row],[Revenue]]-Table_1[[#This Row],[COGS]]</f>
        <v>360000</v>
      </c>
      <c r="O1230" s="11">
        <f t="shared" si="134"/>
        <v>4656740000</v>
      </c>
      <c r="P1230">
        <f t="shared" si="135"/>
        <v>3725392000</v>
      </c>
      <c r="Q1230">
        <f t="shared" si="136"/>
        <v>931348000</v>
      </c>
      <c r="R1230" s="7">
        <f t="shared" si="137"/>
        <v>2098</v>
      </c>
      <c r="S1230" s="7">
        <f t="shared" si="138"/>
        <v>4</v>
      </c>
      <c r="T1230" s="7">
        <f t="shared" si="139"/>
        <v>2098</v>
      </c>
    </row>
    <row r="1231" spans="1:20" ht="14.25" customHeight="1" x14ac:dyDescent="0.35">
      <c r="A1231" s="2" t="s">
        <v>162</v>
      </c>
      <c r="B1231" s="2" t="s">
        <v>34</v>
      </c>
      <c r="C1231" s="2" t="s">
        <v>13</v>
      </c>
      <c r="D1231" s="2" t="s">
        <v>26</v>
      </c>
      <c r="E1231" s="2" t="s">
        <v>15</v>
      </c>
      <c r="F1231" s="2" t="s">
        <v>31</v>
      </c>
      <c r="G1231" s="2" t="s">
        <v>24</v>
      </c>
      <c r="H1231" s="2">
        <v>60000</v>
      </c>
      <c r="I1231" s="2">
        <v>2</v>
      </c>
      <c r="J1231" s="2" t="s">
        <v>50</v>
      </c>
      <c r="K1231" s="2">
        <f t="shared" si="133"/>
        <v>48000</v>
      </c>
      <c r="L1231" s="9">
        <f>Table_1[[#This Row],[Unit Price]]*Table_1[[#This Row],[Quantity]]</f>
        <v>120000</v>
      </c>
      <c r="M1231" s="8">
        <f>Table_1[[#This Row],[Cost Price]]*Table_1[[#This Row],[Quantity]]</f>
        <v>96000</v>
      </c>
      <c r="N1231">
        <f>Table_1[[#This Row],[Revenue]]-Table_1[[#This Row],[COGS]]</f>
        <v>24000</v>
      </c>
      <c r="O1231" s="11">
        <f t="shared" si="134"/>
        <v>4656740000</v>
      </c>
      <c r="P1231">
        <f t="shared" si="135"/>
        <v>3725392000</v>
      </c>
      <c r="Q1231">
        <f t="shared" si="136"/>
        <v>931348000</v>
      </c>
      <c r="R1231" s="7">
        <f t="shared" si="137"/>
        <v>2098</v>
      </c>
      <c r="S1231" s="7">
        <f t="shared" si="138"/>
        <v>3</v>
      </c>
      <c r="T1231" s="7">
        <f t="shared" si="139"/>
        <v>2098</v>
      </c>
    </row>
    <row r="1232" spans="1:20" ht="14.25" customHeight="1" x14ac:dyDescent="0.35">
      <c r="A1232" s="2" t="s">
        <v>48</v>
      </c>
      <c r="B1232" s="2" t="s">
        <v>34</v>
      </c>
      <c r="C1232" s="2" t="s">
        <v>38</v>
      </c>
      <c r="D1232" s="2" t="s">
        <v>26</v>
      </c>
      <c r="E1232" s="2" t="s">
        <v>15</v>
      </c>
      <c r="F1232" s="2" t="s">
        <v>16</v>
      </c>
      <c r="G1232" s="2" t="s">
        <v>17</v>
      </c>
      <c r="H1232" s="2">
        <v>85000</v>
      </c>
      <c r="I1232" s="2">
        <v>5</v>
      </c>
      <c r="J1232" s="2" t="s">
        <v>43</v>
      </c>
      <c r="K1232" s="2">
        <f t="shared" si="133"/>
        <v>68000</v>
      </c>
      <c r="L1232" s="9">
        <f>Table_1[[#This Row],[Unit Price]]*Table_1[[#This Row],[Quantity]]</f>
        <v>425000</v>
      </c>
      <c r="M1232" s="8">
        <f>Table_1[[#This Row],[Cost Price]]*Table_1[[#This Row],[Quantity]]</f>
        <v>340000</v>
      </c>
      <c r="N1232">
        <f>Table_1[[#This Row],[Revenue]]-Table_1[[#This Row],[COGS]]</f>
        <v>85000</v>
      </c>
      <c r="O1232" s="11">
        <f t="shared" si="134"/>
        <v>4656740000</v>
      </c>
      <c r="P1232">
        <f t="shared" si="135"/>
        <v>3725392000</v>
      </c>
      <c r="Q1232">
        <f t="shared" si="136"/>
        <v>931348000</v>
      </c>
      <c r="R1232" s="7">
        <f t="shared" si="137"/>
        <v>2098</v>
      </c>
      <c r="S1232" s="7">
        <f t="shared" si="138"/>
        <v>1</v>
      </c>
      <c r="T1232" s="7">
        <f t="shared" si="139"/>
        <v>2098</v>
      </c>
    </row>
    <row r="1233" spans="1:20" ht="14.25" customHeight="1" x14ac:dyDescent="0.35">
      <c r="A1233" s="2" t="s">
        <v>152</v>
      </c>
      <c r="B1233" s="2" t="s">
        <v>12</v>
      </c>
      <c r="C1233" s="2" t="s">
        <v>38</v>
      </c>
      <c r="D1233" s="2" t="s">
        <v>14</v>
      </c>
      <c r="E1233" s="2" t="s">
        <v>22</v>
      </c>
      <c r="F1233" s="2" t="s">
        <v>31</v>
      </c>
      <c r="G1233" s="2" t="s">
        <v>24</v>
      </c>
      <c r="H1233" s="2">
        <v>60000</v>
      </c>
      <c r="I1233" s="2">
        <v>3</v>
      </c>
      <c r="J1233" s="2" t="s">
        <v>27</v>
      </c>
      <c r="K1233" s="2">
        <f t="shared" si="133"/>
        <v>48000</v>
      </c>
      <c r="L1233" s="9">
        <f>Table_1[[#This Row],[Unit Price]]*Table_1[[#This Row],[Quantity]]</f>
        <v>180000</v>
      </c>
      <c r="M1233" s="8">
        <f>Table_1[[#This Row],[Cost Price]]*Table_1[[#This Row],[Quantity]]</f>
        <v>144000</v>
      </c>
      <c r="N1233">
        <f>Table_1[[#This Row],[Revenue]]-Table_1[[#This Row],[COGS]]</f>
        <v>36000</v>
      </c>
      <c r="O1233" s="11">
        <f t="shared" si="134"/>
        <v>4656740000</v>
      </c>
      <c r="P1233">
        <f t="shared" si="135"/>
        <v>3725392000</v>
      </c>
      <c r="Q1233">
        <f t="shared" si="136"/>
        <v>931348000</v>
      </c>
      <c r="R1233" s="7">
        <f t="shared" si="137"/>
        <v>2098</v>
      </c>
      <c r="S1233" s="7">
        <f t="shared" si="138"/>
        <v>4</v>
      </c>
      <c r="T1233" s="7">
        <f t="shared" si="139"/>
        <v>2098</v>
      </c>
    </row>
    <row r="1234" spans="1:20" ht="14.25" customHeight="1" x14ac:dyDescent="0.35">
      <c r="A1234" s="2" t="s">
        <v>57</v>
      </c>
      <c r="B1234" s="2" t="s">
        <v>34</v>
      </c>
      <c r="C1234" s="2" t="s">
        <v>38</v>
      </c>
      <c r="D1234" s="2" t="s">
        <v>26</v>
      </c>
      <c r="E1234" s="2" t="s">
        <v>15</v>
      </c>
      <c r="F1234" s="2" t="s">
        <v>16</v>
      </c>
      <c r="G1234" s="2" t="s">
        <v>17</v>
      </c>
      <c r="H1234" s="2">
        <v>85000</v>
      </c>
      <c r="I1234" s="2">
        <v>7</v>
      </c>
      <c r="J1234" s="2" t="s">
        <v>43</v>
      </c>
      <c r="K1234" s="2">
        <f t="shared" si="133"/>
        <v>68000</v>
      </c>
      <c r="L1234" s="9">
        <f>Table_1[[#This Row],[Unit Price]]*Table_1[[#This Row],[Quantity]]</f>
        <v>595000</v>
      </c>
      <c r="M1234" s="8">
        <f>Table_1[[#This Row],[Cost Price]]*Table_1[[#This Row],[Quantity]]</f>
        <v>476000</v>
      </c>
      <c r="N1234">
        <f>Table_1[[#This Row],[Revenue]]-Table_1[[#This Row],[COGS]]</f>
        <v>119000</v>
      </c>
      <c r="O1234" s="11">
        <f t="shared" si="134"/>
        <v>4656740000</v>
      </c>
      <c r="P1234">
        <f t="shared" si="135"/>
        <v>3725392000</v>
      </c>
      <c r="Q1234">
        <f t="shared" si="136"/>
        <v>931348000</v>
      </c>
      <c r="R1234" s="7">
        <f t="shared" si="137"/>
        <v>2098</v>
      </c>
      <c r="S1234" s="7">
        <f t="shared" si="138"/>
        <v>2</v>
      </c>
      <c r="T1234" s="7">
        <f t="shared" si="139"/>
        <v>2098</v>
      </c>
    </row>
    <row r="1235" spans="1:20" ht="14.25" customHeight="1" x14ac:dyDescent="0.35">
      <c r="A1235" s="2" t="s">
        <v>62</v>
      </c>
      <c r="B1235" s="2" t="s">
        <v>34</v>
      </c>
      <c r="C1235" s="2" t="s">
        <v>21</v>
      </c>
      <c r="D1235" s="2" t="s">
        <v>26</v>
      </c>
      <c r="E1235" s="2" t="s">
        <v>15</v>
      </c>
      <c r="F1235" s="2" t="s">
        <v>39</v>
      </c>
      <c r="G1235" s="2" t="s">
        <v>24</v>
      </c>
      <c r="H1235" s="2">
        <v>180000</v>
      </c>
      <c r="I1235" s="2">
        <v>5</v>
      </c>
      <c r="J1235" s="2" t="s">
        <v>54</v>
      </c>
      <c r="K1235" s="2">
        <f t="shared" si="133"/>
        <v>144000</v>
      </c>
      <c r="L1235" s="9">
        <f>Table_1[[#This Row],[Unit Price]]*Table_1[[#This Row],[Quantity]]</f>
        <v>900000</v>
      </c>
      <c r="M1235" s="8">
        <f>Table_1[[#This Row],[Cost Price]]*Table_1[[#This Row],[Quantity]]</f>
        <v>720000</v>
      </c>
      <c r="N1235">
        <f>Table_1[[#This Row],[Revenue]]-Table_1[[#This Row],[COGS]]</f>
        <v>180000</v>
      </c>
      <c r="O1235" s="11">
        <f t="shared" si="134"/>
        <v>4656740000</v>
      </c>
      <c r="P1235">
        <f t="shared" si="135"/>
        <v>3725392000</v>
      </c>
      <c r="Q1235">
        <f t="shared" si="136"/>
        <v>931348000</v>
      </c>
      <c r="R1235" s="7">
        <f t="shared" si="137"/>
        <v>2098</v>
      </c>
      <c r="S1235" s="7">
        <f t="shared" si="138"/>
        <v>4</v>
      </c>
      <c r="T1235" s="7">
        <f t="shared" si="139"/>
        <v>2098</v>
      </c>
    </row>
    <row r="1236" spans="1:20" ht="14.25" customHeight="1" x14ac:dyDescent="0.35">
      <c r="A1236" s="2" t="s">
        <v>120</v>
      </c>
      <c r="B1236" s="2" t="s">
        <v>20</v>
      </c>
      <c r="C1236" s="2" t="s">
        <v>21</v>
      </c>
      <c r="D1236" s="2" t="s">
        <v>14</v>
      </c>
      <c r="E1236" s="2" t="s">
        <v>15</v>
      </c>
      <c r="F1236" s="2" t="s">
        <v>52</v>
      </c>
      <c r="G1236" s="2" t="s">
        <v>36</v>
      </c>
      <c r="H1236" s="2">
        <v>420000</v>
      </c>
      <c r="I1236" s="2">
        <v>5</v>
      </c>
      <c r="J1236" s="2" t="s">
        <v>32</v>
      </c>
      <c r="K1236" s="2">
        <f t="shared" si="133"/>
        <v>336000</v>
      </c>
      <c r="L1236" s="9">
        <f>Table_1[[#This Row],[Unit Price]]*Table_1[[#This Row],[Quantity]]</f>
        <v>2100000</v>
      </c>
      <c r="M1236" s="8">
        <f>Table_1[[#This Row],[Cost Price]]*Table_1[[#This Row],[Quantity]]</f>
        <v>1680000</v>
      </c>
      <c r="N1236">
        <f>Table_1[[#This Row],[Revenue]]-Table_1[[#This Row],[COGS]]</f>
        <v>420000</v>
      </c>
      <c r="O1236" s="11">
        <f t="shared" si="134"/>
        <v>4656740000</v>
      </c>
      <c r="P1236">
        <f t="shared" si="135"/>
        <v>3725392000</v>
      </c>
      <c r="Q1236">
        <f t="shared" si="136"/>
        <v>931348000</v>
      </c>
      <c r="R1236" s="7">
        <f t="shared" si="137"/>
        <v>2098</v>
      </c>
      <c r="S1236" s="7">
        <f t="shared" si="138"/>
        <v>3</v>
      </c>
      <c r="T1236" s="7">
        <f t="shared" si="139"/>
        <v>2098</v>
      </c>
    </row>
    <row r="1237" spans="1:20" ht="14.25" customHeight="1" x14ac:dyDescent="0.35">
      <c r="A1237" s="2" t="s">
        <v>93</v>
      </c>
      <c r="B1237" s="2" t="s">
        <v>20</v>
      </c>
      <c r="C1237" s="2" t="s">
        <v>38</v>
      </c>
      <c r="D1237" s="2" t="s">
        <v>26</v>
      </c>
      <c r="E1237" s="2" t="s">
        <v>22</v>
      </c>
      <c r="F1237" s="2" t="s">
        <v>16</v>
      </c>
      <c r="G1237" s="2" t="s">
        <v>17</v>
      </c>
      <c r="H1237" s="2">
        <v>85000</v>
      </c>
      <c r="I1237" s="2">
        <v>6</v>
      </c>
      <c r="J1237" s="2" t="s">
        <v>32</v>
      </c>
      <c r="K1237" s="2">
        <f t="shared" si="133"/>
        <v>68000</v>
      </c>
      <c r="L1237" s="9">
        <f>Table_1[[#This Row],[Unit Price]]*Table_1[[#This Row],[Quantity]]</f>
        <v>510000</v>
      </c>
      <c r="M1237" s="8">
        <f>Table_1[[#This Row],[Cost Price]]*Table_1[[#This Row],[Quantity]]</f>
        <v>408000</v>
      </c>
      <c r="N1237">
        <f>Table_1[[#This Row],[Revenue]]-Table_1[[#This Row],[COGS]]</f>
        <v>102000</v>
      </c>
      <c r="O1237" s="11">
        <f t="shared" si="134"/>
        <v>4656740000</v>
      </c>
      <c r="P1237">
        <f t="shared" si="135"/>
        <v>3725392000</v>
      </c>
      <c r="Q1237">
        <f t="shared" si="136"/>
        <v>931348000</v>
      </c>
      <c r="R1237" s="7">
        <f t="shared" si="137"/>
        <v>2098</v>
      </c>
      <c r="S1237" s="7">
        <f t="shared" si="138"/>
        <v>4</v>
      </c>
      <c r="T1237" s="7">
        <f t="shared" si="139"/>
        <v>2098</v>
      </c>
    </row>
    <row r="1238" spans="1:20" ht="14.25" customHeight="1" x14ac:dyDescent="0.35">
      <c r="A1238" s="2" t="s">
        <v>88</v>
      </c>
      <c r="B1238" s="2" t="s">
        <v>34</v>
      </c>
      <c r="C1238" s="2" t="s">
        <v>13</v>
      </c>
      <c r="D1238" s="2" t="s">
        <v>14</v>
      </c>
      <c r="E1238" s="2" t="s">
        <v>22</v>
      </c>
      <c r="F1238" s="2" t="s">
        <v>52</v>
      </c>
      <c r="G1238" s="2" t="s">
        <v>36</v>
      </c>
      <c r="H1238" s="2">
        <v>420000</v>
      </c>
      <c r="I1238" s="2">
        <v>7</v>
      </c>
      <c r="J1238" s="2" t="s">
        <v>18</v>
      </c>
      <c r="K1238" s="2">
        <f t="shared" si="133"/>
        <v>336000</v>
      </c>
      <c r="L1238" s="9">
        <f>Table_1[[#This Row],[Unit Price]]*Table_1[[#This Row],[Quantity]]</f>
        <v>2940000</v>
      </c>
      <c r="M1238" s="8">
        <f>Table_1[[#This Row],[Cost Price]]*Table_1[[#This Row],[Quantity]]</f>
        <v>2352000</v>
      </c>
      <c r="N1238">
        <f>Table_1[[#This Row],[Revenue]]-Table_1[[#This Row],[COGS]]</f>
        <v>588000</v>
      </c>
      <c r="O1238" s="11">
        <f t="shared" si="134"/>
        <v>4656740000</v>
      </c>
      <c r="P1238">
        <f t="shared" si="135"/>
        <v>3725392000</v>
      </c>
      <c r="Q1238">
        <f t="shared" si="136"/>
        <v>931348000</v>
      </c>
      <c r="R1238" s="7">
        <f t="shared" si="137"/>
        <v>2098</v>
      </c>
      <c r="S1238" s="7">
        <f t="shared" si="138"/>
        <v>3</v>
      </c>
      <c r="T1238" s="7">
        <f t="shared" si="139"/>
        <v>2098</v>
      </c>
    </row>
    <row r="1239" spans="1:20" ht="14.25" customHeight="1" x14ac:dyDescent="0.35">
      <c r="A1239" s="2" t="s">
        <v>144</v>
      </c>
      <c r="B1239" s="2" t="s">
        <v>29</v>
      </c>
      <c r="C1239" s="2" t="s">
        <v>38</v>
      </c>
      <c r="D1239" s="2" t="s">
        <v>26</v>
      </c>
      <c r="E1239" s="2" t="s">
        <v>15</v>
      </c>
      <c r="F1239" s="2" t="s">
        <v>52</v>
      </c>
      <c r="G1239" s="2" t="s">
        <v>36</v>
      </c>
      <c r="H1239" s="2">
        <v>420000</v>
      </c>
      <c r="I1239" s="2">
        <v>9</v>
      </c>
      <c r="J1239" s="2" t="s">
        <v>54</v>
      </c>
      <c r="K1239" s="2">
        <f t="shared" si="133"/>
        <v>336000</v>
      </c>
      <c r="L1239" s="9">
        <f>Table_1[[#This Row],[Unit Price]]*Table_1[[#This Row],[Quantity]]</f>
        <v>3780000</v>
      </c>
      <c r="M1239" s="8">
        <f>Table_1[[#This Row],[Cost Price]]*Table_1[[#This Row],[Quantity]]</f>
        <v>3024000</v>
      </c>
      <c r="N1239">
        <f>Table_1[[#This Row],[Revenue]]-Table_1[[#This Row],[COGS]]</f>
        <v>756000</v>
      </c>
      <c r="O1239" s="11">
        <f t="shared" si="134"/>
        <v>4656740000</v>
      </c>
      <c r="P1239">
        <f t="shared" si="135"/>
        <v>3725392000</v>
      </c>
      <c r="Q1239">
        <f t="shared" si="136"/>
        <v>931348000</v>
      </c>
      <c r="R1239" s="7">
        <f t="shared" si="137"/>
        <v>2098</v>
      </c>
      <c r="S1239" s="7">
        <f t="shared" si="138"/>
        <v>2</v>
      </c>
      <c r="T1239" s="7">
        <f t="shared" si="139"/>
        <v>2098</v>
      </c>
    </row>
    <row r="1240" spans="1:20" ht="14.25" customHeight="1" x14ac:dyDescent="0.35">
      <c r="A1240" s="2" t="s">
        <v>75</v>
      </c>
      <c r="B1240" s="2" t="s">
        <v>12</v>
      </c>
      <c r="C1240" s="2" t="s">
        <v>21</v>
      </c>
      <c r="D1240" s="2" t="s">
        <v>26</v>
      </c>
      <c r="E1240" s="2" t="s">
        <v>15</v>
      </c>
      <c r="F1240" s="2" t="s">
        <v>35</v>
      </c>
      <c r="G1240" s="2" t="s">
        <v>36</v>
      </c>
      <c r="H1240" s="2">
        <v>300000</v>
      </c>
      <c r="I1240" s="2">
        <v>3</v>
      </c>
      <c r="J1240" s="2" t="s">
        <v>50</v>
      </c>
      <c r="K1240" s="2">
        <f t="shared" si="133"/>
        <v>240000</v>
      </c>
      <c r="L1240" s="9">
        <f>Table_1[[#This Row],[Unit Price]]*Table_1[[#This Row],[Quantity]]</f>
        <v>900000</v>
      </c>
      <c r="M1240" s="8">
        <f>Table_1[[#This Row],[Cost Price]]*Table_1[[#This Row],[Quantity]]</f>
        <v>720000</v>
      </c>
      <c r="N1240">
        <f>Table_1[[#This Row],[Revenue]]-Table_1[[#This Row],[COGS]]</f>
        <v>180000</v>
      </c>
      <c r="O1240" s="11">
        <f t="shared" si="134"/>
        <v>4656740000</v>
      </c>
      <c r="P1240">
        <f t="shared" si="135"/>
        <v>3725392000</v>
      </c>
      <c r="Q1240">
        <f t="shared" si="136"/>
        <v>931348000</v>
      </c>
      <c r="R1240" s="7">
        <f t="shared" si="137"/>
        <v>2098</v>
      </c>
      <c r="S1240" s="7">
        <f t="shared" si="138"/>
        <v>2</v>
      </c>
      <c r="T1240" s="7">
        <f t="shared" si="139"/>
        <v>2098</v>
      </c>
    </row>
    <row r="1241" spans="1:20" ht="14.25" customHeight="1" x14ac:dyDescent="0.35">
      <c r="A1241" s="2" t="s">
        <v>130</v>
      </c>
      <c r="B1241" s="2" t="s">
        <v>20</v>
      </c>
      <c r="C1241" s="2" t="s">
        <v>30</v>
      </c>
      <c r="D1241" s="2" t="s">
        <v>14</v>
      </c>
      <c r="E1241" s="2" t="s">
        <v>15</v>
      </c>
      <c r="F1241" s="2" t="s">
        <v>16</v>
      </c>
      <c r="G1241" s="2" t="s">
        <v>17</v>
      </c>
      <c r="H1241" s="2">
        <v>85000</v>
      </c>
      <c r="I1241" s="2">
        <v>9</v>
      </c>
      <c r="J1241" s="2" t="s">
        <v>50</v>
      </c>
      <c r="K1241" s="2">
        <f t="shared" si="133"/>
        <v>68000</v>
      </c>
      <c r="L1241" s="9">
        <f>Table_1[[#This Row],[Unit Price]]*Table_1[[#This Row],[Quantity]]</f>
        <v>765000</v>
      </c>
      <c r="M1241" s="8">
        <f>Table_1[[#This Row],[Cost Price]]*Table_1[[#This Row],[Quantity]]</f>
        <v>612000</v>
      </c>
      <c r="N1241">
        <f>Table_1[[#This Row],[Revenue]]-Table_1[[#This Row],[COGS]]</f>
        <v>153000</v>
      </c>
      <c r="O1241" s="11">
        <f t="shared" si="134"/>
        <v>4656740000</v>
      </c>
      <c r="P1241">
        <f t="shared" si="135"/>
        <v>3725392000</v>
      </c>
      <c r="Q1241">
        <f t="shared" si="136"/>
        <v>931348000</v>
      </c>
      <c r="R1241" s="7">
        <f t="shared" si="137"/>
        <v>2098</v>
      </c>
      <c r="S1241" s="7">
        <f t="shared" si="138"/>
        <v>1</v>
      </c>
      <c r="T1241" s="7">
        <f t="shared" si="139"/>
        <v>2098</v>
      </c>
    </row>
    <row r="1242" spans="1:20" ht="14.25" customHeight="1" x14ac:dyDescent="0.35">
      <c r="A1242" s="2" t="s">
        <v>126</v>
      </c>
      <c r="B1242" s="2" t="s">
        <v>29</v>
      </c>
      <c r="C1242" s="2" t="s">
        <v>13</v>
      </c>
      <c r="D1242" s="2" t="s">
        <v>26</v>
      </c>
      <c r="E1242" s="2" t="s">
        <v>22</v>
      </c>
      <c r="F1242" s="2" t="s">
        <v>58</v>
      </c>
      <c r="G1242" s="2" t="s">
        <v>24</v>
      </c>
      <c r="H1242" s="2">
        <v>220000</v>
      </c>
      <c r="I1242" s="2">
        <v>7</v>
      </c>
      <c r="J1242" s="2" t="s">
        <v>43</v>
      </c>
      <c r="K1242" s="2">
        <f t="shared" si="133"/>
        <v>176000</v>
      </c>
      <c r="L1242" s="9">
        <f>Table_1[[#This Row],[Unit Price]]*Table_1[[#This Row],[Quantity]]</f>
        <v>1540000</v>
      </c>
      <c r="M1242" s="8">
        <f>Table_1[[#This Row],[Cost Price]]*Table_1[[#This Row],[Quantity]]</f>
        <v>1232000</v>
      </c>
      <c r="N1242">
        <f>Table_1[[#This Row],[Revenue]]-Table_1[[#This Row],[COGS]]</f>
        <v>308000</v>
      </c>
      <c r="O1242" s="11">
        <f t="shared" si="134"/>
        <v>4656740000</v>
      </c>
      <c r="P1242">
        <f t="shared" si="135"/>
        <v>3725392000</v>
      </c>
      <c r="Q1242">
        <f t="shared" si="136"/>
        <v>931348000</v>
      </c>
      <c r="R1242" s="7">
        <f t="shared" si="137"/>
        <v>2098</v>
      </c>
      <c r="S1242" s="7">
        <f t="shared" si="138"/>
        <v>3</v>
      </c>
      <c r="T1242" s="7">
        <f t="shared" si="139"/>
        <v>2098</v>
      </c>
    </row>
    <row r="1243" spans="1:20" ht="14.25" customHeight="1" x14ac:dyDescent="0.35">
      <c r="A1243" s="2" t="s">
        <v>127</v>
      </c>
      <c r="B1243" s="2" t="s">
        <v>12</v>
      </c>
      <c r="C1243" s="2" t="s">
        <v>21</v>
      </c>
      <c r="D1243" s="2" t="s">
        <v>26</v>
      </c>
      <c r="E1243" s="2" t="s">
        <v>22</v>
      </c>
      <c r="F1243" s="2" t="s">
        <v>35</v>
      </c>
      <c r="G1243" s="2" t="s">
        <v>36</v>
      </c>
      <c r="H1243" s="2">
        <v>300000</v>
      </c>
      <c r="I1243" s="2">
        <v>10</v>
      </c>
      <c r="J1243" s="2" t="s">
        <v>18</v>
      </c>
      <c r="K1243" s="2">
        <f t="shared" si="133"/>
        <v>240000</v>
      </c>
      <c r="L1243" s="9">
        <f>Table_1[[#This Row],[Unit Price]]*Table_1[[#This Row],[Quantity]]</f>
        <v>3000000</v>
      </c>
      <c r="M1243" s="8">
        <f>Table_1[[#This Row],[Cost Price]]*Table_1[[#This Row],[Quantity]]</f>
        <v>2400000</v>
      </c>
      <c r="N1243">
        <f>Table_1[[#This Row],[Revenue]]-Table_1[[#This Row],[COGS]]</f>
        <v>600000</v>
      </c>
      <c r="O1243" s="11">
        <f t="shared" si="134"/>
        <v>4656740000</v>
      </c>
      <c r="P1243">
        <f t="shared" si="135"/>
        <v>3725392000</v>
      </c>
      <c r="Q1243">
        <f t="shared" si="136"/>
        <v>931348000</v>
      </c>
      <c r="R1243" s="7">
        <f t="shared" si="137"/>
        <v>2098</v>
      </c>
      <c r="S1243" s="7">
        <f t="shared" si="138"/>
        <v>4</v>
      </c>
      <c r="T1243" s="7">
        <f t="shared" si="139"/>
        <v>2098</v>
      </c>
    </row>
    <row r="1244" spans="1:20" ht="14.25" customHeight="1" x14ac:dyDescent="0.35">
      <c r="A1244" s="2" t="s">
        <v>99</v>
      </c>
      <c r="B1244" s="2" t="s">
        <v>12</v>
      </c>
      <c r="C1244" s="2" t="s">
        <v>13</v>
      </c>
      <c r="D1244" s="2" t="s">
        <v>14</v>
      </c>
      <c r="E1244" s="2" t="s">
        <v>22</v>
      </c>
      <c r="F1244" s="2" t="s">
        <v>16</v>
      </c>
      <c r="G1244" s="2" t="s">
        <v>17</v>
      </c>
      <c r="H1244" s="2">
        <v>85000</v>
      </c>
      <c r="I1244" s="2">
        <v>8</v>
      </c>
      <c r="J1244" s="2" t="s">
        <v>50</v>
      </c>
      <c r="K1244" s="2">
        <f t="shared" si="133"/>
        <v>68000</v>
      </c>
      <c r="L1244" s="9">
        <f>Table_1[[#This Row],[Unit Price]]*Table_1[[#This Row],[Quantity]]</f>
        <v>680000</v>
      </c>
      <c r="M1244" s="8">
        <f>Table_1[[#This Row],[Cost Price]]*Table_1[[#This Row],[Quantity]]</f>
        <v>544000</v>
      </c>
      <c r="N1244">
        <f>Table_1[[#This Row],[Revenue]]-Table_1[[#This Row],[COGS]]</f>
        <v>136000</v>
      </c>
      <c r="O1244" s="11">
        <f t="shared" si="134"/>
        <v>4656740000</v>
      </c>
      <c r="P1244">
        <f t="shared" si="135"/>
        <v>3725392000</v>
      </c>
      <c r="Q1244">
        <f t="shared" si="136"/>
        <v>931348000</v>
      </c>
      <c r="R1244" s="7">
        <f t="shared" si="137"/>
        <v>2098</v>
      </c>
      <c r="S1244" s="7">
        <f t="shared" si="138"/>
        <v>4</v>
      </c>
      <c r="T1244" s="7">
        <f t="shared" si="139"/>
        <v>2098</v>
      </c>
    </row>
    <row r="1245" spans="1:20" ht="14.25" customHeight="1" x14ac:dyDescent="0.35">
      <c r="A1245" s="2" t="s">
        <v>71</v>
      </c>
      <c r="B1245" s="2" t="s">
        <v>20</v>
      </c>
      <c r="C1245" s="2" t="s">
        <v>21</v>
      </c>
      <c r="D1245" s="2" t="s">
        <v>26</v>
      </c>
      <c r="E1245" s="2" t="s">
        <v>15</v>
      </c>
      <c r="F1245" s="2" t="s">
        <v>23</v>
      </c>
      <c r="G1245" s="2" t="s">
        <v>24</v>
      </c>
      <c r="H1245" s="2">
        <v>30000</v>
      </c>
      <c r="I1245" s="2">
        <v>3</v>
      </c>
      <c r="J1245" s="2" t="s">
        <v>50</v>
      </c>
      <c r="K1245" s="2">
        <f t="shared" si="133"/>
        <v>24000</v>
      </c>
      <c r="L1245" s="9">
        <f>Table_1[[#This Row],[Unit Price]]*Table_1[[#This Row],[Quantity]]</f>
        <v>90000</v>
      </c>
      <c r="M1245" s="8">
        <f>Table_1[[#This Row],[Cost Price]]*Table_1[[#This Row],[Quantity]]</f>
        <v>72000</v>
      </c>
      <c r="N1245">
        <f>Table_1[[#This Row],[Revenue]]-Table_1[[#This Row],[COGS]]</f>
        <v>18000</v>
      </c>
      <c r="O1245" s="11">
        <f t="shared" si="134"/>
        <v>4656740000</v>
      </c>
      <c r="P1245">
        <f t="shared" si="135"/>
        <v>3725392000</v>
      </c>
      <c r="Q1245">
        <f t="shared" si="136"/>
        <v>931348000</v>
      </c>
      <c r="R1245" s="7">
        <f t="shared" si="137"/>
        <v>2098</v>
      </c>
      <c r="S1245" s="7">
        <f t="shared" si="138"/>
        <v>2</v>
      </c>
      <c r="T1245" s="7">
        <f t="shared" si="139"/>
        <v>2098</v>
      </c>
    </row>
    <row r="1246" spans="1:20" ht="14.25" customHeight="1" x14ac:dyDescent="0.35">
      <c r="A1246" s="2" t="s">
        <v>110</v>
      </c>
      <c r="B1246" s="2" t="s">
        <v>29</v>
      </c>
      <c r="C1246" s="2" t="s">
        <v>30</v>
      </c>
      <c r="D1246" s="2" t="s">
        <v>26</v>
      </c>
      <c r="E1246" s="2" t="s">
        <v>22</v>
      </c>
      <c r="F1246" s="2" t="s">
        <v>16</v>
      </c>
      <c r="G1246" s="2" t="s">
        <v>17</v>
      </c>
      <c r="H1246" s="2">
        <v>85000</v>
      </c>
      <c r="I1246" s="2">
        <v>8</v>
      </c>
      <c r="J1246" s="2" t="s">
        <v>43</v>
      </c>
      <c r="K1246" s="2">
        <f t="shared" si="133"/>
        <v>68000</v>
      </c>
      <c r="L1246" s="9">
        <f>Table_1[[#This Row],[Unit Price]]*Table_1[[#This Row],[Quantity]]</f>
        <v>680000</v>
      </c>
      <c r="M1246" s="8">
        <f>Table_1[[#This Row],[Cost Price]]*Table_1[[#This Row],[Quantity]]</f>
        <v>544000</v>
      </c>
      <c r="N1246">
        <f>Table_1[[#This Row],[Revenue]]-Table_1[[#This Row],[COGS]]</f>
        <v>136000</v>
      </c>
      <c r="O1246" s="11">
        <f t="shared" si="134"/>
        <v>4656740000</v>
      </c>
      <c r="P1246">
        <f t="shared" si="135"/>
        <v>3725392000</v>
      </c>
      <c r="Q1246">
        <f t="shared" si="136"/>
        <v>931348000</v>
      </c>
      <c r="R1246" s="7">
        <f t="shared" si="137"/>
        <v>2098</v>
      </c>
      <c r="S1246" s="7">
        <f t="shared" si="138"/>
        <v>2</v>
      </c>
      <c r="T1246" s="7">
        <f t="shared" si="139"/>
        <v>2098</v>
      </c>
    </row>
    <row r="1247" spans="1:20" ht="14.25" customHeight="1" x14ac:dyDescent="0.35">
      <c r="A1247" s="2" t="s">
        <v>65</v>
      </c>
      <c r="B1247" s="2" t="s">
        <v>12</v>
      </c>
      <c r="C1247" s="2" t="s">
        <v>30</v>
      </c>
      <c r="D1247" s="2" t="s">
        <v>14</v>
      </c>
      <c r="E1247" s="2" t="s">
        <v>22</v>
      </c>
      <c r="F1247" s="2" t="s">
        <v>39</v>
      </c>
      <c r="G1247" s="2" t="s">
        <v>24</v>
      </c>
      <c r="H1247" s="2">
        <v>180000</v>
      </c>
      <c r="I1247" s="2">
        <v>3</v>
      </c>
      <c r="J1247" s="2" t="s">
        <v>43</v>
      </c>
      <c r="K1247" s="2">
        <f t="shared" si="133"/>
        <v>144000</v>
      </c>
      <c r="L1247" s="9">
        <f>Table_1[[#This Row],[Unit Price]]*Table_1[[#This Row],[Quantity]]</f>
        <v>540000</v>
      </c>
      <c r="M1247" s="8">
        <f>Table_1[[#This Row],[Cost Price]]*Table_1[[#This Row],[Quantity]]</f>
        <v>432000</v>
      </c>
      <c r="N1247">
        <f>Table_1[[#This Row],[Revenue]]-Table_1[[#This Row],[COGS]]</f>
        <v>108000</v>
      </c>
      <c r="O1247" s="11">
        <f t="shared" si="134"/>
        <v>4656740000</v>
      </c>
      <c r="P1247">
        <f t="shared" si="135"/>
        <v>3725392000</v>
      </c>
      <c r="Q1247">
        <f t="shared" si="136"/>
        <v>931348000</v>
      </c>
      <c r="R1247" s="7">
        <f t="shared" si="137"/>
        <v>2098</v>
      </c>
      <c r="S1247" s="7">
        <f t="shared" si="138"/>
        <v>2</v>
      </c>
      <c r="T1247" s="7">
        <f t="shared" si="139"/>
        <v>2098</v>
      </c>
    </row>
    <row r="1248" spans="1:20" ht="14.25" customHeight="1" x14ac:dyDescent="0.35">
      <c r="A1248" s="2" t="s">
        <v>149</v>
      </c>
      <c r="B1248" s="2" t="s">
        <v>34</v>
      </c>
      <c r="C1248" s="2" t="s">
        <v>13</v>
      </c>
      <c r="D1248" s="2" t="s">
        <v>14</v>
      </c>
      <c r="E1248" s="2" t="s">
        <v>15</v>
      </c>
      <c r="F1248" s="2" t="s">
        <v>58</v>
      </c>
      <c r="G1248" s="2" t="s">
        <v>24</v>
      </c>
      <c r="H1248" s="2">
        <v>220000</v>
      </c>
      <c r="I1248" s="2">
        <v>7</v>
      </c>
      <c r="J1248" s="2" t="s">
        <v>50</v>
      </c>
      <c r="K1248" s="2">
        <f t="shared" si="133"/>
        <v>176000</v>
      </c>
      <c r="L1248" s="9">
        <f>Table_1[[#This Row],[Unit Price]]*Table_1[[#This Row],[Quantity]]</f>
        <v>1540000</v>
      </c>
      <c r="M1248" s="8">
        <f>Table_1[[#This Row],[Cost Price]]*Table_1[[#This Row],[Quantity]]</f>
        <v>1232000</v>
      </c>
      <c r="N1248">
        <f>Table_1[[#This Row],[Revenue]]-Table_1[[#This Row],[COGS]]</f>
        <v>308000</v>
      </c>
      <c r="O1248" s="11">
        <f t="shared" si="134"/>
        <v>4656740000</v>
      </c>
      <c r="P1248">
        <f t="shared" si="135"/>
        <v>3725392000</v>
      </c>
      <c r="Q1248">
        <f t="shared" si="136"/>
        <v>931348000</v>
      </c>
      <c r="R1248" s="7">
        <f t="shared" si="137"/>
        <v>2098</v>
      </c>
      <c r="S1248" s="7">
        <f t="shared" si="138"/>
        <v>3</v>
      </c>
      <c r="T1248" s="7">
        <f t="shared" si="139"/>
        <v>2098</v>
      </c>
    </row>
    <row r="1249" spans="1:20" ht="14.25" customHeight="1" x14ac:dyDescent="0.35">
      <c r="A1249" s="2" t="s">
        <v>40</v>
      </c>
      <c r="B1249" s="2" t="s">
        <v>34</v>
      </c>
      <c r="C1249" s="2" t="s">
        <v>30</v>
      </c>
      <c r="D1249" s="2" t="s">
        <v>14</v>
      </c>
      <c r="E1249" s="2" t="s">
        <v>15</v>
      </c>
      <c r="F1249" s="2" t="s">
        <v>39</v>
      </c>
      <c r="G1249" s="2" t="s">
        <v>24</v>
      </c>
      <c r="H1249" s="2">
        <v>180000</v>
      </c>
      <c r="I1249" s="2">
        <v>8</v>
      </c>
      <c r="J1249" s="2" t="s">
        <v>54</v>
      </c>
      <c r="K1249" s="2">
        <f t="shared" si="133"/>
        <v>144000</v>
      </c>
      <c r="L1249" s="9">
        <f>Table_1[[#This Row],[Unit Price]]*Table_1[[#This Row],[Quantity]]</f>
        <v>1440000</v>
      </c>
      <c r="M1249" s="8">
        <f>Table_1[[#This Row],[Cost Price]]*Table_1[[#This Row],[Quantity]]</f>
        <v>1152000</v>
      </c>
      <c r="N1249">
        <f>Table_1[[#This Row],[Revenue]]-Table_1[[#This Row],[COGS]]</f>
        <v>288000</v>
      </c>
      <c r="O1249" s="11">
        <f t="shared" si="134"/>
        <v>4656740000</v>
      </c>
      <c r="P1249">
        <f t="shared" si="135"/>
        <v>3725392000</v>
      </c>
      <c r="Q1249">
        <f t="shared" si="136"/>
        <v>931348000</v>
      </c>
      <c r="R1249" s="7">
        <f t="shared" si="137"/>
        <v>2098</v>
      </c>
      <c r="S1249" s="7">
        <f t="shared" si="138"/>
        <v>3</v>
      </c>
      <c r="T1249" s="7">
        <f t="shared" si="139"/>
        <v>2098</v>
      </c>
    </row>
    <row r="1250" spans="1:20" ht="14.25" customHeight="1" x14ac:dyDescent="0.35">
      <c r="A1250" s="2" t="s">
        <v>157</v>
      </c>
      <c r="B1250" s="2" t="s">
        <v>29</v>
      </c>
      <c r="C1250" s="2" t="s">
        <v>38</v>
      </c>
      <c r="D1250" s="2" t="s">
        <v>14</v>
      </c>
      <c r="E1250" s="2" t="s">
        <v>15</v>
      </c>
      <c r="F1250" s="2" t="s">
        <v>23</v>
      </c>
      <c r="G1250" s="2" t="s">
        <v>24</v>
      </c>
      <c r="H1250" s="2">
        <v>30000</v>
      </c>
      <c r="I1250" s="2">
        <v>1</v>
      </c>
      <c r="J1250" s="2" t="s">
        <v>32</v>
      </c>
      <c r="K1250" s="2">
        <f t="shared" si="133"/>
        <v>24000</v>
      </c>
      <c r="L1250" s="9">
        <f>Table_1[[#This Row],[Unit Price]]*Table_1[[#This Row],[Quantity]]</f>
        <v>30000</v>
      </c>
      <c r="M1250" s="8">
        <f>Table_1[[#This Row],[Cost Price]]*Table_1[[#This Row],[Quantity]]</f>
        <v>24000</v>
      </c>
      <c r="N1250">
        <f>Table_1[[#This Row],[Revenue]]-Table_1[[#This Row],[COGS]]</f>
        <v>6000</v>
      </c>
      <c r="O1250" s="11">
        <f t="shared" si="134"/>
        <v>4656740000</v>
      </c>
      <c r="P1250">
        <f t="shared" si="135"/>
        <v>3725392000</v>
      </c>
      <c r="Q1250">
        <f t="shared" si="136"/>
        <v>931348000</v>
      </c>
      <c r="R1250" s="7">
        <f t="shared" si="137"/>
        <v>2098</v>
      </c>
      <c r="S1250" s="7">
        <f t="shared" si="138"/>
        <v>3</v>
      </c>
      <c r="T1250" s="7">
        <f t="shared" si="139"/>
        <v>2098</v>
      </c>
    </row>
    <row r="1251" spans="1:20" ht="14.25" customHeight="1" x14ac:dyDescent="0.35">
      <c r="A1251" s="2" t="s">
        <v>75</v>
      </c>
      <c r="B1251" s="2" t="s">
        <v>20</v>
      </c>
      <c r="C1251" s="2" t="s">
        <v>21</v>
      </c>
      <c r="D1251" s="2" t="s">
        <v>14</v>
      </c>
      <c r="E1251" s="2" t="s">
        <v>15</v>
      </c>
      <c r="F1251" s="2" t="s">
        <v>23</v>
      </c>
      <c r="G1251" s="2" t="s">
        <v>24</v>
      </c>
      <c r="H1251" s="2">
        <v>30000</v>
      </c>
      <c r="I1251" s="2">
        <v>8</v>
      </c>
      <c r="J1251" s="2" t="s">
        <v>43</v>
      </c>
      <c r="K1251" s="2">
        <f t="shared" si="133"/>
        <v>24000</v>
      </c>
      <c r="L1251" s="9">
        <f>Table_1[[#This Row],[Unit Price]]*Table_1[[#This Row],[Quantity]]</f>
        <v>240000</v>
      </c>
      <c r="M1251" s="8">
        <f>Table_1[[#This Row],[Cost Price]]*Table_1[[#This Row],[Quantity]]</f>
        <v>192000</v>
      </c>
      <c r="N1251">
        <f>Table_1[[#This Row],[Revenue]]-Table_1[[#This Row],[COGS]]</f>
        <v>48000</v>
      </c>
      <c r="O1251" s="11">
        <f t="shared" si="134"/>
        <v>4656740000</v>
      </c>
      <c r="P1251">
        <f t="shared" si="135"/>
        <v>3725392000</v>
      </c>
      <c r="Q1251">
        <f t="shared" si="136"/>
        <v>931348000</v>
      </c>
      <c r="R1251" s="7">
        <f t="shared" si="137"/>
        <v>2098</v>
      </c>
      <c r="S1251" s="7">
        <f t="shared" si="138"/>
        <v>2</v>
      </c>
      <c r="T1251" s="7">
        <f t="shared" si="139"/>
        <v>2098</v>
      </c>
    </row>
    <row r="1252" spans="1:20" ht="14.25" customHeight="1" x14ac:dyDescent="0.35">
      <c r="A1252" s="2" t="s">
        <v>139</v>
      </c>
      <c r="B1252" s="2" t="s">
        <v>29</v>
      </c>
      <c r="C1252" s="2" t="s">
        <v>13</v>
      </c>
      <c r="D1252" s="2" t="s">
        <v>14</v>
      </c>
      <c r="E1252" s="2" t="s">
        <v>15</v>
      </c>
      <c r="F1252" s="2" t="s">
        <v>39</v>
      </c>
      <c r="G1252" s="2" t="s">
        <v>24</v>
      </c>
      <c r="H1252" s="2">
        <v>180000</v>
      </c>
      <c r="I1252" s="2">
        <v>3</v>
      </c>
      <c r="J1252" s="2" t="s">
        <v>54</v>
      </c>
      <c r="K1252" s="2">
        <f t="shared" si="133"/>
        <v>144000</v>
      </c>
      <c r="L1252" s="9">
        <f>Table_1[[#This Row],[Unit Price]]*Table_1[[#This Row],[Quantity]]</f>
        <v>540000</v>
      </c>
      <c r="M1252" s="8">
        <f>Table_1[[#This Row],[Cost Price]]*Table_1[[#This Row],[Quantity]]</f>
        <v>432000</v>
      </c>
      <c r="N1252">
        <f>Table_1[[#This Row],[Revenue]]-Table_1[[#This Row],[COGS]]</f>
        <v>108000</v>
      </c>
      <c r="O1252" s="11">
        <f t="shared" si="134"/>
        <v>4656740000</v>
      </c>
      <c r="P1252">
        <f t="shared" si="135"/>
        <v>3725392000</v>
      </c>
      <c r="Q1252">
        <f t="shared" si="136"/>
        <v>931348000</v>
      </c>
      <c r="R1252" s="7">
        <f t="shared" si="137"/>
        <v>2098</v>
      </c>
      <c r="S1252" s="7">
        <f t="shared" si="138"/>
        <v>2</v>
      </c>
      <c r="T1252" s="7">
        <f t="shared" si="139"/>
        <v>2098</v>
      </c>
    </row>
    <row r="1253" spans="1:20" ht="14.25" customHeight="1" x14ac:dyDescent="0.35">
      <c r="A1253" s="2" t="s">
        <v>136</v>
      </c>
      <c r="B1253" s="2" t="s">
        <v>29</v>
      </c>
      <c r="C1253" s="2" t="s">
        <v>21</v>
      </c>
      <c r="D1253" s="2" t="s">
        <v>14</v>
      </c>
      <c r="E1253" s="2" t="s">
        <v>22</v>
      </c>
      <c r="F1253" s="2" t="s">
        <v>16</v>
      </c>
      <c r="G1253" s="2" t="s">
        <v>17</v>
      </c>
      <c r="H1253" s="2">
        <v>85000</v>
      </c>
      <c r="I1253" s="2">
        <v>7</v>
      </c>
      <c r="J1253" s="2" t="s">
        <v>27</v>
      </c>
      <c r="K1253" s="2">
        <f t="shared" si="133"/>
        <v>68000</v>
      </c>
      <c r="L1253" s="9">
        <f>Table_1[[#This Row],[Unit Price]]*Table_1[[#This Row],[Quantity]]</f>
        <v>595000</v>
      </c>
      <c r="M1253" s="8">
        <f>Table_1[[#This Row],[Cost Price]]*Table_1[[#This Row],[Quantity]]</f>
        <v>476000</v>
      </c>
      <c r="N1253">
        <f>Table_1[[#This Row],[Revenue]]-Table_1[[#This Row],[COGS]]</f>
        <v>119000</v>
      </c>
      <c r="O1253" s="11">
        <f t="shared" si="134"/>
        <v>4656740000</v>
      </c>
      <c r="P1253">
        <f t="shared" si="135"/>
        <v>3725392000</v>
      </c>
      <c r="Q1253">
        <f t="shared" si="136"/>
        <v>931348000</v>
      </c>
      <c r="R1253" s="7">
        <f t="shared" si="137"/>
        <v>2098</v>
      </c>
      <c r="S1253" s="7">
        <f t="shared" si="138"/>
        <v>2</v>
      </c>
      <c r="T1253" s="7">
        <f t="shared" si="139"/>
        <v>2098</v>
      </c>
    </row>
    <row r="1254" spans="1:20" ht="14.25" customHeight="1" x14ac:dyDescent="0.35">
      <c r="A1254" s="2" t="s">
        <v>158</v>
      </c>
      <c r="B1254" s="2" t="s">
        <v>12</v>
      </c>
      <c r="C1254" s="2" t="s">
        <v>21</v>
      </c>
      <c r="D1254" s="2" t="s">
        <v>14</v>
      </c>
      <c r="E1254" s="2" t="s">
        <v>22</v>
      </c>
      <c r="F1254" s="2" t="s">
        <v>23</v>
      </c>
      <c r="G1254" s="2" t="s">
        <v>24</v>
      </c>
      <c r="H1254" s="2">
        <v>30000</v>
      </c>
      <c r="I1254" s="2">
        <v>7</v>
      </c>
      <c r="J1254" s="2" t="s">
        <v>32</v>
      </c>
      <c r="K1254" s="2">
        <f t="shared" si="133"/>
        <v>24000</v>
      </c>
      <c r="L1254" s="9">
        <f>Table_1[[#This Row],[Unit Price]]*Table_1[[#This Row],[Quantity]]</f>
        <v>210000</v>
      </c>
      <c r="M1254" s="8">
        <f>Table_1[[#This Row],[Cost Price]]*Table_1[[#This Row],[Quantity]]</f>
        <v>168000</v>
      </c>
      <c r="N1254">
        <f>Table_1[[#This Row],[Revenue]]-Table_1[[#This Row],[COGS]]</f>
        <v>42000</v>
      </c>
      <c r="O1254" s="11">
        <f t="shared" si="134"/>
        <v>4656740000</v>
      </c>
      <c r="P1254">
        <f t="shared" si="135"/>
        <v>3725392000</v>
      </c>
      <c r="Q1254">
        <f t="shared" si="136"/>
        <v>931348000</v>
      </c>
      <c r="R1254" s="7">
        <f t="shared" si="137"/>
        <v>2098</v>
      </c>
      <c r="S1254" s="7">
        <f t="shared" si="138"/>
        <v>3</v>
      </c>
      <c r="T1254" s="7">
        <f t="shared" si="139"/>
        <v>2098</v>
      </c>
    </row>
    <row r="1255" spans="1:20" ht="14.25" customHeight="1" x14ac:dyDescent="0.35">
      <c r="A1255" s="2" t="s">
        <v>156</v>
      </c>
      <c r="B1255" s="2" t="s">
        <v>34</v>
      </c>
      <c r="C1255" s="2" t="s">
        <v>38</v>
      </c>
      <c r="D1255" s="2" t="s">
        <v>14</v>
      </c>
      <c r="E1255" s="2" t="s">
        <v>22</v>
      </c>
      <c r="F1255" s="2" t="s">
        <v>31</v>
      </c>
      <c r="G1255" s="2" t="s">
        <v>24</v>
      </c>
      <c r="H1255" s="2">
        <v>60000</v>
      </c>
      <c r="I1255" s="2">
        <v>3</v>
      </c>
      <c r="J1255" s="2" t="s">
        <v>32</v>
      </c>
      <c r="K1255" s="2">
        <f t="shared" si="133"/>
        <v>48000</v>
      </c>
      <c r="L1255" s="9">
        <f>Table_1[[#This Row],[Unit Price]]*Table_1[[#This Row],[Quantity]]</f>
        <v>180000</v>
      </c>
      <c r="M1255" s="8">
        <f>Table_1[[#This Row],[Cost Price]]*Table_1[[#This Row],[Quantity]]</f>
        <v>144000</v>
      </c>
      <c r="N1255">
        <f>Table_1[[#This Row],[Revenue]]-Table_1[[#This Row],[COGS]]</f>
        <v>36000</v>
      </c>
      <c r="O1255" s="11">
        <f t="shared" si="134"/>
        <v>4656740000</v>
      </c>
      <c r="P1255">
        <f t="shared" si="135"/>
        <v>3725392000</v>
      </c>
      <c r="Q1255">
        <f t="shared" si="136"/>
        <v>931348000</v>
      </c>
      <c r="R1255" s="7">
        <f t="shared" si="137"/>
        <v>2098</v>
      </c>
      <c r="S1255" s="7">
        <f t="shared" si="138"/>
        <v>3</v>
      </c>
      <c r="T1255" s="7">
        <f t="shared" si="139"/>
        <v>2098</v>
      </c>
    </row>
    <row r="1256" spans="1:20" ht="14.25" customHeight="1" x14ac:dyDescent="0.35">
      <c r="A1256" s="2" t="s">
        <v>121</v>
      </c>
      <c r="B1256" s="2" t="s">
        <v>34</v>
      </c>
      <c r="C1256" s="2" t="s">
        <v>38</v>
      </c>
      <c r="D1256" s="2" t="s">
        <v>14</v>
      </c>
      <c r="E1256" s="2" t="s">
        <v>22</v>
      </c>
      <c r="F1256" s="2" t="s">
        <v>16</v>
      </c>
      <c r="G1256" s="2" t="s">
        <v>17</v>
      </c>
      <c r="H1256" s="2">
        <v>85000</v>
      </c>
      <c r="I1256" s="2">
        <v>5</v>
      </c>
      <c r="J1256" s="2" t="s">
        <v>18</v>
      </c>
      <c r="K1256" s="2">
        <f t="shared" si="133"/>
        <v>68000</v>
      </c>
      <c r="L1256" s="9">
        <f>Table_1[[#This Row],[Unit Price]]*Table_1[[#This Row],[Quantity]]</f>
        <v>425000</v>
      </c>
      <c r="M1256" s="8">
        <f>Table_1[[#This Row],[Cost Price]]*Table_1[[#This Row],[Quantity]]</f>
        <v>340000</v>
      </c>
      <c r="N1256">
        <f>Table_1[[#This Row],[Revenue]]-Table_1[[#This Row],[COGS]]</f>
        <v>85000</v>
      </c>
      <c r="O1256" s="11">
        <f t="shared" si="134"/>
        <v>4656740000</v>
      </c>
      <c r="P1256">
        <f t="shared" si="135"/>
        <v>3725392000</v>
      </c>
      <c r="Q1256">
        <f t="shared" si="136"/>
        <v>931348000</v>
      </c>
      <c r="R1256" s="7">
        <f t="shared" si="137"/>
        <v>2098</v>
      </c>
      <c r="S1256" s="7">
        <f t="shared" si="138"/>
        <v>2</v>
      </c>
      <c r="T1256" s="7">
        <f t="shared" si="139"/>
        <v>2098</v>
      </c>
    </row>
    <row r="1257" spans="1:20" ht="14.25" customHeight="1" x14ac:dyDescent="0.35">
      <c r="A1257" s="2" t="s">
        <v>139</v>
      </c>
      <c r="B1257" s="2" t="s">
        <v>20</v>
      </c>
      <c r="C1257" s="2" t="s">
        <v>38</v>
      </c>
      <c r="D1257" s="2" t="s">
        <v>26</v>
      </c>
      <c r="E1257" s="2" t="s">
        <v>15</v>
      </c>
      <c r="F1257" s="2" t="s">
        <v>52</v>
      </c>
      <c r="G1257" s="2" t="s">
        <v>36</v>
      </c>
      <c r="H1257" s="2">
        <v>420000</v>
      </c>
      <c r="I1257" s="2">
        <v>1</v>
      </c>
      <c r="J1257" s="2" t="s">
        <v>18</v>
      </c>
      <c r="K1257" s="2">
        <f t="shared" si="133"/>
        <v>336000</v>
      </c>
      <c r="L1257" s="9">
        <f>Table_1[[#This Row],[Unit Price]]*Table_1[[#This Row],[Quantity]]</f>
        <v>420000</v>
      </c>
      <c r="M1257" s="8">
        <f>Table_1[[#This Row],[Cost Price]]*Table_1[[#This Row],[Quantity]]</f>
        <v>336000</v>
      </c>
      <c r="N1257">
        <f>Table_1[[#This Row],[Revenue]]-Table_1[[#This Row],[COGS]]</f>
        <v>84000</v>
      </c>
      <c r="O1257" s="11">
        <f t="shared" si="134"/>
        <v>4656740000</v>
      </c>
      <c r="P1257">
        <f t="shared" si="135"/>
        <v>3725392000</v>
      </c>
      <c r="Q1257">
        <f t="shared" si="136"/>
        <v>931348000</v>
      </c>
      <c r="R1257" s="7">
        <f t="shared" si="137"/>
        <v>2098</v>
      </c>
      <c r="S1257" s="7">
        <f t="shared" si="138"/>
        <v>2</v>
      </c>
      <c r="T1257" s="7">
        <f t="shared" si="139"/>
        <v>2098</v>
      </c>
    </row>
    <row r="1258" spans="1:20" ht="14.25" customHeight="1" x14ac:dyDescent="0.35">
      <c r="A1258" s="2" t="s">
        <v>127</v>
      </c>
      <c r="B1258" s="2" t="s">
        <v>29</v>
      </c>
      <c r="C1258" s="2" t="s">
        <v>30</v>
      </c>
      <c r="D1258" s="2" t="s">
        <v>26</v>
      </c>
      <c r="E1258" s="2" t="s">
        <v>22</v>
      </c>
      <c r="F1258" s="2" t="s">
        <v>23</v>
      </c>
      <c r="G1258" s="2" t="s">
        <v>24</v>
      </c>
      <c r="H1258" s="2">
        <v>30000</v>
      </c>
      <c r="I1258" s="2">
        <v>5</v>
      </c>
      <c r="J1258" s="2" t="s">
        <v>18</v>
      </c>
      <c r="K1258" s="2">
        <f t="shared" si="133"/>
        <v>24000</v>
      </c>
      <c r="L1258" s="9">
        <f>Table_1[[#This Row],[Unit Price]]*Table_1[[#This Row],[Quantity]]</f>
        <v>150000</v>
      </c>
      <c r="M1258" s="8">
        <f>Table_1[[#This Row],[Cost Price]]*Table_1[[#This Row],[Quantity]]</f>
        <v>120000</v>
      </c>
      <c r="N1258">
        <f>Table_1[[#This Row],[Revenue]]-Table_1[[#This Row],[COGS]]</f>
        <v>30000</v>
      </c>
      <c r="O1258" s="11">
        <f t="shared" si="134"/>
        <v>4656740000</v>
      </c>
      <c r="P1258">
        <f t="shared" si="135"/>
        <v>3725392000</v>
      </c>
      <c r="Q1258">
        <f t="shared" si="136"/>
        <v>931348000</v>
      </c>
      <c r="R1258" s="7">
        <f t="shared" si="137"/>
        <v>2098</v>
      </c>
      <c r="S1258" s="7">
        <f t="shared" si="138"/>
        <v>4</v>
      </c>
      <c r="T1258" s="7">
        <f t="shared" si="139"/>
        <v>2098</v>
      </c>
    </row>
    <row r="1259" spans="1:20" ht="14.25" customHeight="1" x14ac:dyDescent="0.35">
      <c r="A1259" s="2" t="s">
        <v>122</v>
      </c>
      <c r="B1259" s="2" t="s">
        <v>12</v>
      </c>
      <c r="C1259" s="2" t="s">
        <v>30</v>
      </c>
      <c r="D1259" s="2" t="s">
        <v>14</v>
      </c>
      <c r="E1259" s="2" t="s">
        <v>15</v>
      </c>
      <c r="F1259" s="2" t="s">
        <v>56</v>
      </c>
      <c r="G1259" s="2" t="s">
        <v>36</v>
      </c>
      <c r="H1259" s="2">
        <v>250000</v>
      </c>
      <c r="I1259" s="2">
        <v>9</v>
      </c>
      <c r="J1259" s="2" t="s">
        <v>43</v>
      </c>
      <c r="K1259" s="2">
        <f t="shared" si="133"/>
        <v>200000</v>
      </c>
      <c r="L1259" s="9">
        <f>Table_1[[#This Row],[Unit Price]]*Table_1[[#This Row],[Quantity]]</f>
        <v>2250000</v>
      </c>
      <c r="M1259" s="8">
        <f>Table_1[[#This Row],[Cost Price]]*Table_1[[#This Row],[Quantity]]</f>
        <v>1800000</v>
      </c>
      <c r="N1259">
        <f>Table_1[[#This Row],[Revenue]]-Table_1[[#This Row],[COGS]]</f>
        <v>450000</v>
      </c>
      <c r="O1259" s="11">
        <f t="shared" si="134"/>
        <v>4656740000</v>
      </c>
      <c r="P1259">
        <f t="shared" si="135"/>
        <v>3725392000</v>
      </c>
      <c r="Q1259">
        <f t="shared" si="136"/>
        <v>931348000</v>
      </c>
      <c r="R1259" s="7">
        <f t="shared" si="137"/>
        <v>2098</v>
      </c>
      <c r="S1259" s="7">
        <f t="shared" si="138"/>
        <v>4</v>
      </c>
      <c r="T1259" s="7">
        <f t="shared" si="139"/>
        <v>2098</v>
      </c>
    </row>
    <row r="1260" spans="1:20" ht="14.25" customHeight="1" x14ac:dyDescent="0.35">
      <c r="A1260" s="2" t="s">
        <v>48</v>
      </c>
      <c r="B1260" s="2" t="s">
        <v>34</v>
      </c>
      <c r="C1260" s="2" t="s">
        <v>21</v>
      </c>
      <c r="D1260" s="2" t="s">
        <v>26</v>
      </c>
      <c r="E1260" s="2" t="s">
        <v>15</v>
      </c>
      <c r="F1260" s="2" t="s">
        <v>47</v>
      </c>
      <c r="G1260" s="2" t="s">
        <v>36</v>
      </c>
      <c r="H1260" s="2">
        <v>150000</v>
      </c>
      <c r="I1260" s="2">
        <v>3</v>
      </c>
      <c r="J1260" s="2" t="s">
        <v>54</v>
      </c>
      <c r="K1260" s="2">
        <f t="shared" si="133"/>
        <v>120000</v>
      </c>
      <c r="L1260" s="9">
        <f>Table_1[[#This Row],[Unit Price]]*Table_1[[#This Row],[Quantity]]</f>
        <v>450000</v>
      </c>
      <c r="M1260" s="8">
        <f>Table_1[[#This Row],[Cost Price]]*Table_1[[#This Row],[Quantity]]</f>
        <v>360000</v>
      </c>
      <c r="N1260">
        <f>Table_1[[#This Row],[Revenue]]-Table_1[[#This Row],[COGS]]</f>
        <v>90000</v>
      </c>
      <c r="O1260" s="11">
        <f t="shared" si="134"/>
        <v>4656740000</v>
      </c>
      <c r="P1260">
        <f t="shared" si="135"/>
        <v>3725392000</v>
      </c>
      <c r="Q1260">
        <f t="shared" si="136"/>
        <v>931348000</v>
      </c>
      <c r="R1260" s="7">
        <f t="shared" si="137"/>
        <v>2098</v>
      </c>
      <c r="S1260" s="7">
        <f t="shared" si="138"/>
        <v>1</v>
      </c>
      <c r="T1260" s="7">
        <f t="shared" si="139"/>
        <v>2098</v>
      </c>
    </row>
    <row r="1261" spans="1:20" ht="14.25" customHeight="1" x14ac:dyDescent="0.35">
      <c r="A1261" s="2" t="s">
        <v>11</v>
      </c>
      <c r="B1261" s="2" t="s">
        <v>20</v>
      </c>
      <c r="C1261" s="2" t="s">
        <v>21</v>
      </c>
      <c r="D1261" s="2" t="s">
        <v>26</v>
      </c>
      <c r="E1261" s="2" t="s">
        <v>15</v>
      </c>
      <c r="F1261" s="2" t="s">
        <v>35</v>
      </c>
      <c r="G1261" s="2" t="s">
        <v>36</v>
      </c>
      <c r="H1261" s="2">
        <v>300000</v>
      </c>
      <c r="I1261" s="2">
        <v>5</v>
      </c>
      <c r="J1261" s="2" t="s">
        <v>54</v>
      </c>
      <c r="K1261" s="2">
        <f t="shared" si="133"/>
        <v>240000</v>
      </c>
      <c r="L1261" s="9">
        <f>Table_1[[#This Row],[Unit Price]]*Table_1[[#This Row],[Quantity]]</f>
        <v>1500000</v>
      </c>
      <c r="M1261" s="8">
        <f>Table_1[[#This Row],[Cost Price]]*Table_1[[#This Row],[Quantity]]</f>
        <v>1200000</v>
      </c>
      <c r="N1261">
        <f>Table_1[[#This Row],[Revenue]]-Table_1[[#This Row],[COGS]]</f>
        <v>300000</v>
      </c>
      <c r="O1261" s="11">
        <f t="shared" si="134"/>
        <v>4656740000</v>
      </c>
      <c r="P1261">
        <f t="shared" si="135"/>
        <v>3725392000</v>
      </c>
      <c r="Q1261">
        <f t="shared" si="136"/>
        <v>931348000</v>
      </c>
      <c r="R1261" s="7">
        <f t="shared" si="137"/>
        <v>2098</v>
      </c>
      <c r="S1261" s="7">
        <f t="shared" si="138"/>
        <v>1</v>
      </c>
      <c r="T1261" s="7">
        <f t="shared" si="139"/>
        <v>2098</v>
      </c>
    </row>
    <row r="1262" spans="1:20" ht="14.25" customHeight="1" x14ac:dyDescent="0.35">
      <c r="A1262" s="2" t="s">
        <v>130</v>
      </c>
      <c r="B1262" s="2" t="s">
        <v>12</v>
      </c>
      <c r="C1262" s="2" t="s">
        <v>13</v>
      </c>
      <c r="D1262" s="2" t="s">
        <v>14</v>
      </c>
      <c r="E1262" s="2" t="s">
        <v>22</v>
      </c>
      <c r="F1262" s="2" t="s">
        <v>41</v>
      </c>
      <c r="G1262" s="2" t="s">
        <v>17</v>
      </c>
      <c r="H1262" s="2">
        <v>320000</v>
      </c>
      <c r="I1262" s="2">
        <v>5</v>
      </c>
      <c r="J1262" s="2" t="s">
        <v>18</v>
      </c>
      <c r="K1262" s="2">
        <f t="shared" si="133"/>
        <v>256000</v>
      </c>
      <c r="L1262" s="9">
        <f>Table_1[[#This Row],[Unit Price]]*Table_1[[#This Row],[Quantity]]</f>
        <v>1600000</v>
      </c>
      <c r="M1262" s="8">
        <f>Table_1[[#This Row],[Cost Price]]*Table_1[[#This Row],[Quantity]]</f>
        <v>1280000</v>
      </c>
      <c r="N1262">
        <f>Table_1[[#This Row],[Revenue]]-Table_1[[#This Row],[COGS]]</f>
        <v>320000</v>
      </c>
      <c r="O1262" s="11">
        <f t="shared" si="134"/>
        <v>4656740000</v>
      </c>
      <c r="P1262">
        <f t="shared" si="135"/>
        <v>3725392000</v>
      </c>
      <c r="Q1262">
        <f t="shared" si="136"/>
        <v>931348000</v>
      </c>
      <c r="R1262" s="7">
        <f t="shared" si="137"/>
        <v>2098</v>
      </c>
      <c r="S1262" s="7">
        <f t="shared" si="138"/>
        <v>1</v>
      </c>
      <c r="T1262" s="7">
        <f t="shared" si="139"/>
        <v>2098</v>
      </c>
    </row>
    <row r="1263" spans="1:20" ht="14.25" customHeight="1" x14ac:dyDescent="0.35">
      <c r="A1263" s="2" t="s">
        <v>86</v>
      </c>
      <c r="B1263" s="2" t="s">
        <v>12</v>
      </c>
      <c r="C1263" s="2" t="s">
        <v>38</v>
      </c>
      <c r="D1263" s="2" t="s">
        <v>26</v>
      </c>
      <c r="E1263" s="2" t="s">
        <v>22</v>
      </c>
      <c r="F1263" s="2" t="s">
        <v>16</v>
      </c>
      <c r="G1263" s="2" t="s">
        <v>17</v>
      </c>
      <c r="H1263" s="2">
        <v>85000</v>
      </c>
      <c r="I1263" s="2">
        <v>10</v>
      </c>
      <c r="J1263" s="2" t="s">
        <v>50</v>
      </c>
      <c r="K1263" s="2">
        <f t="shared" si="133"/>
        <v>68000</v>
      </c>
      <c r="L1263" s="9">
        <f>Table_1[[#This Row],[Unit Price]]*Table_1[[#This Row],[Quantity]]</f>
        <v>850000</v>
      </c>
      <c r="M1263" s="8">
        <f>Table_1[[#This Row],[Cost Price]]*Table_1[[#This Row],[Quantity]]</f>
        <v>680000</v>
      </c>
      <c r="N1263">
        <f>Table_1[[#This Row],[Revenue]]-Table_1[[#This Row],[COGS]]</f>
        <v>170000</v>
      </c>
      <c r="O1263" s="11">
        <f t="shared" si="134"/>
        <v>4656740000</v>
      </c>
      <c r="P1263">
        <f t="shared" si="135"/>
        <v>3725392000</v>
      </c>
      <c r="Q1263">
        <f t="shared" si="136"/>
        <v>931348000</v>
      </c>
      <c r="R1263" s="7">
        <f t="shared" si="137"/>
        <v>2098</v>
      </c>
      <c r="S1263" s="7">
        <f t="shared" si="138"/>
        <v>1</v>
      </c>
      <c r="T1263" s="7">
        <f t="shared" si="139"/>
        <v>2098</v>
      </c>
    </row>
    <row r="1264" spans="1:20" ht="14.25" customHeight="1" x14ac:dyDescent="0.35">
      <c r="A1264" s="2" t="s">
        <v>46</v>
      </c>
      <c r="B1264" s="2" t="s">
        <v>12</v>
      </c>
      <c r="C1264" s="2" t="s">
        <v>21</v>
      </c>
      <c r="D1264" s="2" t="s">
        <v>14</v>
      </c>
      <c r="E1264" s="2" t="s">
        <v>22</v>
      </c>
      <c r="F1264" s="2" t="s">
        <v>39</v>
      </c>
      <c r="G1264" s="2" t="s">
        <v>24</v>
      </c>
      <c r="H1264" s="2">
        <v>180000</v>
      </c>
      <c r="I1264" s="2">
        <v>3</v>
      </c>
      <c r="J1264" s="2" t="s">
        <v>50</v>
      </c>
      <c r="K1264" s="2">
        <f t="shared" si="133"/>
        <v>144000</v>
      </c>
      <c r="L1264" s="9">
        <f>Table_1[[#This Row],[Unit Price]]*Table_1[[#This Row],[Quantity]]</f>
        <v>540000</v>
      </c>
      <c r="M1264" s="8">
        <f>Table_1[[#This Row],[Cost Price]]*Table_1[[#This Row],[Quantity]]</f>
        <v>432000</v>
      </c>
      <c r="N1264">
        <f>Table_1[[#This Row],[Revenue]]-Table_1[[#This Row],[COGS]]</f>
        <v>108000</v>
      </c>
      <c r="O1264" s="11">
        <f t="shared" si="134"/>
        <v>4656740000</v>
      </c>
      <c r="P1264">
        <f t="shared" si="135"/>
        <v>3725392000</v>
      </c>
      <c r="Q1264">
        <f t="shared" si="136"/>
        <v>931348000</v>
      </c>
      <c r="R1264" s="7">
        <f t="shared" si="137"/>
        <v>2098</v>
      </c>
      <c r="S1264" s="7">
        <f t="shared" si="138"/>
        <v>1</v>
      </c>
      <c r="T1264" s="7">
        <f t="shared" si="139"/>
        <v>2098</v>
      </c>
    </row>
    <row r="1265" spans="1:20" ht="14.25" customHeight="1" x14ac:dyDescent="0.35">
      <c r="A1265" s="2" t="s">
        <v>126</v>
      </c>
      <c r="B1265" s="2" t="s">
        <v>20</v>
      </c>
      <c r="C1265" s="2" t="s">
        <v>38</v>
      </c>
      <c r="D1265" s="2" t="s">
        <v>26</v>
      </c>
      <c r="E1265" s="2" t="s">
        <v>22</v>
      </c>
      <c r="F1265" s="2" t="s">
        <v>23</v>
      </c>
      <c r="G1265" s="2" t="s">
        <v>24</v>
      </c>
      <c r="H1265" s="2">
        <v>30000</v>
      </c>
      <c r="I1265" s="2">
        <v>3</v>
      </c>
      <c r="J1265" s="2" t="s">
        <v>54</v>
      </c>
      <c r="K1265" s="2">
        <f t="shared" si="133"/>
        <v>24000</v>
      </c>
      <c r="L1265" s="9">
        <f>Table_1[[#This Row],[Unit Price]]*Table_1[[#This Row],[Quantity]]</f>
        <v>90000</v>
      </c>
      <c r="M1265" s="8">
        <f>Table_1[[#This Row],[Cost Price]]*Table_1[[#This Row],[Quantity]]</f>
        <v>72000</v>
      </c>
      <c r="N1265">
        <f>Table_1[[#This Row],[Revenue]]-Table_1[[#This Row],[COGS]]</f>
        <v>18000</v>
      </c>
      <c r="O1265" s="11">
        <f t="shared" si="134"/>
        <v>4656740000</v>
      </c>
      <c r="P1265">
        <f t="shared" si="135"/>
        <v>3725392000</v>
      </c>
      <c r="Q1265">
        <f t="shared" si="136"/>
        <v>931348000</v>
      </c>
      <c r="R1265" s="7">
        <f t="shared" si="137"/>
        <v>2098</v>
      </c>
      <c r="S1265" s="7">
        <f t="shared" si="138"/>
        <v>3</v>
      </c>
      <c r="T1265" s="7">
        <f t="shared" si="139"/>
        <v>2098</v>
      </c>
    </row>
    <row r="1266" spans="1:20" ht="14.25" customHeight="1" x14ac:dyDescent="0.35">
      <c r="A1266" s="2" t="s">
        <v>79</v>
      </c>
      <c r="B1266" s="2" t="s">
        <v>34</v>
      </c>
      <c r="C1266" s="2" t="s">
        <v>21</v>
      </c>
      <c r="D1266" s="2" t="s">
        <v>14</v>
      </c>
      <c r="E1266" s="2" t="s">
        <v>22</v>
      </c>
      <c r="F1266" s="2" t="s">
        <v>47</v>
      </c>
      <c r="G1266" s="2" t="s">
        <v>36</v>
      </c>
      <c r="H1266" s="2">
        <v>150000</v>
      </c>
      <c r="I1266" s="2">
        <v>5</v>
      </c>
      <c r="J1266" s="2" t="s">
        <v>50</v>
      </c>
      <c r="K1266" s="2">
        <f t="shared" si="133"/>
        <v>120000</v>
      </c>
      <c r="L1266" s="9">
        <f>Table_1[[#This Row],[Unit Price]]*Table_1[[#This Row],[Quantity]]</f>
        <v>750000</v>
      </c>
      <c r="M1266" s="8">
        <f>Table_1[[#This Row],[Cost Price]]*Table_1[[#This Row],[Quantity]]</f>
        <v>600000</v>
      </c>
      <c r="N1266">
        <f>Table_1[[#This Row],[Revenue]]-Table_1[[#This Row],[COGS]]</f>
        <v>150000</v>
      </c>
      <c r="O1266" s="11">
        <f t="shared" si="134"/>
        <v>4656740000</v>
      </c>
      <c r="P1266">
        <f t="shared" si="135"/>
        <v>3725392000</v>
      </c>
      <c r="Q1266">
        <f t="shared" si="136"/>
        <v>931348000</v>
      </c>
      <c r="R1266" s="7">
        <f t="shared" si="137"/>
        <v>2098</v>
      </c>
      <c r="S1266" s="7">
        <f t="shared" si="138"/>
        <v>1</v>
      </c>
      <c r="T1266" s="7">
        <f t="shared" si="139"/>
        <v>2098</v>
      </c>
    </row>
    <row r="1267" spans="1:20" ht="14.25" customHeight="1" x14ac:dyDescent="0.35">
      <c r="A1267" s="2" t="s">
        <v>159</v>
      </c>
      <c r="B1267" s="2" t="s">
        <v>34</v>
      </c>
      <c r="C1267" s="2" t="s">
        <v>30</v>
      </c>
      <c r="D1267" s="2" t="s">
        <v>14</v>
      </c>
      <c r="E1267" s="2" t="s">
        <v>15</v>
      </c>
      <c r="F1267" s="2" t="s">
        <v>35</v>
      </c>
      <c r="G1267" s="2" t="s">
        <v>36</v>
      </c>
      <c r="H1267" s="2">
        <v>300000</v>
      </c>
      <c r="I1267" s="2">
        <v>4</v>
      </c>
      <c r="J1267" s="2" t="s">
        <v>43</v>
      </c>
      <c r="K1267" s="2">
        <f t="shared" si="133"/>
        <v>240000</v>
      </c>
      <c r="L1267" s="9">
        <f>Table_1[[#This Row],[Unit Price]]*Table_1[[#This Row],[Quantity]]</f>
        <v>1200000</v>
      </c>
      <c r="M1267" s="8">
        <f>Table_1[[#This Row],[Cost Price]]*Table_1[[#This Row],[Quantity]]</f>
        <v>960000</v>
      </c>
      <c r="N1267">
        <f>Table_1[[#This Row],[Revenue]]-Table_1[[#This Row],[COGS]]</f>
        <v>240000</v>
      </c>
      <c r="O1267" s="11">
        <f t="shared" si="134"/>
        <v>4656740000</v>
      </c>
      <c r="P1267">
        <f t="shared" si="135"/>
        <v>3725392000</v>
      </c>
      <c r="Q1267">
        <f t="shared" si="136"/>
        <v>931348000</v>
      </c>
      <c r="R1267" s="7">
        <f t="shared" si="137"/>
        <v>2098</v>
      </c>
      <c r="S1267" s="7">
        <f t="shared" si="138"/>
        <v>2</v>
      </c>
      <c r="T1267" s="7">
        <f t="shared" si="139"/>
        <v>2098</v>
      </c>
    </row>
    <row r="1268" spans="1:20" ht="14.25" customHeight="1" x14ac:dyDescent="0.35">
      <c r="A1268" s="2" t="s">
        <v>118</v>
      </c>
      <c r="B1268" s="2" t="s">
        <v>20</v>
      </c>
      <c r="C1268" s="2" t="s">
        <v>30</v>
      </c>
      <c r="D1268" s="2" t="s">
        <v>26</v>
      </c>
      <c r="E1268" s="2" t="s">
        <v>22</v>
      </c>
      <c r="F1268" s="2" t="s">
        <v>23</v>
      </c>
      <c r="G1268" s="2" t="s">
        <v>24</v>
      </c>
      <c r="H1268" s="2">
        <v>30000</v>
      </c>
      <c r="I1268" s="2">
        <v>8</v>
      </c>
      <c r="J1268" s="2" t="s">
        <v>50</v>
      </c>
      <c r="K1268" s="2">
        <f t="shared" si="133"/>
        <v>24000</v>
      </c>
      <c r="L1268" s="9">
        <f>Table_1[[#This Row],[Unit Price]]*Table_1[[#This Row],[Quantity]]</f>
        <v>240000</v>
      </c>
      <c r="M1268" s="8">
        <f>Table_1[[#This Row],[Cost Price]]*Table_1[[#This Row],[Quantity]]</f>
        <v>192000</v>
      </c>
      <c r="N1268">
        <f>Table_1[[#This Row],[Revenue]]-Table_1[[#This Row],[COGS]]</f>
        <v>48000</v>
      </c>
      <c r="O1268" s="11">
        <f t="shared" si="134"/>
        <v>4656740000</v>
      </c>
      <c r="P1268">
        <f t="shared" si="135"/>
        <v>3725392000</v>
      </c>
      <c r="Q1268">
        <f t="shared" si="136"/>
        <v>931348000</v>
      </c>
      <c r="R1268" s="7">
        <f t="shared" si="137"/>
        <v>2098</v>
      </c>
      <c r="S1268" s="7">
        <f t="shared" si="138"/>
        <v>1</v>
      </c>
      <c r="T1268" s="7">
        <f t="shared" si="139"/>
        <v>2098</v>
      </c>
    </row>
    <row r="1269" spans="1:20" ht="14.25" customHeight="1" x14ac:dyDescent="0.35">
      <c r="A1269" s="2" t="s">
        <v>64</v>
      </c>
      <c r="B1269" s="2" t="s">
        <v>12</v>
      </c>
      <c r="C1269" s="2" t="s">
        <v>13</v>
      </c>
      <c r="D1269" s="2" t="s">
        <v>14</v>
      </c>
      <c r="E1269" s="2" t="s">
        <v>22</v>
      </c>
      <c r="F1269" s="2" t="s">
        <v>58</v>
      </c>
      <c r="G1269" s="2" t="s">
        <v>24</v>
      </c>
      <c r="H1269" s="2">
        <v>220000</v>
      </c>
      <c r="I1269" s="2">
        <v>10</v>
      </c>
      <c r="J1269" s="2" t="s">
        <v>27</v>
      </c>
      <c r="K1269" s="2">
        <f t="shared" si="133"/>
        <v>176000</v>
      </c>
      <c r="L1269" s="9">
        <f>Table_1[[#This Row],[Unit Price]]*Table_1[[#This Row],[Quantity]]</f>
        <v>2200000</v>
      </c>
      <c r="M1269" s="8">
        <f>Table_1[[#This Row],[Cost Price]]*Table_1[[#This Row],[Quantity]]</f>
        <v>1760000</v>
      </c>
      <c r="N1269">
        <f>Table_1[[#This Row],[Revenue]]-Table_1[[#This Row],[COGS]]</f>
        <v>440000</v>
      </c>
      <c r="O1269" s="11">
        <f t="shared" si="134"/>
        <v>4656740000</v>
      </c>
      <c r="P1269">
        <f t="shared" si="135"/>
        <v>3725392000</v>
      </c>
      <c r="Q1269">
        <f t="shared" si="136"/>
        <v>931348000</v>
      </c>
      <c r="R1269" s="7">
        <f t="shared" si="137"/>
        <v>2098</v>
      </c>
      <c r="S1269" s="7">
        <f t="shared" si="138"/>
        <v>2</v>
      </c>
      <c r="T1269" s="7">
        <f t="shared" si="139"/>
        <v>2098</v>
      </c>
    </row>
    <row r="1270" spans="1:20" ht="14.25" customHeight="1" x14ac:dyDescent="0.35">
      <c r="A1270" s="2" t="s">
        <v>40</v>
      </c>
      <c r="B1270" s="2" t="s">
        <v>29</v>
      </c>
      <c r="C1270" s="2" t="s">
        <v>30</v>
      </c>
      <c r="D1270" s="2" t="s">
        <v>14</v>
      </c>
      <c r="E1270" s="2" t="s">
        <v>15</v>
      </c>
      <c r="F1270" s="2" t="s">
        <v>23</v>
      </c>
      <c r="G1270" s="2" t="s">
        <v>24</v>
      </c>
      <c r="H1270" s="2">
        <v>30000</v>
      </c>
      <c r="I1270" s="2">
        <v>10</v>
      </c>
      <c r="J1270" s="2" t="s">
        <v>32</v>
      </c>
      <c r="K1270" s="2">
        <f t="shared" si="133"/>
        <v>24000</v>
      </c>
      <c r="L1270" s="9">
        <f>Table_1[[#This Row],[Unit Price]]*Table_1[[#This Row],[Quantity]]</f>
        <v>300000</v>
      </c>
      <c r="M1270" s="8">
        <f>Table_1[[#This Row],[Cost Price]]*Table_1[[#This Row],[Quantity]]</f>
        <v>240000</v>
      </c>
      <c r="N1270">
        <f>Table_1[[#This Row],[Revenue]]-Table_1[[#This Row],[COGS]]</f>
        <v>60000</v>
      </c>
      <c r="O1270" s="11">
        <f t="shared" si="134"/>
        <v>4656740000</v>
      </c>
      <c r="P1270">
        <f t="shared" si="135"/>
        <v>3725392000</v>
      </c>
      <c r="Q1270">
        <f t="shared" si="136"/>
        <v>931348000</v>
      </c>
      <c r="R1270" s="7">
        <f t="shared" si="137"/>
        <v>2098</v>
      </c>
      <c r="S1270" s="7">
        <f t="shared" si="138"/>
        <v>3</v>
      </c>
      <c r="T1270" s="7">
        <f t="shared" si="139"/>
        <v>2098</v>
      </c>
    </row>
    <row r="1271" spans="1:20" ht="14.25" customHeight="1" x14ac:dyDescent="0.35">
      <c r="A1271" s="2" t="s">
        <v>28</v>
      </c>
      <c r="B1271" s="2" t="s">
        <v>20</v>
      </c>
      <c r="C1271" s="2" t="s">
        <v>21</v>
      </c>
      <c r="D1271" s="2" t="s">
        <v>26</v>
      </c>
      <c r="E1271" s="2" t="s">
        <v>22</v>
      </c>
      <c r="F1271" s="2" t="s">
        <v>56</v>
      </c>
      <c r="G1271" s="2" t="s">
        <v>36</v>
      </c>
      <c r="H1271" s="2">
        <v>250000</v>
      </c>
      <c r="I1271" s="2">
        <v>5</v>
      </c>
      <c r="J1271" s="2" t="s">
        <v>18</v>
      </c>
      <c r="K1271" s="2">
        <f t="shared" si="133"/>
        <v>200000</v>
      </c>
      <c r="L1271" s="9">
        <f>Table_1[[#This Row],[Unit Price]]*Table_1[[#This Row],[Quantity]]</f>
        <v>1250000</v>
      </c>
      <c r="M1271" s="8">
        <f>Table_1[[#This Row],[Cost Price]]*Table_1[[#This Row],[Quantity]]</f>
        <v>1000000</v>
      </c>
      <c r="N1271">
        <f>Table_1[[#This Row],[Revenue]]-Table_1[[#This Row],[COGS]]</f>
        <v>250000</v>
      </c>
      <c r="O1271" s="11">
        <f t="shared" si="134"/>
        <v>4656740000</v>
      </c>
      <c r="P1271">
        <f t="shared" si="135"/>
        <v>3725392000</v>
      </c>
      <c r="Q1271">
        <f t="shared" si="136"/>
        <v>931348000</v>
      </c>
      <c r="R1271" s="7">
        <f t="shared" si="137"/>
        <v>2098</v>
      </c>
      <c r="S1271" s="7">
        <f t="shared" si="138"/>
        <v>4</v>
      </c>
      <c r="T1271" s="7">
        <f t="shared" si="139"/>
        <v>2098</v>
      </c>
    </row>
    <row r="1272" spans="1:20" ht="14.25" customHeight="1" x14ac:dyDescent="0.35">
      <c r="A1272" s="2" t="s">
        <v>80</v>
      </c>
      <c r="B1272" s="2" t="s">
        <v>29</v>
      </c>
      <c r="C1272" s="2" t="s">
        <v>21</v>
      </c>
      <c r="D1272" s="2" t="s">
        <v>26</v>
      </c>
      <c r="E1272" s="2" t="s">
        <v>22</v>
      </c>
      <c r="F1272" s="2" t="s">
        <v>47</v>
      </c>
      <c r="G1272" s="2" t="s">
        <v>36</v>
      </c>
      <c r="H1272" s="2">
        <v>150000</v>
      </c>
      <c r="I1272" s="2">
        <v>8</v>
      </c>
      <c r="J1272" s="2" t="s">
        <v>18</v>
      </c>
      <c r="K1272" s="2">
        <f t="shared" si="133"/>
        <v>120000</v>
      </c>
      <c r="L1272" s="9">
        <f>Table_1[[#This Row],[Unit Price]]*Table_1[[#This Row],[Quantity]]</f>
        <v>1200000</v>
      </c>
      <c r="M1272" s="8">
        <f>Table_1[[#This Row],[Cost Price]]*Table_1[[#This Row],[Quantity]]</f>
        <v>960000</v>
      </c>
      <c r="N1272">
        <f>Table_1[[#This Row],[Revenue]]-Table_1[[#This Row],[COGS]]</f>
        <v>240000</v>
      </c>
      <c r="O1272" s="11">
        <f t="shared" si="134"/>
        <v>4656740000</v>
      </c>
      <c r="P1272">
        <f t="shared" si="135"/>
        <v>3725392000</v>
      </c>
      <c r="Q1272">
        <f t="shared" si="136"/>
        <v>931348000</v>
      </c>
      <c r="R1272" s="7">
        <f t="shared" si="137"/>
        <v>2098</v>
      </c>
      <c r="S1272" s="7">
        <f t="shared" si="138"/>
        <v>2</v>
      </c>
      <c r="T1272" s="7">
        <f t="shared" si="139"/>
        <v>2098</v>
      </c>
    </row>
    <row r="1273" spans="1:20" ht="14.25" customHeight="1" x14ac:dyDescent="0.35">
      <c r="A1273" s="2" t="s">
        <v>108</v>
      </c>
      <c r="B1273" s="2" t="s">
        <v>29</v>
      </c>
      <c r="C1273" s="2" t="s">
        <v>13</v>
      </c>
      <c r="D1273" s="2" t="s">
        <v>14</v>
      </c>
      <c r="E1273" s="2" t="s">
        <v>22</v>
      </c>
      <c r="F1273" s="2" t="s">
        <v>16</v>
      </c>
      <c r="G1273" s="2" t="s">
        <v>17</v>
      </c>
      <c r="H1273" s="2">
        <v>85000</v>
      </c>
      <c r="I1273" s="2">
        <v>1</v>
      </c>
      <c r="J1273" s="2" t="s">
        <v>18</v>
      </c>
      <c r="K1273" s="2">
        <f t="shared" si="133"/>
        <v>68000</v>
      </c>
      <c r="L1273" s="9">
        <f>Table_1[[#This Row],[Unit Price]]*Table_1[[#This Row],[Quantity]]</f>
        <v>85000</v>
      </c>
      <c r="M1273" s="8">
        <f>Table_1[[#This Row],[Cost Price]]*Table_1[[#This Row],[Quantity]]</f>
        <v>68000</v>
      </c>
      <c r="N1273">
        <f>Table_1[[#This Row],[Revenue]]-Table_1[[#This Row],[COGS]]</f>
        <v>17000</v>
      </c>
      <c r="O1273" s="11">
        <f t="shared" si="134"/>
        <v>4656740000</v>
      </c>
      <c r="P1273">
        <f t="shared" si="135"/>
        <v>3725392000</v>
      </c>
      <c r="Q1273">
        <f t="shared" si="136"/>
        <v>931348000</v>
      </c>
      <c r="R1273" s="7">
        <f t="shared" si="137"/>
        <v>2098</v>
      </c>
      <c r="S1273" s="7">
        <f t="shared" si="138"/>
        <v>4</v>
      </c>
      <c r="T1273" s="7">
        <f t="shared" si="139"/>
        <v>2098</v>
      </c>
    </row>
    <row r="1274" spans="1:20" ht="14.25" customHeight="1" x14ac:dyDescent="0.35">
      <c r="A1274" s="2" t="s">
        <v>61</v>
      </c>
      <c r="B1274" s="2" t="s">
        <v>20</v>
      </c>
      <c r="C1274" s="2" t="s">
        <v>30</v>
      </c>
      <c r="D1274" s="2" t="s">
        <v>14</v>
      </c>
      <c r="E1274" s="2" t="s">
        <v>15</v>
      </c>
      <c r="F1274" s="2" t="s">
        <v>58</v>
      </c>
      <c r="G1274" s="2" t="s">
        <v>24</v>
      </c>
      <c r="H1274" s="2">
        <v>220000</v>
      </c>
      <c r="I1274" s="2">
        <v>2</v>
      </c>
      <c r="J1274" s="2" t="s">
        <v>50</v>
      </c>
      <c r="K1274" s="2">
        <f t="shared" si="133"/>
        <v>176000</v>
      </c>
      <c r="L1274" s="9">
        <f>Table_1[[#This Row],[Unit Price]]*Table_1[[#This Row],[Quantity]]</f>
        <v>440000</v>
      </c>
      <c r="M1274" s="8">
        <f>Table_1[[#This Row],[Cost Price]]*Table_1[[#This Row],[Quantity]]</f>
        <v>352000</v>
      </c>
      <c r="N1274">
        <f>Table_1[[#This Row],[Revenue]]-Table_1[[#This Row],[COGS]]</f>
        <v>88000</v>
      </c>
      <c r="O1274" s="11">
        <f t="shared" si="134"/>
        <v>4656740000</v>
      </c>
      <c r="P1274">
        <f t="shared" si="135"/>
        <v>3725392000</v>
      </c>
      <c r="Q1274">
        <f t="shared" si="136"/>
        <v>931348000</v>
      </c>
      <c r="R1274" s="7">
        <f t="shared" si="137"/>
        <v>2098</v>
      </c>
      <c r="S1274" s="7">
        <f t="shared" si="138"/>
        <v>5</v>
      </c>
      <c r="T1274" s="7">
        <f t="shared" si="139"/>
        <v>2098</v>
      </c>
    </row>
    <row r="1275" spans="1:20" ht="14.25" customHeight="1" x14ac:dyDescent="0.35">
      <c r="A1275" s="2" t="s">
        <v>77</v>
      </c>
      <c r="B1275" s="2" t="s">
        <v>29</v>
      </c>
      <c r="C1275" s="2" t="s">
        <v>21</v>
      </c>
      <c r="D1275" s="2" t="s">
        <v>26</v>
      </c>
      <c r="E1275" s="2" t="s">
        <v>15</v>
      </c>
      <c r="F1275" s="2" t="s">
        <v>31</v>
      </c>
      <c r="G1275" s="2" t="s">
        <v>24</v>
      </c>
      <c r="H1275" s="2">
        <v>60000</v>
      </c>
      <c r="I1275" s="2">
        <v>9</v>
      </c>
      <c r="J1275" s="2" t="s">
        <v>32</v>
      </c>
      <c r="K1275" s="2">
        <f t="shared" si="133"/>
        <v>48000</v>
      </c>
      <c r="L1275" s="9">
        <f>Table_1[[#This Row],[Unit Price]]*Table_1[[#This Row],[Quantity]]</f>
        <v>540000</v>
      </c>
      <c r="M1275" s="8">
        <f>Table_1[[#This Row],[Cost Price]]*Table_1[[#This Row],[Quantity]]</f>
        <v>432000</v>
      </c>
      <c r="N1275">
        <f>Table_1[[#This Row],[Revenue]]-Table_1[[#This Row],[COGS]]</f>
        <v>108000</v>
      </c>
      <c r="O1275" s="11">
        <f t="shared" si="134"/>
        <v>4656740000</v>
      </c>
      <c r="P1275">
        <f t="shared" si="135"/>
        <v>3725392000</v>
      </c>
      <c r="Q1275">
        <f t="shared" si="136"/>
        <v>931348000</v>
      </c>
      <c r="R1275" s="7">
        <f t="shared" si="137"/>
        <v>2098</v>
      </c>
      <c r="S1275" s="7">
        <f t="shared" si="138"/>
        <v>1</v>
      </c>
      <c r="T1275" s="7">
        <f t="shared" si="139"/>
        <v>2098</v>
      </c>
    </row>
    <row r="1276" spans="1:20" ht="14.25" customHeight="1" x14ac:dyDescent="0.35">
      <c r="A1276" s="2" t="s">
        <v>97</v>
      </c>
      <c r="B1276" s="2" t="s">
        <v>34</v>
      </c>
      <c r="C1276" s="2" t="s">
        <v>30</v>
      </c>
      <c r="D1276" s="2" t="s">
        <v>14</v>
      </c>
      <c r="E1276" s="2" t="s">
        <v>15</v>
      </c>
      <c r="F1276" s="2" t="s">
        <v>56</v>
      </c>
      <c r="G1276" s="2" t="s">
        <v>36</v>
      </c>
      <c r="H1276" s="2">
        <v>250000</v>
      </c>
      <c r="I1276" s="2">
        <v>9</v>
      </c>
      <c r="J1276" s="2" t="s">
        <v>43</v>
      </c>
      <c r="K1276" s="2">
        <f t="shared" si="133"/>
        <v>200000</v>
      </c>
      <c r="L1276" s="9">
        <f>Table_1[[#This Row],[Unit Price]]*Table_1[[#This Row],[Quantity]]</f>
        <v>2250000</v>
      </c>
      <c r="M1276" s="8">
        <f>Table_1[[#This Row],[Cost Price]]*Table_1[[#This Row],[Quantity]]</f>
        <v>1800000</v>
      </c>
      <c r="N1276">
        <f>Table_1[[#This Row],[Revenue]]-Table_1[[#This Row],[COGS]]</f>
        <v>450000</v>
      </c>
      <c r="O1276" s="11">
        <f t="shared" si="134"/>
        <v>4656740000</v>
      </c>
      <c r="P1276">
        <f t="shared" si="135"/>
        <v>3725392000</v>
      </c>
      <c r="Q1276">
        <f t="shared" si="136"/>
        <v>931348000</v>
      </c>
      <c r="R1276" s="7">
        <f t="shared" si="137"/>
        <v>2098</v>
      </c>
      <c r="S1276" s="7">
        <f t="shared" si="138"/>
        <v>2</v>
      </c>
      <c r="T1276" s="7">
        <f t="shared" si="139"/>
        <v>2098</v>
      </c>
    </row>
    <row r="1277" spans="1:20" ht="14.25" customHeight="1" x14ac:dyDescent="0.35">
      <c r="A1277" s="2" t="s">
        <v>149</v>
      </c>
      <c r="B1277" s="2" t="s">
        <v>20</v>
      </c>
      <c r="C1277" s="2" t="s">
        <v>13</v>
      </c>
      <c r="D1277" s="2" t="s">
        <v>14</v>
      </c>
      <c r="E1277" s="2" t="s">
        <v>22</v>
      </c>
      <c r="F1277" s="2" t="s">
        <v>16</v>
      </c>
      <c r="G1277" s="2" t="s">
        <v>17</v>
      </c>
      <c r="H1277" s="2">
        <v>85000</v>
      </c>
      <c r="I1277" s="2">
        <v>7</v>
      </c>
      <c r="J1277" s="2" t="s">
        <v>50</v>
      </c>
      <c r="K1277" s="2">
        <f t="shared" si="133"/>
        <v>68000</v>
      </c>
      <c r="L1277" s="9">
        <f>Table_1[[#This Row],[Unit Price]]*Table_1[[#This Row],[Quantity]]</f>
        <v>595000</v>
      </c>
      <c r="M1277" s="8">
        <f>Table_1[[#This Row],[Cost Price]]*Table_1[[#This Row],[Quantity]]</f>
        <v>476000</v>
      </c>
      <c r="N1277">
        <f>Table_1[[#This Row],[Revenue]]-Table_1[[#This Row],[COGS]]</f>
        <v>119000</v>
      </c>
      <c r="O1277" s="11">
        <f t="shared" si="134"/>
        <v>4656740000</v>
      </c>
      <c r="P1277">
        <f t="shared" si="135"/>
        <v>3725392000</v>
      </c>
      <c r="Q1277">
        <f t="shared" si="136"/>
        <v>931348000</v>
      </c>
      <c r="R1277" s="7">
        <f t="shared" si="137"/>
        <v>2098</v>
      </c>
      <c r="S1277" s="7">
        <f t="shared" si="138"/>
        <v>3</v>
      </c>
      <c r="T1277" s="7">
        <f t="shared" si="139"/>
        <v>2098</v>
      </c>
    </row>
    <row r="1278" spans="1:20" ht="14.25" customHeight="1" x14ac:dyDescent="0.35">
      <c r="A1278" s="2" t="s">
        <v>49</v>
      </c>
      <c r="B1278" s="2" t="s">
        <v>29</v>
      </c>
      <c r="C1278" s="2" t="s">
        <v>30</v>
      </c>
      <c r="D1278" s="2" t="s">
        <v>14</v>
      </c>
      <c r="E1278" s="2" t="s">
        <v>22</v>
      </c>
      <c r="F1278" s="2" t="s">
        <v>47</v>
      </c>
      <c r="G1278" s="2" t="s">
        <v>36</v>
      </c>
      <c r="H1278" s="2">
        <v>150000</v>
      </c>
      <c r="I1278" s="2">
        <v>7</v>
      </c>
      <c r="J1278" s="2" t="s">
        <v>43</v>
      </c>
      <c r="K1278" s="2">
        <f t="shared" si="133"/>
        <v>120000</v>
      </c>
      <c r="L1278" s="9">
        <f>Table_1[[#This Row],[Unit Price]]*Table_1[[#This Row],[Quantity]]</f>
        <v>1050000</v>
      </c>
      <c r="M1278" s="8">
        <f>Table_1[[#This Row],[Cost Price]]*Table_1[[#This Row],[Quantity]]</f>
        <v>840000</v>
      </c>
      <c r="N1278">
        <f>Table_1[[#This Row],[Revenue]]-Table_1[[#This Row],[COGS]]</f>
        <v>210000</v>
      </c>
      <c r="O1278" s="11">
        <f t="shared" si="134"/>
        <v>4656740000</v>
      </c>
      <c r="P1278">
        <f t="shared" si="135"/>
        <v>3725392000</v>
      </c>
      <c r="Q1278">
        <f t="shared" si="136"/>
        <v>931348000</v>
      </c>
      <c r="R1278" s="7">
        <f t="shared" si="137"/>
        <v>2098</v>
      </c>
      <c r="S1278" s="7">
        <f t="shared" si="138"/>
        <v>4</v>
      </c>
      <c r="T1278" s="7">
        <f t="shared" si="139"/>
        <v>2098</v>
      </c>
    </row>
    <row r="1279" spans="1:20" ht="14.25" customHeight="1" x14ac:dyDescent="0.35">
      <c r="A1279" s="2" t="s">
        <v>64</v>
      </c>
      <c r="B1279" s="2" t="s">
        <v>20</v>
      </c>
      <c r="C1279" s="2" t="s">
        <v>30</v>
      </c>
      <c r="D1279" s="2" t="s">
        <v>26</v>
      </c>
      <c r="E1279" s="2" t="s">
        <v>15</v>
      </c>
      <c r="F1279" s="2" t="s">
        <v>23</v>
      </c>
      <c r="G1279" s="2" t="s">
        <v>24</v>
      </c>
      <c r="H1279" s="2">
        <v>30000</v>
      </c>
      <c r="I1279" s="2">
        <v>3</v>
      </c>
      <c r="J1279" s="2" t="s">
        <v>27</v>
      </c>
      <c r="K1279" s="2">
        <f t="shared" si="133"/>
        <v>24000</v>
      </c>
      <c r="L1279" s="9">
        <f>Table_1[[#This Row],[Unit Price]]*Table_1[[#This Row],[Quantity]]</f>
        <v>90000</v>
      </c>
      <c r="M1279" s="8">
        <f>Table_1[[#This Row],[Cost Price]]*Table_1[[#This Row],[Quantity]]</f>
        <v>72000</v>
      </c>
      <c r="N1279">
        <f>Table_1[[#This Row],[Revenue]]-Table_1[[#This Row],[COGS]]</f>
        <v>18000</v>
      </c>
      <c r="O1279" s="11">
        <f t="shared" si="134"/>
        <v>4656740000</v>
      </c>
      <c r="P1279">
        <f t="shared" si="135"/>
        <v>3725392000</v>
      </c>
      <c r="Q1279">
        <f t="shared" si="136"/>
        <v>931348000</v>
      </c>
      <c r="R1279" s="7">
        <f t="shared" si="137"/>
        <v>2098</v>
      </c>
      <c r="S1279" s="7">
        <f t="shared" si="138"/>
        <v>2</v>
      </c>
      <c r="T1279" s="7">
        <f t="shared" si="139"/>
        <v>2098</v>
      </c>
    </row>
    <row r="1280" spans="1:20" ht="14.25" customHeight="1" x14ac:dyDescent="0.35">
      <c r="A1280" s="2" t="s">
        <v>152</v>
      </c>
      <c r="B1280" s="2" t="s">
        <v>20</v>
      </c>
      <c r="C1280" s="2" t="s">
        <v>30</v>
      </c>
      <c r="D1280" s="2" t="s">
        <v>26</v>
      </c>
      <c r="E1280" s="2" t="s">
        <v>22</v>
      </c>
      <c r="F1280" s="2" t="s">
        <v>23</v>
      </c>
      <c r="G1280" s="2" t="s">
        <v>24</v>
      </c>
      <c r="H1280" s="2">
        <v>30000</v>
      </c>
      <c r="I1280" s="2">
        <v>3</v>
      </c>
      <c r="J1280" s="2" t="s">
        <v>54</v>
      </c>
      <c r="K1280" s="2">
        <f t="shared" si="133"/>
        <v>24000</v>
      </c>
      <c r="L1280" s="9">
        <f>Table_1[[#This Row],[Unit Price]]*Table_1[[#This Row],[Quantity]]</f>
        <v>90000</v>
      </c>
      <c r="M1280" s="8">
        <f>Table_1[[#This Row],[Cost Price]]*Table_1[[#This Row],[Quantity]]</f>
        <v>72000</v>
      </c>
      <c r="N1280">
        <f>Table_1[[#This Row],[Revenue]]-Table_1[[#This Row],[COGS]]</f>
        <v>18000</v>
      </c>
      <c r="O1280" s="11">
        <f t="shared" si="134"/>
        <v>4656740000</v>
      </c>
      <c r="P1280">
        <f t="shared" si="135"/>
        <v>3725392000</v>
      </c>
      <c r="Q1280">
        <f t="shared" si="136"/>
        <v>931348000</v>
      </c>
      <c r="R1280" s="7">
        <f t="shared" si="137"/>
        <v>2098</v>
      </c>
      <c r="S1280" s="7">
        <f t="shared" si="138"/>
        <v>4</v>
      </c>
      <c r="T1280" s="7">
        <f t="shared" si="139"/>
        <v>2098</v>
      </c>
    </row>
    <row r="1281" spans="1:20" ht="14.25" customHeight="1" x14ac:dyDescent="0.35">
      <c r="A1281" s="2" t="s">
        <v>133</v>
      </c>
      <c r="B1281" s="2" t="s">
        <v>34</v>
      </c>
      <c r="C1281" s="2" t="s">
        <v>38</v>
      </c>
      <c r="D1281" s="2" t="s">
        <v>14</v>
      </c>
      <c r="E1281" s="2" t="s">
        <v>15</v>
      </c>
      <c r="F1281" s="2" t="s">
        <v>23</v>
      </c>
      <c r="G1281" s="2" t="s">
        <v>24</v>
      </c>
      <c r="H1281" s="2">
        <v>30000</v>
      </c>
      <c r="I1281" s="2">
        <v>4</v>
      </c>
      <c r="J1281" s="2" t="s">
        <v>50</v>
      </c>
      <c r="K1281" s="2">
        <f t="shared" si="133"/>
        <v>24000</v>
      </c>
      <c r="L1281" s="9">
        <f>Table_1[[#This Row],[Unit Price]]*Table_1[[#This Row],[Quantity]]</f>
        <v>120000</v>
      </c>
      <c r="M1281" s="8">
        <f>Table_1[[#This Row],[Cost Price]]*Table_1[[#This Row],[Quantity]]</f>
        <v>96000</v>
      </c>
      <c r="N1281">
        <f>Table_1[[#This Row],[Revenue]]-Table_1[[#This Row],[COGS]]</f>
        <v>24000</v>
      </c>
      <c r="O1281" s="11">
        <f t="shared" si="134"/>
        <v>4656740000</v>
      </c>
      <c r="P1281">
        <f t="shared" si="135"/>
        <v>3725392000</v>
      </c>
      <c r="Q1281">
        <f t="shared" si="136"/>
        <v>931348000</v>
      </c>
      <c r="R1281" s="7">
        <f t="shared" si="137"/>
        <v>2098</v>
      </c>
      <c r="S1281" s="7">
        <f t="shared" si="138"/>
        <v>2</v>
      </c>
      <c r="T1281" s="7">
        <f t="shared" si="139"/>
        <v>2098</v>
      </c>
    </row>
    <row r="1282" spans="1:20" ht="14.25" customHeight="1" x14ac:dyDescent="0.35">
      <c r="A1282" s="2" t="s">
        <v>148</v>
      </c>
      <c r="B1282" s="2" t="s">
        <v>29</v>
      </c>
      <c r="C1282" s="2" t="s">
        <v>21</v>
      </c>
      <c r="D1282" s="2" t="s">
        <v>14</v>
      </c>
      <c r="E1282" s="2" t="s">
        <v>22</v>
      </c>
      <c r="F1282" s="2" t="s">
        <v>31</v>
      </c>
      <c r="G1282" s="2" t="s">
        <v>24</v>
      </c>
      <c r="H1282" s="2">
        <v>60000</v>
      </c>
      <c r="I1282" s="2">
        <v>9</v>
      </c>
      <c r="J1282" s="2" t="s">
        <v>27</v>
      </c>
      <c r="K1282" s="2">
        <f t="shared" ref="K1282:K1345" si="140">H1282-H1282*0.2</f>
        <v>48000</v>
      </c>
      <c r="L1282" s="9">
        <f>Table_1[[#This Row],[Unit Price]]*Table_1[[#This Row],[Quantity]]</f>
        <v>540000</v>
      </c>
      <c r="M1282" s="8">
        <f>Table_1[[#This Row],[Cost Price]]*Table_1[[#This Row],[Quantity]]</f>
        <v>432000</v>
      </c>
      <c r="N1282">
        <f>Table_1[[#This Row],[Revenue]]-Table_1[[#This Row],[COGS]]</f>
        <v>108000</v>
      </c>
      <c r="O1282" s="11">
        <f t="shared" ref="O1282:O1345" si="141">SUM(L$2:L$1048576)</f>
        <v>4656740000</v>
      </c>
      <c r="P1282">
        <f t="shared" ref="P1282:P1345" si="142">SUM(M:M)</f>
        <v>3725392000</v>
      </c>
      <c r="Q1282">
        <f t="shared" ref="Q1282:Q1345" si="143">SUM(N:N)</f>
        <v>931348000</v>
      </c>
      <c r="R1282" s="7">
        <f t="shared" ref="R1282:R1345" si="144">COUNTA(A$2:A$1048576)</f>
        <v>2098</v>
      </c>
      <c r="S1282" s="7">
        <f t="shared" ref="S1282:S1345" si="145">MONTH(A1282:A2770)</f>
        <v>4</v>
      </c>
      <c r="T1282" s="7">
        <f t="shared" ref="T1282:T1345" si="146">COUNTA(A:A)-1</f>
        <v>2098</v>
      </c>
    </row>
    <row r="1283" spans="1:20" ht="14.25" customHeight="1" x14ac:dyDescent="0.35">
      <c r="A1283" s="2" t="s">
        <v>124</v>
      </c>
      <c r="B1283" s="2" t="s">
        <v>29</v>
      </c>
      <c r="C1283" s="2" t="s">
        <v>38</v>
      </c>
      <c r="D1283" s="2" t="s">
        <v>26</v>
      </c>
      <c r="E1283" s="2" t="s">
        <v>15</v>
      </c>
      <c r="F1283" s="2" t="s">
        <v>31</v>
      </c>
      <c r="G1283" s="2" t="s">
        <v>24</v>
      </c>
      <c r="H1283" s="2">
        <v>60000</v>
      </c>
      <c r="I1283" s="2">
        <v>9</v>
      </c>
      <c r="J1283" s="2" t="s">
        <v>43</v>
      </c>
      <c r="K1283" s="2">
        <f t="shared" si="140"/>
        <v>48000</v>
      </c>
      <c r="L1283" s="9">
        <f>Table_1[[#This Row],[Unit Price]]*Table_1[[#This Row],[Quantity]]</f>
        <v>540000</v>
      </c>
      <c r="M1283" s="8">
        <f>Table_1[[#This Row],[Cost Price]]*Table_1[[#This Row],[Quantity]]</f>
        <v>432000</v>
      </c>
      <c r="N1283">
        <f>Table_1[[#This Row],[Revenue]]-Table_1[[#This Row],[COGS]]</f>
        <v>108000</v>
      </c>
      <c r="O1283" s="11">
        <f t="shared" si="141"/>
        <v>4656740000</v>
      </c>
      <c r="P1283">
        <f t="shared" si="142"/>
        <v>3725392000</v>
      </c>
      <c r="Q1283">
        <f t="shared" si="143"/>
        <v>931348000</v>
      </c>
      <c r="R1283" s="7">
        <f t="shared" si="144"/>
        <v>2098</v>
      </c>
      <c r="S1283" s="7">
        <f t="shared" si="145"/>
        <v>1</v>
      </c>
      <c r="T1283" s="7">
        <f t="shared" si="146"/>
        <v>2098</v>
      </c>
    </row>
    <row r="1284" spans="1:20" ht="14.25" customHeight="1" x14ac:dyDescent="0.35">
      <c r="A1284" s="2" t="s">
        <v>94</v>
      </c>
      <c r="B1284" s="2" t="s">
        <v>29</v>
      </c>
      <c r="C1284" s="2" t="s">
        <v>13</v>
      </c>
      <c r="D1284" s="2" t="s">
        <v>26</v>
      </c>
      <c r="E1284" s="2" t="s">
        <v>15</v>
      </c>
      <c r="F1284" s="2" t="s">
        <v>52</v>
      </c>
      <c r="G1284" s="2" t="s">
        <v>36</v>
      </c>
      <c r="H1284" s="2">
        <v>420000</v>
      </c>
      <c r="I1284" s="2">
        <v>2</v>
      </c>
      <c r="J1284" s="2" t="s">
        <v>32</v>
      </c>
      <c r="K1284" s="2">
        <f t="shared" si="140"/>
        <v>336000</v>
      </c>
      <c r="L1284" s="9">
        <f>Table_1[[#This Row],[Unit Price]]*Table_1[[#This Row],[Quantity]]</f>
        <v>840000</v>
      </c>
      <c r="M1284" s="8">
        <f>Table_1[[#This Row],[Cost Price]]*Table_1[[#This Row],[Quantity]]</f>
        <v>672000</v>
      </c>
      <c r="N1284">
        <f>Table_1[[#This Row],[Revenue]]-Table_1[[#This Row],[COGS]]</f>
        <v>168000</v>
      </c>
      <c r="O1284" s="11">
        <f t="shared" si="141"/>
        <v>4656740000</v>
      </c>
      <c r="P1284">
        <f t="shared" si="142"/>
        <v>3725392000</v>
      </c>
      <c r="Q1284">
        <f t="shared" si="143"/>
        <v>931348000</v>
      </c>
      <c r="R1284" s="7">
        <f t="shared" si="144"/>
        <v>2098</v>
      </c>
      <c r="S1284" s="7">
        <f t="shared" si="145"/>
        <v>3</v>
      </c>
      <c r="T1284" s="7">
        <f t="shared" si="146"/>
        <v>2098</v>
      </c>
    </row>
    <row r="1285" spans="1:20" ht="14.25" customHeight="1" x14ac:dyDescent="0.35">
      <c r="A1285" s="2" t="s">
        <v>138</v>
      </c>
      <c r="B1285" s="2" t="s">
        <v>34</v>
      </c>
      <c r="C1285" s="2" t="s">
        <v>30</v>
      </c>
      <c r="D1285" s="2" t="s">
        <v>14</v>
      </c>
      <c r="E1285" s="2" t="s">
        <v>22</v>
      </c>
      <c r="F1285" s="2" t="s">
        <v>41</v>
      </c>
      <c r="G1285" s="2" t="s">
        <v>17</v>
      </c>
      <c r="H1285" s="2">
        <v>320000</v>
      </c>
      <c r="I1285" s="2">
        <v>1</v>
      </c>
      <c r="J1285" s="2" t="s">
        <v>54</v>
      </c>
      <c r="K1285" s="2">
        <f t="shared" si="140"/>
        <v>256000</v>
      </c>
      <c r="L1285" s="9">
        <f>Table_1[[#This Row],[Unit Price]]*Table_1[[#This Row],[Quantity]]</f>
        <v>320000</v>
      </c>
      <c r="M1285" s="8">
        <f>Table_1[[#This Row],[Cost Price]]*Table_1[[#This Row],[Quantity]]</f>
        <v>256000</v>
      </c>
      <c r="N1285">
        <f>Table_1[[#This Row],[Revenue]]-Table_1[[#This Row],[COGS]]</f>
        <v>64000</v>
      </c>
      <c r="O1285" s="11">
        <f t="shared" si="141"/>
        <v>4656740000</v>
      </c>
      <c r="P1285">
        <f t="shared" si="142"/>
        <v>3725392000</v>
      </c>
      <c r="Q1285">
        <f t="shared" si="143"/>
        <v>931348000</v>
      </c>
      <c r="R1285" s="7">
        <f t="shared" si="144"/>
        <v>2098</v>
      </c>
      <c r="S1285" s="7">
        <f t="shared" si="145"/>
        <v>3</v>
      </c>
      <c r="T1285" s="7">
        <f t="shared" si="146"/>
        <v>2098</v>
      </c>
    </row>
    <row r="1286" spans="1:20" ht="14.25" customHeight="1" x14ac:dyDescent="0.35">
      <c r="A1286" s="2" t="s">
        <v>86</v>
      </c>
      <c r="B1286" s="2" t="s">
        <v>12</v>
      </c>
      <c r="C1286" s="2" t="s">
        <v>13</v>
      </c>
      <c r="D1286" s="2" t="s">
        <v>14</v>
      </c>
      <c r="E1286" s="2" t="s">
        <v>22</v>
      </c>
      <c r="F1286" s="2" t="s">
        <v>23</v>
      </c>
      <c r="G1286" s="2" t="s">
        <v>24</v>
      </c>
      <c r="H1286" s="2">
        <v>30000</v>
      </c>
      <c r="I1286" s="2">
        <v>5</v>
      </c>
      <c r="J1286" s="2" t="s">
        <v>27</v>
      </c>
      <c r="K1286" s="2">
        <f t="shared" si="140"/>
        <v>24000</v>
      </c>
      <c r="L1286" s="9">
        <f>Table_1[[#This Row],[Unit Price]]*Table_1[[#This Row],[Quantity]]</f>
        <v>150000</v>
      </c>
      <c r="M1286" s="8">
        <f>Table_1[[#This Row],[Cost Price]]*Table_1[[#This Row],[Quantity]]</f>
        <v>120000</v>
      </c>
      <c r="N1286">
        <f>Table_1[[#This Row],[Revenue]]-Table_1[[#This Row],[COGS]]</f>
        <v>30000</v>
      </c>
      <c r="O1286" s="11">
        <f t="shared" si="141"/>
        <v>4656740000</v>
      </c>
      <c r="P1286">
        <f t="shared" si="142"/>
        <v>3725392000</v>
      </c>
      <c r="Q1286">
        <f t="shared" si="143"/>
        <v>931348000</v>
      </c>
      <c r="R1286" s="7">
        <f t="shared" si="144"/>
        <v>2098</v>
      </c>
      <c r="S1286" s="7">
        <f t="shared" si="145"/>
        <v>1</v>
      </c>
      <c r="T1286" s="7">
        <f t="shared" si="146"/>
        <v>2098</v>
      </c>
    </row>
    <row r="1287" spans="1:20" ht="14.25" customHeight="1" x14ac:dyDescent="0.35">
      <c r="A1287" s="2" t="s">
        <v>126</v>
      </c>
      <c r="B1287" s="2" t="s">
        <v>12</v>
      </c>
      <c r="C1287" s="2" t="s">
        <v>30</v>
      </c>
      <c r="D1287" s="2" t="s">
        <v>26</v>
      </c>
      <c r="E1287" s="2" t="s">
        <v>22</v>
      </c>
      <c r="F1287" s="2" t="s">
        <v>16</v>
      </c>
      <c r="G1287" s="2" t="s">
        <v>17</v>
      </c>
      <c r="H1287" s="2">
        <v>85000</v>
      </c>
      <c r="I1287" s="2">
        <v>5</v>
      </c>
      <c r="J1287" s="2" t="s">
        <v>54</v>
      </c>
      <c r="K1287" s="2">
        <f t="shared" si="140"/>
        <v>68000</v>
      </c>
      <c r="L1287" s="9">
        <f>Table_1[[#This Row],[Unit Price]]*Table_1[[#This Row],[Quantity]]</f>
        <v>425000</v>
      </c>
      <c r="M1287" s="8">
        <f>Table_1[[#This Row],[Cost Price]]*Table_1[[#This Row],[Quantity]]</f>
        <v>340000</v>
      </c>
      <c r="N1287">
        <f>Table_1[[#This Row],[Revenue]]-Table_1[[#This Row],[COGS]]</f>
        <v>85000</v>
      </c>
      <c r="O1287" s="11">
        <f t="shared" si="141"/>
        <v>4656740000</v>
      </c>
      <c r="P1287">
        <f t="shared" si="142"/>
        <v>3725392000</v>
      </c>
      <c r="Q1287">
        <f t="shared" si="143"/>
        <v>931348000</v>
      </c>
      <c r="R1287" s="7">
        <f t="shared" si="144"/>
        <v>2098</v>
      </c>
      <c r="S1287" s="7">
        <f t="shared" si="145"/>
        <v>3</v>
      </c>
      <c r="T1287" s="7">
        <f t="shared" si="146"/>
        <v>2098</v>
      </c>
    </row>
    <row r="1288" spans="1:20" ht="14.25" customHeight="1" x14ac:dyDescent="0.35">
      <c r="A1288" s="2" t="s">
        <v>111</v>
      </c>
      <c r="B1288" s="2" t="s">
        <v>12</v>
      </c>
      <c r="C1288" s="2" t="s">
        <v>30</v>
      </c>
      <c r="D1288" s="2" t="s">
        <v>26</v>
      </c>
      <c r="E1288" s="2" t="s">
        <v>15</v>
      </c>
      <c r="F1288" s="2" t="s">
        <v>52</v>
      </c>
      <c r="G1288" s="2" t="s">
        <v>36</v>
      </c>
      <c r="H1288" s="2">
        <v>420000</v>
      </c>
      <c r="I1288" s="2">
        <v>10</v>
      </c>
      <c r="J1288" s="2" t="s">
        <v>43</v>
      </c>
      <c r="K1288" s="2">
        <f t="shared" si="140"/>
        <v>336000</v>
      </c>
      <c r="L1288" s="9">
        <f>Table_1[[#This Row],[Unit Price]]*Table_1[[#This Row],[Quantity]]</f>
        <v>4200000</v>
      </c>
      <c r="M1288" s="8">
        <f>Table_1[[#This Row],[Cost Price]]*Table_1[[#This Row],[Quantity]]</f>
        <v>3360000</v>
      </c>
      <c r="N1288">
        <f>Table_1[[#This Row],[Revenue]]-Table_1[[#This Row],[COGS]]</f>
        <v>840000</v>
      </c>
      <c r="O1288" s="11">
        <f t="shared" si="141"/>
        <v>4656740000</v>
      </c>
      <c r="P1288">
        <f t="shared" si="142"/>
        <v>3725392000</v>
      </c>
      <c r="Q1288">
        <f t="shared" si="143"/>
        <v>931348000</v>
      </c>
      <c r="R1288" s="7">
        <f t="shared" si="144"/>
        <v>2098</v>
      </c>
      <c r="S1288" s="7">
        <f t="shared" si="145"/>
        <v>1</v>
      </c>
      <c r="T1288" s="7">
        <f t="shared" si="146"/>
        <v>2098</v>
      </c>
    </row>
    <row r="1289" spans="1:20" ht="14.25" customHeight="1" x14ac:dyDescent="0.35">
      <c r="A1289" s="2" t="s">
        <v>113</v>
      </c>
      <c r="B1289" s="2" t="s">
        <v>20</v>
      </c>
      <c r="C1289" s="2" t="s">
        <v>13</v>
      </c>
      <c r="D1289" s="2" t="s">
        <v>26</v>
      </c>
      <c r="E1289" s="2" t="s">
        <v>15</v>
      </c>
      <c r="F1289" s="2" t="s">
        <v>56</v>
      </c>
      <c r="G1289" s="2" t="s">
        <v>36</v>
      </c>
      <c r="H1289" s="2">
        <v>250000</v>
      </c>
      <c r="I1289" s="2">
        <v>8</v>
      </c>
      <c r="J1289" s="2" t="s">
        <v>50</v>
      </c>
      <c r="K1289" s="2">
        <f t="shared" si="140"/>
        <v>200000</v>
      </c>
      <c r="L1289" s="9">
        <f>Table_1[[#This Row],[Unit Price]]*Table_1[[#This Row],[Quantity]]</f>
        <v>2000000</v>
      </c>
      <c r="M1289" s="8">
        <f>Table_1[[#This Row],[Cost Price]]*Table_1[[#This Row],[Quantity]]</f>
        <v>1600000</v>
      </c>
      <c r="N1289">
        <f>Table_1[[#This Row],[Revenue]]-Table_1[[#This Row],[COGS]]</f>
        <v>400000</v>
      </c>
      <c r="O1289" s="11">
        <f t="shared" si="141"/>
        <v>4656740000</v>
      </c>
      <c r="P1289">
        <f t="shared" si="142"/>
        <v>3725392000</v>
      </c>
      <c r="Q1289">
        <f t="shared" si="143"/>
        <v>931348000</v>
      </c>
      <c r="R1289" s="7">
        <f t="shared" si="144"/>
        <v>2098</v>
      </c>
      <c r="S1289" s="7">
        <f t="shared" si="145"/>
        <v>3</v>
      </c>
      <c r="T1289" s="7">
        <f t="shared" si="146"/>
        <v>2098</v>
      </c>
    </row>
    <row r="1290" spans="1:20" ht="14.25" customHeight="1" x14ac:dyDescent="0.35">
      <c r="A1290" s="2" t="s">
        <v>149</v>
      </c>
      <c r="B1290" s="2" t="s">
        <v>12</v>
      </c>
      <c r="C1290" s="2" t="s">
        <v>21</v>
      </c>
      <c r="D1290" s="2" t="s">
        <v>26</v>
      </c>
      <c r="E1290" s="2" t="s">
        <v>22</v>
      </c>
      <c r="F1290" s="2" t="s">
        <v>56</v>
      </c>
      <c r="G1290" s="2" t="s">
        <v>36</v>
      </c>
      <c r="H1290" s="2">
        <v>250000</v>
      </c>
      <c r="I1290" s="2">
        <v>10</v>
      </c>
      <c r="J1290" s="2" t="s">
        <v>43</v>
      </c>
      <c r="K1290" s="2">
        <f t="shared" si="140"/>
        <v>200000</v>
      </c>
      <c r="L1290" s="9">
        <f>Table_1[[#This Row],[Unit Price]]*Table_1[[#This Row],[Quantity]]</f>
        <v>2500000</v>
      </c>
      <c r="M1290" s="8">
        <f>Table_1[[#This Row],[Cost Price]]*Table_1[[#This Row],[Quantity]]</f>
        <v>2000000</v>
      </c>
      <c r="N1290">
        <f>Table_1[[#This Row],[Revenue]]-Table_1[[#This Row],[COGS]]</f>
        <v>500000</v>
      </c>
      <c r="O1290" s="11">
        <f t="shared" si="141"/>
        <v>4656740000</v>
      </c>
      <c r="P1290">
        <f t="shared" si="142"/>
        <v>3725392000</v>
      </c>
      <c r="Q1290">
        <f t="shared" si="143"/>
        <v>931348000</v>
      </c>
      <c r="R1290" s="7">
        <f t="shared" si="144"/>
        <v>2098</v>
      </c>
      <c r="S1290" s="7">
        <f t="shared" si="145"/>
        <v>3</v>
      </c>
      <c r="T1290" s="7">
        <f t="shared" si="146"/>
        <v>2098</v>
      </c>
    </row>
    <row r="1291" spans="1:20" ht="14.25" customHeight="1" x14ac:dyDescent="0.35">
      <c r="A1291" s="2" t="s">
        <v>110</v>
      </c>
      <c r="B1291" s="2" t="s">
        <v>20</v>
      </c>
      <c r="C1291" s="2" t="s">
        <v>21</v>
      </c>
      <c r="D1291" s="2" t="s">
        <v>26</v>
      </c>
      <c r="E1291" s="2" t="s">
        <v>22</v>
      </c>
      <c r="F1291" s="2" t="s">
        <v>47</v>
      </c>
      <c r="G1291" s="2" t="s">
        <v>36</v>
      </c>
      <c r="H1291" s="2">
        <v>150000</v>
      </c>
      <c r="I1291" s="2">
        <v>4</v>
      </c>
      <c r="J1291" s="2" t="s">
        <v>32</v>
      </c>
      <c r="K1291" s="2">
        <f t="shared" si="140"/>
        <v>120000</v>
      </c>
      <c r="L1291" s="9">
        <f>Table_1[[#This Row],[Unit Price]]*Table_1[[#This Row],[Quantity]]</f>
        <v>600000</v>
      </c>
      <c r="M1291" s="8">
        <f>Table_1[[#This Row],[Cost Price]]*Table_1[[#This Row],[Quantity]]</f>
        <v>480000</v>
      </c>
      <c r="N1291">
        <f>Table_1[[#This Row],[Revenue]]-Table_1[[#This Row],[COGS]]</f>
        <v>120000</v>
      </c>
      <c r="O1291" s="11">
        <f t="shared" si="141"/>
        <v>4656740000</v>
      </c>
      <c r="P1291">
        <f t="shared" si="142"/>
        <v>3725392000</v>
      </c>
      <c r="Q1291">
        <f t="shared" si="143"/>
        <v>931348000</v>
      </c>
      <c r="R1291" s="7">
        <f t="shared" si="144"/>
        <v>2098</v>
      </c>
      <c r="S1291" s="7">
        <f t="shared" si="145"/>
        <v>2</v>
      </c>
      <c r="T1291" s="7">
        <f t="shared" si="146"/>
        <v>2098</v>
      </c>
    </row>
    <row r="1292" spans="1:20" ht="14.25" customHeight="1" x14ac:dyDescent="0.35">
      <c r="A1292" s="2" t="s">
        <v>121</v>
      </c>
      <c r="B1292" s="2" t="s">
        <v>20</v>
      </c>
      <c r="C1292" s="2" t="s">
        <v>21</v>
      </c>
      <c r="D1292" s="2" t="s">
        <v>26</v>
      </c>
      <c r="E1292" s="2" t="s">
        <v>15</v>
      </c>
      <c r="F1292" s="2" t="s">
        <v>39</v>
      </c>
      <c r="G1292" s="2" t="s">
        <v>24</v>
      </c>
      <c r="H1292" s="2">
        <v>180000</v>
      </c>
      <c r="I1292" s="2">
        <v>6</v>
      </c>
      <c r="J1292" s="2" t="s">
        <v>32</v>
      </c>
      <c r="K1292" s="2">
        <f t="shared" si="140"/>
        <v>144000</v>
      </c>
      <c r="L1292" s="9">
        <f>Table_1[[#This Row],[Unit Price]]*Table_1[[#This Row],[Quantity]]</f>
        <v>1080000</v>
      </c>
      <c r="M1292" s="8">
        <f>Table_1[[#This Row],[Cost Price]]*Table_1[[#This Row],[Quantity]]</f>
        <v>864000</v>
      </c>
      <c r="N1292">
        <f>Table_1[[#This Row],[Revenue]]-Table_1[[#This Row],[COGS]]</f>
        <v>216000</v>
      </c>
      <c r="O1292" s="11">
        <f t="shared" si="141"/>
        <v>4656740000</v>
      </c>
      <c r="P1292">
        <f t="shared" si="142"/>
        <v>3725392000</v>
      </c>
      <c r="Q1292">
        <f t="shared" si="143"/>
        <v>931348000</v>
      </c>
      <c r="R1292" s="7">
        <f t="shared" si="144"/>
        <v>2098</v>
      </c>
      <c r="S1292" s="7">
        <f t="shared" si="145"/>
        <v>2</v>
      </c>
      <c r="T1292" s="7">
        <f t="shared" si="146"/>
        <v>2098</v>
      </c>
    </row>
    <row r="1293" spans="1:20" ht="14.25" customHeight="1" x14ac:dyDescent="0.35">
      <c r="A1293" s="2" t="s">
        <v>106</v>
      </c>
      <c r="B1293" s="2" t="s">
        <v>20</v>
      </c>
      <c r="C1293" s="2" t="s">
        <v>30</v>
      </c>
      <c r="D1293" s="2" t="s">
        <v>26</v>
      </c>
      <c r="E1293" s="2" t="s">
        <v>22</v>
      </c>
      <c r="F1293" s="2" t="s">
        <v>23</v>
      </c>
      <c r="G1293" s="2" t="s">
        <v>24</v>
      </c>
      <c r="H1293" s="2">
        <v>30000</v>
      </c>
      <c r="I1293" s="2">
        <v>6</v>
      </c>
      <c r="J1293" s="2" t="s">
        <v>32</v>
      </c>
      <c r="K1293" s="2">
        <f t="shared" si="140"/>
        <v>24000</v>
      </c>
      <c r="L1293" s="9">
        <f>Table_1[[#This Row],[Unit Price]]*Table_1[[#This Row],[Quantity]]</f>
        <v>180000</v>
      </c>
      <c r="M1293" s="8">
        <f>Table_1[[#This Row],[Cost Price]]*Table_1[[#This Row],[Quantity]]</f>
        <v>144000</v>
      </c>
      <c r="N1293">
        <f>Table_1[[#This Row],[Revenue]]-Table_1[[#This Row],[COGS]]</f>
        <v>36000</v>
      </c>
      <c r="O1293" s="11">
        <f t="shared" si="141"/>
        <v>4656740000</v>
      </c>
      <c r="P1293">
        <f t="shared" si="142"/>
        <v>3725392000</v>
      </c>
      <c r="Q1293">
        <f t="shared" si="143"/>
        <v>931348000</v>
      </c>
      <c r="R1293" s="7">
        <f t="shared" si="144"/>
        <v>2098</v>
      </c>
      <c r="S1293" s="7">
        <f t="shared" si="145"/>
        <v>4</v>
      </c>
      <c r="T1293" s="7">
        <f t="shared" si="146"/>
        <v>2098</v>
      </c>
    </row>
    <row r="1294" spans="1:20" ht="14.25" customHeight="1" x14ac:dyDescent="0.35">
      <c r="A1294" s="2" t="s">
        <v>80</v>
      </c>
      <c r="B1294" s="2" t="s">
        <v>12</v>
      </c>
      <c r="C1294" s="2" t="s">
        <v>21</v>
      </c>
      <c r="D1294" s="2" t="s">
        <v>26</v>
      </c>
      <c r="E1294" s="2" t="s">
        <v>15</v>
      </c>
      <c r="F1294" s="2" t="s">
        <v>56</v>
      </c>
      <c r="G1294" s="2" t="s">
        <v>36</v>
      </c>
      <c r="H1294" s="2">
        <v>250000</v>
      </c>
      <c r="I1294" s="2">
        <v>5</v>
      </c>
      <c r="J1294" s="2" t="s">
        <v>43</v>
      </c>
      <c r="K1294" s="2">
        <f t="shared" si="140"/>
        <v>200000</v>
      </c>
      <c r="L1294" s="9">
        <f>Table_1[[#This Row],[Unit Price]]*Table_1[[#This Row],[Quantity]]</f>
        <v>1250000</v>
      </c>
      <c r="M1294" s="8">
        <f>Table_1[[#This Row],[Cost Price]]*Table_1[[#This Row],[Quantity]]</f>
        <v>1000000</v>
      </c>
      <c r="N1294">
        <f>Table_1[[#This Row],[Revenue]]-Table_1[[#This Row],[COGS]]</f>
        <v>250000</v>
      </c>
      <c r="O1294" s="11">
        <f t="shared" si="141"/>
        <v>4656740000</v>
      </c>
      <c r="P1294">
        <f t="shared" si="142"/>
        <v>3725392000</v>
      </c>
      <c r="Q1294">
        <f t="shared" si="143"/>
        <v>931348000</v>
      </c>
      <c r="R1294" s="7">
        <f t="shared" si="144"/>
        <v>2098</v>
      </c>
      <c r="S1294" s="7">
        <f t="shared" si="145"/>
        <v>2</v>
      </c>
      <c r="T1294" s="7">
        <f t="shared" si="146"/>
        <v>2098</v>
      </c>
    </row>
    <row r="1295" spans="1:20" ht="14.25" customHeight="1" x14ac:dyDescent="0.35">
      <c r="A1295" s="2" t="s">
        <v>144</v>
      </c>
      <c r="B1295" s="2" t="s">
        <v>29</v>
      </c>
      <c r="C1295" s="2" t="s">
        <v>21</v>
      </c>
      <c r="D1295" s="2" t="s">
        <v>26</v>
      </c>
      <c r="E1295" s="2" t="s">
        <v>15</v>
      </c>
      <c r="F1295" s="2" t="s">
        <v>41</v>
      </c>
      <c r="G1295" s="2" t="s">
        <v>17</v>
      </c>
      <c r="H1295" s="2">
        <v>320000</v>
      </c>
      <c r="I1295" s="2">
        <v>2</v>
      </c>
      <c r="J1295" s="2" t="s">
        <v>54</v>
      </c>
      <c r="K1295" s="2">
        <f t="shared" si="140"/>
        <v>256000</v>
      </c>
      <c r="L1295" s="9">
        <f>Table_1[[#This Row],[Unit Price]]*Table_1[[#This Row],[Quantity]]</f>
        <v>640000</v>
      </c>
      <c r="M1295" s="8">
        <f>Table_1[[#This Row],[Cost Price]]*Table_1[[#This Row],[Quantity]]</f>
        <v>512000</v>
      </c>
      <c r="N1295">
        <f>Table_1[[#This Row],[Revenue]]-Table_1[[#This Row],[COGS]]</f>
        <v>128000</v>
      </c>
      <c r="O1295" s="11">
        <f t="shared" si="141"/>
        <v>4656740000</v>
      </c>
      <c r="P1295">
        <f t="shared" si="142"/>
        <v>3725392000</v>
      </c>
      <c r="Q1295">
        <f t="shared" si="143"/>
        <v>931348000</v>
      </c>
      <c r="R1295" s="7">
        <f t="shared" si="144"/>
        <v>2098</v>
      </c>
      <c r="S1295" s="7">
        <f t="shared" si="145"/>
        <v>2</v>
      </c>
      <c r="T1295" s="7">
        <f t="shared" si="146"/>
        <v>2098</v>
      </c>
    </row>
    <row r="1296" spans="1:20" ht="14.25" customHeight="1" x14ac:dyDescent="0.35">
      <c r="A1296" s="2" t="s">
        <v>59</v>
      </c>
      <c r="B1296" s="2" t="s">
        <v>20</v>
      </c>
      <c r="C1296" s="2" t="s">
        <v>21</v>
      </c>
      <c r="D1296" s="2" t="s">
        <v>26</v>
      </c>
      <c r="E1296" s="2" t="s">
        <v>22</v>
      </c>
      <c r="F1296" s="2" t="s">
        <v>35</v>
      </c>
      <c r="G1296" s="2" t="s">
        <v>36</v>
      </c>
      <c r="H1296" s="2">
        <v>300000</v>
      </c>
      <c r="I1296" s="2">
        <v>10</v>
      </c>
      <c r="J1296" s="2" t="s">
        <v>43</v>
      </c>
      <c r="K1296" s="2">
        <f t="shared" si="140"/>
        <v>240000</v>
      </c>
      <c r="L1296" s="9">
        <f>Table_1[[#This Row],[Unit Price]]*Table_1[[#This Row],[Quantity]]</f>
        <v>3000000</v>
      </c>
      <c r="M1296" s="8">
        <f>Table_1[[#This Row],[Cost Price]]*Table_1[[#This Row],[Quantity]]</f>
        <v>2400000</v>
      </c>
      <c r="N1296">
        <f>Table_1[[#This Row],[Revenue]]-Table_1[[#This Row],[COGS]]</f>
        <v>600000</v>
      </c>
      <c r="O1296" s="11">
        <f t="shared" si="141"/>
        <v>4656740000</v>
      </c>
      <c r="P1296">
        <f t="shared" si="142"/>
        <v>3725392000</v>
      </c>
      <c r="Q1296">
        <f t="shared" si="143"/>
        <v>931348000</v>
      </c>
      <c r="R1296" s="7">
        <f t="shared" si="144"/>
        <v>2098</v>
      </c>
      <c r="S1296" s="7">
        <f t="shared" si="145"/>
        <v>2</v>
      </c>
      <c r="T1296" s="7">
        <f t="shared" si="146"/>
        <v>2098</v>
      </c>
    </row>
    <row r="1297" spans="1:20" ht="14.25" customHeight="1" x14ac:dyDescent="0.35">
      <c r="A1297" s="2" t="s">
        <v>46</v>
      </c>
      <c r="B1297" s="2" t="s">
        <v>12</v>
      </c>
      <c r="C1297" s="2" t="s">
        <v>21</v>
      </c>
      <c r="D1297" s="2" t="s">
        <v>26</v>
      </c>
      <c r="E1297" s="2" t="s">
        <v>22</v>
      </c>
      <c r="F1297" s="2" t="s">
        <v>35</v>
      </c>
      <c r="G1297" s="2" t="s">
        <v>36</v>
      </c>
      <c r="H1297" s="2">
        <v>300000</v>
      </c>
      <c r="I1297" s="2">
        <v>7</v>
      </c>
      <c r="J1297" s="2" t="s">
        <v>50</v>
      </c>
      <c r="K1297" s="2">
        <f t="shared" si="140"/>
        <v>240000</v>
      </c>
      <c r="L1297" s="9">
        <f>Table_1[[#This Row],[Unit Price]]*Table_1[[#This Row],[Quantity]]</f>
        <v>2100000</v>
      </c>
      <c r="M1297" s="8">
        <f>Table_1[[#This Row],[Cost Price]]*Table_1[[#This Row],[Quantity]]</f>
        <v>1680000</v>
      </c>
      <c r="N1297">
        <f>Table_1[[#This Row],[Revenue]]-Table_1[[#This Row],[COGS]]</f>
        <v>420000</v>
      </c>
      <c r="O1297" s="11">
        <f t="shared" si="141"/>
        <v>4656740000</v>
      </c>
      <c r="P1297">
        <f t="shared" si="142"/>
        <v>3725392000</v>
      </c>
      <c r="Q1297">
        <f t="shared" si="143"/>
        <v>931348000</v>
      </c>
      <c r="R1297" s="7">
        <f t="shared" si="144"/>
        <v>2098</v>
      </c>
      <c r="S1297" s="7">
        <f t="shared" si="145"/>
        <v>1</v>
      </c>
      <c r="T1297" s="7">
        <f t="shared" si="146"/>
        <v>2098</v>
      </c>
    </row>
    <row r="1298" spans="1:20" ht="14.25" customHeight="1" x14ac:dyDescent="0.35">
      <c r="A1298" s="2" t="s">
        <v>135</v>
      </c>
      <c r="B1298" s="2" t="s">
        <v>34</v>
      </c>
      <c r="C1298" s="2" t="s">
        <v>13</v>
      </c>
      <c r="D1298" s="2" t="s">
        <v>26</v>
      </c>
      <c r="E1298" s="2" t="s">
        <v>15</v>
      </c>
      <c r="F1298" s="2" t="s">
        <v>39</v>
      </c>
      <c r="G1298" s="2" t="s">
        <v>24</v>
      </c>
      <c r="H1298" s="2">
        <v>180000</v>
      </c>
      <c r="I1298" s="2">
        <v>1</v>
      </c>
      <c r="J1298" s="2" t="s">
        <v>54</v>
      </c>
      <c r="K1298" s="2">
        <f t="shared" si="140"/>
        <v>144000</v>
      </c>
      <c r="L1298" s="9">
        <f>Table_1[[#This Row],[Unit Price]]*Table_1[[#This Row],[Quantity]]</f>
        <v>180000</v>
      </c>
      <c r="M1298" s="8">
        <f>Table_1[[#This Row],[Cost Price]]*Table_1[[#This Row],[Quantity]]</f>
        <v>144000</v>
      </c>
      <c r="N1298">
        <f>Table_1[[#This Row],[Revenue]]-Table_1[[#This Row],[COGS]]</f>
        <v>36000</v>
      </c>
      <c r="O1298" s="11">
        <f t="shared" si="141"/>
        <v>4656740000</v>
      </c>
      <c r="P1298">
        <f t="shared" si="142"/>
        <v>3725392000</v>
      </c>
      <c r="Q1298">
        <f t="shared" si="143"/>
        <v>931348000</v>
      </c>
      <c r="R1298" s="7">
        <f t="shared" si="144"/>
        <v>2098</v>
      </c>
      <c r="S1298" s="7">
        <f t="shared" si="145"/>
        <v>1</v>
      </c>
      <c r="T1298" s="7">
        <f t="shared" si="146"/>
        <v>2098</v>
      </c>
    </row>
    <row r="1299" spans="1:20" ht="14.25" customHeight="1" x14ac:dyDescent="0.35">
      <c r="A1299" s="2" t="s">
        <v>136</v>
      </c>
      <c r="B1299" s="2" t="s">
        <v>20</v>
      </c>
      <c r="C1299" s="2" t="s">
        <v>30</v>
      </c>
      <c r="D1299" s="2" t="s">
        <v>26</v>
      </c>
      <c r="E1299" s="2" t="s">
        <v>22</v>
      </c>
      <c r="F1299" s="2" t="s">
        <v>35</v>
      </c>
      <c r="G1299" s="2" t="s">
        <v>36</v>
      </c>
      <c r="H1299" s="2">
        <v>300000</v>
      </c>
      <c r="I1299" s="2">
        <v>10</v>
      </c>
      <c r="J1299" s="2" t="s">
        <v>18</v>
      </c>
      <c r="K1299" s="2">
        <f t="shared" si="140"/>
        <v>240000</v>
      </c>
      <c r="L1299" s="9">
        <f>Table_1[[#This Row],[Unit Price]]*Table_1[[#This Row],[Quantity]]</f>
        <v>3000000</v>
      </c>
      <c r="M1299" s="8">
        <f>Table_1[[#This Row],[Cost Price]]*Table_1[[#This Row],[Quantity]]</f>
        <v>2400000</v>
      </c>
      <c r="N1299">
        <f>Table_1[[#This Row],[Revenue]]-Table_1[[#This Row],[COGS]]</f>
        <v>600000</v>
      </c>
      <c r="O1299" s="11">
        <f t="shared" si="141"/>
        <v>4656740000</v>
      </c>
      <c r="P1299">
        <f t="shared" si="142"/>
        <v>3725392000</v>
      </c>
      <c r="Q1299">
        <f t="shared" si="143"/>
        <v>931348000</v>
      </c>
      <c r="R1299" s="7">
        <f t="shared" si="144"/>
        <v>2098</v>
      </c>
      <c r="S1299" s="7">
        <f t="shared" si="145"/>
        <v>2</v>
      </c>
      <c r="T1299" s="7">
        <f t="shared" si="146"/>
        <v>2098</v>
      </c>
    </row>
    <row r="1300" spans="1:20" ht="14.25" customHeight="1" x14ac:dyDescent="0.35">
      <c r="A1300" s="2" t="s">
        <v>150</v>
      </c>
      <c r="B1300" s="2" t="s">
        <v>12</v>
      </c>
      <c r="C1300" s="2" t="s">
        <v>38</v>
      </c>
      <c r="D1300" s="2" t="s">
        <v>26</v>
      </c>
      <c r="E1300" s="2" t="s">
        <v>15</v>
      </c>
      <c r="F1300" s="2" t="s">
        <v>39</v>
      </c>
      <c r="G1300" s="2" t="s">
        <v>24</v>
      </c>
      <c r="H1300" s="2">
        <v>180000</v>
      </c>
      <c r="I1300" s="2">
        <v>7</v>
      </c>
      <c r="J1300" s="2" t="s">
        <v>50</v>
      </c>
      <c r="K1300" s="2">
        <f t="shared" si="140"/>
        <v>144000</v>
      </c>
      <c r="L1300" s="9">
        <f>Table_1[[#This Row],[Unit Price]]*Table_1[[#This Row],[Quantity]]</f>
        <v>1260000</v>
      </c>
      <c r="M1300" s="8">
        <f>Table_1[[#This Row],[Cost Price]]*Table_1[[#This Row],[Quantity]]</f>
        <v>1008000</v>
      </c>
      <c r="N1300">
        <f>Table_1[[#This Row],[Revenue]]-Table_1[[#This Row],[COGS]]</f>
        <v>252000</v>
      </c>
      <c r="O1300" s="11">
        <f t="shared" si="141"/>
        <v>4656740000</v>
      </c>
      <c r="P1300">
        <f t="shared" si="142"/>
        <v>3725392000</v>
      </c>
      <c r="Q1300">
        <f t="shared" si="143"/>
        <v>931348000</v>
      </c>
      <c r="R1300" s="7">
        <f t="shared" si="144"/>
        <v>2098</v>
      </c>
      <c r="S1300" s="7">
        <f t="shared" si="145"/>
        <v>4</v>
      </c>
      <c r="T1300" s="7">
        <f t="shared" si="146"/>
        <v>2098</v>
      </c>
    </row>
    <row r="1301" spans="1:20" ht="14.25" customHeight="1" x14ac:dyDescent="0.35">
      <c r="A1301" s="2" t="s">
        <v>124</v>
      </c>
      <c r="B1301" s="2" t="s">
        <v>12</v>
      </c>
      <c r="C1301" s="2" t="s">
        <v>21</v>
      </c>
      <c r="D1301" s="2" t="s">
        <v>26</v>
      </c>
      <c r="E1301" s="2" t="s">
        <v>15</v>
      </c>
      <c r="F1301" s="2" t="s">
        <v>23</v>
      </c>
      <c r="G1301" s="2" t="s">
        <v>24</v>
      </c>
      <c r="H1301" s="2">
        <v>30000</v>
      </c>
      <c r="I1301" s="2">
        <v>7</v>
      </c>
      <c r="J1301" s="2" t="s">
        <v>32</v>
      </c>
      <c r="K1301" s="2">
        <f t="shared" si="140"/>
        <v>24000</v>
      </c>
      <c r="L1301" s="9">
        <f>Table_1[[#This Row],[Unit Price]]*Table_1[[#This Row],[Quantity]]</f>
        <v>210000</v>
      </c>
      <c r="M1301" s="8">
        <f>Table_1[[#This Row],[Cost Price]]*Table_1[[#This Row],[Quantity]]</f>
        <v>168000</v>
      </c>
      <c r="N1301">
        <f>Table_1[[#This Row],[Revenue]]-Table_1[[#This Row],[COGS]]</f>
        <v>42000</v>
      </c>
      <c r="O1301" s="11">
        <f t="shared" si="141"/>
        <v>4656740000</v>
      </c>
      <c r="P1301">
        <f t="shared" si="142"/>
        <v>3725392000</v>
      </c>
      <c r="Q1301">
        <f t="shared" si="143"/>
        <v>931348000</v>
      </c>
      <c r="R1301" s="7">
        <f t="shared" si="144"/>
        <v>2098</v>
      </c>
      <c r="S1301" s="7">
        <f t="shared" si="145"/>
        <v>1</v>
      </c>
      <c r="T1301" s="7">
        <f t="shared" si="146"/>
        <v>2098</v>
      </c>
    </row>
    <row r="1302" spans="1:20" ht="14.25" customHeight="1" x14ac:dyDescent="0.35">
      <c r="A1302" s="2" t="s">
        <v>77</v>
      </c>
      <c r="B1302" s="2" t="s">
        <v>20</v>
      </c>
      <c r="C1302" s="2" t="s">
        <v>13</v>
      </c>
      <c r="D1302" s="2" t="s">
        <v>26</v>
      </c>
      <c r="E1302" s="2" t="s">
        <v>15</v>
      </c>
      <c r="F1302" s="2" t="s">
        <v>23</v>
      </c>
      <c r="G1302" s="2" t="s">
        <v>24</v>
      </c>
      <c r="H1302" s="2">
        <v>30000</v>
      </c>
      <c r="I1302" s="2">
        <v>6</v>
      </c>
      <c r="J1302" s="2" t="s">
        <v>27</v>
      </c>
      <c r="K1302" s="2">
        <f t="shared" si="140"/>
        <v>24000</v>
      </c>
      <c r="L1302" s="9">
        <f>Table_1[[#This Row],[Unit Price]]*Table_1[[#This Row],[Quantity]]</f>
        <v>180000</v>
      </c>
      <c r="M1302" s="8">
        <f>Table_1[[#This Row],[Cost Price]]*Table_1[[#This Row],[Quantity]]</f>
        <v>144000</v>
      </c>
      <c r="N1302">
        <f>Table_1[[#This Row],[Revenue]]-Table_1[[#This Row],[COGS]]</f>
        <v>36000</v>
      </c>
      <c r="O1302" s="11">
        <f t="shared" si="141"/>
        <v>4656740000</v>
      </c>
      <c r="P1302">
        <f t="shared" si="142"/>
        <v>3725392000</v>
      </c>
      <c r="Q1302">
        <f t="shared" si="143"/>
        <v>931348000</v>
      </c>
      <c r="R1302" s="7">
        <f t="shared" si="144"/>
        <v>2098</v>
      </c>
      <c r="S1302" s="7">
        <f t="shared" si="145"/>
        <v>1</v>
      </c>
      <c r="T1302" s="7">
        <f t="shared" si="146"/>
        <v>2098</v>
      </c>
    </row>
    <row r="1303" spans="1:20" ht="14.25" customHeight="1" x14ac:dyDescent="0.35">
      <c r="A1303" s="2" t="s">
        <v>133</v>
      </c>
      <c r="B1303" s="2" t="s">
        <v>20</v>
      </c>
      <c r="C1303" s="2" t="s">
        <v>21</v>
      </c>
      <c r="D1303" s="2" t="s">
        <v>26</v>
      </c>
      <c r="E1303" s="2" t="s">
        <v>15</v>
      </c>
      <c r="F1303" s="2" t="s">
        <v>16</v>
      </c>
      <c r="G1303" s="2" t="s">
        <v>17</v>
      </c>
      <c r="H1303" s="2">
        <v>85000</v>
      </c>
      <c r="I1303" s="2">
        <v>7</v>
      </c>
      <c r="J1303" s="2" t="s">
        <v>43</v>
      </c>
      <c r="K1303" s="2">
        <f t="shared" si="140"/>
        <v>68000</v>
      </c>
      <c r="L1303" s="9">
        <f>Table_1[[#This Row],[Unit Price]]*Table_1[[#This Row],[Quantity]]</f>
        <v>595000</v>
      </c>
      <c r="M1303" s="8">
        <f>Table_1[[#This Row],[Cost Price]]*Table_1[[#This Row],[Quantity]]</f>
        <v>476000</v>
      </c>
      <c r="N1303">
        <f>Table_1[[#This Row],[Revenue]]-Table_1[[#This Row],[COGS]]</f>
        <v>119000</v>
      </c>
      <c r="O1303" s="11">
        <f t="shared" si="141"/>
        <v>4656740000</v>
      </c>
      <c r="P1303">
        <f t="shared" si="142"/>
        <v>3725392000</v>
      </c>
      <c r="Q1303">
        <f t="shared" si="143"/>
        <v>931348000</v>
      </c>
      <c r="R1303" s="7">
        <f t="shared" si="144"/>
        <v>2098</v>
      </c>
      <c r="S1303" s="7">
        <f t="shared" si="145"/>
        <v>2</v>
      </c>
      <c r="T1303" s="7">
        <f t="shared" si="146"/>
        <v>2098</v>
      </c>
    </row>
    <row r="1304" spans="1:20" ht="14.25" customHeight="1" x14ac:dyDescent="0.35">
      <c r="A1304" s="2" t="s">
        <v>63</v>
      </c>
      <c r="B1304" s="2" t="s">
        <v>20</v>
      </c>
      <c r="C1304" s="2" t="s">
        <v>13</v>
      </c>
      <c r="D1304" s="2" t="s">
        <v>26</v>
      </c>
      <c r="E1304" s="2" t="s">
        <v>22</v>
      </c>
      <c r="F1304" s="2" t="s">
        <v>56</v>
      </c>
      <c r="G1304" s="2" t="s">
        <v>36</v>
      </c>
      <c r="H1304" s="2">
        <v>250000</v>
      </c>
      <c r="I1304" s="2">
        <v>3</v>
      </c>
      <c r="J1304" s="2" t="s">
        <v>43</v>
      </c>
      <c r="K1304" s="2">
        <f t="shared" si="140"/>
        <v>200000</v>
      </c>
      <c r="L1304" s="9">
        <f>Table_1[[#This Row],[Unit Price]]*Table_1[[#This Row],[Quantity]]</f>
        <v>750000</v>
      </c>
      <c r="M1304" s="8">
        <f>Table_1[[#This Row],[Cost Price]]*Table_1[[#This Row],[Quantity]]</f>
        <v>600000</v>
      </c>
      <c r="N1304">
        <f>Table_1[[#This Row],[Revenue]]-Table_1[[#This Row],[COGS]]</f>
        <v>150000</v>
      </c>
      <c r="O1304" s="11">
        <f t="shared" si="141"/>
        <v>4656740000</v>
      </c>
      <c r="P1304">
        <f t="shared" si="142"/>
        <v>3725392000</v>
      </c>
      <c r="Q1304">
        <f t="shared" si="143"/>
        <v>931348000</v>
      </c>
      <c r="R1304" s="7">
        <f t="shared" si="144"/>
        <v>2098</v>
      </c>
      <c r="S1304" s="7">
        <f t="shared" si="145"/>
        <v>4</v>
      </c>
      <c r="T1304" s="7">
        <f t="shared" si="146"/>
        <v>2098</v>
      </c>
    </row>
    <row r="1305" spans="1:20" ht="14.25" customHeight="1" x14ac:dyDescent="0.35">
      <c r="A1305" s="2" t="s">
        <v>70</v>
      </c>
      <c r="B1305" s="2" t="s">
        <v>12</v>
      </c>
      <c r="C1305" s="2" t="s">
        <v>21</v>
      </c>
      <c r="D1305" s="2" t="s">
        <v>26</v>
      </c>
      <c r="E1305" s="2" t="s">
        <v>15</v>
      </c>
      <c r="F1305" s="2" t="s">
        <v>41</v>
      </c>
      <c r="G1305" s="2" t="s">
        <v>17</v>
      </c>
      <c r="H1305" s="2">
        <v>320000</v>
      </c>
      <c r="I1305" s="2">
        <v>7</v>
      </c>
      <c r="J1305" s="2" t="s">
        <v>32</v>
      </c>
      <c r="K1305" s="2">
        <f t="shared" si="140"/>
        <v>256000</v>
      </c>
      <c r="L1305" s="9">
        <f>Table_1[[#This Row],[Unit Price]]*Table_1[[#This Row],[Quantity]]</f>
        <v>2240000</v>
      </c>
      <c r="M1305" s="8">
        <f>Table_1[[#This Row],[Cost Price]]*Table_1[[#This Row],[Quantity]]</f>
        <v>1792000</v>
      </c>
      <c r="N1305">
        <f>Table_1[[#This Row],[Revenue]]-Table_1[[#This Row],[COGS]]</f>
        <v>448000</v>
      </c>
      <c r="O1305" s="11">
        <f t="shared" si="141"/>
        <v>4656740000</v>
      </c>
      <c r="P1305">
        <f t="shared" si="142"/>
        <v>3725392000</v>
      </c>
      <c r="Q1305">
        <f t="shared" si="143"/>
        <v>931348000</v>
      </c>
      <c r="R1305" s="7">
        <f t="shared" si="144"/>
        <v>2098</v>
      </c>
      <c r="S1305" s="7">
        <f t="shared" si="145"/>
        <v>2</v>
      </c>
      <c r="T1305" s="7">
        <f t="shared" si="146"/>
        <v>2098</v>
      </c>
    </row>
    <row r="1306" spans="1:20" ht="14.25" customHeight="1" x14ac:dyDescent="0.35">
      <c r="A1306" s="2" t="s">
        <v>143</v>
      </c>
      <c r="B1306" s="2" t="s">
        <v>29</v>
      </c>
      <c r="C1306" s="2" t="s">
        <v>30</v>
      </c>
      <c r="D1306" s="2" t="s">
        <v>26</v>
      </c>
      <c r="E1306" s="2" t="s">
        <v>22</v>
      </c>
      <c r="F1306" s="2" t="s">
        <v>23</v>
      </c>
      <c r="G1306" s="2" t="s">
        <v>24</v>
      </c>
      <c r="H1306" s="2">
        <v>30000</v>
      </c>
      <c r="I1306" s="2">
        <v>7</v>
      </c>
      <c r="J1306" s="2" t="s">
        <v>43</v>
      </c>
      <c r="K1306" s="2">
        <f t="shared" si="140"/>
        <v>24000</v>
      </c>
      <c r="L1306" s="9">
        <f>Table_1[[#This Row],[Unit Price]]*Table_1[[#This Row],[Quantity]]</f>
        <v>210000</v>
      </c>
      <c r="M1306" s="8">
        <f>Table_1[[#This Row],[Cost Price]]*Table_1[[#This Row],[Quantity]]</f>
        <v>168000</v>
      </c>
      <c r="N1306">
        <f>Table_1[[#This Row],[Revenue]]-Table_1[[#This Row],[COGS]]</f>
        <v>42000</v>
      </c>
      <c r="O1306" s="11">
        <f t="shared" si="141"/>
        <v>4656740000</v>
      </c>
      <c r="P1306">
        <f t="shared" si="142"/>
        <v>3725392000</v>
      </c>
      <c r="Q1306">
        <f t="shared" si="143"/>
        <v>931348000</v>
      </c>
      <c r="R1306" s="7">
        <f t="shared" si="144"/>
        <v>2098</v>
      </c>
      <c r="S1306" s="7">
        <f t="shared" si="145"/>
        <v>1</v>
      </c>
      <c r="T1306" s="7">
        <f t="shared" si="146"/>
        <v>2098</v>
      </c>
    </row>
    <row r="1307" spans="1:20" ht="14.25" customHeight="1" x14ac:dyDescent="0.35">
      <c r="A1307" s="2" t="s">
        <v>113</v>
      </c>
      <c r="B1307" s="2" t="s">
        <v>12</v>
      </c>
      <c r="C1307" s="2" t="s">
        <v>30</v>
      </c>
      <c r="D1307" s="2" t="s">
        <v>26</v>
      </c>
      <c r="E1307" s="2" t="s">
        <v>15</v>
      </c>
      <c r="F1307" s="2" t="s">
        <v>41</v>
      </c>
      <c r="G1307" s="2" t="s">
        <v>17</v>
      </c>
      <c r="H1307" s="2">
        <v>320000</v>
      </c>
      <c r="I1307" s="2">
        <v>8</v>
      </c>
      <c r="J1307" s="2" t="s">
        <v>18</v>
      </c>
      <c r="K1307" s="2">
        <f t="shared" si="140"/>
        <v>256000</v>
      </c>
      <c r="L1307" s="9">
        <f>Table_1[[#This Row],[Unit Price]]*Table_1[[#This Row],[Quantity]]</f>
        <v>2560000</v>
      </c>
      <c r="M1307" s="8">
        <f>Table_1[[#This Row],[Cost Price]]*Table_1[[#This Row],[Quantity]]</f>
        <v>2048000</v>
      </c>
      <c r="N1307">
        <f>Table_1[[#This Row],[Revenue]]-Table_1[[#This Row],[COGS]]</f>
        <v>512000</v>
      </c>
      <c r="O1307" s="11">
        <f t="shared" si="141"/>
        <v>4656740000</v>
      </c>
      <c r="P1307">
        <f t="shared" si="142"/>
        <v>3725392000</v>
      </c>
      <c r="Q1307">
        <f t="shared" si="143"/>
        <v>931348000</v>
      </c>
      <c r="R1307" s="7">
        <f t="shared" si="144"/>
        <v>2098</v>
      </c>
      <c r="S1307" s="7">
        <f t="shared" si="145"/>
        <v>3</v>
      </c>
      <c r="T1307" s="7">
        <f t="shared" si="146"/>
        <v>2098</v>
      </c>
    </row>
    <row r="1308" spans="1:20" ht="14.25" customHeight="1" x14ac:dyDescent="0.35">
      <c r="A1308" s="2" t="s">
        <v>28</v>
      </c>
      <c r="B1308" s="2" t="s">
        <v>34</v>
      </c>
      <c r="C1308" s="2" t="s">
        <v>38</v>
      </c>
      <c r="D1308" s="2" t="s">
        <v>26</v>
      </c>
      <c r="E1308" s="2" t="s">
        <v>15</v>
      </c>
      <c r="F1308" s="2" t="s">
        <v>41</v>
      </c>
      <c r="G1308" s="2" t="s">
        <v>17</v>
      </c>
      <c r="H1308" s="2">
        <v>320000</v>
      </c>
      <c r="I1308" s="2">
        <v>7</v>
      </c>
      <c r="J1308" s="2" t="s">
        <v>50</v>
      </c>
      <c r="K1308" s="2">
        <f t="shared" si="140"/>
        <v>256000</v>
      </c>
      <c r="L1308" s="9">
        <f>Table_1[[#This Row],[Unit Price]]*Table_1[[#This Row],[Quantity]]</f>
        <v>2240000</v>
      </c>
      <c r="M1308" s="8">
        <f>Table_1[[#This Row],[Cost Price]]*Table_1[[#This Row],[Quantity]]</f>
        <v>1792000</v>
      </c>
      <c r="N1308">
        <f>Table_1[[#This Row],[Revenue]]-Table_1[[#This Row],[COGS]]</f>
        <v>448000</v>
      </c>
      <c r="O1308" s="11">
        <f t="shared" si="141"/>
        <v>4656740000</v>
      </c>
      <c r="P1308">
        <f t="shared" si="142"/>
        <v>3725392000</v>
      </c>
      <c r="Q1308">
        <f t="shared" si="143"/>
        <v>931348000</v>
      </c>
      <c r="R1308" s="7">
        <f t="shared" si="144"/>
        <v>2098</v>
      </c>
      <c r="S1308" s="7">
        <f t="shared" si="145"/>
        <v>4</v>
      </c>
      <c r="T1308" s="7">
        <f t="shared" si="146"/>
        <v>2098</v>
      </c>
    </row>
    <row r="1309" spans="1:20" ht="14.25" customHeight="1" x14ac:dyDescent="0.35">
      <c r="A1309" s="2" t="s">
        <v>152</v>
      </c>
      <c r="B1309" s="2" t="s">
        <v>20</v>
      </c>
      <c r="C1309" s="2" t="s">
        <v>21</v>
      </c>
      <c r="D1309" s="2" t="s">
        <v>26</v>
      </c>
      <c r="E1309" s="2" t="s">
        <v>22</v>
      </c>
      <c r="F1309" s="2" t="s">
        <v>31</v>
      </c>
      <c r="G1309" s="2" t="s">
        <v>24</v>
      </c>
      <c r="H1309" s="2">
        <v>60000</v>
      </c>
      <c r="I1309" s="2">
        <v>2</v>
      </c>
      <c r="J1309" s="2" t="s">
        <v>32</v>
      </c>
      <c r="K1309" s="2">
        <f t="shared" si="140"/>
        <v>48000</v>
      </c>
      <c r="L1309" s="9">
        <f>Table_1[[#This Row],[Unit Price]]*Table_1[[#This Row],[Quantity]]</f>
        <v>120000</v>
      </c>
      <c r="M1309" s="8">
        <f>Table_1[[#This Row],[Cost Price]]*Table_1[[#This Row],[Quantity]]</f>
        <v>96000</v>
      </c>
      <c r="N1309">
        <f>Table_1[[#This Row],[Revenue]]-Table_1[[#This Row],[COGS]]</f>
        <v>24000</v>
      </c>
      <c r="O1309" s="11">
        <f t="shared" si="141"/>
        <v>4656740000</v>
      </c>
      <c r="P1309">
        <f t="shared" si="142"/>
        <v>3725392000</v>
      </c>
      <c r="Q1309">
        <f t="shared" si="143"/>
        <v>931348000</v>
      </c>
      <c r="R1309" s="7">
        <f t="shared" si="144"/>
        <v>2098</v>
      </c>
      <c r="S1309" s="7">
        <f t="shared" si="145"/>
        <v>4</v>
      </c>
      <c r="T1309" s="7">
        <f t="shared" si="146"/>
        <v>2098</v>
      </c>
    </row>
    <row r="1310" spans="1:20" ht="14.25" customHeight="1" x14ac:dyDescent="0.35">
      <c r="A1310" s="2" t="s">
        <v>88</v>
      </c>
      <c r="B1310" s="2" t="s">
        <v>12</v>
      </c>
      <c r="C1310" s="2" t="s">
        <v>13</v>
      </c>
      <c r="D1310" s="2" t="s">
        <v>26</v>
      </c>
      <c r="E1310" s="2" t="s">
        <v>22</v>
      </c>
      <c r="F1310" s="2" t="s">
        <v>58</v>
      </c>
      <c r="G1310" s="2" t="s">
        <v>24</v>
      </c>
      <c r="H1310" s="2">
        <v>220000</v>
      </c>
      <c r="I1310" s="2">
        <v>8</v>
      </c>
      <c r="J1310" s="2" t="s">
        <v>50</v>
      </c>
      <c r="K1310" s="2">
        <f t="shared" si="140"/>
        <v>176000</v>
      </c>
      <c r="L1310" s="9">
        <f>Table_1[[#This Row],[Unit Price]]*Table_1[[#This Row],[Quantity]]</f>
        <v>1760000</v>
      </c>
      <c r="M1310" s="8">
        <f>Table_1[[#This Row],[Cost Price]]*Table_1[[#This Row],[Quantity]]</f>
        <v>1408000</v>
      </c>
      <c r="N1310">
        <f>Table_1[[#This Row],[Revenue]]-Table_1[[#This Row],[COGS]]</f>
        <v>352000</v>
      </c>
      <c r="O1310" s="11">
        <f t="shared" si="141"/>
        <v>4656740000</v>
      </c>
      <c r="P1310">
        <f t="shared" si="142"/>
        <v>3725392000</v>
      </c>
      <c r="Q1310">
        <f t="shared" si="143"/>
        <v>931348000</v>
      </c>
      <c r="R1310" s="7">
        <f t="shared" si="144"/>
        <v>2098</v>
      </c>
      <c r="S1310" s="7">
        <f t="shared" si="145"/>
        <v>3</v>
      </c>
      <c r="T1310" s="7">
        <f t="shared" si="146"/>
        <v>2098</v>
      </c>
    </row>
    <row r="1311" spans="1:20" ht="14.25" customHeight="1" x14ac:dyDescent="0.35">
      <c r="A1311" s="2" t="s">
        <v>124</v>
      </c>
      <c r="B1311" s="2" t="s">
        <v>29</v>
      </c>
      <c r="C1311" s="2" t="s">
        <v>30</v>
      </c>
      <c r="D1311" s="2" t="s">
        <v>26</v>
      </c>
      <c r="E1311" s="2" t="s">
        <v>15</v>
      </c>
      <c r="F1311" s="2" t="s">
        <v>31</v>
      </c>
      <c r="G1311" s="2" t="s">
        <v>24</v>
      </c>
      <c r="H1311" s="2">
        <v>60000</v>
      </c>
      <c r="I1311" s="2">
        <v>2</v>
      </c>
      <c r="J1311" s="2" t="s">
        <v>32</v>
      </c>
      <c r="K1311" s="2">
        <f t="shared" si="140"/>
        <v>48000</v>
      </c>
      <c r="L1311" s="9">
        <f>Table_1[[#This Row],[Unit Price]]*Table_1[[#This Row],[Quantity]]</f>
        <v>120000</v>
      </c>
      <c r="M1311" s="8">
        <f>Table_1[[#This Row],[Cost Price]]*Table_1[[#This Row],[Quantity]]</f>
        <v>96000</v>
      </c>
      <c r="N1311">
        <f>Table_1[[#This Row],[Revenue]]-Table_1[[#This Row],[COGS]]</f>
        <v>24000</v>
      </c>
      <c r="O1311" s="11">
        <f t="shared" si="141"/>
        <v>4656740000</v>
      </c>
      <c r="P1311">
        <f t="shared" si="142"/>
        <v>3725392000</v>
      </c>
      <c r="Q1311">
        <f t="shared" si="143"/>
        <v>931348000</v>
      </c>
      <c r="R1311" s="7">
        <f t="shared" si="144"/>
        <v>2098</v>
      </c>
      <c r="S1311" s="7">
        <f t="shared" si="145"/>
        <v>1</v>
      </c>
      <c r="T1311" s="7">
        <f t="shared" si="146"/>
        <v>2098</v>
      </c>
    </row>
    <row r="1312" spans="1:20" ht="14.25" customHeight="1" x14ac:dyDescent="0.35">
      <c r="A1312" s="2" t="s">
        <v>84</v>
      </c>
      <c r="B1312" s="2" t="s">
        <v>12</v>
      </c>
      <c r="C1312" s="2" t="s">
        <v>30</v>
      </c>
      <c r="D1312" s="2" t="s">
        <v>26</v>
      </c>
      <c r="E1312" s="2" t="s">
        <v>15</v>
      </c>
      <c r="F1312" s="2" t="s">
        <v>41</v>
      </c>
      <c r="G1312" s="2" t="s">
        <v>17</v>
      </c>
      <c r="H1312" s="2">
        <v>320000</v>
      </c>
      <c r="I1312" s="2">
        <v>2</v>
      </c>
      <c r="J1312" s="2" t="s">
        <v>54</v>
      </c>
      <c r="K1312" s="2">
        <f t="shared" si="140"/>
        <v>256000</v>
      </c>
      <c r="L1312" s="9">
        <f>Table_1[[#This Row],[Unit Price]]*Table_1[[#This Row],[Quantity]]</f>
        <v>640000</v>
      </c>
      <c r="M1312" s="8">
        <f>Table_1[[#This Row],[Cost Price]]*Table_1[[#This Row],[Quantity]]</f>
        <v>512000</v>
      </c>
      <c r="N1312">
        <f>Table_1[[#This Row],[Revenue]]-Table_1[[#This Row],[COGS]]</f>
        <v>128000</v>
      </c>
      <c r="O1312" s="11">
        <f t="shared" si="141"/>
        <v>4656740000</v>
      </c>
      <c r="P1312">
        <f t="shared" si="142"/>
        <v>3725392000</v>
      </c>
      <c r="Q1312">
        <f t="shared" si="143"/>
        <v>931348000</v>
      </c>
      <c r="R1312" s="7">
        <f t="shared" si="144"/>
        <v>2098</v>
      </c>
      <c r="S1312" s="7">
        <f t="shared" si="145"/>
        <v>4</v>
      </c>
      <c r="T1312" s="7">
        <f t="shared" si="146"/>
        <v>2098</v>
      </c>
    </row>
    <row r="1313" spans="1:20" ht="14.25" customHeight="1" x14ac:dyDescent="0.35">
      <c r="A1313" s="2" t="s">
        <v>63</v>
      </c>
      <c r="B1313" s="2" t="s">
        <v>20</v>
      </c>
      <c r="C1313" s="2" t="s">
        <v>13</v>
      </c>
      <c r="D1313" s="2" t="s">
        <v>26</v>
      </c>
      <c r="E1313" s="2" t="s">
        <v>22</v>
      </c>
      <c r="F1313" s="2" t="s">
        <v>23</v>
      </c>
      <c r="G1313" s="2" t="s">
        <v>24</v>
      </c>
      <c r="H1313" s="2">
        <v>30000</v>
      </c>
      <c r="I1313" s="2">
        <v>2</v>
      </c>
      <c r="J1313" s="2" t="s">
        <v>43</v>
      </c>
      <c r="K1313" s="2">
        <f t="shared" si="140"/>
        <v>24000</v>
      </c>
      <c r="L1313" s="9">
        <f>Table_1[[#This Row],[Unit Price]]*Table_1[[#This Row],[Quantity]]</f>
        <v>60000</v>
      </c>
      <c r="M1313" s="8">
        <f>Table_1[[#This Row],[Cost Price]]*Table_1[[#This Row],[Quantity]]</f>
        <v>48000</v>
      </c>
      <c r="N1313">
        <f>Table_1[[#This Row],[Revenue]]-Table_1[[#This Row],[COGS]]</f>
        <v>12000</v>
      </c>
      <c r="O1313" s="11">
        <f t="shared" si="141"/>
        <v>4656740000</v>
      </c>
      <c r="P1313">
        <f t="shared" si="142"/>
        <v>3725392000</v>
      </c>
      <c r="Q1313">
        <f t="shared" si="143"/>
        <v>931348000</v>
      </c>
      <c r="R1313" s="7">
        <f t="shared" si="144"/>
        <v>2098</v>
      </c>
      <c r="S1313" s="7">
        <f t="shared" si="145"/>
        <v>4</v>
      </c>
      <c r="T1313" s="7">
        <f t="shared" si="146"/>
        <v>2098</v>
      </c>
    </row>
    <row r="1314" spans="1:20" ht="14.25" customHeight="1" x14ac:dyDescent="0.35">
      <c r="A1314" s="2" t="s">
        <v>117</v>
      </c>
      <c r="B1314" s="2" t="s">
        <v>34</v>
      </c>
      <c r="C1314" s="2" t="s">
        <v>21</v>
      </c>
      <c r="D1314" s="2" t="s">
        <v>26</v>
      </c>
      <c r="E1314" s="2" t="s">
        <v>22</v>
      </c>
      <c r="F1314" s="2" t="s">
        <v>23</v>
      </c>
      <c r="G1314" s="2" t="s">
        <v>24</v>
      </c>
      <c r="H1314" s="2">
        <v>30000</v>
      </c>
      <c r="I1314" s="2">
        <v>7</v>
      </c>
      <c r="J1314" s="2" t="s">
        <v>43</v>
      </c>
      <c r="K1314" s="2">
        <f t="shared" si="140"/>
        <v>24000</v>
      </c>
      <c r="L1314" s="9">
        <f>Table_1[[#This Row],[Unit Price]]*Table_1[[#This Row],[Quantity]]</f>
        <v>210000</v>
      </c>
      <c r="M1314" s="8">
        <f>Table_1[[#This Row],[Cost Price]]*Table_1[[#This Row],[Quantity]]</f>
        <v>168000</v>
      </c>
      <c r="N1314">
        <f>Table_1[[#This Row],[Revenue]]-Table_1[[#This Row],[COGS]]</f>
        <v>42000</v>
      </c>
      <c r="O1314" s="11">
        <f t="shared" si="141"/>
        <v>4656740000</v>
      </c>
      <c r="P1314">
        <f t="shared" si="142"/>
        <v>3725392000</v>
      </c>
      <c r="Q1314">
        <f t="shared" si="143"/>
        <v>931348000</v>
      </c>
      <c r="R1314" s="7">
        <f t="shared" si="144"/>
        <v>2098</v>
      </c>
      <c r="S1314" s="7">
        <f t="shared" si="145"/>
        <v>4</v>
      </c>
      <c r="T1314" s="7">
        <f t="shared" si="146"/>
        <v>2098</v>
      </c>
    </row>
    <row r="1315" spans="1:20" ht="14.25" customHeight="1" x14ac:dyDescent="0.35">
      <c r="A1315" s="2" t="s">
        <v>162</v>
      </c>
      <c r="B1315" s="2" t="s">
        <v>34</v>
      </c>
      <c r="C1315" s="2" t="s">
        <v>13</v>
      </c>
      <c r="D1315" s="2" t="s">
        <v>26</v>
      </c>
      <c r="E1315" s="2" t="s">
        <v>22</v>
      </c>
      <c r="F1315" s="2" t="s">
        <v>56</v>
      </c>
      <c r="G1315" s="2" t="s">
        <v>36</v>
      </c>
      <c r="H1315" s="2">
        <v>250000</v>
      </c>
      <c r="I1315" s="2">
        <v>10</v>
      </c>
      <c r="J1315" s="2" t="s">
        <v>43</v>
      </c>
      <c r="K1315" s="2">
        <f t="shared" si="140"/>
        <v>200000</v>
      </c>
      <c r="L1315" s="9">
        <f>Table_1[[#This Row],[Unit Price]]*Table_1[[#This Row],[Quantity]]</f>
        <v>2500000</v>
      </c>
      <c r="M1315" s="8">
        <f>Table_1[[#This Row],[Cost Price]]*Table_1[[#This Row],[Quantity]]</f>
        <v>2000000</v>
      </c>
      <c r="N1315">
        <f>Table_1[[#This Row],[Revenue]]-Table_1[[#This Row],[COGS]]</f>
        <v>500000</v>
      </c>
      <c r="O1315" s="11">
        <f t="shared" si="141"/>
        <v>4656740000</v>
      </c>
      <c r="P1315">
        <f t="shared" si="142"/>
        <v>3725392000</v>
      </c>
      <c r="Q1315">
        <f t="shared" si="143"/>
        <v>931348000</v>
      </c>
      <c r="R1315" s="7">
        <f t="shared" si="144"/>
        <v>2098</v>
      </c>
      <c r="S1315" s="7">
        <f t="shared" si="145"/>
        <v>3</v>
      </c>
      <c r="T1315" s="7">
        <f t="shared" si="146"/>
        <v>2098</v>
      </c>
    </row>
    <row r="1316" spans="1:20" ht="14.25" customHeight="1" x14ac:dyDescent="0.35">
      <c r="A1316" s="2" t="s">
        <v>98</v>
      </c>
      <c r="B1316" s="2" t="s">
        <v>20</v>
      </c>
      <c r="C1316" s="2" t="s">
        <v>38</v>
      </c>
      <c r="D1316" s="2" t="s">
        <v>26</v>
      </c>
      <c r="E1316" s="2" t="s">
        <v>22</v>
      </c>
      <c r="F1316" s="2" t="s">
        <v>35</v>
      </c>
      <c r="G1316" s="2" t="s">
        <v>36</v>
      </c>
      <c r="H1316" s="2">
        <v>300000</v>
      </c>
      <c r="I1316" s="2">
        <v>9</v>
      </c>
      <c r="J1316" s="2" t="s">
        <v>32</v>
      </c>
      <c r="K1316" s="2">
        <f t="shared" si="140"/>
        <v>240000</v>
      </c>
      <c r="L1316" s="9">
        <f>Table_1[[#This Row],[Unit Price]]*Table_1[[#This Row],[Quantity]]</f>
        <v>2700000</v>
      </c>
      <c r="M1316" s="8">
        <f>Table_1[[#This Row],[Cost Price]]*Table_1[[#This Row],[Quantity]]</f>
        <v>2160000</v>
      </c>
      <c r="N1316">
        <f>Table_1[[#This Row],[Revenue]]-Table_1[[#This Row],[COGS]]</f>
        <v>540000</v>
      </c>
      <c r="O1316" s="11">
        <f t="shared" si="141"/>
        <v>4656740000</v>
      </c>
      <c r="P1316">
        <f t="shared" si="142"/>
        <v>3725392000</v>
      </c>
      <c r="Q1316">
        <f t="shared" si="143"/>
        <v>931348000</v>
      </c>
      <c r="R1316" s="7">
        <f t="shared" si="144"/>
        <v>2098</v>
      </c>
      <c r="S1316" s="7">
        <f t="shared" si="145"/>
        <v>4</v>
      </c>
      <c r="T1316" s="7">
        <f t="shared" si="146"/>
        <v>2098</v>
      </c>
    </row>
    <row r="1317" spans="1:20" ht="14.25" customHeight="1" x14ac:dyDescent="0.35">
      <c r="A1317" s="2" t="s">
        <v>103</v>
      </c>
      <c r="B1317" s="2" t="s">
        <v>29</v>
      </c>
      <c r="C1317" s="2" t="s">
        <v>30</v>
      </c>
      <c r="D1317" s="2" t="s">
        <v>26</v>
      </c>
      <c r="E1317" s="2" t="s">
        <v>22</v>
      </c>
      <c r="F1317" s="2" t="s">
        <v>16</v>
      </c>
      <c r="G1317" s="2" t="s">
        <v>17</v>
      </c>
      <c r="H1317" s="2">
        <v>85000</v>
      </c>
      <c r="I1317" s="2">
        <v>6</v>
      </c>
      <c r="J1317" s="2" t="s">
        <v>50</v>
      </c>
      <c r="K1317" s="2">
        <f t="shared" si="140"/>
        <v>68000</v>
      </c>
      <c r="L1317" s="9">
        <f>Table_1[[#This Row],[Unit Price]]*Table_1[[#This Row],[Quantity]]</f>
        <v>510000</v>
      </c>
      <c r="M1317" s="8">
        <f>Table_1[[#This Row],[Cost Price]]*Table_1[[#This Row],[Quantity]]</f>
        <v>408000</v>
      </c>
      <c r="N1317">
        <f>Table_1[[#This Row],[Revenue]]-Table_1[[#This Row],[COGS]]</f>
        <v>102000</v>
      </c>
      <c r="O1317" s="11">
        <f t="shared" si="141"/>
        <v>4656740000</v>
      </c>
      <c r="P1317">
        <f t="shared" si="142"/>
        <v>3725392000</v>
      </c>
      <c r="Q1317">
        <f t="shared" si="143"/>
        <v>931348000</v>
      </c>
      <c r="R1317" s="7">
        <f t="shared" si="144"/>
        <v>2098</v>
      </c>
      <c r="S1317" s="7">
        <f t="shared" si="145"/>
        <v>3</v>
      </c>
      <c r="T1317" s="7">
        <f t="shared" si="146"/>
        <v>2098</v>
      </c>
    </row>
    <row r="1318" spans="1:20" ht="14.25" customHeight="1" x14ac:dyDescent="0.35">
      <c r="A1318" s="2" t="s">
        <v>151</v>
      </c>
      <c r="B1318" s="2" t="s">
        <v>12</v>
      </c>
      <c r="C1318" s="2" t="s">
        <v>13</v>
      </c>
      <c r="D1318" s="2" t="s">
        <v>26</v>
      </c>
      <c r="E1318" s="2" t="s">
        <v>22</v>
      </c>
      <c r="F1318" s="2" t="s">
        <v>23</v>
      </c>
      <c r="G1318" s="2" t="s">
        <v>24</v>
      </c>
      <c r="H1318" s="2">
        <v>30000</v>
      </c>
      <c r="I1318" s="2">
        <v>4</v>
      </c>
      <c r="J1318" s="2" t="s">
        <v>18</v>
      </c>
      <c r="K1318" s="2">
        <f t="shared" si="140"/>
        <v>24000</v>
      </c>
      <c r="L1318" s="9">
        <f>Table_1[[#This Row],[Unit Price]]*Table_1[[#This Row],[Quantity]]</f>
        <v>120000</v>
      </c>
      <c r="M1318" s="8">
        <f>Table_1[[#This Row],[Cost Price]]*Table_1[[#This Row],[Quantity]]</f>
        <v>96000</v>
      </c>
      <c r="N1318">
        <f>Table_1[[#This Row],[Revenue]]-Table_1[[#This Row],[COGS]]</f>
        <v>24000</v>
      </c>
      <c r="O1318" s="11">
        <f t="shared" si="141"/>
        <v>4656740000</v>
      </c>
      <c r="P1318">
        <f t="shared" si="142"/>
        <v>3725392000</v>
      </c>
      <c r="Q1318">
        <f t="shared" si="143"/>
        <v>931348000</v>
      </c>
      <c r="R1318" s="7">
        <f t="shared" si="144"/>
        <v>2098</v>
      </c>
      <c r="S1318" s="7">
        <f t="shared" si="145"/>
        <v>1</v>
      </c>
      <c r="T1318" s="7">
        <f t="shared" si="146"/>
        <v>2098</v>
      </c>
    </row>
    <row r="1319" spans="1:20" ht="14.25" customHeight="1" x14ac:dyDescent="0.35">
      <c r="A1319" s="2" t="s">
        <v>158</v>
      </c>
      <c r="B1319" s="2" t="s">
        <v>29</v>
      </c>
      <c r="C1319" s="2" t="s">
        <v>38</v>
      </c>
      <c r="D1319" s="2" t="s">
        <v>26</v>
      </c>
      <c r="E1319" s="2" t="s">
        <v>15</v>
      </c>
      <c r="F1319" s="2" t="s">
        <v>35</v>
      </c>
      <c r="G1319" s="2" t="s">
        <v>36</v>
      </c>
      <c r="H1319" s="2">
        <v>300000</v>
      </c>
      <c r="I1319" s="2">
        <v>4</v>
      </c>
      <c r="J1319" s="2" t="s">
        <v>18</v>
      </c>
      <c r="K1319" s="2">
        <f t="shared" si="140"/>
        <v>240000</v>
      </c>
      <c r="L1319" s="9">
        <f>Table_1[[#This Row],[Unit Price]]*Table_1[[#This Row],[Quantity]]</f>
        <v>1200000</v>
      </c>
      <c r="M1319" s="8">
        <f>Table_1[[#This Row],[Cost Price]]*Table_1[[#This Row],[Quantity]]</f>
        <v>960000</v>
      </c>
      <c r="N1319">
        <f>Table_1[[#This Row],[Revenue]]-Table_1[[#This Row],[COGS]]</f>
        <v>240000</v>
      </c>
      <c r="O1319" s="11">
        <f t="shared" si="141"/>
        <v>4656740000</v>
      </c>
      <c r="P1319">
        <f t="shared" si="142"/>
        <v>3725392000</v>
      </c>
      <c r="Q1319">
        <f t="shared" si="143"/>
        <v>931348000</v>
      </c>
      <c r="R1319" s="7">
        <f t="shared" si="144"/>
        <v>2098</v>
      </c>
      <c r="S1319" s="7">
        <f t="shared" si="145"/>
        <v>3</v>
      </c>
      <c r="T1319" s="7">
        <f t="shared" si="146"/>
        <v>2098</v>
      </c>
    </row>
    <row r="1320" spans="1:20" ht="14.25" customHeight="1" x14ac:dyDescent="0.35">
      <c r="A1320" s="2" t="s">
        <v>65</v>
      </c>
      <c r="B1320" s="2" t="s">
        <v>29</v>
      </c>
      <c r="C1320" s="2" t="s">
        <v>38</v>
      </c>
      <c r="D1320" s="2" t="s">
        <v>26</v>
      </c>
      <c r="E1320" s="2" t="s">
        <v>22</v>
      </c>
      <c r="F1320" s="2" t="s">
        <v>58</v>
      </c>
      <c r="G1320" s="2" t="s">
        <v>24</v>
      </c>
      <c r="H1320" s="2">
        <v>220000</v>
      </c>
      <c r="I1320" s="2">
        <v>5</v>
      </c>
      <c r="J1320" s="2" t="s">
        <v>43</v>
      </c>
      <c r="K1320" s="2">
        <f t="shared" si="140"/>
        <v>176000</v>
      </c>
      <c r="L1320" s="9">
        <f>Table_1[[#This Row],[Unit Price]]*Table_1[[#This Row],[Quantity]]</f>
        <v>1100000</v>
      </c>
      <c r="M1320" s="8">
        <f>Table_1[[#This Row],[Cost Price]]*Table_1[[#This Row],[Quantity]]</f>
        <v>880000</v>
      </c>
      <c r="N1320">
        <f>Table_1[[#This Row],[Revenue]]-Table_1[[#This Row],[COGS]]</f>
        <v>220000</v>
      </c>
      <c r="O1320" s="11">
        <f t="shared" si="141"/>
        <v>4656740000</v>
      </c>
      <c r="P1320">
        <f t="shared" si="142"/>
        <v>3725392000</v>
      </c>
      <c r="Q1320">
        <f t="shared" si="143"/>
        <v>931348000</v>
      </c>
      <c r="R1320" s="7">
        <f t="shared" si="144"/>
        <v>2098</v>
      </c>
      <c r="S1320" s="7">
        <f t="shared" si="145"/>
        <v>2</v>
      </c>
      <c r="T1320" s="7">
        <f t="shared" si="146"/>
        <v>2098</v>
      </c>
    </row>
    <row r="1321" spans="1:20" ht="14.25" customHeight="1" x14ac:dyDescent="0.35">
      <c r="A1321" s="2" t="s">
        <v>119</v>
      </c>
      <c r="B1321" s="2" t="s">
        <v>20</v>
      </c>
      <c r="C1321" s="2" t="s">
        <v>38</v>
      </c>
      <c r="D1321" s="2" t="s">
        <v>26</v>
      </c>
      <c r="E1321" s="2" t="s">
        <v>22</v>
      </c>
      <c r="F1321" s="2" t="s">
        <v>58</v>
      </c>
      <c r="G1321" s="2" t="s">
        <v>24</v>
      </c>
      <c r="H1321" s="2">
        <v>220000</v>
      </c>
      <c r="I1321" s="2">
        <v>4</v>
      </c>
      <c r="J1321" s="2" t="s">
        <v>43</v>
      </c>
      <c r="K1321" s="2">
        <f t="shared" si="140"/>
        <v>176000</v>
      </c>
      <c r="L1321" s="9">
        <f>Table_1[[#This Row],[Unit Price]]*Table_1[[#This Row],[Quantity]]</f>
        <v>880000</v>
      </c>
      <c r="M1321" s="8">
        <f>Table_1[[#This Row],[Cost Price]]*Table_1[[#This Row],[Quantity]]</f>
        <v>704000</v>
      </c>
      <c r="N1321">
        <f>Table_1[[#This Row],[Revenue]]-Table_1[[#This Row],[COGS]]</f>
        <v>176000</v>
      </c>
      <c r="O1321" s="11">
        <f t="shared" si="141"/>
        <v>4656740000</v>
      </c>
      <c r="P1321">
        <f t="shared" si="142"/>
        <v>3725392000</v>
      </c>
      <c r="Q1321">
        <f t="shared" si="143"/>
        <v>931348000</v>
      </c>
      <c r="R1321" s="7">
        <f t="shared" si="144"/>
        <v>2098</v>
      </c>
      <c r="S1321" s="7">
        <f t="shared" si="145"/>
        <v>1</v>
      </c>
      <c r="T1321" s="7">
        <f t="shared" si="146"/>
        <v>2098</v>
      </c>
    </row>
    <row r="1322" spans="1:20" ht="14.25" customHeight="1" x14ac:dyDescent="0.35">
      <c r="A1322" s="2" t="s">
        <v>100</v>
      </c>
      <c r="B1322" s="2" t="s">
        <v>20</v>
      </c>
      <c r="C1322" s="2" t="s">
        <v>38</v>
      </c>
      <c r="D1322" s="2" t="s">
        <v>26</v>
      </c>
      <c r="E1322" s="2" t="s">
        <v>15</v>
      </c>
      <c r="F1322" s="2" t="s">
        <v>23</v>
      </c>
      <c r="G1322" s="2" t="s">
        <v>24</v>
      </c>
      <c r="H1322" s="2">
        <v>30000</v>
      </c>
      <c r="I1322" s="2">
        <v>1</v>
      </c>
      <c r="J1322" s="2" t="s">
        <v>54</v>
      </c>
      <c r="K1322" s="2">
        <f t="shared" si="140"/>
        <v>24000</v>
      </c>
      <c r="L1322" s="9">
        <f>Table_1[[#This Row],[Unit Price]]*Table_1[[#This Row],[Quantity]]</f>
        <v>30000</v>
      </c>
      <c r="M1322" s="8">
        <f>Table_1[[#This Row],[Cost Price]]*Table_1[[#This Row],[Quantity]]</f>
        <v>24000</v>
      </c>
      <c r="N1322">
        <f>Table_1[[#This Row],[Revenue]]-Table_1[[#This Row],[COGS]]</f>
        <v>6000</v>
      </c>
      <c r="O1322" s="11">
        <f t="shared" si="141"/>
        <v>4656740000</v>
      </c>
      <c r="P1322">
        <f t="shared" si="142"/>
        <v>3725392000</v>
      </c>
      <c r="Q1322">
        <f t="shared" si="143"/>
        <v>931348000</v>
      </c>
      <c r="R1322" s="7">
        <f t="shared" si="144"/>
        <v>2098</v>
      </c>
      <c r="S1322" s="7">
        <f t="shared" si="145"/>
        <v>1</v>
      </c>
      <c r="T1322" s="7">
        <f t="shared" si="146"/>
        <v>2098</v>
      </c>
    </row>
    <row r="1323" spans="1:20" ht="14.25" customHeight="1" x14ac:dyDescent="0.35">
      <c r="A1323" s="2" t="s">
        <v>57</v>
      </c>
      <c r="B1323" s="2" t="s">
        <v>29</v>
      </c>
      <c r="C1323" s="2" t="s">
        <v>21</v>
      </c>
      <c r="D1323" s="2" t="s">
        <v>14</v>
      </c>
      <c r="E1323" s="2" t="s">
        <v>15</v>
      </c>
      <c r="F1323" s="2" t="s">
        <v>52</v>
      </c>
      <c r="G1323" s="2" t="s">
        <v>36</v>
      </c>
      <c r="H1323" s="2">
        <v>420000</v>
      </c>
      <c r="I1323" s="2">
        <v>9</v>
      </c>
      <c r="J1323" s="2" t="s">
        <v>27</v>
      </c>
      <c r="K1323" s="2">
        <f t="shared" si="140"/>
        <v>336000</v>
      </c>
      <c r="L1323" s="9">
        <f>Table_1[[#This Row],[Unit Price]]*Table_1[[#This Row],[Quantity]]</f>
        <v>3780000</v>
      </c>
      <c r="M1323" s="8">
        <f>Table_1[[#This Row],[Cost Price]]*Table_1[[#This Row],[Quantity]]</f>
        <v>3024000</v>
      </c>
      <c r="N1323">
        <f>Table_1[[#This Row],[Revenue]]-Table_1[[#This Row],[COGS]]</f>
        <v>756000</v>
      </c>
      <c r="O1323" s="11">
        <f t="shared" si="141"/>
        <v>4656740000</v>
      </c>
      <c r="P1323">
        <f t="shared" si="142"/>
        <v>3725392000</v>
      </c>
      <c r="Q1323">
        <f t="shared" si="143"/>
        <v>931348000</v>
      </c>
      <c r="R1323" s="7">
        <f t="shared" si="144"/>
        <v>2098</v>
      </c>
      <c r="S1323" s="7">
        <f t="shared" si="145"/>
        <v>2</v>
      </c>
      <c r="T1323" s="7">
        <f t="shared" si="146"/>
        <v>2098</v>
      </c>
    </row>
    <row r="1324" spans="1:20" ht="14.25" customHeight="1" x14ac:dyDescent="0.35">
      <c r="A1324" s="2" t="s">
        <v>99</v>
      </c>
      <c r="B1324" s="2" t="s">
        <v>12</v>
      </c>
      <c r="C1324" s="2" t="s">
        <v>21</v>
      </c>
      <c r="D1324" s="2" t="s">
        <v>26</v>
      </c>
      <c r="E1324" s="2" t="s">
        <v>15</v>
      </c>
      <c r="F1324" s="2" t="s">
        <v>31</v>
      </c>
      <c r="G1324" s="2" t="s">
        <v>24</v>
      </c>
      <c r="H1324" s="2">
        <v>60000</v>
      </c>
      <c r="I1324" s="2">
        <v>6</v>
      </c>
      <c r="J1324" s="2" t="s">
        <v>27</v>
      </c>
      <c r="K1324" s="2">
        <f t="shared" si="140"/>
        <v>48000</v>
      </c>
      <c r="L1324" s="9">
        <f>Table_1[[#This Row],[Unit Price]]*Table_1[[#This Row],[Quantity]]</f>
        <v>360000</v>
      </c>
      <c r="M1324" s="8">
        <f>Table_1[[#This Row],[Cost Price]]*Table_1[[#This Row],[Quantity]]</f>
        <v>288000</v>
      </c>
      <c r="N1324">
        <f>Table_1[[#This Row],[Revenue]]-Table_1[[#This Row],[COGS]]</f>
        <v>72000</v>
      </c>
      <c r="O1324" s="11">
        <f t="shared" si="141"/>
        <v>4656740000</v>
      </c>
      <c r="P1324">
        <f t="shared" si="142"/>
        <v>3725392000</v>
      </c>
      <c r="Q1324">
        <f t="shared" si="143"/>
        <v>931348000</v>
      </c>
      <c r="R1324" s="7">
        <f t="shared" si="144"/>
        <v>2098</v>
      </c>
      <c r="S1324" s="7">
        <f t="shared" si="145"/>
        <v>4</v>
      </c>
      <c r="T1324" s="7">
        <f t="shared" si="146"/>
        <v>2098</v>
      </c>
    </row>
    <row r="1325" spans="1:20" ht="14.25" customHeight="1" x14ac:dyDescent="0.35">
      <c r="A1325" s="2" t="s">
        <v>124</v>
      </c>
      <c r="B1325" s="2" t="s">
        <v>12</v>
      </c>
      <c r="C1325" s="2" t="s">
        <v>38</v>
      </c>
      <c r="D1325" s="2" t="s">
        <v>14</v>
      </c>
      <c r="E1325" s="2" t="s">
        <v>15</v>
      </c>
      <c r="F1325" s="2" t="s">
        <v>39</v>
      </c>
      <c r="G1325" s="2" t="s">
        <v>24</v>
      </c>
      <c r="H1325" s="2">
        <v>180000</v>
      </c>
      <c r="I1325" s="2">
        <v>2</v>
      </c>
      <c r="J1325" s="2" t="s">
        <v>32</v>
      </c>
      <c r="K1325" s="2">
        <f t="shared" si="140"/>
        <v>144000</v>
      </c>
      <c r="L1325" s="9">
        <f>Table_1[[#This Row],[Unit Price]]*Table_1[[#This Row],[Quantity]]</f>
        <v>360000</v>
      </c>
      <c r="M1325" s="8">
        <f>Table_1[[#This Row],[Cost Price]]*Table_1[[#This Row],[Quantity]]</f>
        <v>288000</v>
      </c>
      <c r="N1325">
        <f>Table_1[[#This Row],[Revenue]]-Table_1[[#This Row],[COGS]]</f>
        <v>72000</v>
      </c>
      <c r="O1325" s="11">
        <f t="shared" si="141"/>
        <v>4656740000</v>
      </c>
      <c r="P1325">
        <f t="shared" si="142"/>
        <v>3725392000</v>
      </c>
      <c r="Q1325">
        <f t="shared" si="143"/>
        <v>931348000</v>
      </c>
      <c r="R1325" s="7">
        <f t="shared" si="144"/>
        <v>2098</v>
      </c>
      <c r="S1325" s="7">
        <f t="shared" si="145"/>
        <v>1</v>
      </c>
      <c r="T1325" s="7">
        <f t="shared" si="146"/>
        <v>2098</v>
      </c>
    </row>
    <row r="1326" spans="1:20" ht="14.25" customHeight="1" x14ac:dyDescent="0.35">
      <c r="A1326" s="2" t="s">
        <v>91</v>
      </c>
      <c r="B1326" s="2" t="s">
        <v>20</v>
      </c>
      <c r="C1326" s="2" t="s">
        <v>21</v>
      </c>
      <c r="D1326" s="2" t="s">
        <v>14</v>
      </c>
      <c r="E1326" s="2" t="s">
        <v>15</v>
      </c>
      <c r="F1326" s="2" t="s">
        <v>16</v>
      </c>
      <c r="G1326" s="2" t="s">
        <v>17</v>
      </c>
      <c r="H1326" s="2">
        <v>85000</v>
      </c>
      <c r="I1326" s="2">
        <v>1</v>
      </c>
      <c r="J1326" s="2" t="s">
        <v>27</v>
      </c>
      <c r="K1326" s="2">
        <f t="shared" si="140"/>
        <v>68000</v>
      </c>
      <c r="L1326" s="9">
        <f>Table_1[[#This Row],[Unit Price]]*Table_1[[#This Row],[Quantity]]</f>
        <v>85000</v>
      </c>
      <c r="M1326" s="8">
        <f>Table_1[[#This Row],[Cost Price]]*Table_1[[#This Row],[Quantity]]</f>
        <v>68000</v>
      </c>
      <c r="N1326">
        <f>Table_1[[#This Row],[Revenue]]-Table_1[[#This Row],[COGS]]</f>
        <v>17000</v>
      </c>
      <c r="O1326" s="11">
        <f t="shared" si="141"/>
        <v>4656740000</v>
      </c>
      <c r="P1326">
        <f t="shared" si="142"/>
        <v>3725392000</v>
      </c>
      <c r="Q1326">
        <f t="shared" si="143"/>
        <v>931348000</v>
      </c>
      <c r="R1326" s="7">
        <f t="shared" si="144"/>
        <v>2098</v>
      </c>
      <c r="S1326" s="7">
        <f t="shared" si="145"/>
        <v>4</v>
      </c>
      <c r="T1326" s="7">
        <f t="shared" si="146"/>
        <v>2098</v>
      </c>
    </row>
    <row r="1327" spans="1:20" ht="14.25" customHeight="1" x14ac:dyDescent="0.35">
      <c r="A1327" s="2" t="s">
        <v>71</v>
      </c>
      <c r="B1327" s="2" t="s">
        <v>12</v>
      </c>
      <c r="C1327" s="2" t="s">
        <v>30</v>
      </c>
      <c r="D1327" s="2" t="s">
        <v>14</v>
      </c>
      <c r="E1327" s="2" t="s">
        <v>22</v>
      </c>
      <c r="F1327" s="2" t="s">
        <v>56</v>
      </c>
      <c r="G1327" s="2" t="s">
        <v>36</v>
      </c>
      <c r="H1327" s="2">
        <v>250000</v>
      </c>
      <c r="I1327" s="2">
        <v>2</v>
      </c>
      <c r="J1327" s="2" t="s">
        <v>18</v>
      </c>
      <c r="K1327" s="2">
        <f t="shared" si="140"/>
        <v>200000</v>
      </c>
      <c r="L1327" s="9">
        <f>Table_1[[#This Row],[Unit Price]]*Table_1[[#This Row],[Quantity]]</f>
        <v>500000</v>
      </c>
      <c r="M1327" s="8">
        <f>Table_1[[#This Row],[Cost Price]]*Table_1[[#This Row],[Quantity]]</f>
        <v>400000</v>
      </c>
      <c r="N1327">
        <f>Table_1[[#This Row],[Revenue]]-Table_1[[#This Row],[COGS]]</f>
        <v>100000</v>
      </c>
      <c r="O1327" s="11">
        <f t="shared" si="141"/>
        <v>4656740000</v>
      </c>
      <c r="P1327">
        <f t="shared" si="142"/>
        <v>3725392000</v>
      </c>
      <c r="Q1327">
        <f t="shared" si="143"/>
        <v>931348000</v>
      </c>
      <c r="R1327" s="7">
        <f t="shared" si="144"/>
        <v>2098</v>
      </c>
      <c r="S1327" s="7">
        <f t="shared" si="145"/>
        <v>2</v>
      </c>
      <c r="T1327" s="7">
        <f t="shared" si="146"/>
        <v>2098</v>
      </c>
    </row>
    <row r="1328" spans="1:20" ht="14.25" customHeight="1" x14ac:dyDescent="0.35">
      <c r="A1328" s="2" t="s">
        <v>115</v>
      </c>
      <c r="B1328" s="2" t="s">
        <v>34</v>
      </c>
      <c r="C1328" s="2" t="s">
        <v>38</v>
      </c>
      <c r="D1328" s="2" t="s">
        <v>14</v>
      </c>
      <c r="E1328" s="2" t="s">
        <v>22</v>
      </c>
      <c r="F1328" s="2" t="s">
        <v>23</v>
      </c>
      <c r="G1328" s="2" t="s">
        <v>24</v>
      </c>
      <c r="H1328" s="2">
        <v>30000</v>
      </c>
      <c r="I1328" s="2">
        <v>7</v>
      </c>
      <c r="J1328" s="2" t="s">
        <v>43</v>
      </c>
      <c r="K1328" s="2">
        <f t="shared" si="140"/>
        <v>24000</v>
      </c>
      <c r="L1328" s="9">
        <f>Table_1[[#This Row],[Unit Price]]*Table_1[[#This Row],[Quantity]]</f>
        <v>210000</v>
      </c>
      <c r="M1328" s="8">
        <f>Table_1[[#This Row],[Cost Price]]*Table_1[[#This Row],[Quantity]]</f>
        <v>168000</v>
      </c>
      <c r="N1328">
        <f>Table_1[[#This Row],[Revenue]]-Table_1[[#This Row],[COGS]]</f>
        <v>42000</v>
      </c>
      <c r="O1328" s="11">
        <f t="shared" si="141"/>
        <v>4656740000</v>
      </c>
      <c r="P1328">
        <f t="shared" si="142"/>
        <v>3725392000</v>
      </c>
      <c r="Q1328">
        <f t="shared" si="143"/>
        <v>931348000</v>
      </c>
      <c r="R1328" s="7">
        <f t="shared" si="144"/>
        <v>2098</v>
      </c>
      <c r="S1328" s="7">
        <f t="shared" si="145"/>
        <v>1</v>
      </c>
      <c r="T1328" s="7">
        <f t="shared" si="146"/>
        <v>2098</v>
      </c>
    </row>
    <row r="1329" spans="1:20" ht="14.25" customHeight="1" x14ac:dyDescent="0.35">
      <c r="A1329" s="2" t="s">
        <v>140</v>
      </c>
      <c r="B1329" s="2" t="s">
        <v>12</v>
      </c>
      <c r="C1329" s="2" t="s">
        <v>21</v>
      </c>
      <c r="D1329" s="2" t="s">
        <v>14</v>
      </c>
      <c r="E1329" s="2" t="s">
        <v>22</v>
      </c>
      <c r="F1329" s="2" t="s">
        <v>52</v>
      </c>
      <c r="G1329" s="2" t="s">
        <v>36</v>
      </c>
      <c r="H1329" s="2">
        <v>420000</v>
      </c>
      <c r="I1329" s="2">
        <v>9</v>
      </c>
      <c r="J1329" s="2" t="s">
        <v>43</v>
      </c>
      <c r="K1329" s="2">
        <f t="shared" si="140"/>
        <v>336000</v>
      </c>
      <c r="L1329" s="9">
        <f>Table_1[[#This Row],[Unit Price]]*Table_1[[#This Row],[Quantity]]</f>
        <v>3780000</v>
      </c>
      <c r="M1329" s="8">
        <f>Table_1[[#This Row],[Cost Price]]*Table_1[[#This Row],[Quantity]]</f>
        <v>3024000</v>
      </c>
      <c r="N1329">
        <f>Table_1[[#This Row],[Revenue]]-Table_1[[#This Row],[COGS]]</f>
        <v>756000</v>
      </c>
      <c r="O1329" s="11">
        <f t="shared" si="141"/>
        <v>4656740000</v>
      </c>
      <c r="P1329">
        <f t="shared" si="142"/>
        <v>3725392000</v>
      </c>
      <c r="Q1329">
        <f t="shared" si="143"/>
        <v>931348000</v>
      </c>
      <c r="R1329" s="7">
        <f t="shared" si="144"/>
        <v>2098</v>
      </c>
      <c r="S1329" s="7">
        <f t="shared" si="145"/>
        <v>4</v>
      </c>
      <c r="T1329" s="7">
        <f t="shared" si="146"/>
        <v>2098</v>
      </c>
    </row>
    <row r="1330" spans="1:20" ht="14.25" customHeight="1" x14ac:dyDescent="0.35">
      <c r="A1330" s="2" t="s">
        <v>11</v>
      </c>
      <c r="B1330" s="2" t="s">
        <v>29</v>
      </c>
      <c r="C1330" s="2" t="s">
        <v>38</v>
      </c>
      <c r="D1330" s="2" t="s">
        <v>14</v>
      </c>
      <c r="E1330" s="2" t="s">
        <v>15</v>
      </c>
      <c r="F1330" s="2" t="s">
        <v>31</v>
      </c>
      <c r="G1330" s="2" t="s">
        <v>24</v>
      </c>
      <c r="H1330" s="2">
        <v>60000</v>
      </c>
      <c r="I1330" s="2">
        <v>7</v>
      </c>
      <c r="J1330" s="2" t="s">
        <v>27</v>
      </c>
      <c r="K1330" s="2">
        <f t="shared" si="140"/>
        <v>48000</v>
      </c>
      <c r="L1330" s="9">
        <f>Table_1[[#This Row],[Unit Price]]*Table_1[[#This Row],[Quantity]]</f>
        <v>420000</v>
      </c>
      <c r="M1330" s="8">
        <f>Table_1[[#This Row],[Cost Price]]*Table_1[[#This Row],[Quantity]]</f>
        <v>336000</v>
      </c>
      <c r="N1330">
        <f>Table_1[[#This Row],[Revenue]]-Table_1[[#This Row],[COGS]]</f>
        <v>84000</v>
      </c>
      <c r="O1330" s="11">
        <f t="shared" si="141"/>
        <v>4656740000</v>
      </c>
      <c r="P1330">
        <f t="shared" si="142"/>
        <v>3725392000</v>
      </c>
      <c r="Q1330">
        <f t="shared" si="143"/>
        <v>931348000</v>
      </c>
      <c r="R1330" s="7">
        <f t="shared" si="144"/>
        <v>2098</v>
      </c>
      <c r="S1330" s="7">
        <f t="shared" si="145"/>
        <v>1</v>
      </c>
      <c r="T1330" s="7">
        <f t="shared" si="146"/>
        <v>2098</v>
      </c>
    </row>
    <row r="1331" spans="1:20" ht="14.25" customHeight="1" x14ac:dyDescent="0.35">
      <c r="A1331" s="2" t="s">
        <v>142</v>
      </c>
      <c r="B1331" s="2" t="s">
        <v>34</v>
      </c>
      <c r="C1331" s="2" t="s">
        <v>30</v>
      </c>
      <c r="D1331" s="2" t="s">
        <v>14</v>
      </c>
      <c r="E1331" s="2" t="s">
        <v>22</v>
      </c>
      <c r="F1331" s="2" t="s">
        <v>35</v>
      </c>
      <c r="G1331" s="2" t="s">
        <v>36</v>
      </c>
      <c r="H1331" s="2">
        <v>300000</v>
      </c>
      <c r="I1331" s="2">
        <v>7</v>
      </c>
      <c r="J1331" s="2" t="s">
        <v>43</v>
      </c>
      <c r="K1331" s="2">
        <f t="shared" si="140"/>
        <v>240000</v>
      </c>
      <c r="L1331" s="9">
        <f>Table_1[[#This Row],[Unit Price]]*Table_1[[#This Row],[Quantity]]</f>
        <v>2100000</v>
      </c>
      <c r="M1331" s="8">
        <f>Table_1[[#This Row],[Cost Price]]*Table_1[[#This Row],[Quantity]]</f>
        <v>1680000</v>
      </c>
      <c r="N1331">
        <f>Table_1[[#This Row],[Revenue]]-Table_1[[#This Row],[COGS]]</f>
        <v>420000</v>
      </c>
      <c r="O1331" s="11">
        <f t="shared" si="141"/>
        <v>4656740000</v>
      </c>
      <c r="P1331">
        <f t="shared" si="142"/>
        <v>3725392000</v>
      </c>
      <c r="Q1331">
        <f t="shared" si="143"/>
        <v>931348000</v>
      </c>
      <c r="R1331" s="7">
        <f t="shared" si="144"/>
        <v>2098</v>
      </c>
      <c r="S1331" s="7">
        <f t="shared" si="145"/>
        <v>4</v>
      </c>
      <c r="T1331" s="7">
        <f t="shared" si="146"/>
        <v>2098</v>
      </c>
    </row>
    <row r="1332" spans="1:20" ht="14.25" customHeight="1" x14ac:dyDescent="0.35">
      <c r="A1332" s="2" t="s">
        <v>60</v>
      </c>
      <c r="B1332" s="2" t="s">
        <v>20</v>
      </c>
      <c r="C1332" s="2" t="s">
        <v>13</v>
      </c>
      <c r="D1332" s="2" t="s">
        <v>26</v>
      </c>
      <c r="E1332" s="2" t="s">
        <v>15</v>
      </c>
      <c r="F1332" s="2" t="s">
        <v>47</v>
      </c>
      <c r="G1332" s="2" t="s">
        <v>36</v>
      </c>
      <c r="H1332" s="2">
        <v>150000</v>
      </c>
      <c r="I1332" s="2">
        <v>9</v>
      </c>
      <c r="J1332" s="2" t="s">
        <v>54</v>
      </c>
      <c r="K1332" s="2">
        <f t="shared" si="140"/>
        <v>120000</v>
      </c>
      <c r="L1332" s="9">
        <f>Table_1[[#This Row],[Unit Price]]*Table_1[[#This Row],[Quantity]]</f>
        <v>1350000</v>
      </c>
      <c r="M1332" s="8">
        <f>Table_1[[#This Row],[Cost Price]]*Table_1[[#This Row],[Quantity]]</f>
        <v>1080000</v>
      </c>
      <c r="N1332">
        <f>Table_1[[#This Row],[Revenue]]-Table_1[[#This Row],[COGS]]</f>
        <v>270000</v>
      </c>
      <c r="O1332" s="11">
        <f t="shared" si="141"/>
        <v>4656740000</v>
      </c>
      <c r="P1332">
        <f t="shared" si="142"/>
        <v>3725392000</v>
      </c>
      <c r="Q1332">
        <f t="shared" si="143"/>
        <v>931348000</v>
      </c>
      <c r="R1332" s="7">
        <f t="shared" si="144"/>
        <v>2098</v>
      </c>
      <c r="S1332" s="7">
        <f t="shared" si="145"/>
        <v>3</v>
      </c>
      <c r="T1332" s="7">
        <f t="shared" si="146"/>
        <v>2098</v>
      </c>
    </row>
    <row r="1333" spans="1:20" ht="14.25" customHeight="1" x14ac:dyDescent="0.35">
      <c r="A1333" s="2" t="s">
        <v>92</v>
      </c>
      <c r="B1333" s="2" t="s">
        <v>29</v>
      </c>
      <c r="C1333" s="2" t="s">
        <v>30</v>
      </c>
      <c r="D1333" s="2" t="s">
        <v>26</v>
      </c>
      <c r="E1333" s="2" t="s">
        <v>15</v>
      </c>
      <c r="F1333" s="2" t="s">
        <v>35</v>
      </c>
      <c r="G1333" s="2" t="s">
        <v>36</v>
      </c>
      <c r="H1333" s="2">
        <v>300000</v>
      </c>
      <c r="I1333" s="2">
        <v>7</v>
      </c>
      <c r="J1333" s="2" t="s">
        <v>32</v>
      </c>
      <c r="K1333" s="2">
        <f t="shared" si="140"/>
        <v>240000</v>
      </c>
      <c r="L1333" s="9">
        <f>Table_1[[#This Row],[Unit Price]]*Table_1[[#This Row],[Quantity]]</f>
        <v>2100000</v>
      </c>
      <c r="M1333" s="8">
        <f>Table_1[[#This Row],[Cost Price]]*Table_1[[#This Row],[Quantity]]</f>
        <v>1680000</v>
      </c>
      <c r="N1333">
        <f>Table_1[[#This Row],[Revenue]]-Table_1[[#This Row],[COGS]]</f>
        <v>420000</v>
      </c>
      <c r="O1333" s="11">
        <f t="shared" si="141"/>
        <v>4656740000</v>
      </c>
      <c r="P1333">
        <f t="shared" si="142"/>
        <v>3725392000</v>
      </c>
      <c r="Q1333">
        <f t="shared" si="143"/>
        <v>931348000</v>
      </c>
      <c r="R1333" s="7">
        <f t="shared" si="144"/>
        <v>2098</v>
      </c>
      <c r="S1333" s="7">
        <f t="shared" si="145"/>
        <v>2</v>
      </c>
      <c r="T1333" s="7">
        <f t="shared" si="146"/>
        <v>2098</v>
      </c>
    </row>
    <row r="1334" spans="1:20" ht="14.25" customHeight="1" x14ac:dyDescent="0.35">
      <c r="A1334" s="2" t="s">
        <v>46</v>
      </c>
      <c r="B1334" s="2" t="s">
        <v>12</v>
      </c>
      <c r="C1334" s="2" t="s">
        <v>21</v>
      </c>
      <c r="D1334" s="2" t="s">
        <v>14</v>
      </c>
      <c r="E1334" s="2" t="s">
        <v>15</v>
      </c>
      <c r="F1334" s="2" t="s">
        <v>56</v>
      </c>
      <c r="G1334" s="2" t="s">
        <v>36</v>
      </c>
      <c r="H1334" s="2">
        <v>250000</v>
      </c>
      <c r="I1334" s="2">
        <v>1</v>
      </c>
      <c r="J1334" s="2" t="s">
        <v>50</v>
      </c>
      <c r="K1334" s="2">
        <f t="shared" si="140"/>
        <v>200000</v>
      </c>
      <c r="L1334" s="9">
        <f>Table_1[[#This Row],[Unit Price]]*Table_1[[#This Row],[Quantity]]</f>
        <v>250000</v>
      </c>
      <c r="M1334" s="8">
        <f>Table_1[[#This Row],[Cost Price]]*Table_1[[#This Row],[Quantity]]</f>
        <v>200000</v>
      </c>
      <c r="N1334">
        <f>Table_1[[#This Row],[Revenue]]-Table_1[[#This Row],[COGS]]</f>
        <v>50000</v>
      </c>
      <c r="O1334" s="11">
        <f t="shared" si="141"/>
        <v>4656740000</v>
      </c>
      <c r="P1334">
        <f t="shared" si="142"/>
        <v>3725392000</v>
      </c>
      <c r="Q1334">
        <f t="shared" si="143"/>
        <v>931348000</v>
      </c>
      <c r="R1334" s="7">
        <f t="shared" si="144"/>
        <v>2098</v>
      </c>
      <c r="S1334" s="7">
        <f t="shared" si="145"/>
        <v>1</v>
      </c>
      <c r="T1334" s="7">
        <f t="shared" si="146"/>
        <v>2098</v>
      </c>
    </row>
    <row r="1335" spans="1:20" ht="14.25" customHeight="1" x14ac:dyDescent="0.35">
      <c r="A1335" s="2" t="s">
        <v>143</v>
      </c>
      <c r="B1335" s="2" t="s">
        <v>12</v>
      </c>
      <c r="C1335" s="2" t="s">
        <v>21</v>
      </c>
      <c r="D1335" s="2" t="s">
        <v>26</v>
      </c>
      <c r="E1335" s="2" t="s">
        <v>15</v>
      </c>
      <c r="F1335" s="2" t="s">
        <v>56</v>
      </c>
      <c r="G1335" s="2" t="s">
        <v>36</v>
      </c>
      <c r="H1335" s="2">
        <v>250000</v>
      </c>
      <c r="I1335" s="2">
        <v>6</v>
      </c>
      <c r="J1335" s="2" t="s">
        <v>32</v>
      </c>
      <c r="K1335" s="2">
        <f t="shared" si="140"/>
        <v>200000</v>
      </c>
      <c r="L1335" s="9">
        <f>Table_1[[#This Row],[Unit Price]]*Table_1[[#This Row],[Quantity]]</f>
        <v>1500000</v>
      </c>
      <c r="M1335" s="8">
        <f>Table_1[[#This Row],[Cost Price]]*Table_1[[#This Row],[Quantity]]</f>
        <v>1200000</v>
      </c>
      <c r="N1335">
        <f>Table_1[[#This Row],[Revenue]]-Table_1[[#This Row],[COGS]]</f>
        <v>300000</v>
      </c>
      <c r="O1335" s="11">
        <f t="shared" si="141"/>
        <v>4656740000</v>
      </c>
      <c r="P1335">
        <f t="shared" si="142"/>
        <v>3725392000</v>
      </c>
      <c r="Q1335">
        <f t="shared" si="143"/>
        <v>931348000</v>
      </c>
      <c r="R1335" s="7">
        <f t="shared" si="144"/>
        <v>2098</v>
      </c>
      <c r="S1335" s="7">
        <f t="shared" si="145"/>
        <v>1</v>
      </c>
      <c r="T1335" s="7">
        <f t="shared" si="146"/>
        <v>2098</v>
      </c>
    </row>
    <row r="1336" spans="1:20" ht="14.25" customHeight="1" x14ac:dyDescent="0.35">
      <c r="A1336" s="2" t="s">
        <v>132</v>
      </c>
      <c r="B1336" s="2" t="s">
        <v>20</v>
      </c>
      <c r="C1336" s="2" t="s">
        <v>30</v>
      </c>
      <c r="D1336" s="2" t="s">
        <v>26</v>
      </c>
      <c r="E1336" s="2" t="s">
        <v>22</v>
      </c>
      <c r="F1336" s="2" t="s">
        <v>52</v>
      </c>
      <c r="G1336" s="2" t="s">
        <v>36</v>
      </c>
      <c r="H1336" s="2">
        <v>420000</v>
      </c>
      <c r="I1336" s="2">
        <v>9</v>
      </c>
      <c r="J1336" s="2" t="s">
        <v>54</v>
      </c>
      <c r="K1336" s="2">
        <f t="shared" si="140"/>
        <v>336000</v>
      </c>
      <c r="L1336" s="9">
        <f>Table_1[[#This Row],[Unit Price]]*Table_1[[#This Row],[Quantity]]</f>
        <v>3780000</v>
      </c>
      <c r="M1336" s="8">
        <f>Table_1[[#This Row],[Cost Price]]*Table_1[[#This Row],[Quantity]]</f>
        <v>3024000</v>
      </c>
      <c r="N1336">
        <f>Table_1[[#This Row],[Revenue]]-Table_1[[#This Row],[COGS]]</f>
        <v>756000</v>
      </c>
      <c r="O1336" s="11">
        <f t="shared" si="141"/>
        <v>4656740000</v>
      </c>
      <c r="P1336">
        <f t="shared" si="142"/>
        <v>3725392000</v>
      </c>
      <c r="Q1336">
        <f t="shared" si="143"/>
        <v>931348000</v>
      </c>
      <c r="R1336" s="7">
        <f t="shared" si="144"/>
        <v>2098</v>
      </c>
      <c r="S1336" s="7">
        <f t="shared" si="145"/>
        <v>1</v>
      </c>
      <c r="T1336" s="7">
        <f t="shared" si="146"/>
        <v>2098</v>
      </c>
    </row>
    <row r="1337" spans="1:20" ht="14.25" customHeight="1" x14ac:dyDescent="0.35">
      <c r="A1337" s="2" t="s">
        <v>113</v>
      </c>
      <c r="B1337" s="2" t="s">
        <v>29</v>
      </c>
      <c r="C1337" s="2" t="s">
        <v>38</v>
      </c>
      <c r="D1337" s="2" t="s">
        <v>26</v>
      </c>
      <c r="E1337" s="2" t="s">
        <v>15</v>
      </c>
      <c r="F1337" s="2" t="s">
        <v>39</v>
      </c>
      <c r="G1337" s="2" t="s">
        <v>24</v>
      </c>
      <c r="H1337" s="2">
        <v>180000</v>
      </c>
      <c r="I1337" s="2">
        <v>6</v>
      </c>
      <c r="J1337" s="2" t="s">
        <v>27</v>
      </c>
      <c r="K1337" s="2">
        <f t="shared" si="140"/>
        <v>144000</v>
      </c>
      <c r="L1337" s="9">
        <f>Table_1[[#This Row],[Unit Price]]*Table_1[[#This Row],[Quantity]]</f>
        <v>1080000</v>
      </c>
      <c r="M1337" s="8">
        <f>Table_1[[#This Row],[Cost Price]]*Table_1[[#This Row],[Quantity]]</f>
        <v>864000</v>
      </c>
      <c r="N1337">
        <f>Table_1[[#This Row],[Revenue]]-Table_1[[#This Row],[COGS]]</f>
        <v>216000</v>
      </c>
      <c r="O1337" s="11">
        <f t="shared" si="141"/>
        <v>4656740000</v>
      </c>
      <c r="P1337">
        <f t="shared" si="142"/>
        <v>3725392000</v>
      </c>
      <c r="Q1337">
        <f t="shared" si="143"/>
        <v>931348000</v>
      </c>
      <c r="R1337" s="7">
        <f t="shared" si="144"/>
        <v>2098</v>
      </c>
      <c r="S1337" s="7">
        <f t="shared" si="145"/>
        <v>3</v>
      </c>
      <c r="T1337" s="7">
        <f t="shared" si="146"/>
        <v>2098</v>
      </c>
    </row>
    <row r="1338" spans="1:20" ht="14.25" customHeight="1" x14ac:dyDescent="0.35">
      <c r="A1338" s="2" t="s">
        <v>143</v>
      </c>
      <c r="B1338" s="2" t="s">
        <v>29</v>
      </c>
      <c r="C1338" s="2" t="s">
        <v>30</v>
      </c>
      <c r="D1338" s="2" t="s">
        <v>26</v>
      </c>
      <c r="E1338" s="2" t="s">
        <v>15</v>
      </c>
      <c r="F1338" s="2" t="s">
        <v>16</v>
      </c>
      <c r="G1338" s="2" t="s">
        <v>17</v>
      </c>
      <c r="H1338" s="2">
        <v>85000</v>
      </c>
      <c r="I1338" s="2">
        <v>5</v>
      </c>
      <c r="J1338" s="2" t="s">
        <v>54</v>
      </c>
      <c r="K1338" s="2">
        <f t="shared" si="140"/>
        <v>68000</v>
      </c>
      <c r="L1338" s="9">
        <f>Table_1[[#This Row],[Unit Price]]*Table_1[[#This Row],[Quantity]]</f>
        <v>425000</v>
      </c>
      <c r="M1338" s="8">
        <f>Table_1[[#This Row],[Cost Price]]*Table_1[[#This Row],[Quantity]]</f>
        <v>340000</v>
      </c>
      <c r="N1338">
        <f>Table_1[[#This Row],[Revenue]]-Table_1[[#This Row],[COGS]]</f>
        <v>85000</v>
      </c>
      <c r="O1338" s="11">
        <f t="shared" si="141"/>
        <v>4656740000</v>
      </c>
      <c r="P1338">
        <f t="shared" si="142"/>
        <v>3725392000</v>
      </c>
      <c r="Q1338">
        <f t="shared" si="143"/>
        <v>931348000</v>
      </c>
      <c r="R1338" s="7">
        <f t="shared" si="144"/>
        <v>2098</v>
      </c>
      <c r="S1338" s="7">
        <f t="shared" si="145"/>
        <v>1</v>
      </c>
      <c r="T1338" s="7">
        <f t="shared" si="146"/>
        <v>2098</v>
      </c>
    </row>
    <row r="1339" spans="1:20" ht="14.25" customHeight="1" x14ac:dyDescent="0.35">
      <c r="A1339" s="2" t="s">
        <v>106</v>
      </c>
      <c r="B1339" s="2" t="s">
        <v>12</v>
      </c>
      <c r="C1339" s="2" t="s">
        <v>30</v>
      </c>
      <c r="D1339" s="2" t="s">
        <v>26</v>
      </c>
      <c r="E1339" s="2" t="s">
        <v>15</v>
      </c>
      <c r="F1339" s="2" t="s">
        <v>58</v>
      </c>
      <c r="G1339" s="2" t="s">
        <v>24</v>
      </c>
      <c r="H1339" s="2">
        <v>220000</v>
      </c>
      <c r="I1339" s="2">
        <v>5</v>
      </c>
      <c r="J1339" s="2" t="s">
        <v>54</v>
      </c>
      <c r="K1339" s="2">
        <f t="shared" si="140"/>
        <v>176000</v>
      </c>
      <c r="L1339" s="9">
        <f>Table_1[[#This Row],[Unit Price]]*Table_1[[#This Row],[Quantity]]</f>
        <v>1100000</v>
      </c>
      <c r="M1339" s="8">
        <f>Table_1[[#This Row],[Cost Price]]*Table_1[[#This Row],[Quantity]]</f>
        <v>880000</v>
      </c>
      <c r="N1339">
        <f>Table_1[[#This Row],[Revenue]]-Table_1[[#This Row],[COGS]]</f>
        <v>220000</v>
      </c>
      <c r="O1339" s="11">
        <f t="shared" si="141"/>
        <v>4656740000</v>
      </c>
      <c r="P1339">
        <f t="shared" si="142"/>
        <v>3725392000</v>
      </c>
      <c r="Q1339">
        <f t="shared" si="143"/>
        <v>931348000</v>
      </c>
      <c r="R1339" s="7">
        <f t="shared" si="144"/>
        <v>2098</v>
      </c>
      <c r="S1339" s="7">
        <f t="shared" si="145"/>
        <v>4</v>
      </c>
      <c r="T1339" s="7">
        <f t="shared" si="146"/>
        <v>2098</v>
      </c>
    </row>
    <row r="1340" spans="1:20" ht="14.25" customHeight="1" x14ac:dyDescent="0.35">
      <c r="A1340" s="2" t="s">
        <v>114</v>
      </c>
      <c r="B1340" s="2" t="s">
        <v>20</v>
      </c>
      <c r="C1340" s="2" t="s">
        <v>38</v>
      </c>
      <c r="D1340" s="2" t="s">
        <v>14</v>
      </c>
      <c r="E1340" s="2" t="s">
        <v>15</v>
      </c>
      <c r="F1340" s="2" t="s">
        <v>31</v>
      </c>
      <c r="G1340" s="2" t="s">
        <v>24</v>
      </c>
      <c r="H1340" s="2">
        <v>60000</v>
      </c>
      <c r="I1340" s="2">
        <v>8</v>
      </c>
      <c r="J1340" s="2" t="s">
        <v>50</v>
      </c>
      <c r="K1340" s="2">
        <f t="shared" si="140"/>
        <v>48000</v>
      </c>
      <c r="L1340" s="9">
        <f>Table_1[[#This Row],[Unit Price]]*Table_1[[#This Row],[Quantity]]</f>
        <v>480000</v>
      </c>
      <c r="M1340" s="8">
        <f>Table_1[[#This Row],[Cost Price]]*Table_1[[#This Row],[Quantity]]</f>
        <v>384000</v>
      </c>
      <c r="N1340">
        <f>Table_1[[#This Row],[Revenue]]-Table_1[[#This Row],[COGS]]</f>
        <v>96000</v>
      </c>
      <c r="O1340" s="11">
        <f t="shared" si="141"/>
        <v>4656740000</v>
      </c>
      <c r="P1340">
        <f t="shared" si="142"/>
        <v>3725392000</v>
      </c>
      <c r="Q1340">
        <f t="shared" si="143"/>
        <v>931348000</v>
      </c>
      <c r="R1340" s="7">
        <f t="shared" si="144"/>
        <v>2098</v>
      </c>
      <c r="S1340" s="7">
        <f t="shared" si="145"/>
        <v>3</v>
      </c>
      <c r="T1340" s="7">
        <f t="shared" si="146"/>
        <v>2098</v>
      </c>
    </row>
    <row r="1341" spans="1:20" ht="14.25" customHeight="1" x14ac:dyDescent="0.35">
      <c r="A1341" s="2" t="s">
        <v>85</v>
      </c>
      <c r="B1341" s="2" t="s">
        <v>20</v>
      </c>
      <c r="C1341" s="2" t="s">
        <v>38</v>
      </c>
      <c r="D1341" s="2" t="s">
        <v>26</v>
      </c>
      <c r="E1341" s="2" t="s">
        <v>22</v>
      </c>
      <c r="F1341" s="2" t="s">
        <v>16</v>
      </c>
      <c r="G1341" s="2" t="s">
        <v>17</v>
      </c>
      <c r="H1341" s="2">
        <v>85000</v>
      </c>
      <c r="I1341" s="2">
        <v>10</v>
      </c>
      <c r="J1341" s="2" t="s">
        <v>43</v>
      </c>
      <c r="K1341" s="2">
        <f t="shared" si="140"/>
        <v>68000</v>
      </c>
      <c r="L1341" s="9">
        <f>Table_1[[#This Row],[Unit Price]]*Table_1[[#This Row],[Quantity]]</f>
        <v>850000</v>
      </c>
      <c r="M1341" s="8">
        <f>Table_1[[#This Row],[Cost Price]]*Table_1[[#This Row],[Quantity]]</f>
        <v>680000</v>
      </c>
      <c r="N1341">
        <f>Table_1[[#This Row],[Revenue]]-Table_1[[#This Row],[COGS]]</f>
        <v>170000</v>
      </c>
      <c r="O1341" s="11">
        <f t="shared" si="141"/>
        <v>4656740000</v>
      </c>
      <c r="P1341">
        <f t="shared" si="142"/>
        <v>3725392000</v>
      </c>
      <c r="Q1341">
        <f t="shared" si="143"/>
        <v>931348000</v>
      </c>
      <c r="R1341" s="7">
        <f t="shared" si="144"/>
        <v>2098</v>
      </c>
      <c r="S1341" s="7">
        <f t="shared" si="145"/>
        <v>1</v>
      </c>
      <c r="T1341" s="7">
        <f t="shared" si="146"/>
        <v>2098</v>
      </c>
    </row>
    <row r="1342" spans="1:20" ht="14.25" customHeight="1" x14ac:dyDescent="0.35">
      <c r="A1342" s="2" t="s">
        <v>97</v>
      </c>
      <c r="B1342" s="2" t="s">
        <v>34</v>
      </c>
      <c r="C1342" s="2" t="s">
        <v>21</v>
      </c>
      <c r="D1342" s="2" t="s">
        <v>14</v>
      </c>
      <c r="E1342" s="2" t="s">
        <v>22</v>
      </c>
      <c r="F1342" s="2" t="s">
        <v>23</v>
      </c>
      <c r="G1342" s="2" t="s">
        <v>24</v>
      </c>
      <c r="H1342" s="2">
        <v>30000</v>
      </c>
      <c r="I1342" s="2">
        <v>6</v>
      </c>
      <c r="J1342" s="2" t="s">
        <v>54</v>
      </c>
      <c r="K1342" s="2">
        <f t="shared" si="140"/>
        <v>24000</v>
      </c>
      <c r="L1342" s="9">
        <f>Table_1[[#This Row],[Unit Price]]*Table_1[[#This Row],[Quantity]]</f>
        <v>180000</v>
      </c>
      <c r="M1342" s="8">
        <f>Table_1[[#This Row],[Cost Price]]*Table_1[[#This Row],[Quantity]]</f>
        <v>144000</v>
      </c>
      <c r="N1342">
        <f>Table_1[[#This Row],[Revenue]]-Table_1[[#This Row],[COGS]]</f>
        <v>36000</v>
      </c>
      <c r="O1342" s="11">
        <f t="shared" si="141"/>
        <v>4656740000</v>
      </c>
      <c r="P1342">
        <f t="shared" si="142"/>
        <v>3725392000</v>
      </c>
      <c r="Q1342">
        <f t="shared" si="143"/>
        <v>931348000</v>
      </c>
      <c r="R1342" s="7">
        <f t="shared" si="144"/>
        <v>2098</v>
      </c>
      <c r="S1342" s="7">
        <f t="shared" si="145"/>
        <v>2</v>
      </c>
      <c r="T1342" s="7">
        <f t="shared" si="146"/>
        <v>2098</v>
      </c>
    </row>
    <row r="1343" spans="1:20" ht="14.25" customHeight="1" x14ac:dyDescent="0.35">
      <c r="A1343" s="2" t="s">
        <v>127</v>
      </c>
      <c r="B1343" s="2" t="s">
        <v>12</v>
      </c>
      <c r="C1343" s="2" t="s">
        <v>21</v>
      </c>
      <c r="D1343" s="2" t="s">
        <v>26</v>
      </c>
      <c r="E1343" s="2" t="s">
        <v>22</v>
      </c>
      <c r="F1343" s="2" t="s">
        <v>41</v>
      </c>
      <c r="G1343" s="2" t="s">
        <v>17</v>
      </c>
      <c r="H1343" s="2">
        <v>320000</v>
      </c>
      <c r="I1343" s="2">
        <v>10</v>
      </c>
      <c r="J1343" s="2" t="s">
        <v>27</v>
      </c>
      <c r="K1343" s="2">
        <f t="shared" si="140"/>
        <v>256000</v>
      </c>
      <c r="L1343" s="9">
        <f>Table_1[[#This Row],[Unit Price]]*Table_1[[#This Row],[Quantity]]</f>
        <v>3200000</v>
      </c>
      <c r="M1343" s="8">
        <f>Table_1[[#This Row],[Cost Price]]*Table_1[[#This Row],[Quantity]]</f>
        <v>2560000</v>
      </c>
      <c r="N1343">
        <f>Table_1[[#This Row],[Revenue]]-Table_1[[#This Row],[COGS]]</f>
        <v>640000</v>
      </c>
      <c r="O1343" s="11">
        <f t="shared" si="141"/>
        <v>4656740000</v>
      </c>
      <c r="P1343">
        <f t="shared" si="142"/>
        <v>3725392000</v>
      </c>
      <c r="Q1343">
        <f t="shared" si="143"/>
        <v>931348000</v>
      </c>
      <c r="R1343" s="7">
        <f t="shared" si="144"/>
        <v>2098</v>
      </c>
      <c r="S1343" s="7">
        <f t="shared" si="145"/>
        <v>4</v>
      </c>
      <c r="T1343" s="7">
        <f t="shared" si="146"/>
        <v>2098</v>
      </c>
    </row>
    <row r="1344" spans="1:20" ht="14.25" customHeight="1" x14ac:dyDescent="0.35">
      <c r="A1344" s="2" t="s">
        <v>101</v>
      </c>
      <c r="B1344" s="2" t="s">
        <v>29</v>
      </c>
      <c r="C1344" s="2" t="s">
        <v>38</v>
      </c>
      <c r="D1344" s="2" t="s">
        <v>26</v>
      </c>
      <c r="E1344" s="2" t="s">
        <v>22</v>
      </c>
      <c r="F1344" s="2" t="s">
        <v>31</v>
      </c>
      <c r="G1344" s="2" t="s">
        <v>24</v>
      </c>
      <c r="H1344" s="2">
        <v>60000</v>
      </c>
      <c r="I1344" s="2">
        <v>2</v>
      </c>
      <c r="J1344" s="2" t="s">
        <v>27</v>
      </c>
      <c r="K1344" s="2">
        <f t="shared" si="140"/>
        <v>48000</v>
      </c>
      <c r="L1344" s="9">
        <f>Table_1[[#This Row],[Unit Price]]*Table_1[[#This Row],[Quantity]]</f>
        <v>120000</v>
      </c>
      <c r="M1344" s="8">
        <f>Table_1[[#This Row],[Cost Price]]*Table_1[[#This Row],[Quantity]]</f>
        <v>96000</v>
      </c>
      <c r="N1344">
        <f>Table_1[[#This Row],[Revenue]]-Table_1[[#This Row],[COGS]]</f>
        <v>24000</v>
      </c>
      <c r="O1344" s="11">
        <f t="shared" si="141"/>
        <v>4656740000</v>
      </c>
      <c r="P1344">
        <f t="shared" si="142"/>
        <v>3725392000</v>
      </c>
      <c r="Q1344">
        <f t="shared" si="143"/>
        <v>931348000</v>
      </c>
      <c r="R1344" s="7">
        <f t="shared" si="144"/>
        <v>2098</v>
      </c>
      <c r="S1344" s="7">
        <f t="shared" si="145"/>
        <v>4</v>
      </c>
      <c r="T1344" s="7">
        <f t="shared" si="146"/>
        <v>2098</v>
      </c>
    </row>
    <row r="1345" spans="1:20" ht="14.25" customHeight="1" x14ac:dyDescent="0.35">
      <c r="A1345" s="2" t="s">
        <v>55</v>
      </c>
      <c r="B1345" s="2" t="s">
        <v>20</v>
      </c>
      <c r="C1345" s="2" t="s">
        <v>21</v>
      </c>
      <c r="D1345" s="2" t="s">
        <v>26</v>
      </c>
      <c r="E1345" s="2" t="s">
        <v>22</v>
      </c>
      <c r="F1345" s="2" t="s">
        <v>52</v>
      </c>
      <c r="G1345" s="2" t="s">
        <v>36</v>
      </c>
      <c r="H1345" s="2">
        <v>420000</v>
      </c>
      <c r="I1345" s="2">
        <v>3</v>
      </c>
      <c r="J1345" s="2" t="s">
        <v>18</v>
      </c>
      <c r="K1345" s="2">
        <f t="shared" si="140"/>
        <v>336000</v>
      </c>
      <c r="L1345" s="9">
        <f>Table_1[[#This Row],[Unit Price]]*Table_1[[#This Row],[Quantity]]</f>
        <v>1260000</v>
      </c>
      <c r="M1345" s="8">
        <f>Table_1[[#This Row],[Cost Price]]*Table_1[[#This Row],[Quantity]]</f>
        <v>1008000</v>
      </c>
      <c r="N1345">
        <f>Table_1[[#This Row],[Revenue]]-Table_1[[#This Row],[COGS]]</f>
        <v>252000</v>
      </c>
      <c r="O1345" s="11">
        <f t="shared" si="141"/>
        <v>4656740000</v>
      </c>
      <c r="P1345">
        <f t="shared" si="142"/>
        <v>3725392000</v>
      </c>
      <c r="Q1345">
        <f t="shared" si="143"/>
        <v>931348000</v>
      </c>
      <c r="R1345" s="7">
        <f t="shared" si="144"/>
        <v>2098</v>
      </c>
      <c r="S1345" s="7">
        <f t="shared" si="145"/>
        <v>4</v>
      </c>
      <c r="T1345" s="7">
        <f t="shared" si="146"/>
        <v>2098</v>
      </c>
    </row>
    <row r="1346" spans="1:20" ht="14.25" customHeight="1" x14ac:dyDescent="0.35">
      <c r="A1346" s="2" t="s">
        <v>40</v>
      </c>
      <c r="B1346" s="2" t="s">
        <v>20</v>
      </c>
      <c r="C1346" s="2" t="s">
        <v>21</v>
      </c>
      <c r="D1346" s="2" t="s">
        <v>14</v>
      </c>
      <c r="E1346" s="2" t="s">
        <v>15</v>
      </c>
      <c r="F1346" s="2" t="s">
        <v>47</v>
      </c>
      <c r="G1346" s="2" t="s">
        <v>36</v>
      </c>
      <c r="H1346" s="2">
        <v>150000</v>
      </c>
      <c r="I1346" s="2">
        <v>5</v>
      </c>
      <c r="J1346" s="2" t="s">
        <v>32</v>
      </c>
      <c r="K1346" s="2">
        <f t="shared" ref="K1346:K1409" si="147">H1346-H1346*0.2</f>
        <v>120000</v>
      </c>
      <c r="L1346" s="9">
        <f>Table_1[[#This Row],[Unit Price]]*Table_1[[#This Row],[Quantity]]</f>
        <v>750000</v>
      </c>
      <c r="M1346" s="8">
        <f>Table_1[[#This Row],[Cost Price]]*Table_1[[#This Row],[Quantity]]</f>
        <v>600000</v>
      </c>
      <c r="N1346">
        <f>Table_1[[#This Row],[Revenue]]-Table_1[[#This Row],[COGS]]</f>
        <v>150000</v>
      </c>
      <c r="O1346" s="11">
        <f t="shared" ref="O1346:O1409" si="148">SUM(L$2:L$1048576)</f>
        <v>4656740000</v>
      </c>
      <c r="P1346">
        <f t="shared" ref="P1346:P1409" si="149">SUM(M:M)</f>
        <v>3725392000</v>
      </c>
      <c r="Q1346">
        <f t="shared" ref="Q1346:Q1409" si="150">SUM(N:N)</f>
        <v>931348000</v>
      </c>
      <c r="R1346" s="7">
        <f t="shared" ref="R1346:R1409" si="151">COUNTA(A$2:A$1048576)</f>
        <v>2098</v>
      </c>
      <c r="S1346" s="7">
        <f t="shared" ref="S1346:S1409" si="152">MONTH(A1346:A2834)</f>
        <v>3</v>
      </c>
      <c r="T1346" s="7">
        <f t="shared" ref="T1346:T1409" si="153">COUNTA(A:A)-1</f>
        <v>2098</v>
      </c>
    </row>
    <row r="1347" spans="1:20" ht="14.25" customHeight="1" x14ac:dyDescent="0.35">
      <c r="A1347" s="2" t="s">
        <v>75</v>
      </c>
      <c r="B1347" s="2" t="s">
        <v>29</v>
      </c>
      <c r="C1347" s="2" t="s">
        <v>21</v>
      </c>
      <c r="D1347" s="2" t="s">
        <v>14</v>
      </c>
      <c r="E1347" s="2" t="s">
        <v>22</v>
      </c>
      <c r="F1347" s="2" t="s">
        <v>47</v>
      </c>
      <c r="G1347" s="2" t="s">
        <v>36</v>
      </c>
      <c r="H1347" s="2">
        <v>150000</v>
      </c>
      <c r="I1347" s="2">
        <v>9</v>
      </c>
      <c r="J1347" s="2" t="s">
        <v>43</v>
      </c>
      <c r="K1347" s="2">
        <f t="shared" si="147"/>
        <v>120000</v>
      </c>
      <c r="L1347" s="9">
        <f>Table_1[[#This Row],[Unit Price]]*Table_1[[#This Row],[Quantity]]</f>
        <v>1350000</v>
      </c>
      <c r="M1347" s="8">
        <f>Table_1[[#This Row],[Cost Price]]*Table_1[[#This Row],[Quantity]]</f>
        <v>1080000</v>
      </c>
      <c r="N1347">
        <f>Table_1[[#This Row],[Revenue]]-Table_1[[#This Row],[COGS]]</f>
        <v>270000</v>
      </c>
      <c r="O1347" s="11">
        <f t="shared" si="148"/>
        <v>4656740000</v>
      </c>
      <c r="P1347">
        <f t="shared" si="149"/>
        <v>3725392000</v>
      </c>
      <c r="Q1347">
        <f t="shared" si="150"/>
        <v>931348000</v>
      </c>
      <c r="R1347" s="7">
        <f t="shared" si="151"/>
        <v>2098</v>
      </c>
      <c r="S1347" s="7">
        <f t="shared" si="152"/>
        <v>2</v>
      </c>
      <c r="T1347" s="7">
        <f t="shared" si="153"/>
        <v>2098</v>
      </c>
    </row>
    <row r="1348" spans="1:20" ht="14.25" customHeight="1" x14ac:dyDescent="0.35">
      <c r="A1348" s="2" t="s">
        <v>104</v>
      </c>
      <c r="B1348" s="2" t="s">
        <v>29</v>
      </c>
      <c r="C1348" s="2" t="s">
        <v>13</v>
      </c>
      <c r="D1348" s="2" t="s">
        <v>26</v>
      </c>
      <c r="E1348" s="2" t="s">
        <v>22</v>
      </c>
      <c r="F1348" s="2" t="s">
        <v>16</v>
      </c>
      <c r="G1348" s="2" t="s">
        <v>17</v>
      </c>
      <c r="H1348" s="2">
        <v>85000</v>
      </c>
      <c r="I1348" s="2">
        <v>5</v>
      </c>
      <c r="J1348" s="2" t="s">
        <v>50</v>
      </c>
      <c r="K1348" s="2">
        <f t="shared" si="147"/>
        <v>68000</v>
      </c>
      <c r="L1348" s="9">
        <f>Table_1[[#This Row],[Unit Price]]*Table_1[[#This Row],[Quantity]]</f>
        <v>425000</v>
      </c>
      <c r="M1348" s="8">
        <f>Table_1[[#This Row],[Cost Price]]*Table_1[[#This Row],[Quantity]]</f>
        <v>340000</v>
      </c>
      <c r="N1348">
        <f>Table_1[[#This Row],[Revenue]]-Table_1[[#This Row],[COGS]]</f>
        <v>85000</v>
      </c>
      <c r="O1348" s="11">
        <f t="shared" si="148"/>
        <v>4656740000</v>
      </c>
      <c r="P1348">
        <f t="shared" si="149"/>
        <v>3725392000</v>
      </c>
      <c r="Q1348">
        <f t="shared" si="150"/>
        <v>931348000</v>
      </c>
      <c r="R1348" s="7">
        <f t="shared" si="151"/>
        <v>2098</v>
      </c>
      <c r="S1348" s="7">
        <f t="shared" si="152"/>
        <v>2</v>
      </c>
      <c r="T1348" s="7">
        <f t="shared" si="153"/>
        <v>2098</v>
      </c>
    </row>
    <row r="1349" spans="1:20" ht="14.25" customHeight="1" x14ac:dyDescent="0.35">
      <c r="A1349" s="2" t="s">
        <v>42</v>
      </c>
      <c r="B1349" s="2" t="s">
        <v>34</v>
      </c>
      <c r="C1349" s="2" t="s">
        <v>21</v>
      </c>
      <c r="D1349" s="2" t="s">
        <v>26</v>
      </c>
      <c r="E1349" s="2" t="s">
        <v>15</v>
      </c>
      <c r="F1349" s="2" t="s">
        <v>41</v>
      </c>
      <c r="G1349" s="2" t="s">
        <v>17</v>
      </c>
      <c r="H1349" s="2">
        <v>320000</v>
      </c>
      <c r="I1349" s="2">
        <v>1</v>
      </c>
      <c r="J1349" s="2" t="s">
        <v>27</v>
      </c>
      <c r="K1349" s="2">
        <f t="shared" si="147"/>
        <v>256000</v>
      </c>
      <c r="L1349" s="9">
        <f>Table_1[[#This Row],[Unit Price]]*Table_1[[#This Row],[Quantity]]</f>
        <v>320000</v>
      </c>
      <c r="M1349" s="8">
        <f>Table_1[[#This Row],[Cost Price]]*Table_1[[#This Row],[Quantity]]</f>
        <v>256000</v>
      </c>
      <c r="N1349">
        <f>Table_1[[#This Row],[Revenue]]-Table_1[[#This Row],[COGS]]</f>
        <v>64000</v>
      </c>
      <c r="O1349" s="11">
        <f t="shared" si="148"/>
        <v>4656740000</v>
      </c>
      <c r="P1349">
        <f t="shared" si="149"/>
        <v>3725392000</v>
      </c>
      <c r="Q1349">
        <f t="shared" si="150"/>
        <v>931348000</v>
      </c>
      <c r="R1349" s="7">
        <f t="shared" si="151"/>
        <v>2098</v>
      </c>
      <c r="S1349" s="7">
        <f t="shared" si="152"/>
        <v>2</v>
      </c>
      <c r="T1349" s="7">
        <f t="shared" si="153"/>
        <v>2098</v>
      </c>
    </row>
    <row r="1350" spans="1:20" ht="14.25" customHeight="1" x14ac:dyDescent="0.35">
      <c r="A1350" s="2" t="s">
        <v>45</v>
      </c>
      <c r="B1350" s="2" t="s">
        <v>20</v>
      </c>
      <c r="C1350" s="2" t="s">
        <v>13</v>
      </c>
      <c r="D1350" s="2" t="s">
        <v>14</v>
      </c>
      <c r="E1350" s="2" t="s">
        <v>22</v>
      </c>
      <c r="F1350" s="2" t="s">
        <v>23</v>
      </c>
      <c r="G1350" s="2" t="s">
        <v>24</v>
      </c>
      <c r="H1350" s="2">
        <v>30000</v>
      </c>
      <c r="I1350" s="2">
        <v>4</v>
      </c>
      <c r="J1350" s="2" t="s">
        <v>32</v>
      </c>
      <c r="K1350" s="2">
        <f t="shared" si="147"/>
        <v>24000</v>
      </c>
      <c r="L1350" s="9">
        <f>Table_1[[#This Row],[Unit Price]]*Table_1[[#This Row],[Quantity]]</f>
        <v>120000</v>
      </c>
      <c r="M1350" s="8">
        <f>Table_1[[#This Row],[Cost Price]]*Table_1[[#This Row],[Quantity]]</f>
        <v>96000</v>
      </c>
      <c r="N1350">
        <f>Table_1[[#This Row],[Revenue]]-Table_1[[#This Row],[COGS]]</f>
        <v>24000</v>
      </c>
      <c r="O1350" s="11">
        <f t="shared" si="148"/>
        <v>4656740000</v>
      </c>
      <c r="P1350">
        <f t="shared" si="149"/>
        <v>3725392000</v>
      </c>
      <c r="Q1350">
        <f t="shared" si="150"/>
        <v>931348000</v>
      </c>
      <c r="R1350" s="7">
        <f t="shared" si="151"/>
        <v>2098</v>
      </c>
      <c r="S1350" s="7">
        <f t="shared" si="152"/>
        <v>3</v>
      </c>
      <c r="T1350" s="7">
        <f t="shared" si="153"/>
        <v>2098</v>
      </c>
    </row>
    <row r="1351" spans="1:20" ht="14.25" customHeight="1" x14ac:dyDescent="0.35">
      <c r="A1351" s="2" t="s">
        <v>33</v>
      </c>
      <c r="B1351" s="2" t="s">
        <v>29</v>
      </c>
      <c r="C1351" s="2" t="s">
        <v>30</v>
      </c>
      <c r="D1351" s="2" t="s">
        <v>26</v>
      </c>
      <c r="E1351" s="2" t="s">
        <v>22</v>
      </c>
      <c r="F1351" s="2" t="s">
        <v>58</v>
      </c>
      <c r="G1351" s="2" t="s">
        <v>24</v>
      </c>
      <c r="H1351" s="2">
        <v>220000</v>
      </c>
      <c r="I1351" s="2">
        <v>8</v>
      </c>
      <c r="J1351" s="2" t="s">
        <v>50</v>
      </c>
      <c r="K1351" s="2">
        <f t="shared" si="147"/>
        <v>176000</v>
      </c>
      <c r="L1351" s="9">
        <f>Table_1[[#This Row],[Unit Price]]*Table_1[[#This Row],[Quantity]]</f>
        <v>1760000</v>
      </c>
      <c r="M1351" s="8">
        <f>Table_1[[#This Row],[Cost Price]]*Table_1[[#This Row],[Quantity]]</f>
        <v>1408000</v>
      </c>
      <c r="N1351">
        <f>Table_1[[#This Row],[Revenue]]-Table_1[[#This Row],[COGS]]</f>
        <v>352000</v>
      </c>
      <c r="O1351" s="11">
        <f t="shared" si="148"/>
        <v>4656740000</v>
      </c>
      <c r="P1351">
        <f t="shared" si="149"/>
        <v>3725392000</v>
      </c>
      <c r="Q1351">
        <f t="shared" si="150"/>
        <v>931348000</v>
      </c>
      <c r="R1351" s="7">
        <f t="shared" si="151"/>
        <v>2098</v>
      </c>
      <c r="S1351" s="7">
        <f t="shared" si="152"/>
        <v>4</v>
      </c>
      <c r="T1351" s="7">
        <f t="shared" si="153"/>
        <v>2098</v>
      </c>
    </row>
    <row r="1352" spans="1:20" ht="14.25" customHeight="1" x14ac:dyDescent="0.35">
      <c r="A1352" s="2" t="s">
        <v>149</v>
      </c>
      <c r="B1352" s="2" t="s">
        <v>12</v>
      </c>
      <c r="C1352" s="2" t="s">
        <v>38</v>
      </c>
      <c r="D1352" s="2" t="s">
        <v>26</v>
      </c>
      <c r="E1352" s="2" t="s">
        <v>22</v>
      </c>
      <c r="F1352" s="2" t="s">
        <v>41</v>
      </c>
      <c r="G1352" s="2" t="s">
        <v>17</v>
      </c>
      <c r="H1352" s="2">
        <v>320000</v>
      </c>
      <c r="I1352" s="2">
        <v>5</v>
      </c>
      <c r="J1352" s="2" t="s">
        <v>54</v>
      </c>
      <c r="K1352" s="2">
        <f t="shared" si="147"/>
        <v>256000</v>
      </c>
      <c r="L1352" s="9">
        <f>Table_1[[#This Row],[Unit Price]]*Table_1[[#This Row],[Quantity]]</f>
        <v>1600000</v>
      </c>
      <c r="M1352" s="8">
        <f>Table_1[[#This Row],[Cost Price]]*Table_1[[#This Row],[Quantity]]</f>
        <v>1280000</v>
      </c>
      <c r="N1352">
        <f>Table_1[[#This Row],[Revenue]]-Table_1[[#This Row],[COGS]]</f>
        <v>320000</v>
      </c>
      <c r="O1352" s="11">
        <f t="shared" si="148"/>
        <v>4656740000</v>
      </c>
      <c r="P1352">
        <f t="shared" si="149"/>
        <v>3725392000</v>
      </c>
      <c r="Q1352">
        <f t="shared" si="150"/>
        <v>931348000</v>
      </c>
      <c r="R1352" s="7">
        <f t="shared" si="151"/>
        <v>2098</v>
      </c>
      <c r="S1352" s="7">
        <f t="shared" si="152"/>
        <v>3</v>
      </c>
      <c r="T1352" s="7">
        <f t="shared" si="153"/>
        <v>2098</v>
      </c>
    </row>
    <row r="1353" spans="1:20" ht="14.25" customHeight="1" x14ac:dyDescent="0.35">
      <c r="A1353" s="2" t="s">
        <v>139</v>
      </c>
      <c r="B1353" s="2" t="s">
        <v>12</v>
      </c>
      <c r="C1353" s="2" t="s">
        <v>38</v>
      </c>
      <c r="D1353" s="2" t="s">
        <v>26</v>
      </c>
      <c r="E1353" s="2" t="s">
        <v>22</v>
      </c>
      <c r="F1353" s="2" t="s">
        <v>16</v>
      </c>
      <c r="G1353" s="2" t="s">
        <v>17</v>
      </c>
      <c r="H1353" s="2">
        <v>85000</v>
      </c>
      <c r="I1353" s="2">
        <v>3</v>
      </c>
      <c r="J1353" s="2" t="s">
        <v>50</v>
      </c>
      <c r="K1353" s="2">
        <f t="shared" si="147"/>
        <v>68000</v>
      </c>
      <c r="L1353" s="9">
        <f>Table_1[[#This Row],[Unit Price]]*Table_1[[#This Row],[Quantity]]</f>
        <v>255000</v>
      </c>
      <c r="M1353" s="8">
        <f>Table_1[[#This Row],[Cost Price]]*Table_1[[#This Row],[Quantity]]</f>
        <v>204000</v>
      </c>
      <c r="N1353">
        <f>Table_1[[#This Row],[Revenue]]-Table_1[[#This Row],[COGS]]</f>
        <v>51000</v>
      </c>
      <c r="O1353" s="11">
        <f t="shared" si="148"/>
        <v>4656740000</v>
      </c>
      <c r="P1353">
        <f t="shared" si="149"/>
        <v>3725392000</v>
      </c>
      <c r="Q1353">
        <f t="shared" si="150"/>
        <v>931348000</v>
      </c>
      <c r="R1353" s="7">
        <f t="shared" si="151"/>
        <v>2098</v>
      </c>
      <c r="S1353" s="7">
        <f t="shared" si="152"/>
        <v>2</v>
      </c>
      <c r="T1353" s="7">
        <f t="shared" si="153"/>
        <v>2098</v>
      </c>
    </row>
    <row r="1354" spans="1:20" ht="14.25" customHeight="1" x14ac:dyDescent="0.35">
      <c r="A1354" s="2" t="s">
        <v>121</v>
      </c>
      <c r="B1354" s="2" t="s">
        <v>20</v>
      </c>
      <c r="C1354" s="2" t="s">
        <v>30</v>
      </c>
      <c r="D1354" s="2" t="s">
        <v>14</v>
      </c>
      <c r="E1354" s="2" t="s">
        <v>22</v>
      </c>
      <c r="F1354" s="2" t="s">
        <v>41</v>
      </c>
      <c r="G1354" s="2" t="s">
        <v>17</v>
      </c>
      <c r="H1354" s="2">
        <v>320000</v>
      </c>
      <c r="I1354" s="2">
        <v>10</v>
      </c>
      <c r="J1354" s="2" t="s">
        <v>18</v>
      </c>
      <c r="K1354" s="2">
        <f t="shared" si="147"/>
        <v>256000</v>
      </c>
      <c r="L1354" s="9">
        <f>Table_1[[#This Row],[Unit Price]]*Table_1[[#This Row],[Quantity]]</f>
        <v>3200000</v>
      </c>
      <c r="M1354" s="8">
        <f>Table_1[[#This Row],[Cost Price]]*Table_1[[#This Row],[Quantity]]</f>
        <v>2560000</v>
      </c>
      <c r="N1354">
        <f>Table_1[[#This Row],[Revenue]]-Table_1[[#This Row],[COGS]]</f>
        <v>640000</v>
      </c>
      <c r="O1354" s="11">
        <f t="shared" si="148"/>
        <v>4656740000</v>
      </c>
      <c r="P1354">
        <f t="shared" si="149"/>
        <v>3725392000</v>
      </c>
      <c r="Q1354">
        <f t="shared" si="150"/>
        <v>931348000</v>
      </c>
      <c r="R1354" s="7">
        <f t="shared" si="151"/>
        <v>2098</v>
      </c>
      <c r="S1354" s="7">
        <f t="shared" si="152"/>
        <v>2</v>
      </c>
      <c r="T1354" s="7">
        <f t="shared" si="153"/>
        <v>2098</v>
      </c>
    </row>
    <row r="1355" spans="1:20" ht="14.25" customHeight="1" x14ac:dyDescent="0.35">
      <c r="A1355" s="2" t="s">
        <v>159</v>
      </c>
      <c r="B1355" s="2" t="s">
        <v>12</v>
      </c>
      <c r="C1355" s="2" t="s">
        <v>30</v>
      </c>
      <c r="D1355" s="2" t="s">
        <v>14</v>
      </c>
      <c r="E1355" s="2" t="s">
        <v>15</v>
      </c>
      <c r="F1355" s="2" t="s">
        <v>52</v>
      </c>
      <c r="G1355" s="2" t="s">
        <v>36</v>
      </c>
      <c r="H1355" s="2">
        <v>420000</v>
      </c>
      <c r="I1355" s="2">
        <v>2</v>
      </c>
      <c r="J1355" s="2" t="s">
        <v>54</v>
      </c>
      <c r="K1355" s="2">
        <f t="shared" si="147"/>
        <v>336000</v>
      </c>
      <c r="L1355" s="9">
        <f>Table_1[[#This Row],[Unit Price]]*Table_1[[#This Row],[Quantity]]</f>
        <v>840000</v>
      </c>
      <c r="M1355" s="8">
        <f>Table_1[[#This Row],[Cost Price]]*Table_1[[#This Row],[Quantity]]</f>
        <v>672000</v>
      </c>
      <c r="N1355">
        <f>Table_1[[#This Row],[Revenue]]-Table_1[[#This Row],[COGS]]</f>
        <v>168000</v>
      </c>
      <c r="O1355" s="11">
        <f t="shared" si="148"/>
        <v>4656740000</v>
      </c>
      <c r="P1355">
        <f t="shared" si="149"/>
        <v>3725392000</v>
      </c>
      <c r="Q1355">
        <f t="shared" si="150"/>
        <v>931348000</v>
      </c>
      <c r="R1355" s="7">
        <f t="shared" si="151"/>
        <v>2098</v>
      </c>
      <c r="S1355" s="7">
        <f t="shared" si="152"/>
        <v>2</v>
      </c>
      <c r="T1355" s="7">
        <f t="shared" si="153"/>
        <v>2098</v>
      </c>
    </row>
    <row r="1356" spans="1:20" ht="14.25" customHeight="1" x14ac:dyDescent="0.35">
      <c r="A1356" s="2" t="s">
        <v>157</v>
      </c>
      <c r="B1356" s="2" t="s">
        <v>34</v>
      </c>
      <c r="C1356" s="2" t="s">
        <v>38</v>
      </c>
      <c r="D1356" s="2" t="s">
        <v>14</v>
      </c>
      <c r="E1356" s="2" t="s">
        <v>15</v>
      </c>
      <c r="F1356" s="2" t="s">
        <v>23</v>
      </c>
      <c r="G1356" s="2" t="s">
        <v>24</v>
      </c>
      <c r="H1356" s="2">
        <v>30000</v>
      </c>
      <c r="I1356" s="2">
        <v>3</v>
      </c>
      <c r="J1356" s="2" t="s">
        <v>18</v>
      </c>
      <c r="K1356" s="2">
        <f t="shared" si="147"/>
        <v>24000</v>
      </c>
      <c r="L1356" s="9">
        <f>Table_1[[#This Row],[Unit Price]]*Table_1[[#This Row],[Quantity]]</f>
        <v>90000</v>
      </c>
      <c r="M1356" s="8">
        <f>Table_1[[#This Row],[Cost Price]]*Table_1[[#This Row],[Quantity]]</f>
        <v>72000</v>
      </c>
      <c r="N1356">
        <f>Table_1[[#This Row],[Revenue]]-Table_1[[#This Row],[COGS]]</f>
        <v>18000</v>
      </c>
      <c r="O1356" s="11">
        <f t="shared" si="148"/>
        <v>4656740000</v>
      </c>
      <c r="P1356">
        <f t="shared" si="149"/>
        <v>3725392000</v>
      </c>
      <c r="Q1356">
        <f t="shared" si="150"/>
        <v>931348000</v>
      </c>
      <c r="R1356" s="7">
        <f t="shared" si="151"/>
        <v>2098</v>
      </c>
      <c r="S1356" s="7">
        <f t="shared" si="152"/>
        <v>3</v>
      </c>
      <c r="T1356" s="7">
        <f t="shared" si="153"/>
        <v>2098</v>
      </c>
    </row>
    <row r="1357" spans="1:20" ht="14.25" customHeight="1" x14ac:dyDescent="0.35">
      <c r="A1357" s="2" t="s">
        <v>93</v>
      </c>
      <c r="B1357" s="2" t="s">
        <v>12</v>
      </c>
      <c r="C1357" s="2" t="s">
        <v>38</v>
      </c>
      <c r="D1357" s="2" t="s">
        <v>26</v>
      </c>
      <c r="E1357" s="2" t="s">
        <v>15</v>
      </c>
      <c r="F1357" s="2" t="s">
        <v>23</v>
      </c>
      <c r="G1357" s="2" t="s">
        <v>24</v>
      </c>
      <c r="H1357" s="2">
        <v>30000</v>
      </c>
      <c r="I1357" s="2">
        <v>1</v>
      </c>
      <c r="J1357" s="2" t="s">
        <v>54</v>
      </c>
      <c r="K1357" s="2">
        <f t="shared" si="147"/>
        <v>24000</v>
      </c>
      <c r="L1357" s="9">
        <f>Table_1[[#This Row],[Unit Price]]*Table_1[[#This Row],[Quantity]]</f>
        <v>30000</v>
      </c>
      <c r="M1357" s="8">
        <f>Table_1[[#This Row],[Cost Price]]*Table_1[[#This Row],[Quantity]]</f>
        <v>24000</v>
      </c>
      <c r="N1357">
        <f>Table_1[[#This Row],[Revenue]]-Table_1[[#This Row],[COGS]]</f>
        <v>6000</v>
      </c>
      <c r="O1357" s="11">
        <f t="shared" si="148"/>
        <v>4656740000</v>
      </c>
      <c r="P1357">
        <f t="shared" si="149"/>
        <v>3725392000</v>
      </c>
      <c r="Q1357">
        <f t="shared" si="150"/>
        <v>931348000</v>
      </c>
      <c r="R1357" s="7">
        <f t="shared" si="151"/>
        <v>2098</v>
      </c>
      <c r="S1357" s="7">
        <f t="shared" si="152"/>
        <v>4</v>
      </c>
      <c r="T1357" s="7">
        <f t="shared" si="153"/>
        <v>2098</v>
      </c>
    </row>
    <row r="1358" spans="1:20" ht="14.25" customHeight="1" x14ac:dyDescent="0.35">
      <c r="A1358" s="2" t="s">
        <v>95</v>
      </c>
      <c r="B1358" s="2" t="s">
        <v>20</v>
      </c>
      <c r="C1358" s="2" t="s">
        <v>30</v>
      </c>
      <c r="D1358" s="2" t="s">
        <v>14</v>
      </c>
      <c r="E1358" s="2" t="s">
        <v>22</v>
      </c>
      <c r="F1358" s="2" t="s">
        <v>52</v>
      </c>
      <c r="G1358" s="2" t="s">
        <v>36</v>
      </c>
      <c r="H1358" s="2">
        <v>420000</v>
      </c>
      <c r="I1358" s="2">
        <v>10</v>
      </c>
      <c r="J1358" s="2" t="s">
        <v>54</v>
      </c>
      <c r="K1358" s="2">
        <f t="shared" si="147"/>
        <v>336000</v>
      </c>
      <c r="L1358" s="9">
        <f>Table_1[[#This Row],[Unit Price]]*Table_1[[#This Row],[Quantity]]</f>
        <v>4200000</v>
      </c>
      <c r="M1358" s="8">
        <f>Table_1[[#This Row],[Cost Price]]*Table_1[[#This Row],[Quantity]]</f>
        <v>3360000</v>
      </c>
      <c r="N1358">
        <f>Table_1[[#This Row],[Revenue]]-Table_1[[#This Row],[COGS]]</f>
        <v>840000</v>
      </c>
      <c r="O1358" s="11">
        <f t="shared" si="148"/>
        <v>4656740000</v>
      </c>
      <c r="P1358">
        <f t="shared" si="149"/>
        <v>3725392000</v>
      </c>
      <c r="Q1358">
        <f t="shared" si="150"/>
        <v>931348000</v>
      </c>
      <c r="R1358" s="7">
        <f t="shared" si="151"/>
        <v>2098</v>
      </c>
      <c r="S1358" s="7">
        <f t="shared" si="152"/>
        <v>1</v>
      </c>
      <c r="T1358" s="7">
        <f t="shared" si="153"/>
        <v>2098</v>
      </c>
    </row>
    <row r="1359" spans="1:20" ht="14.25" customHeight="1" x14ac:dyDescent="0.35">
      <c r="A1359" s="2" t="s">
        <v>63</v>
      </c>
      <c r="B1359" s="2" t="s">
        <v>29</v>
      </c>
      <c r="C1359" s="2" t="s">
        <v>30</v>
      </c>
      <c r="D1359" s="2" t="s">
        <v>14</v>
      </c>
      <c r="E1359" s="2" t="s">
        <v>22</v>
      </c>
      <c r="F1359" s="2" t="s">
        <v>47</v>
      </c>
      <c r="G1359" s="2" t="s">
        <v>36</v>
      </c>
      <c r="H1359" s="2">
        <v>150000</v>
      </c>
      <c r="I1359" s="2">
        <v>8</v>
      </c>
      <c r="J1359" s="2" t="s">
        <v>18</v>
      </c>
      <c r="K1359" s="2">
        <f t="shared" si="147"/>
        <v>120000</v>
      </c>
      <c r="L1359" s="9">
        <f>Table_1[[#This Row],[Unit Price]]*Table_1[[#This Row],[Quantity]]</f>
        <v>1200000</v>
      </c>
      <c r="M1359" s="8">
        <f>Table_1[[#This Row],[Cost Price]]*Table_1[[#This Row],[Quantity]]</f>
        <v>960000</v>
      </c>
      <c r="N1359">
        <f>Table_1[[#This Row],[Revenue]]-Table_1[[#This Row],[COGS]]</f>
        <v>240000</v>
      </c>
      <c r="O1359" s="11">
        <f t="shared" si="148"/>
        <v>4656740000</v>
      </c>
      <c r="P1359">
        <f t="shared" si="149"/>
        <v>3725392000</v>
      </c>
      <c r="Q1359">
        <f t="shared" si="150"/>
        <v>931348000</v>
      </c>
      <c r="R1359" s="7">
        <f t="shared" si="151"/>
        <v>2098</v>
      </c>
      <c r="S1359" s="7">
        <f t="shared" si="152"/>
        <v>4</v>
      </c>
      <c r="T1359" s="7">
        <f t="shared" si="153"/>
        <v>2098</v>
      </c>
    </row>
    <row r="1360" spans="1:20" ht="14.25" customHeight="1" x14ac:dyDescent="0.35">
      <c r="A1360" s="2" t="s">
        <v>67</v>
      </c>
      <c r="B1360" s="2" t="s">
        <v>34</v>
      </c>
      <c r="C1360" s="2" t="s">
        <v>21</v>
      </c>
      <c r="D1360" s="2" t="s">
        <v>26</v>
      </c>
      <c r="E1360" s="2" t="s">
        <v>22</v>
      </c>
      <c r="F1360" s="2" t="s">
        <v>58</v>
      </c>
      <c r="G1360" s="2" t="s">
        <v>24</v>
      </c>
      <c r="H1360" s="2">
        <v>220000</v>
      </c>
      <c r="I1360" s="2">
        <v>8</v>
      </c>
      <c r="J1360" s="2" t="s">
        <v>18</v>
      </c>
      <c r="K1360" s="2">
        <f t="shared" si="147"/>
        <v>176000</v>
      </c>
      <c r="L1360" s="9">
        <f>Table_1[[#This Row],[Unit Price]]*Table_1[[#This Row],[Quantity]]</f>
        <v>1760000</v>
      </c>
      <c r="M1360" s="8">
        <f>Table_1[[#This Row],[Cost Price]]*Table_1[[#This Row],[Quantity]]</f>
        <v>1408000</v>
      </c>
      <c r="N1360">
        <f>Table_1[[#This Row],[Revenue]]-Table_1[[#This Row],[COGS]]</f>
        <v>352000</v>
      </c>
      <c r="O1360" s="11">
        <f t="shared" si="148"/>
        <v>4656740000</v>
      </c>
      <c r="P1360">
        <f t="shared" si="149"/>
        <v>3725392000</v>
      </c>
      <c r="Q1360">
        <f t="shared" si="150"/>
        <v>931348000</v>
      </c>
      <c r="R1360" s="7">
        <f t="shared" si="151"/>
        <v>2098</v>
      </c>
      <c r="S1360" s="7">
        <f t="shared" si="152"/>
        <v>3</v>
      </c>
      <c r="T1360" s="7">
        <f t="shared" si="153"/>
        <v>2098</v>
      </c>
    </row>
    <row r="1361" spans="1:20" ht="14.25" customHeight="1" x14ac:dyDescent="0.35">
      <c r="A1361" s="2" t="s">
        <v>77</v>
      </c>
      <c r="B1361" s="2" t="s">
        <v>20</v>
      </c>
      <c r="C1361" s="2" t="s">
        <v>38</v>
      </c>
      <c r="D1361" s="2" t="s">
        <v>14</v>
      </c>
      <c r="E1361" s="2" t="s">
        <v>22</v>
      </c>
      <c r="F1361" s="2" t="s">
        <v>41</v>
      </c>
      <c r="G1361" s="2" t="s">
        <v>17</v>
      </c>
      <c r="H1361" s="2">
        <v>320000</v>
      </c>
      <c r="I1361" s="2">
        <v>9</v>
      </c>
      <c r="J1361" s="2" t="s">
        <v>43</v>
      </c>
      <c r="K1361" s="2">
        <f t="shared" si="147"/>
        <v>256000</v>
      </c>
      <c r="L1361" s="9">
        <f>Table_1[[#This Row],[Unit Price]]*Table_1[[#This Row],[Quantity]]</f>
        <v>2880000</v>
      </c>
      <c r="M1361" s="8">
        <f>Table_1[[#This Row],[Cost Price]]*Table_1[[#This Row],[Quantity]]</f>
        <v>2304000</v>
      </c>
      <c r="N1361">
        <f>Table_1[[#This Row],[Revenue]]-Table_1[[#This Row],[COGS]]</f>
        <v>576000</v>
      </c>
      <c r="O1361" s="11">
        <f t="shared" si="148"/>
        <v>4656740000</v>
      </c>
      <c r="P1361">
        <f t="shared" si="149"/>
        <v>3725392000</v>
      </c>
      <c r="Q1361">
        <f t="shared" si="150"/>
        <v>931348000</v>
      </c>
      <c r="R1361" s="7">
        <f t="shared" si="151"/>
        <v>2098</v>
      </c>
      <c r="S1361" s="7">
        <f t="shared" si="152"/>
        <v>1</v>
      </c>
      <c r="T1361" s="7">
        <f t="shared" si="153"/>
        <v>2098</v>
      </c>
    </row>
    <row r="1362" spans="1:20" ht="14.25" customHeight="1" x14ac:dyDescent="0.35">
      <c r="A1362" s="2" t="s">
        <v>116</v>
      </c>
      <c r="B1362" s="2" t="s">
        <v>34</v>
      </c>
      <c r="C1362" s="2" t="s">
        <v>13</v>
      </c>
      <c r="D1362" s="2" t="s">
        <v>14</v>
      </c>
      <c r="E1362" s="2" t="s">
        <v>22</v>
      </c>
      <c r="F1362" s="2" t="s">
        <v>58</v>
      </c>
      <c r="G1362" s="2" t="s">
        <v>24</v>
      </c>
      <c r="H1362" s="2">
        <v>220000</v>
      </c>
      <c r="I1362" s="2">
        <v>3</v>
      </c>
      <c r="J1362" s="2" t="s">
        <v>54</v>
      </c>
      <c r="K1362" s="2">
        <f t="shared" si="147"/>
        <v>176000</v>
      </c>
      <c r="L1362" s="9">
        <f>Table_1[[#This Row],[Unit Price]]*Table_1[[#This Row],[Quantity]]</f>
        <v>660000</v>
      </c>
      <c r="M1362" s="8">
        <f>Table_1[[#This Row],[Cost Price]]*Table_1[[#This Row],[Quantity]]</f>
        <v>528000</v>
      </c>
      <c r="N1362">
        <f>Table_1[[#This Row],[Revenue]]-Table_1[[#This Row],[COGS]]</f>
        <v>132000</v>
      </c>
      <c r="O1362" s="11">
        <f t="shared" si="148"/>
        <v>4656740000</v>
      </c>
      <c r="P1362">
        <f t="shared" si="149"/>
        <v>3725392000</v>
      </c>
      <c r="Q1362">
        <f t="shared" si="150"/>
        <v>931348000</v>
      </c>
      <c r="R1362" s="7">
        <f t="shared" si="151"/>
        <v>2098</v>
      </c>
      <c r="S1362" s="7">
        <f t="shared" si="152"/>
        <v>3</v>
      </c>
      <c r="T1362" s="7">
        <f t="shared" si="153"/>
        <v>2098</v>
      </c>
    </row>
    <row r="1363" spans="1:20" ht="14.25" customHeight="1" x14ac:dyDescent="0.35">
      <c r="A1363" s="2" t="s">
        <v>136</v>
      </c>
      <c r="B1363" s="2" t="s">
        <v>12</v>
      </c>
      <c r="C1363" s="2" t="s">
        <v>30</v>
      </c>
      <c r="D1363" s="2" t="s">
        <v>26</v>
      </c>
      <c r="E1363" s="2" t="s">
        <v>15</v>
      </c>
      <c r="F1363" s="2" t="s">
        <v>39</v>
      </c>
      <c r="G1363" s="2" t="s">
        <v>24</v>
      </c>
      <c r="H1363" s="2">
        <v>180000</v>
      </c>
      <c r="I1363" s="2">
        <v>8</v>
      </c>
      <c r="J1363" s="2" t="s">
        <v>43</v>
      </c>
      <c r="K1363" s="2">
        <f t="shared" si="147"/>
        <v>144000</v>
      </c>
      <c r="L1363" s="9">
        <f>Table_1[[#This Row],[Unit Price]]*Table_1[[#This Row],[Quantity]]</f>
        <v>1440000</v>
      </c>
      <c r="M1363" s="8">
        <f>Table_1[[#This Row],[Cost Price]]*Table_1[[#This Row],[Quantity]]</f>
        <v>1152000</v>
      </c>
      <c r="N1363">
        <f>Table_1[[#This Row],[Revenue]]-Table_1[[#This Row],[COGS]]</f>
        <v>288000</v>
      </c>
      <c r="O1363" s="11">
        <f t="shared" si="148"/>
        <v>4656740000</v>
      </c>
      <c r="P1363">
        <f t="shared" si="149"/>
        <v>3725392000</v>
      </c>
      <c r="Q1363">
        <f t="shared" si="150"/>
        <v>931348000</v>
      </c>
      <c r="R1363" s="7">
        <f t="shared" si="151"/>
        <v>2098</v>
      </c>
      <c r="S1363" s="7">
        <f t="shared" si="152"/>
        <v>2</v>
      </c>
      <c r="T1363" s="7">
        <f t="shared" si="153"/>
        <v>2098</v>
      </c>
    </row>
    <row r="1364" spans="1:20" ht="14.25" customHeight="1" x14ac:dyDescent="0.35">
      <c r="A1364" s="2" t="s">
        <v>129</v>
      </c>
      <c r="B1364" s="2" t="s">
        <v>34</v>
      </c>
      <c r="C1364" s="2" t="s">
        <v>30</v>
      </c>
      <c r="D1364" s="2" t="s">
        <v>14</v>
      </c>
      <c r="E1364" s="2" t="s">
        <v>22</v>
      </c>
      <c r="F1364" s="2" t="s">
        <v>56</v>
      </c>
      <c r="G1364" s="2" t="s">
        <v>36</v>
      </c>
      <c r="H1364" s="2">
        <v>250000</v>
      </c>
      <c r="I1364" s="2">
        <v>4</v>
      </c>
      <c r="J1364" s="2" t="s">
        <v>32</v>
      </c>
      <c r="K1364" s="2">
        <f t="shared" si="147"/>
        <v>200000</v>
      </c>
      <c r="L1364" s="9">
        <f>Table_1[[#This Row],[Unit Price]]*Table_1[[#This Row],[Quantity]]</f>
        <v>1000000</v>
      </c>
      <c r="M1364" s="8">
        <f>Table_1[[#This Row],[Cost Price]]*Table_1[[#This Row],[Quantity]]</f>
        <v>800000</v>
      </c>
      <c r="N1364">
        <f>Table_1[[#This Row],[Revenue]]-Table_1[[#This Row],[COGS]]</f>
        <v>200000</v>
      </c>
      <c r="O1364" s="11">
        <f t="shared" si="148"/>
        <v>4656740000</v>
      </c>
      <c r="P1364">
        <f t="shared" si="149"/>
        <v>3725392000</v>
      </c>
      <c r="Q1364">
        <f t="shared" si="150"/>
        <v>931348000</v>
      </c>
      <c r="R1364" s="7">
        <f t="shared" si="151"/>
        <v>2098</v>
      </c>
      <c r="S1364" s="7">
        <f t="shared" si="152"/>
        <v>2</v>
      </c>
      <c r="T1364" s="7">
        <f t="shared" si="153"/>
        <v>2098</v>
      </c>
    </row>
    <row r="1365" spans="1:20" ht="14.25" customHeight="1" x14ac:dyDescent="0.35">
      <c r="A1365" s="2" t="s">
        <v>133</v>
      </c>
      <c r="B1365" s="2" t="s">
        <v>34</v>
      </c>
      <c r="C1365" s="2" t="s">
        <v>21</v>
      </c>
      <c r="D1365" s="2" t="s">
        <v>26</v>
      </c>
      <c r="E1365" s="2" t="s">
        <v>22</v>
      </c>
      <c r="F1365" s="2" t="s">
        <v>31</v>
      </c>
      <c r="G1365" s="2" t="s">
        <v>24</v>
      </c>
      <c r="H1365" s="2">
        <v>60000</v>
      </c>
      <c r="I1365" s="2">
        <v>7</v>
      </c>
      <c r="J1365" s="2" t="s">
        <v>43</v>
      </c>
      <c r="K1365" s="2">
        <f t="shared" si="147"/>
        <v>48000</v>
      </c>
      <c r="L1365" s="9">
        <f>Table_1[[#This Row],[Unit Price]]*Table_1[[#This Row],[Quantity]]</f>
        <v>420000</v>
      </c>
      <c r="M1365" s="8">
        <f>Table_1[[#This Row],[Cost Price]]*Table_1[[#This Row],[Quantity]]</f>
        <v>336000</v>
      </c>
      <c r="N1365">
        <f>Table_1[[#This Row],[Revenue]]-Table_1[[#This Row],[COGS]]</f>
        <v>84000</v>
      </c>
      <c r="O1365" s="11">
        <f t="shared" si="148"/>
        <v>4656740000</v>
      </c>
      <c r="P1365">
        <f t="shared" si="149"/>
        <v>3725392000</v>
      </c>
      <c r="Q1365">
        <f t="shared" si="150"/>
        <v>931348000</v>
      </c>
      <c r="R1365" s="7">
        <f t="shared" si="151"/>
        <v>2098</v>
      </c>
      <c r="S1365" s="7">
        <f t="shared" si="152"/>
        <v>2</v>
      </c>
      <c r="T1365" s="7">
        <f t="shared" si="153"/>
        <v>2098</v>
      </c>
    </row>
    <row r="1366" spans="1:20" ht="14.25" customHeight="1" x14ac:dyDescent="0.35">
      <c r="A1366" s="2" t="s">
        <v>132</v>
      </c>
      <c r="B1366" s="2" t="s">
        <v>34</v>
      </c>
      <c r="C1366" s="2" t="s">
        <v>13</v>
      </c>
      <c r="D1366" s="2" t="s">
        <v>26</v>
      </c>
      <c r="E1366" s="2" t="s">
        <v>22</v>
      </c>
      <c r="F1366" s="2" t="s">
        <v>58</v>
      </c>
      <c r="G1366" s="2" t="s">
        <v>24</v>
      </c>
      <c r="H1366" s="2">
        <v>220000</v>
      </c>
      <c r="I1366" s="2">
        <v>10</v>
      </c>
      <c r="J1366" s="2" t="s">
        <v>54</v>
      </c>
      <c r="K1366" s="2">
        <f t="shared" si="147"/>
        <v>176000</v>
      </c>
      <c r="L1366" s="9">
        <f>Table_1[[#This Row],[Unit Price]]*Table_1[[#This Row],[Quantity]]</f>
        <v>2200000</v>
      </c>
      <c r="M1366" s="8">
        <f>Table_1[[#This Row],[Cost Price]]*Table_1[[#This Row],[Quantity]]</f>
        <v>1760000</v>
      </c>
      <c r="N1366">
        <f>Table_1[[#This Row],[Revenue]]-Table_1[[#This Row],[COGS]]</f>
        <v>440000</v>
      </c>
      <c r="O1366" s="11">
        <f t="shared" si="148"/>
        <v>4656740000</v>
      </c>
      <c r="P1366">
        <f t="shared" si="149"/>
        <v>3725392000</v>
      </c>
      <c r="Q1366">
        <f t="shared" si="150"/>
        <v>931348000</v>
      </c>
      <c r="R1366" s="7">
        <f t="shared" si="151"/>
        <v>2098</v>
      </c>
      <c r="S1366" s="7">
        <f t="shared" si="152"/>
        <v>1</v>
      </c>
      <c r="T1366" s="7">
        <f t="shared" si="153"/>
        <v>2098</v>
      </c>
    </row>
    <row r="1367" spans="1:20" ht="14.25" customHeight="1" x14ac:dyDescent="0.35">
      <c r="A1367" s="2" t="s">
        <v>123</v>
      </c>
      <c r="B1367" s="2" t="s">
        <v>29</v>
      </c>
      <c r="C1367" s="2" t="s">
        <v>30</v>
      </c>
      <c r="D1367" s="2" t="s">
        <v>14</v>
      </c>
      <c r="E1367" s="2" t="s">
        <v>15</v>
      </c>
      <c r="F1367" s="2" t="s">
        <v>31</v>
      </c>
      <c r="G1367" s="2" t="s">
        <v>24</v>
      </c>
      <c r="H1367" s="2">
        <v>60000</v>
      </c>
      <c r="I1367" s="2">
        <v>9</v>
      </c>
      <c r="J1367" s="2" t="s">
        <v>54</v>
      </c>
      <c r="K1367" s="2">
        <f t="shared" si="147"/>
        <v>48000</v>
      </c>
      <c r="L1367" s="9">
        <f>Table_1[[#This Row],[Unit Price]]*Table_1[[#This Row],[Quantity]]</f>
        <v>540000</v>
      </c>
      <c r="M1367" s="8">
        <f>Table_1[[#This Row],[Cost Price]]*Table_1[[#This Row],[Quantity]]</f>
        <v>432000</v>
      </c>
      <c r="N1367">
        <f>Table_1[[#This Row],[Revenue]]-Table_1[[#This Row],[COGS]]</f>
        <v>108000</v>
      </c>
      <c r="O1367" s="11">
        <f t="shared" si="148"/>
        <v>4656740000</v>
      </c>
      <c r="P1367">
        <f t="shared" si="149"/>
        <v>3725392000</v>
      </c>
      <c r="Q1367">
        <f t="shared" si="150"/>
        <v>931348000</v>
      </c>
      <c r="R1367" s="7">
        <f t="shared" si="151"/>
        <v>2098</v>
      </c>
      <c r="S1367" s="7">
        <f t="shared" si="152"/>
        <v>4</v>
      </c>
      <c r="T1367" s="7">
        <f t="shared" si="153"/>
        <v>2098</v>
      </c>
    </row>
    <row r="1368" spans="1:20" ht="14.25" customHeight="1" x14ac:dyDescent="0.35">
      <c r="A1368" s="2" t="s">
        <v>104</v>
      </c>
      <c r="B1368" s="2" t="s">
        <v>12</v>
      </c>
      <c r="C1368" s="2" t="s">
        <v>30</v>
      </c>
      <c r="D1368" s="2" t="s">
        <v>26</v>
      </c>
      <c r="E1368" s="2" t="s">
        <v>15</v>
      </c>
      <c r="F1368" s="2" t="s">
        <v>31</v>
      </c>
      <c r="G1368" s="2" t="s">
        <v>24</v>
      </c>
      <c r="H1368" s="2">
        <v>60000</v>
      </c>
      <c r="I1368" s="2">
        <v>2</v>
      </c>
      <c r="J1368" s="2" t="s">
        <v>32</v>
      </c>
      <c r="K1368" s="2">
        <f t="shared" si="147"/>
        <v>48000</v>
      </c>
      <c r="L1368" s="9">
        <f>Table_1[[#This Row],[Unit Price]]*Table_1[[#This Row],[Quantity]]</f>
        <v>120000</v>
      </c>
      <c r="M1368" s="8">
        <f>Table_1[[#This Row],[Cost Price]]*Table_1[[#This Row],[Quantity]]</f>
        <v>96000</v>
      </c>
      <c r="N1368">
        <f>Table_1[[#This Row],[Revenue]]-Table_1[[#This Row],[COGS]]</f>
        <v>24000</v>
      </c>
      <c r="O1368" s="11">
        <f t="shared" si="148"/>
        <v>4656740000</v>
      </c>
      <c r="P1368">
        <f t="shared" si="149"/>
        <v>3725392000</v>
      </c>
      <c r="Q1368">
        <f t="shared" si="150"/>
        <v>931348000</v>
      </c>
      <c r="R1368" s="7">
        <f t="shared" si="151"/>
        <v>2098</v>
      </c>
      <c r="S1368" s="7">
        <f t="shared" si="152"/>
        <v>2</v>
      </c>
      <c r="T1368" s="7">
        <f t="shared" si="153"/>
        <v>2098</v>
      </c>
    </row>
    <row r="1369" spans="1:20" ht="14.25" customHeight="1" x14ac:dyDescent="0.35">
      <c r="A1369" s="2" t="s">
        <v>139</v>
      </c>
      <c r="B1369" s="2" t="s">
        <v>20</v>
      </c>
      <c r="C1369" s="2" t="s">
        <v>21</v>
      </c>
      <c r="D1369" s="2" t="s">
        <v>26</v>
      </c>
      <c r="E1369" s="2" t="s">
        <v>15</v>
      </c>
      <c r="F1369" s="2" t="s">
        <v>47</v>
      </c>
      <c r="G1369" s="2" t="s">
        <v>36</v>
      </c>
      <c r="H1369" s="2">
        <v>150000</v>
      </c>
      <c r="I1369" s="2">
        <v>3</v>
      </c>
      <c r="J1369" s="2" t="s">
        <v>18</v>
      </c>
      <c r="K1369" s="2">
        <f t="shared" si="147"/>
        <v>120000</v>
      </c>
      <c r="L1369" s="9">
        <f>Table_1[[#This Row],[Unit Price]]*Table_1[[#This Row],[Quantity]]</f>
        <v>450000</v>
      </c>
      <c r="M1369" s="8">
        <f>Table_1[[#This Row],[Cost Price]]*Table_1[[#This Row],[Quantity]]</f>
        <v>360000</v>
      </c>
      <c r="N1369">
        <f>Table_1[[#This Row],[Revenue]]-Table_1[[#This Row],[COGS]]</f>
        <v>90000</v>
      </c>
      <c r="O1369" s="11">
        <f t="shared" si="148"/>
        <v>4656740000</v>
      </c>
      <c r="P1369">
        <f t="shared" si="149"/>
        <v>3725392000</v>
      </c>
      <c r="Q1369">
        <f t="shared" si="150"/>
        <v>931348000</v>
      </c>
      <c r="R1369" s="7">
        <f t="shared" si="151"/>
        <v>2098</v>
      </c>
      <c r="S1369" s="7">
        <f t="shared" si="152"/>
        <v>2</v>
      </c>
      <c r="T1369" s="7">
        <f t="shared" si="153"/>
        <v>2098</v>
      </c>
    </row>
    <row r="1370" spans="1:20" ht="14.25" customHeight="1" x14ac:dyDescent="0.35">
      <c r="A1370" s="2" t="s">
        <v>143</v>
      </c>
      <c r="B1370" s="2" t="s">
        <v>12</v>
      </c>
      <c r="C1370" s="2" t="s">
        <v>21</v>
      </c>
      <c r="D1370" s="2" t="s">
        <v>26</v>
      </c>
      <c r="E1370" s="2" t="s">
        <v>15</v>
      </c>
      <c r="F1370" s="2" t="s">
        <v>47</v>
      </c>
      <c r="G1370" s="2" t="s">
        <v>36</v>
      </c>
      <c r="H1370" s="2">
        <v>150000</v>
      </c>
      <c r="I1370" s="2">
        <v>10</v>
      </c>
      <c r="J1370" s="2" t="s">
        <v>18</v>
      </c>
      <c r="K1370" s="2">
        <f t="shared" si="147"/>
        <v>120000</v>
      </c>
      <c r="L1370" s="9">
        <f>Table_1[[#This Row],[Unit Price]]*Table_1[[#This Row],[Quantity]]</f>
        <v>1500000</v>
      </c>
      <c r="M1370" s="8">
        <f>Table_1[[#This Row],[Cost Price]]*Table_1[[#This Row],[Quantity]]</f>
        <v>1200000</v>
      </c>
      <c r="N1370">
        <f>Table_1[[#This Row],[Revenue]]-Table_1[[#This Row],[COGS]]</f>
        <v>300000</v>
      </c>
      <c r="O1370" s="11">
        <f t="shared" si="148"/>
        <v>4656740000</v>
      </c>
      <c r="P1370">
        <f t="shared" si="149"/>
        <v>3725392000</v>
      </c>
      <c r="Q1370">
        <f t="shared" si="150"/>
        <v>931348000</v>
      </c>
      <c r="R1370" s="7">
        <f t="shared" si="151"/>
        <v>2098</v>
      </c>
      <c r="S1370" s="7">
        <f t="shared" si="152"/>
        <v>1</v>
      </c>
      <c r="T1370" s="7">
        <f t="shared" si="153"/>
        <v>2098</v>
      </c>
    </row>
    <row r="1371" spans="1:20" ht="14.25" customHeight="1" x14ac:dyDescent="0.35">
      <c r="A1371" s="2" t="s">
        <v>11</v>
      </c>
      <c r="B1371" s="2" t="s">
        <v>34</v>
      </c>
      <c r="C1371" s="2" t="s">
        <v>30</v>
      </c>
      <c r="D1371" s="2" t="s">
        <v>26</v>
      </c>
      <c r="E1371" s="2" t="s">
        <v>15</v>
      </c>
      <c r="F1371" s="2" t="s">
        <v>47</v>
      </c>
      <c r="G1371" s="2" t="s">
        <v>36</v>
      </c>
      <c r="H1371" s="2">
        <v>150000</v>
      </c>
      <c r="I1371" s="2">
        <v>9</v>
      </c>
      <c r="J1371" s="2" t="s">
        <v>43</v>
      </c>
      <c r="K1371" s="2">
        <f t="shared" si="147"/>
        <v>120000</v>
      </c>
      <c r="L1371" s="9">
        <f>Table_1[[#This Row],[Unit Price]]*Table_1[[#This Row],[Quantity]]</f>
        <v>1350000</v>
      </c>
      <c r="M1371" s="8">
        <f>Table_1[[#This Row],[Cost Price]]*Table_1[[#This Row],[Quantity]]</f>
        <v>1080000</v>
      </c>
      <c r="N1371">
        <f>Table_1[[#This Row],[Revenue]]-Table_1[[#This Row],[COGS]]</f>
        <v>270000</v>
      </c>
      <c r="O1371" s="11">
        <f t="shared" si="148"/>
        <v>4656740000</v>
      </c>
      <c r="P1371">
        <f t="shared" si="149"/>
        <v>3725392000</v>
      </c>
      <c r="Q1371">
        <f t="shared" si="150"/>
        <v>931348000</v>
      </c>
      <c r="R1371" s="7">
        <f t="shared" si="151"/>
        <v>2098</v>
      </c>
      <c r="S1371" s="7">
        <f t="shared" si="152"/>
        <v>1</v>
      </c>
      <c r="T1371" s="7">
        <f t="shared" si="153"/>
        <v>2098</v>
      </c>
    </row>
    <row r="1372" spans="1:20" ht="14.25" customHeight="1" x14ac:dyDescent="0.35">
      <c r="A1372" s="2" t="s">
        <v>115</v>
      </c>
      <c r="B1372" s="2" t="s">
        <v>12</v>
      </c>
      <c r="C1372" s="2" t="s">
        <v>38</v>
      </c>
      <c r="D1372" s="2" t="s">
        <v>14</v>
      </c>
      <c r="E1372" s="2" t="s">
        <v>15</v>
      </c>
      <c r="F1372" s="2" t="s">
        <v>41</v>
      </c>
      <c r="G1372" s="2" t="s">
        <v>17</v>
      </c>
      <c r="H1372" s="2">
        <v>320000</v>
      </c>
      <c r="I1372" s="2">
        <v>5</v>
      </c>
      <c r="J1372" s="2" t="s">
        <v>54</v>
      </c>
      <c r="K1372" s="2">
        <f t="shared" si="147"/>
        <v>256000</v>
      </c>
      <c r="L1372" s="9">
        <f>Table_1[[#This Row],[Unit Price]]*Table_1[[#This Row],[Quantity]]</f>
        <v>1600000</v>
      </c>
      <c r="M1372" s="8">
        <f>Table_1[[#This Row],[Cost Price]]*Table_1[[#This Row],[Quantity]]</f>
        <v>1280000</v>
      </c>
      <c r="N1372">
        <f>Table_1[[#This Row],[Revenue]]-Table_1[[#This Row],[COGS]]</f>
        <v>320000</v>
      </c>
      <c r="O1372" s="11">
        <f t="shared" si="148"/>
        <v>4656740000</v>
      </c>
      <c r="P1372">
        <f t="shared" si="149"/>
        <v>3725392000</v>
      </c>
      <c r="Q1372">
        <f t="shared" si="150"/>
        <v>931348000</v>
      </c>
      <c r="R1372" s="7">
        <f t="shared" si="151"/>
        <v>2098</v>
      </c>
      <c r="S1372" s="7">
        <f t="shared" si="152"/>
        <v>1</v>
      </c>
      <c r="T1372" s="7">
        <f t="shared" si="153"/>
        <v>2098</v>
      </c>
    </row>
    <row r="1373" spans="1:20" ht="14.25" customHeight="1" x14ac:dyDescent="0.35">
      <c r="A1373" s="2" t="s">
        <v>102</v>
      </c>
      <c r="B1373" s="2" t="s">
        <v>20</v>
      </c>
      <c r="C1373" s="2" t="s">
        <v>38</v>
      </c>
      <c r="D1373" s="2" t="s">
        <v>14</v>
      </c>
      <c r="E1373" s="2" t="s">
        <v>15</v>
      </c>
      <c r="F1373" s="2" t="s">
        <v>39</v>
      </c>
      <c r="G1373" s="2" t="s">
        <v>24</v>
      </c>
      <c r="H1373" s="2">
        <v>180000</v>
      </c>
      <c r="I1373" s="2">
        <v>3</v>
      </c>
      <c r="J1373" s="2" t="s">
        <v>18</v>
      </c>
      <c r="K1373" s="2">
        <f t="shared" si="147"/>
        <v>144000</v>
      </c>
      <c r="L1373" s="9">
        <f>Table_1[[#This Row],[Unit Price]]*Table_1[[#This Row],[Quantity]]</f>
        <v>540000</v>
      </c>
      <c r="M1373" s="8">
        <f>Table_1[[#This Row],[Cost Price]]*Table_1[[#This Row],[Quantity]]</f>
        <v>432000</v>
      </c>
      <c r="N1373">
        <f>Table_1[[#This Row],[Revenue]]-Table_1[[#This Row],[COGS]]</f>
        <v>108000</v>
      </c>
      <c r="O1373" s="11">
        <f t="shared" si="148"/>
        <v>4656740000</v>
      </c>
      <c r="P1373">
        <f t="shared" si="149"/>
        <v>3725392000</v>
      </c>
      <c r="Q1373">
        <f t="shared" si="150"/>
        <v>931348000</v>
      </c>
      <c r="R1373" s="7">
        <f t="shared" si="151"/>
        <v>2098</v>
      </c>
      <c r="S1373" s="7">
        <f t="shared" si="152"/>
        <v>1</v>
      </c>
      <c r="T1373" s="7">
        <f t="shared" si="153"/>
        <v>2098</v>
      </c>
    </row>
    <row r="1374" spans="1:20" ht="14.25" customHeight="1" x14ac:dyDescent="0.35">
      <c r="A1374" s="2" t="s">
        <v>132</v>
      </c>
      <c r="B1374" s="2" t="s">
        <v>12</v>
      </c>
      <c r="C1374" s="2" t="s">
        <v>30</v>
      </c>
      <c r="D1374" s="2" t="s">
        <v>26</v>
      </c>
      <c r="E1374" s="2" t="s">
        <v>15</v>
      </c>
      <c r="F1374" s="2" t="s">
        <v>16</v>
      </c>
      <c r="G1374" s="2" t="s">
        <v>17</v>
      </c>
      <c r="H1374" s="2">
        <v>85000</v>
      </c>
      <c r="I1374" s="2">
        <v>4</v>
      </c>
      <c r="J1374" s="2" t="s">
        <v>43</v>
      </c>
      <c r="K1374" s="2">
        <f t="shared" si="147"/>
        <v>68000</v>
      </c>
      <c r="L1374" s="9">
        <f>Table_1[[#This Row],[Unit Price]]*Table_1[[#This Row],[Quantity]]</f>
        <v>340000</v>
      </c>
      <c r="M1374" s="8">
        <f>Table_1[[#This Row],[Cost Price]]*Table_1[[#This Row],[Quantity]]</f>
        <v>272000</v>
      </c>
      <c r="N1374">
        <f>Table_1[[#This Row],[Revenue]]-Table_1[[#This Row],[COGS]]</f>
        <v>68000</v>
      </c>
      <c r="O1374" s="11">
        <f t="shared" si="148"/>
        <v>4656740000</v>
      </c>
      <c r="P1374">
        <f t="shared" si="149"/>
        <v>3725392000</v>
      </c>
      <c r="Q1374">
        <f t="shared" si="150"/>
        <v>931348000</v>
      </c>
      <c r="R1374" s="7">
        <f t="shared" si="151"/>
        <v>2098</v>
      </c>
      <c r="S1374" s="7">
        <f t="shared" si="152"/>
        <v>1</v>
      </c>
      <c r="T1374" s="7">
        <f t="shared" si="153"/>
        <v>2098</v>
      </c>
    </row>
    <row r="1375" spans="1:20" ht="14.25" customHeight="1" x14ac:dyDescent="0.35">
      <c r="A1375" s="2" t="s">
        <v>113</v>
      </c>
      <c r="B1375" s="2" t="s">
        <v>12</v>
      </c>
      <c r="C1375" s="2" t="s">
        <v>38</v>
      </c>
      <c r="D1375" s="2" t="s">
        <v>26</v>
      </c>
      <c r="E1375" s="2" t="s">
        <v>22</v>
      </c>
      <c r="F1375" s="2" t="s">
        <v>41</v>
      </c>
      <c r="G1375" s="2" t="s">
        <v>17</v>
      </c>
      <c r="H1375" s="2">
        <v>320000</v>
      </c>
      <c r="I1375" s="2">
        <v>7</v>
      </c>
      <c r="J1375" s="2" t="s">
        <v>54</v>
      </c>
      <c r="K1375" s="2">
        <f t="shared" si="147"/>
        <v>256000</v>
      </c>
      <c r="L1375" s="9">
        <f>Table_1[[#This Row],[Unit Price]]*Table_1[[#This Row],[Quantity]]</f>
        <v>2240000</v>
      </c>
      <c r="M1375" s="8">
        <f>Table_1[[#This Row],[Cost Price]]*Table_1[[#This Row],[Quantity]]</f>
        <v>1792000</v>
      </c>
      <c r="N1375">
        <f>Table_1[[#This Row],[Revenue]]-Table_1[[#This Row],[COGS]]</f>
        <v>448000</v>
      </c>
      <c r="O1375" s="11">
        <f t="shared" si="148"/>
        <v>4656740000</v>
      </c>
      <c r="P1375">
        <f t="shared" si="149"/>
        <v>3725392000</v>
      </c>
      <c r="Q1375">
        <f t="shared" si="150"/>
        <v>931348000</v>
      </c>
      <c r="R1375" s="7">
        <f t="shared" si="151"/>
        <v>2098</v>
      </c>
      <c r="S1375" s="7">
        <f t="shared" si="152"/>
        <v>3</v>
      </c>
      <c r="T1375" s="7">
        <f t="shared" si="153"/>
        <v>2098</v>
      </c>
    </row>
    <row r="1376" spans="1:20" ht="14.25" customHeight="1" x14ac:dyDescent="0.35">
      <c r="A1376" s="2" t="s">
        <v>122</v>
      </c>
      <c r="B1376" s="2" t="s">
        <v>29</v>
      </c>
      <c r="C1376" s="2" t="s">
        <v>21</v>
      </c>
      <c r="D1376" s="2" t="s">
        <v>14</v>
      </c>
      <c r="E1376" s="2" t="s">
        <v>22</v>
      </c>
      <c r="F1376" s="2" t="s">
        <v>58</v>
      </c>
      <c r="G1376" s="2" t="s">
        <v>24</v>
      </c>
      <c r="H1376" s="2">
        <v>220000</v>
      </c>
      <c r="I1376" s="2">
        <v>5</v>
      </c>
      <c r="J1376" s="2" t="s">
        <v>43</v>
      </c>
      <c r="K1376" s="2">
        <f t="shared" si="147"/>
        <v>176000</v>
      </c>
      <c r="L1376" s="9">
        <f>Table_1[[#This Row],[Unit Price]]*Table_1[[#This Row],[Quantity]]</f>
        <v>1100000</v>
      </c>
      <c r="M1376" s="8">
        <f>Table_1[[#This Row],[Cost Price]]*Table_1[[#This Row],[Quantity]]</f>
        <v>880000</v>
      </c>
      <c r="N1376">
        <f>Table_1[[#This Row],[Revenue]]-Table_1[[#This Row],[COGS]]</f>
        <v>220000</v>
      </c>
      <c r="O1376" s="11">
        <f t="shared" si="148"/>
        <v>4656740000</v>
      </c>
      <c r="P1376">
        <f t="shared" si="149"/>
        <v>3725392000</v>
      </c>
      <c r="Q1376">
        <f t="shared" si="150"/>
        <v>931348000</v>
      </c>
      <c r="R1376" s="7">
        <f t="shared" si="151"/>
        <v>2098</v>
      </c>
      <c r="S1376" s="7">
        <f t="shared" si="152"/>
        <v>4</v>
      </c>
      <c r="T1376" s="7">
        <f t="shared" si="153"/>
        <v>2098</v>
      </c>
    </row>
    <row r="1377" spans="1:20" ht="14.25" customHeight="1" x14ac:dyDescent="0.35">
      <c r="A1377" s="2" t="s">
        <v>107</v>
      </c>
      <c r="B1377" s="2" t="s">
        <v>29</v>
      </c>
      <c r="C1377" s="2" t="s">
        <v>21</v>
      </c>
      <c r="D1377" s="2" t="s">
        <v>26</v>
      </c>
      <c r="E1377" s="2" t="s">
        <v>22</v>
      </c>
      <c r="F1377" s="2" t="s">
        <v>47</v>
      </c>
      <c r="G1377" s="2" t="s">
        <v>36</v>
      </c>
      <c r="H1377" s="2">
        <v>150000</v>
      </c>
      <c r="I1377" s="2">
        <v>3</v>
      </c>
      <c r="J1377" s="2" t="s">
        <v>18</v>
      </c>
      <c r="K1377" s="2">
        <f t="shared" si="147"/>
        <v>120000</v>
      </c>
      <c r="L1377" s="9">
        <f>Table_1[[#This Row],[Unit Price]]*Table_1[[#This Row],[Quantity]]</f>
        <v>450000</v>
      </c>
      <c r="M1377" s="8">
        <f>Table_1[[#This Row],[Cost Price]]*Table_1[[#This Row],[Quantity]]</f>
        <v>360000</v>
      </c>
      <c r="N1377">
        <f>Table_1[[#This Row],[Revenue]]-Table_1[[#This Row],[COGS]]</f>
        <v>90000</v>
      </c>
      <c r="O1377" s="11">
        <f t="shared" si="148"/>
        <v>4656740000</v>
      </c>
      <c r="P1377">
        <f t="shared" si="149"/>
        <v>3725392000</v>
      </c>
      <c r="Q1377">
        <f t="shared" si="150"/>
        <v>931348000</v>
      </c>
      <c r="R1377" s="7">
        <f t="shared" si="151"/>
        <v>2098</v>
      </c>
      <c r="S1377" s="7">
        <f t="shared" si="152"/>
        <v>3</v>
      </c>
      <c r="T1377" s="7">
        <f t="shared" si="153"/>
        <v>2098</v>
      </c>
    </row>
    <row r="1378" spans="1:20" ht="14.25" customHeight="1" x14ac:dyDescent="0.35">
      <c r="A1378" s="2" t="s">
        <v>86</v>
      </c>
      <c r="B1378" s="2" t="s">
        <v>12</v>
      </c>
      <c r="C1378" s="2" t="s">
        <v>21</v>
      </c>
      <c r="D1378" s="2" t="s">
        <v>26</v>
      </c>
      <c r="E1378" s="2" t="s">
        <v>15</v>
      </c>
      <c r="F1378" s="2" t="s">
        <v>52</v>
      </c>
      <c r="G1378" s="2" t="s">
        <v>36</v>
      </c>
      <c r="H1378" s="2">
        <v>420000</v>
      </c>
      <c r="I1378" s="2">
        <v>8</v>
      </c>
      <c r="J1378" s="2" t="s">
        <v>27</v>
      </c>
      <c r="K1378" s="2">
        <f t="shared" si="147"/>
        <v>336000</v>
      </c>
      <c r="L1378" s="9">
        <f>Table_1[[#This Row],[Unit Price]]*Table_1[[#This Row],[Quantity]]</f>
        <v>3360000</v>
      </c>
      <c r="M1378" s="8">
        <f>Table_1[[#This Row],[Cost Price]]*Table_1[[#This Row],[Quantity]]</f>
        <v>2688000</v>
      </c>
      <c r="N1378">
        <f>Table_1[[#This Row],[Revenue]]-Table_1[[#This Row],[COGS]]</f>
        <v>672000</v>
      </c>
      <c r="O1378" s="11">
        <f t="shared" si="148"/>
        <v>4656740000</v>
      </c>
      <c r="P1378">
        <f t="shared" si="149"/>
        <v>3725392000</v>
      </c>
      <c r="Q1378">
        <f t="shared" si="150"/>
        <v>931348000</v>
      </c>
      <c r="R1378" s="7">
        <f t="shared" si="151"/>
        <v>2098</v>
      </c>
      <c r="S1378" s="7">
        <f t="shared" si="152"/>
        <v>1</v>
      </c>
      <c r="T1378" s="7">
        <f t="shared" si="153"/>
        <v>2098</v>
      </c>
    </row>
    <row r="1379" spans="1:20" ht="14.25" customHeight="1" x14ac:dyDescent="0.35">
      <c r="A1379" s="2" t="s">
        <v>131</v>
      </c>
      <c r="B1379" s="2" t="s">
        <v>20</v>
      </c>
      <c r="C1379" s="2" t="s">
        <v>38</v>
      </c>
      <c r="D1379" s="2" t="s">
        <v>14</v>
      </c>
      <c r="E1379" s="2" t="s">
        <v>15</v>
      </c>
      <c r="F1379" s="2" t="s">
        <v>58</v>
      </c>
      <c r="G1379" s="2" t="s">
        <v>24</v>
      </c>
      <c r="H1379" s="2">
        <v>220000</v>
      </c>
      <c r="I1379" s="2">
        <v>9</v>
      </c>
      <c r="J1379" s="2" t="s">
        <v>27</v>
      </c>
      <c r="K1379" s="2">
        <f t="shared" si="147"/>
        <v>176000</v>
      </c>
      <c r="L1379" s="9">
        <f>Table_1[[#This Row],[Unit Price]]*Table_1[[#This Row],[Quantity]]</f>
        <v>1980000</v>
      </c>
      <c r="M1379" s="8">
        <f>Table_1[[#This Row],[Cost Price]]*Table_1[[#This Row],[Quantity]]</f>
        <v>1584000</v>
      </c>
      <c r="N1379">
        <f>Table_1[[#This Row],[Revenue]]-Table_1[[#This Row],[COGS]]</f>
        <v>396000</v>
      </c>
      <c r="O1379" s="11">
        <f t="shared" si="148"/>
        <v>4656740000</v>
      </c>
      <c r="P1379">
        <f t="shared" si="149"/>
        <v>3725392000</v>
      </c>
      <c r="Q1379">
        <f t="shared" si="150"/>
        <v>931348000</v>
      </c>
      <c r="R1379" s="7">
        <f t="shared" si="151"/>
        <v>2098</v>
      </c>
      <c r="S1379" s="7">
        <f t="shared" si="152"/>
        <v>1</v>
      </c>
      <c r="T1379" s="7">
        <f t="shared" si="153"/>
        <v>2098</v>
      </c>
    </row>
    <row r="1380" spans="1:20" ht="14.25" customHeight="1" x14ac:dyDescent="0.35">
      <c r="A1380" s="2" t="s">
        <v>61</v>
      </c>
      <c r="B1380" s="2" t="s">
        <v>34</v>
      </c>
      <c r="C1380" s="2" t="s">
        <v>13</v>
      </c>
      <c r="D1380" s="2" t="s">
        <v>14</v>
      </c>
      <c r="E1380" s="2" t="s">
        <v>15</v>
      </c>
      <c r="F1380" s="2" t="s">
        <v>52</v>
      </c>
      <c r="G1380" s="2" t="s">
        <v>36</v>
      </c>
      <c r="H1380" s="2">
        <v>420000</v>
      </c>
      <c r="I1380" s="2">
        <v>3</v>
      </c>
      <c r="J1380" s="2" t="s">
        <v>54</v>
      </c>
      <c r="K1380" s="2">
        <f t="shared" si="147"/>
        <v>336000</v>
      </c>
      <c r="L1380" s="9">
        <f>Table_1[[#This Row],[Unit Price]]*Table_1[[#This Row],[Quantity]]</f>
        <v>1260000</v>
      </c>
      <c r="M1380" s="8">
        <f>Table_1[[#This Row],[Cost Price]]*Table_1[[#This Row],[Quantity]]</f>
        <v>1008000</v>
      </c>
      <c r="N1380">
        <f>Table_1[[#This Row],[Revenue]]-Table_1[[#This Row],[COGS]]</f>
        <v>252000</v>
      </c>
      <c r="O1380" s="11">
        <f t="shared" si="148"/>
        <v>4656740000</v>
      </c>
      <c r="P1380">
        <f t="shared" si="149"/>
        <v>3725392000</v>
      </c>
      <c r="Q1380">
        <f t="shared" si="150"/>
        <v>931348000</v>
      </c>
      <c r="R1380" s="7">
        <f t="shared" si="151"/>
        <v>2098</v>
      </c>
      <c r="S1380" s="7">
        <f t="shared" si="152"/>
        <v>5</v>
      </c>
      <c r="T1380" s="7">
        <f t="shared" si="153"/>
        <v>2098</v>
      </c>
    </row>
    <row r="1381" spans="1:20" ht="14.25" customHeight="1" x14ac:dyDescent="0.35">
      <c r="A1381" s="2" t="s">
        <v>68</v>
      </c>
      <c r="B1381" s="2" t="s">
        <v>34</v>
      </c>
      <c r="C1381" s="2" t="s">
        <v>13</v>
      </c>
      <c r="D1381" s="2" t="s">
        <v>14</v>
      </c>
      <c r="E1381" s="2" t="s">
        <v>22</v>
      </c>
      <c r="F1381" s="2" t="s">
        <v>56</v>
      </c>
      <c r="G1381" s="2" t="s">
        <v>36</v>
      </c>
      <c r="H1381" s="2">
        <v>250000</v>
      </c>
      <c r="I1381" s="2">
        <v>1</v>
      </c>
      <c r="J1381" s="2" t="s">
        <v>32</v>
      </c>
      <c r="K1381" s="2">
        <f t="shared" si="147"/>
        <v>200000</v>
      </c>
      <c r="L1381" s="9">
        <f>Table_1[[#This Row],[Unit Price]]*Table_1[[#This Row],[Quantity]]</f>
        <v>250000</v>
      </c>
      <c r="M1381" s="8">
        <f>Table_1[[#This Row],[Cost Price]]*Table_1[[#This Row],[Quantity]]</f>
        <v>200000</v>
      </c>
      <c r="N1381">
        <f>Table_1[[#This Row],[Revenue]]-Table_1[[#This Row],[COGS]]</f>
        <v>50000</v>
      </c>
      <c r="O1381" s="11">
        <f t="shared" si="148"/>
        <v>4656740000</v>
      </c>
      <c r="P1381">
        <f t="shared" si="149"/>
        <v>3725392000</v>
      </c>
      <c r="Q1381">
        <f t="shared" si="150"/>
        <v>931348000</v>
      </c>
      <c r="R1381" s="7">
        <f t="shared" si="151"/>
        <v>2098</v>
      </c>
      <c r="S1381" s="7">
        <f t="shared" si="152"/>
        <v>1</v>
      </c>
      <c r="T1381" s="7">
        <f t="shared" si="153"/>
        <v>2098</v>
      </c>
    </row>
    <row r="1382" spans="1:20" ht="14.25" customHeight="1" x14ac:dyDescent="0.35">
      <c r="A1382" s="2" t="s">
        <v>119</v>
      </c>
      <c r="B1382" s="2" t="s">
        <v>20</v>
      </c>
      <c r="C1382" s="2" t="s">
        <v>21</v>
      </c>
      <c r="D1382" s="2" t="s">
        <v>14</v>
      </c>
      <c r="E1382" s="2" t="s">
        <v>22</v>
      </c>
      <c r="F1382" s="2" t="s">
        <v>41</v>
      </c>
      <c r="G1382" s="2" t="s">
        <v>17</v>
      </c>
      <c r="H1382" s="2">
        <v>320000</v>
      </c>
      <c r="I1382" s="2">
        <v>7</v>
      </c>
      <c r="J1382" s="2" t="s">
        <v>50</v>
      </c>
      <c r="K1382" s="2">
        <f t="shared" si="147"/>
        <v>256000</v>
      </c>
      <c r="L1382" s="9">
        <f>Table_1[[#This Row],[Unit Price]]*Table_1[[#This Row],[Quantity]]</f>
        <v>2240000</v>
      </c>
      <c r="M1382" s="8">
        <f>Table_1[[#This Row],[Cost Price]]*Table_1[[#This Row],[Quantity]]</f>
        <v>1792000</v>
      </c>
      <c r="N1382">
        <f>Table_1[[#This Row],[Revenue]]-Table_1[[#This Row],[COGS]]</f>
        <v>448000</v>
      </c>
      <c r="O1382" s="11">
        <f t="shared" si="148"/>
        <v>4656740000</v>
      </c>
      <c r="P1382">
        <f t="shared" si="149"/>
        <v>3725392000</v>
      </c>
      <c r="Q1382">
        <f t="shared" si="150"/>
        <v>931348000</v>
      </c>
      <c r="R1382" s="7">
        <f t="shared" si="151"/>
        <v>2098</v>
      </c>
      <c r="S1382" s="7">
        <f t="shared" si="152"/>
        <v>1</v>
      </c>
      <c r="T1382" s="7">
        <f t="shared" si="153"/>
        <v>2098</v>
      </c>
    </row>
    <row r="1383" spans="1:20" ht="14.25" customHeight="1" x14ac:dyDescent="0.35">
      <c r="A1383" s="2" t="s">
        <v>151</v>
      </c>
      <c r="B1383" s="2" t="s">
        <v>34</v>
      </c>
      <c r="C1383" s="2" t="s">
        <v>21</v>
      </c>
      <c r="D1383" s="2" t="s">
        <v>14</v>
      </c>
      <c r="E1383" s="2" t="s">
        <v>15</v>
      </c>
      <c r="F1383" s="2" t="s">
        <v>52</v>
      </c>
      <c r="G1383" s="2" t="s">
        <v>36</v>
      </c>
      <c r="H1383" s="2">
        <v>420000</v>
      </c>
      <c r="I1383" s="2">
        <v>2</v>
      </c>
      <c r="J1383" s="2" t="s">
        <v>54</v>
      </c>
      <c r="K1383" s="2">
        <f t="shared" si="147"/>
        <v>336000</v>
      </c>
      <c r="L1383" s="9">
        <f>Table_1[[#This Row],[Unit Price]]*Table_1[[#This Row],[Quantity]]</f>
        <v>840000</v>
      </c>
      <c r="M1383" s="8">
        <f>Table_1[[#This Row],[Cost Price]]*Table_1[[#This Row],[Quantity]]</f>
        <v>672000</v>
      </c>
      <c r="N1383">
        <f>Table_1[[#This Row],[Revenue]]-Table_1[[#This Row],[COGS]]</f>
        <v>168000</v>
      </c>
      <c r="O1383" s="11">
        <f t="shared" si="148"/>
        <v>4656740000</v>
      </c>
      <c r="P1383">
        <f t="shared" si="149"/>
        <v>3725392000</v>
      </c>
      <c r="Q1383">
        <f t="shared" si="150"/>
        <v>931348000</v>
      </c>
      <c r="R1383" s="7">
        <f t="shared" si="151"/>
        <v>2098</v>
      </c>
      <c r="S1383" s="7">
        <f t="shared" si="152"/>
        <v>1</v>
      </c>
      <c r="T1383" s="7">
        <f t="shared" si="153"/>
        <v>2098</v>
      </c>
    </row>
    <row r="1384" spans="1:20" ht="14.25" customHeight="1" x14ac:dyDescent="0.35">
      <c r="A1384" s="2" t="s">
        <v>149</v>
      </c>
      <c r="B1384" s="2" t="s">
        <v>29</v>
      </c>
      <c r="C1384" s="2" t="s">
        <v>13</v>
      </c>
      <c r="D1384" s="2" t="s">
        <v>14</v>
      </c>
      <c r="E1384" s="2" t="s">
        <v>22</v>
      </c>
      <c r="F1384" s="2" t="s">
        <v>41</v>
      </c>
      <c r="G1384" s="2" t="s">
        <v>17</v>
      </c>
      <c r="H1384" s="2">
        <v>320000</v>
      </c>
      <c r="I1384" s="2">
        <v>3</v>
      </c>
      <c r="J1384" s="2" t="s">
        <v>32</v>
      </c>
      <c r="K1384" s="2">
        <f t="shared" si="147"/>
        <v>256000</v>
      </c>
      <c r="L1384" s="9">
        <f>Table_1[[#This Row],[Unit Price]]*Table_1[[#This Row],[Quantity]]</f>
        <v>960000</v>
      </c>
      <c r="M1384" s="8">
        <f>Table_1[[#This Row],[Cost Price]]*Table_1[[#This Row],[Quantity]]</f>
        <v>768000</v>
      </c>
      <c r="N1384">
        <f>Table_1[[#This Row],[Revenue]]-Table_1[[#This Row],[COGS]]</f>
        <v>192000</v>
      </c>
      <c r="O1384" s="11">
        <f t="shared" si="148"/>
        <v>4656740000</v>
      </c>
      <c r="P1384">
        <f t="shared" si="149"/>
        <v>3725392000</v>
      </c>
      <c r="Q1384">
        <f t="shared" si="150"/>
        <v>931348000</v>
      </c>
      <c r="R1384" s="7">
        <f t="shared" si="151"/>
        <v>2098</v>
      </c>
      <c r="S1384" s="7">
        <f t="shared" si="152"/>
        <v>3</v>
      </c>
      <c r="T1384" s="7">
        <f t="shared" si="153"/>
        <v>2098</v>
      </c>
    </row>
    <row r="1385" spans="1:20" ht="14.25" customHeight="1" x14ac:dyDescent="0.35">
      <c r="A1385" s="2" t="s">
        <v>75</v>
      </c>
      <c r="B1385" s="2" t="s">
        <v>29</v>
      </c>
      <c r="C1385" s="2" t="s">
        <v>13</v>
      </c>
      <c r="D1385" s="2" t="s">
        <v>26</v>
      </c>
      <c r="E1385" s="2" t="s">
        <v>15</v>
      </c>
      <c r="F1385" s="2" t="s">
        <v>47</v>
      </c>
      <c r="G1385" s="2" t="s">
        <v>36</v>
      </c>
      <c r="H1385" s="2">
        <v>150000</v>
      </c>
      <c r="I1385" s="2">
        <v>2</v>
      </c>
      <c r="J1385" s="2" t="s">
        <v>50</v>
      </c>
      <c r="K1385" s="2">
        <f t="shared" si="147"/>
        <v>120000</v>
      </c>
      <c r="L1385" s="9">
        <f>Table_1[[#This Row],[Unit Price]]*Table_1[[#This Row],[Quantity]]</f>
        <v>300000</v>
      </c>
      <c r="M1385" s="8">
        <f>Table_1[[#This Row],[Cost Price]]*Table_1[[#This Row],[Quantity]]</f>
        <v>240000</v>
      </c>
      <c r="N1385">
        <f>Table_1[[#This Row],[Revenue]]-Table_1[[#This Row],[COGS]]</f>
        <v>60000</v>
      </c>
      <c r="O1385" s="11">
        <f t="shared" si="148"/>
        <v>4656740000</v>
      </c>
      <c r="P1385">
        <f t="shared" si="149"/>
        <v>3725392000</v>
      </c>
      <c r="Q1385">
        <f t="shared" si="150"/>
        <v>931348000</v>
      </c>
      <c r="R1385" s="7">
        <f t="shared" si="151"/>
        <v>2098</v>
      </c>
      <c r="S1385" s="7">
        <f t="shared" si="152"/>
        <v>2</v>
      </c>
      <c r="T1385" s="7">
        <f t="shared" si="153"/>
        <v>2098</v>
      </c>
    </row>
    <row r="1386" spans="1:20" ht="14.25" customHeight="1" x14ac:dyDescent="0.35">
      <c r="A1386" s="2" t="s">
        <v>110</v>
      </c>
      <c r="B1386" s="2" t="s">
        <v>12</v>
      </c>
      <c r="C1386" s="2" t="s">
        <v>21</v>
      </c>
      <c r="D1386" s="2" t="s">
        <v>26</v>
      </c>
      <c r="E1386" s="2" t="s">
        <v>22</v>
      </c>
      <c r="F1386" s="2" t="s">
        <v>52</v>
      </c>
      <c r="G1386" s="2" t="s">
        <v>36</v>
      </c>
      <c r="H1386" s="2">
        <v>420000</v>
      </c>
      <c r="I1386" s="2">
        <v>8</v>
      </c>
      <c r="J1386" s="2" t="s">
        <v>32</v>
      </c>
      <c r="K1386" s="2">
        <f t="shared" si="147"/>
        <v>336000</v>
      </c>
      <c r="L1386" s="9">
        <f>Table_1[[#This Row],[Unit Price]]*Table_1[[#This Row],[Quantity]]</f>
        <v>3360000</v>
      </c>
      <c r="M1386" s="8">
        <f>Table_1[[#This Row],[Cost Price]]*Table_1[[#This Row],[Quantity]]</f>
        <v>2688000</v>
      </c>
      <c r="N1386">
        <f>Table_1[[#This Row],[Revenue]]-Table_1[[#This Row],[COGS]]</f>
        <v>672000</v>
      </c>
      <c r="O1386" s="11">
        <f t="shared" si="148"/>
        <v>4656740000</v>
      </c>
      <c r="P1386">
        <f t="shared" si="149"/>
        <v>3725392000</v>
      </c>
      <c r="Q1386">
        <f t="shared" si="150"/>
        <v>931348000</v>
      </c>
      <c r="R1386" s="7">
        <f t="shared" si="151"/>
        <v>2098</v>
      </c>
      <c r="S1386" s="7">
        <f t="shared" si="152"/>
        <v>2</v>
      </c>
      <c r="T1386" s="7">
        <f t="shared" si="153"/>
        <v>2098</v>
      </c>
    </row>
    <row r="1387" spans="1:20" ht="14.25" customHeight="1" x14ac:dyDescent="0.35">
      <c r="A1387" s="2" t="s">
        <v>19</v>
      </c>
      <c r="B1387" s="2" t="s">
        <v>20</v>
      </c>
      <c r="C1387" s="2" t="s">
        <v>13</v>
      </c>
      <c r="D1387" s="2" t="s">
        <v>26</v>
      </c>
      <c r="E1387" s="2" t="s">
        <v>22</v>
      </c>
      <c r="F1387" s="2" t="s">
        <v>52</v>
      </c>
      <c r="G1387" s="2" t="s">
        <v>36</v>
      </c>
      <c r="H1387" s="2">
        <v>420000</v>
      </c>
      <c r="I1387" s="2">
        <v>1</v>
      </c>
      <c r="J1387" s="2" t="s">
        <v>54</v>
      </c>
      <c r="K1387" s="2">
        <f t="shared" si="147"/>
        <v>336000</v>
      </c>
      <c r="L1387" s="9">
        <f>Table_1[[#This Row],[Unit Price]]*Table_1[[#This Row],[Quantity]]</f>
        <v>420000</v>
      </c>
      <c r="M1387" s="8">
        <f>Table_1[[#This Row],[Cost Price]]*Table_1[[#This Row],[Quantity]]</f>
        <v>336000</v>
      </c>
      <c r="N1387">
        <f>Table_1[[#This Row],[Revenue]]-Table_1[[#This Row],[COGS]]</f>
        <v>84000</v>
      </c>
      <c r="O1387" s="11">
        <f t="shared" si="148"/>
        <v>4656740000</v>
      </c>
      <c r="P1387">
        <f t="shared" si="149"/>
        <v>3725392000</v>
      </c>
      <c r="Q1387">
        <f t="shared" si="150"/>
        <v>931348000</v>
      </c>
      <c r="R1387" s="7">
        <f t="shared" si="151"/>
        <v>2098</v>
      </c>
      <c r="S1387" s="7">
        <f t="shared" si="152"/>
        <v>4</v>
      </c>
      <c r="T1387" s="7">
        <f t="shared" si="153"/>
        <v>2098</v>
      </c>
    </row>
    <row r="1388" spans="1:20" ht="14.25" customHeight="1" x14ac:dyDescent="0.35">
      <c r="A1388" s="2" t="s">
        <v>156</v>
      </c>
      <c r="B1388" s="2" t="s">
        <v>12</v>
      </c>
      <c r="C1388" s="2" t="s">
        <v>38</v>
      </c>
      <c r="D1388" s="2" t="s">
        <v>14</v>
      </c>
      <c r="E1388" s="2" t="s">
        <v>15</v>
      </c>
      <c r="F1388" s="2" t="s">
        <v>35</v>
      </c>
      <c r="G1388" s="2" t="s">
        <v>36</v>
      </c>
      <c r="H1388" s="2">
        <v>300000</v>
      </c>
      <c r="I1388" s="2">
        <v>5</v>
      </c>
      <c r="J1388" s="2" t="s">
        <v>43</v>
      </c>
      <c r="K1388" s="2">
        <f t="shared" si="147"/>
        <v>240000</v>
      </c>
      <c r="L1388" s="9">
        <f>Table_1[[#This Row],[Unit Price]]*Table_1[[#This Row],[Quantity]]</f>
        <v>1500000</v>
      </c>
      <c r="M1388" s="8">
        <f>Table_1[[#This Row],[Cost Price]]*Table_1[[#This Row],[Quantity]]</f>
        <v>1200000</v>
      </c>
      <c r="N1388">
        <f>Table_1[[#This Row],[Revenue]]-Table_1[[#This Row],[COGS]]</f>
        <v>300000</v>
      </c>
      <c r="O1388" s="11">
        <f t="shared" si="148"/>
        <v>4656740000</v>
      </c>
      <c r="P1388">
        <f t="shared" si="149"/>
        <v>3725392000</v>
      </c>
      <c r="Q1388">
        <f t="shared" si="150"/>
        <v>931348000</v>
      </c>
      <c r="R1388" s="7">
        <f t="shared" si="151"/>
        <v>2098</v>
      </c>
      <c r="S1388" s="7">
        <f t="shared" si="152"/>
        <v>3</v>
      </c>
      <c r="T1388" s="7">
        <f t="shared" si="153"/>
        <v>2098</v>
      </c>
    </row>
    <row r="1389" spans="1:20" ht="14.25" customHeight="1" x14ac:dyDescent="0.35">
      <c r="A1389" s="2" t="s">
        <v>109</v>
      </c>
      <c r="B1389" s="2" t="s">
        <v>20</v>
      </c>
      <c r="C1389" s="2" t="s">
        <v>13</v>
      </c>
      <c r="D1389" s="2" t="s">
        <v>14</v>
      </c>
      <c r="E1389" s="2" t="s">
        <v>22</v>
      </c>
      <c r="F1389" s="2" t="s">
        <v>39</v>
      </c>
      <c r="G1389" s="2" t="s">
        <v>24</v>
      </c>
      <c r="H1389" s="2">
        <v>180000</v>
      </c>
      <c r="I1389" s="2">
        <v>7</v>
      </c>
      <c r="J1389" s="2" t="s">
        <v>50</v>
      </c>
      <c r="K1389" s="2">
        <f t="shared" si="147"/>
        <v>144000</v>
      </c>
      <c r="L1389" s="9">
        <f>Table_1[[#This Row],[Unit Price]]*Table_1[[#This Row],[Quantity]]</f>
        <v>1260000</v>
      </c>
      <c r="M1389" s="8">
        <f>Table_1[[#This Row],[Cost Price]]*Table_1[[#This Row],[Quantity]]</f>
        <v>1008000</v>
      </c>
      <c r="N1389">
        <f>Table_1[[#This Row],[Revenue]]-Table_1[[#This Row],[COGS]]</f>
        <v>252000</v>
      </c>
      <c r="O1389" s="11">
        <f t="shared" si="148"/>
        <v>4656740000</v>
      </c>
      <c r="P1389">
        <f t="shared" si="149"/>
        <v>3725392000</v>
      </c>
      <c r="Q1389">
        <f t="shared" si="150"/>
        <v>931348000</v>
      </c>
      <c r="R1389" s="7">
        <f t="shared" si="151"/>
        <v>2098</v>
      </c>
      <c r="S1389" s="7">
        <f t="shared" si="152"/>
        <v>2</v>
      </c>
      <c r="T1389" s="7">
        <f t="shared" si="153"/>
        <v>2098</v>
      </c>
    </row>
    <row r="1390" spans="1:20" ht="14.25" customHeight="1" x14ac:dyDescent="0.35">
      <c r="A1390" s="2" t="s">
        <v>83</v>
      </c>
      <c r="B1390" s="2" t="s">
        <v>12</v>
      </c>
      <c r="C1390" s="2" t="s">
        <v>38</v>
      </c>
      <c r="D1390" s="2" t="s">
        <v>14</v>
      </c>
      <c r="E1390" s="2" t="s">
        <v>22</v>
      </c>
      <c r="F1390" s="2" t="s">
        <v>47</v>
      </c>
      <c r="G1390" s="2" t="s">
        <v>36</v>
      </c>
      <c r="H1390" s="2">
        <v>150000</v>
      </c>
      <c r="I1390" s="2">
        <v>10</v>
      </c>
      <c r="J1390" s="2" t="s">
        <v>27</v>
      </c>
      <c r="K1390" s="2">
        <f t="shared" si="147"/>
        <v>120000</v>
      </c>
      <c r="L1390" s="9">
        <f>Table_1[[#This Row],[Unit Price]]*Table_1[[#This Row],[Quantity]]</f>
        <v>1500000</v>
      </c>
      <c r="M1390" s="8">
        <f>Table_1[[#This Row],[Cost Price]]*Table_1[[#This Row],[Quantity]]</f>
        <v>1200000</v>
      </c>
      <c r="N1390">
        <f>Table_1[[#This Row],[Revenue]]-Table_1[[#This Row],[COGS]]</f>
        <v>300000</v>
      </c>
      <c r="O1390" s="11">
        <f t="shared" si="148"/>
        <v>4656740000</v>
      </c>
      <c r="P1390">
        <f t="shared" si="149"/>
        <v>3725392000</v>
      </c>
      <c r="Q1390">
        <f t="shared" si="150"/>
        <v>931348000</v>
      </c>
      <c r="R1390" s="7">
        <f t="shared" si="151"/>
        <v>2098</v>
      </c>
      <c r="S1390" s="7">
        <f t="shared" si="152"/>
        <v>1</v>
      </c>
      <c r="T1390" s="7">
        <f t="shared" si="153"/>
        <v>2098</v>
      </c>
    </row>
    <row r="1391" spans="1:20" ht="14.25" customHeight="1" x14ac:dyDescent="0.35">
      <c r="A1391" s="2" t="s">
        <v>42</v>
      </c>
      <c r="B1391" s="2" t="s">
        <v>12</v>
      </c>
      <c r="C1391" s="2" t="s">
        <v>38</v>
      </c>
      <c r="D1391" s="2" t="s">
        <v>26</v>
      </c>
      <c r="E1391" s="2" t="s">
        <v>15</v>
      </c>
      <c r="F1391" s="2" t="s">
        <v>35</v>
      </c>
      <c r="G1391" s="2" t="s">
        <v>36</v>
      </c>
      <c r="H1391" s="2">
        <v>300000</v>
      </c>
      <c r="I1391" s="2">
        <v>7</v>
      </c>
      <c r="J1391" s="2" t="s">
        <v>43</v>
      </c>
      <c r="K1391" s="2">
        <f t="shared" si="147"/>
        <v>240000</v>
      </c>
      <c r="L1391" s="9">
        <f>Table_1[[#This Row],[Unit Price]]*Table_1[[#This Row],[Quantity]]</f>
        <v>2100000</v>
      </c>
      <c r="M1391" s="8">
        <f>Table_1[[#This Row],[Cost Price]]*Table_1[[#This Row],[Quantity]]</f>
        <v>1680000</v>
      </c>
      <c r="N1391">
        <f>Table_1[[#This Row],[Revenue]]-Table_1[[#This Row],[COGS]]</f>
        <v>420000</v>
      </c>
      <c r="O1391" s="11">
        <f t="shared" si="148"/>
        <v>4656740000</v>
      </c>
      <c r="P1391">
        <f t="shared" si="149"/>
        <v>3725392000</v>
      </c>
      <c r="Q1391">
        <f t="shared" si="150"/>
        <v>931348000</v>
      </c>
      <c r="R1391" s="7">
        <f t="shared" si="151"/>
        <v>2098</v>
      </c>
      <c r="S1391" s="7">
        <f t="shared" si="152"/>
        <v>2</v>
      </c>
      <c r="T1391" s="7">
        <f t="shared" si="153"/>
        <v>2098</v>
      </c>
    </row>
    <row r="1392" spans="1:20" ht="14.25" customHeight="1" x14ac:dyDescent="0.35">
      <c r="A1392" s="2" t="s">
        <v>65</v>
      </c>
      <c r="B1392" s="2" t="s">
        <v>34</v>
      </c>
      <c r="C1392" s="2" t="s">
        <v>21</v>
      </c>
      <c r="D1392" s="2" t="s">
        <v>14</v>
      </c>
      <c r="E1392" s="2" t="s">
        <v>22</v>
      </c>
      <c r="F1392" s="2" t="s">
        <v>58</v>
      </c>
      <c r="G1392" s="2" t="s">
        <v>24</v>
      </c>
      <c r="H1392" s="2">
        <v>220000</v>
      </c>
      <c r="I1392" s="2">
        <v>2</v>
      </c>
      <c r="J1392" s="2" t="s">
        <v>18</v>
      </c>
      <c r="K1392" s="2">
        <f t="shared" si="147"/>
        <v>176000</v>
      </c>
      <c r="L1392" s="9">
        <f>Table_1[[#This Row],[Unit Price]]*Table_1[[#This Row],[Quantity]]</f>
        <v>440000</v>
      </c>
      <c r="M1392" s="8">
        <f>Table_1[[#This Row],[Cost Price]]*Table_1[[#This Row],[Quantity]]</f>
        <v>352000</v>
      </c>
      <c r="N1392">
        <f>Table_1[[#This Row],[Revenue]]-Table_1[[#This Row],[COGS]]</f>
        <v>88000</v>
      </c>
      <c r="O1392" s="11">
        <f t="shared" si="148"/>
        <v>4656740000</v>
      </c>
      <c r="P1392">
        <f t="shared" si="149"/>
        <v>3725392000</v>
      </c>
      <c r="Q1392">
        <f t="shared" si="150"/>
        <v>931348000</v>
      </c>
      <c r="R1392" s="7">
        <f t="shared" si="151"/>
        <v>2098</v>
      </c>
      <c r="S1392" s="7">
        <f t="shared" si="152"/>
        <v>2</v>
      </c>
      <c r="T1392" s="7">
        <f t="shared" si="153"/>
        <v>2098</v>
      </c>
    </row>
    <row r="1393" spans="1:20" ht="14.25" customHeight="1" x14ac:dyDescent="0.35">
      <c r="A1393" s="2" t="s">
        <v>28</v>
      </c>
      <c r="B1393" s="2" t="s">
        <v>20</v>
      </c>
      <c r="C1393" s="2" t="s">
        <v>13</v>
      </c>
      <c r="D1393" s="2" t="s">
        <v>14</v>
      </c>
      <c r="E1393" s="2" t="s">
        <v>22</v>
      </c>
      <c r="F1393" s="2" t="s">
        <v>16</v>
      </c>
      <c r="G1393" s="2" t="s">
        <v>17</v>
      </c>
      <c r="H1393" s="2">
        <v>85000</v>
      </c>
      <c r="I1393" s="2">
        <v>8</v>
      </c>
      <c r="J1393" s="2" t="s">
        <v>32</v>
      </c>
      <c r="K1393" s="2">
        <f t="shared" si="147"/>
        <v>68000</v>
      </c>
      <c r="L1393" s="9">
        <f>Table_1[[#This Row],[Unit Price]]*Table_1[[#This Row],[Quantity]]</f>
        <v>680000</v>
      </c>
      <c r="M1393" s="8">
        <f>Table_1[[#This Row],[Cost Price]]*Table_1[[#This Row],[Quantity]]</f>
        <v>544000</v>
      </c>
      <c r="N1393">
        <f>Table_1[[#This Row],[Revenue]]-Table_1[[#This Row],[COGS]]</f>
        <v>136000</v>
      </c>
      <c r="O1393" s="11">
        <f t="shared" si="148"/>
        <v>4656740000</v>
      </c>
      <c r="P1393">
        <f t="shared" si="149"/>
        <v>3725392000</v>
      </c>
      <c r="Q1393">
        <f t="shared" si="150"/>
        <v>931348000</v>
      </c>
      <c r="R1393" s="7">
        <f t="shared" si="151"/>
        <v>2098</v>
      </c>
      <c r="S1393" s="7">
        <f t="shared" si="152"/>
        <v>4</v>
      </c>
      <c r="T1393" s="7">
        <f t="shared" si="153"/>
        <v>2098</v>
      </c>
    </row>
    <row r="1394" spans="1:20" ht="14.25" customHeight="1" x14ac:dyDescent="0.35">
      <c r="A1394" s="2" t="s">
        <v>147</v>
      </c>
      <c r="B1394" s="2" t="s">
        <v>12</v>
      </c>
      <c r="C1394" s="2" t="s">
        <v>21</v>
      </c>
      <c r="D1394" s="2" t="s">
        <v>14</v>
      </c>
      <c r="E1394" s="2" t="s">
        <v>15</v>
      </c>
      <c r="F1394" s="2" t="s">
        <v>58</v>
      </c>
      <c r="G1394" s="2" t="s">
        <v>24</v>
      </c>
      <c r="H1394" s="2">
        <v>220000</v>
      </c>
      <c r="I1394" s="2">
        <v>7</v>
      </c>
      <c r="J1394" s="2" t="s">
        <v>54</v>
      </c>
      <c r="K1394" s="2">
        <f t="shared" si="147"/>
        <v>176000</v>
      </c>
      <c r="L1394" s="9">
        <f>Table_1[[#This Row],[Unit Price]]*Table_1[[#This Row],[Quantity]]</f>
        <v>1540000</v>
      </c>
      <c r="M1394" s="8">
        <f>Table_1[[#This Row],[Cost Price]]*Table_1[[#This Row],[Quantity]]</f>
        <v>1232000</v>
      </c>
      <c r="N1394">
        <f>Table_1[[#This Row],[Revenue]]-Table_1[[#This Row],[COGS]]</f>
        <v>308000</v>
      </c>
      <c r="O1394" s="11">
        <f t="shared" si="148"/>
        <v>4656740000</v>
      </c>
      <c r="P1394">
        <f t="shared" si="149"/>
        <v>3725392000</v>
      </c>
      <c r="Q1394">
        <f t="shared" si="150"/>
        <v>931348000</v>
      </c>
      <c r="R1394" s="7">
        <f t="shared" si="151"/>
        <v>2098</v>
      </c>
      <c r="S1394" s="7">
        <f t="shared" si="152"/>
        <v>4</v>
      </c>
      <c r="T1394" s="7">
        <f t="shared" si="153"/>
        <v>2098</v>
      </c>
    </row>
    <row r="1395" spans="1:20" ht="14.25" customHeight="1" x14ac:dyDescent="0.35">
      <c r="A1395" s="2" t="s">
        <v>148</v>
      </c>
      <c r="B1395" s="2" t="s">
        <v>34</v>
      </c>
      <c r="C1395" s="2" t="s">
        <v>38</v>
      </c>
      <c r="D1395" s="2" t="s">
        <v>14</v>
      </c>
      <c r="E1395" s="2" t="s">
        <v>22</v>
      </c>
      <c r="F1395" s="2" t="s">
        <v>58</v>
      </c>
      <c r="G1395" s="2" t="s">
        <v>24</v>
      </c>
      <c r="H1395" s="2">
        <v>220000</v>
      </c>
      <c r="I1395" s="2">
        <v>6</v>
      </c>
      <c r="J1395" s="2" t="s">
        <v>43</v>
      </c>
      <c r="K1395" s="2">
        <f t="shared" si="147"/>
        <v>176000</v>
      </c>
      <c r="L1395" s="9">
        <f>Table_1[[#This Row],[Unit Price]]*Table_1[[#This Row],[Quantity]]</f>
        <v>1320000</v>
      </c>
      <c r="M1395" s="8">
        <f>Table_1[[#This Row],[Cost Price]]*Table_1[[#This Row],[Quantity]]</f>
        <v>1056000</v>
      </c>
      <c r="N1395">
        <f>Table_1[[#This Row],[Revenue]]-Table_1[[#This Row],[COGS]]</f>
        <v>264000</v>
      </c>
      <c r="O1395" s="11">
        <f t="shared" si="148"/>
        <v>4656740000</v>
      </c>
      <c r="P1395">
        <f t="shared" si="149"/>
        <v>3725392000</v>
      </c>
      <c r="Q1395">
        <f t="shared" si="150"/>
        <v>931348000</v>
      </c>
      <c r="R1395" s="7">
        <f t="shared" si="151"/>
        <v>2098</v>
      </c>
      <c r="S1395" s="7">
        <f t="shared" si="152"/>
        <v>4</v>
      </c>
      <c r="T1395" s="7">
        <f t="shared" si="153"/>
        <v>2098</v>
      </c>
    </row>
    <row r="1396" spans="1:20" ht="14.25" customHeight="1" x14ac:dyDescent="0.35">
      <c r="A1396" s="2" t="s">
        <v>116</v>
      </c>
      <c r="B1396" s="2" t="s">
        <v>34</v>
      </c>
      <c r="C1396" s="2" t="s">
        <v>13</v>
      </c>
      <c r="D1396" s="2" t="s">
        <v>14</v>
      </c>
      <c r="E1396" s="2" t="s">
        <v>22</v>
      </c>
      <c r="F1396" s="2" t="s">
        <v>39</v>
      </c>
      <c r="G1396" s="2" t="s">
        <v>24</v>
      </c>
      <c r="H1396" s="2">
        <v>180000</v>
      </c>
      <c r="I1396" s="2">
        <v>3</v>
      </c>
      <c r="J1396" s="2" t="s">
        <v>32</v>
      </c>
      <c r="K1396" s="2">
        <f t="shared" si="147"/>
        <v>144000</v>
      </c>
      <c r="L1396" s="9">
        <f>Table_1[[#This Row],[Unit Price]]*Table_1[[#This Row],[Quantity]]</f>
        <v>540000</v>
      </c>
      <c r="M1396" s="8">
        <f>Table_1[[#This Row],[Cost Price]]*Table_1[[#This Row],[Quantity]]</f>
        <v>432000</v>
      </c>
      <c r="N1396">
        <f>Table_1[[#This Row],[Revenue]]-Table_1[[#This Row],[COGS]]</f>
        <v>108000</v>
      </c>
      <c r="O1396" s="11">
        <f t="shared" si="148"/>
        <v>4656740000</v>
      </c>
      <c r="P1396">
        <f t="shared" si="149"/>
        <v>3725392000</v>
      </c>
      <c r="Q1396">
        <f t="shared" si="150"/>
        <v>931348000</v>
      </c>
      <c r="R1396" s="7">
        <f t="shared" si="151"/>
        <v>2098</v>
      </c>
      <c r="S1396" s="7">
        <f t="shared" si="152"/>
        <v>3</v>
      </c>
      <c r="T1396" s="7">
        <f t="shared" si="153"/>
        <v>2098</v>
      </c>
    </row>
    <row r="1397" spans="1:20" ht="14.25" customHeight="1" x14ac:dyDescent="0.35">
      <c r="A1397" s="2" t="s">
        <v>82</v>
      </c>
      <c r="B1397" s="2" t="s">
        <v>29</v>
      </c>
      <c r="C1397" s="2" t="s">
        <v>21</v>
      </c>
      <c r="D1397" s="2" t="s">
        <v>14</v>
      </c>
      <c r="E1397" s="2" t="s">
        <v>15</v>
      </c>
      <c r="F1397" s="2" t="s">
        <v>56</v>
      </c>
      <c r="G1397" s="2" t="s">
        <v>36</v>
      </c>
      <c r="H1397" s="2">
        <v>250000</v>
      </c>
      <c r="I1397" s="2">
        <v>6</v>
      </c>
      <c r="J1397" s="2" t="s">
        <v>43</v>
      </c>
      <c r="K1397" s="2">
        <f t="shared" si="147"/>
        <v>200000</v>
      </c>
      <c r="L1397" s="9">
        <f>Table_1[[#This Row],[Unit Price]]*Table_1[[#This Row],[Quantity]]</f>
        <v>1500000</v>
      </c>
      <c r="M1397" s="8">
        <f>Table_1[[#This Row],[Cost Price]]*Table_1[[#This Row],[Quantity]]</f>
        <v>1200000</v>
      </c>
      <c r="N1397">
        <f>Table_1[[#This Row],[Revenue]]-Table_1[[#This Row],[COGS]]</f>
        <v>300000</v>
      </c>
      <c r="O1397" s="11">
        <f t="shared" si="148"/>
        <v>4656740000</v>
      </c>
      <c r="P1397">
        <f t="shared" si="149"/>
        <v>3725392000</v>
      </c>
      <c r="Q1397">
        <f t="shared" si="150"/>
        <v>931348000</v>
      </c>
      <c r="R1397" s="7">
        <f t="shared" si="151"/>
        <v>2098</v>
      </c>
      <c r="S1397" s="7">
        <f t="shared" si="152"/>
        <v>1</v>
      </c>
      <c r="T1397" s="7">
        <f t="shared" si="153"/>
        <v>2098</v>
      </c>
    </row>
    <row r="1398" spans="1:20" ht="14.25" customHeight="1" x14ac:dyDescent="0.35">
      <c r="A1398" s="2" t="s">
        <v>90</v>
      </c>
      <c r="B1398" s="2" t="s">
        <v>12</v>
      </c>
      <c r="C1398" s="2" t="s">
        <v>30</v>
      </c>
      <c r="D1398" s="2" t="s">
        <v>26</v>
      </c>
      <c r="E1398" s="2" t="s">
        <v>22</v>
      </c>
      <c r="F1398" s="2" t="s">
        <v>47</v>
      </c>
      <c r="G1398" s="2" t="s">
        <v>36</v>
      </c>
      <c r="H1398" s="2">
        <v>150000</v>
      </c>
      <c r="I1398" s="2">
        <v>7</v>
      </c>
      <c r="J1398" s="2" t="s">
        <v>50</v>
      </c>
      <c r="K1398" s="2">
        <f t="shared" si="147"/>
        <v>120000</v>
      </c>
      <c r="L1398" s="9">
        <f>Table_1[[#This Row],[Unit Price]]*Table_1[[#This Row],[Quantity]]</f>
        <v>1050000</v>
      </c>
      <c r="M1398" s="8">
        <f>Table_1[[#This Row],[Cost Price]]*Table_1[[#This Row],[Quantity]]</f>
        <v>840000</v>
      </c>
      <c r="N1398">
        <f>Table_1[[#This Row],[Revenue]]-Table_1[[#This Row],[COGS]]</f>
        <v>210000</v>
      </c>
      <c r="O1398" s="11">
        <f t="shared" si="148"/>
        <v>4656740000</v>
      </c>
      <c r="P1398">
        <f t="shared" si="149"/>
        <v>3725392000</v>
      </c>
      <c r="Q1398">
        <f t="shared" si="150"/>
        <v>931348000</v>
      </c>
      <c r="R1398" s="7">
        <f t="shared" si="151"/>
        <v>2098</v>
      </c>
      <c r="S1398" s="7">
        <f t="shared" si="152"/>
        <v>3</v>
      </c>
      <c r="T1398" s="7">
        <f t="shared" si="153"/>
        <v>2098</v>
      </c>
    </row>
    <row r="1399" spans="1:20" ht="14.25" customHeight="1" x14ac:dyDescent="0.35">
      <c r="A1399" s="2" t="s">
        <v>108</v>
      </c>
      <c r="B1399" s="2" t="s">
        <v>29</v>
      </c>
      <c r="C1399" s="2" t="s">
        <v>13</v>
      </c>
      <c r="D1399" s="2" t="s">
        <v>14</v>
      </c>
      <c r="E1399" s="2" t="s">
        <v>15</v>
      </c>
      <c r="F1399" s="2" t="s">
        <v>35</v>
      </c>
      <c r="G1399" s="2" t="s">
        <v>36</v>
      </c>
      <c r="H1399" s="2">
        <v>300000</v>
      </c>
      <c r="I1399" s="2">
        <v>9</v>
      </c>
      <c r="J1399" s="2" t="s">
        <v>18</v>
      </c>
      <c r="K1399" s="2">
        <f t="shared" si="147"/>
        <v>240000</v>
      </c>
      <c r="L1399" s="9">
        <f>Table_1[[#This Row],[Unit Price]]*Table_1[[#This Row],[Quantity]]</f>
        <v>2700000</v>
      </c>
      <c r="M1399" s="8">
        <f>Table_1[[#This Row],[Cost Price]]*Table_1[[#This Row],[Quantity]]</f>
        <v>2160000</v>
      </c>
      <c r="N1399">
        <f>Table_1[[#This Row],[Revenue]]-Table_1[[#This Row],[COGS]]</f>
        <v>540000</v>
      </c>
      <c r="O1399" s="11">
        <f t="shared" si="148"/>
        <v>4656740000</v>
      </c>
      <c r="P1399">
        <f t="shared" si="149"/>
        <v>3725392000</v>
      </c>
      <c r="Q1399">
        <f t="shared" si="150"/>
        <v>931348000</v>
      </c>
      <c r="R1399" s="7">
        <f t="shared" si="151"/>
        <v>2098</v>
      </c>
      <c r="S1399" s="7">
        <f t="shared" si="152"/>
        <v>4</v>
      </c>
      <c r="T1399" s="7">
        <f t="shared" si="153"/>
        <v>2098</v>
      </c>
    </row>
    <row r="1400" spans="1:20" ht="14.25" customHeight="1" x14ac:dyDescent="0.35">
      <c r="A1400" s="2" t="s">
        <v>140</v>
      </c>
      <c r="B1400" s="2" t="s">
        <v>12</v>
      </c>
      <c r="C1400" s="2" t="s">
        <v>30</v>
      </c>
      <c r="D1400" s="2" t="s">
        <v>14</v>
      </c>
      <c r="E1400" s="2" t="s">
        <v>15</v>
      </c>
      <c r="F1400" s="2" t="s">
        <v>52</v>
      </c>
      <c r="G1400" s="2" t="s">
        <v>36</v>
      </c>
      <c r="H1400" s="2">
        <v>420000</v>
      </c>
      <c r="I1400" s="2">
        <v>5</v>
      </c>
      <c r="J1400" s="2" t="s">
        <v>32</v>
      </c>
      <c r="K1400" s="2">
        <f t="shared" si="147"/>
        <v>336000</v>
      </c>
      <c r="L1400" s="9">
        <f>Table_1[[#This Row],[Unit Price]]*Table_1[[#This Row],[Quantity]]</f>
        <v>2100000</v>
      </c>
      <c r="M1400" s="8">
        <f>Table_1[[#This Row],[Cost Price]]*Table_1[[#This Row],[Quantity]]</f>
        <v>1680000</v>
      </c>
      <c r="N1400">
        <f>Table_1[[#This Row],[Revenue]]-Table_1[[#This Row],[COGS]]</f>
        <v>420000</v>
      </c>
      <c r="O1400" s="11">
        <f t="shared" si="148"/>
        <v>4656740000</v>
      </c>
      <c r="P1400">
        <f t="shared" si="149"/>
        <v>3725392000</v>
      </c>
      <c r="Q1400">
        <f t="shared" si="150"/>
        <v>931348000</v>
      </c>
      <c r="R1400" s="7">
        <f t="shared" si="151"/>
        <v>2098</v>
      </c>
      <c r="S1400" s="7">
        <f t="shared" si="152"/>
        <v>4</v>
      </c>
      <c r="T1400" s="7">
        <f t="shared" si="153"/>
        <v>2098</v>
      </c>
    </row>
    <row r="1401" spans="1:20" ht="14.25" customHeight="1" x14ac:dyDescent="0.35">
      <c r="A1401" s="2" t="s">
        <v>146</v>
      </c>
      <c r="B1401" s="2" t="s">
        <v>29</v>
      </c>
      <c r="C1401" s="2" t="s">
        <v>13</v>
      </c>
      <c r="D1401" s="2" t="s">
        <v>14</v>
      </c>
      <c r="E1401" s="2" t="s">
        <v>22</v>
      </c>
      <c r="F1401" s="2" t="s">
        <v>35</v>
      </c>
      <c r="G1401" s="2" t="s">
        <v>36</v>
      </c>
      <c r="H1401" s="2">
        <v>300000</v>
      </c>
      <c r="I1401" s="2">
        <v>3</v>
      </c>
      <c r="J1401" s="2" t="s">
        <v>32</v>
      </c>
      <c r="K1401" s="2">
        <f t="shared" si="147"/>
        <v>240000</v>
      </c>
      <c r="L1401" s="9">
        <f>Table_1[[#This Row],[Unit Price]]*Table_1[[#This Row],[Quantity]]</f>
        <v>900000</v>
      </c>
      <c r="M1401" s="8">
        <f>Table_1[[#This Row],[Cost Price]]*Table_1[[#This Row],[Quantity]]</f>
        <v>720000</v>
      </c>
      <c r="N1401">
        <f>Table_1[[#This Row],[Revenue]]-Table_1[[#This Row],[COGS]]</f>
        <v>180000</v>
      </c>
      <c r="O1401" s="11">
        <f t="shared" si="148"/>
        <v>4656740000</v>
      </c>
      <c r="P1401">
        <f t="shared" si="149"/>
        <v>3725392000</v>
      </c>
      <c r="Q1401">
        <f t="shared" si="150"/>
        <v>931348000</v>
      </c>
      <c r="R1401" s="7">
        <f t="shared" si="151"/>
        <v>2098</v>
      </c>
      <c r="S1401" s="7">
        <f t="shared" si="152"/>
        <v>3</v>
      </c>
      <c r="T1401" s="7">
        <f t="shared" si="153"/>
        <v>2098</v>
      </c>
    </row>
    <row r="1402" spans="1:20" ht="14.25" customHeight="1" x14ac:dyDescent="0.35">
      <c r="A1402" s="2" t="s">
        <v>42</v>
      </c>
      <c r="B1402" s="2" t="s">
        <v>20</v>
      </c>
      <c r="C1402" s="2" t="s">
        <v>13</v>
      </c>
      <c r="D1402" s="2" t="s">
        <v>26</v>
      </c>
      <c r="E1402" s="2" t="s">
        <v>22</v>
      </c>
      <c r="F1402" s="2" t="s">
        <v>56</v>
      </c>
      <c r="G1402" s="2" t="s">
        <v>36</v>
      </c>
      <c r="H1402" s="2">
        <v>250000</v>
      </c>
      <c r="I1402" s="2">
        <v>5</v>
      </c>
      <c r="J1402" s="2" t="s">
        <v>18</v>
      </c>
      <c r="K1402" s="2">
        <f t="shared" si="147"/>
        <v>200000</v>
      </c>
      <c r="L1402" s="9">
        <f>Table_1[[#This Row],[Unit Price]]*Table_1[[#This Row],[Quantity]]</f>
        <v>1250000</v>
      </c>
      <c r="M1402" s="8">
        <f>Table_1[[#This Row],[Cost Price]]*Table_1[[#This Row],[Quantity]]</f>
        <v>1000000</v>
      </c>
      <c r="N1402">
        <f>Table_1[[#This Row],[Revenue]]-Table_1[[#This Row],[COGS]]</f>
        <v>250000</v>
      </c>
      <c r="O1402" s="11">
        <f t="shared" si="148"/>
        <v>4656740000</v>
      </c>
      <c r="P1402">
        <f t="shared" si="149"/>
        <v>3725392000</v>
      </c>
      <c r="Q1402">
        <f t="shared" si="150"/>
        <v>931348000</v>
      </c>
      <c r="R1402" s="7">
        <f t="shared" si="151"/>
        <v>2098</v>
      </c>
      <c r="S1402" s="7">
        <f t="shared" si="152"/>
        <v>2</v>
      </c>
      <c r="T1402" s="7">
        <f t="shared" si="153"/>
        <v>2098</v>
      </c>
    </row>
    <row r="1403" spans="1:20" ht="14.25" customHeight="1" x14ac:dyDescent="0.35">
      <c r="A1403" s="2" t="s">
        <v>33</v>
      </c>
      <c r="B1403" s="2" t="s">
        <v>12</v>
      </c>
      <c r="C1403" s="2" t="s">
        <v>38</v>
      </c>
      <c r="D1403" s="2" t="s">
        <v>26</v>
      </c>
      <c r="E1403" s="2" t="s">
        <v>22</v>
      </c>
      <c r="F1403" s="2" t="s">
        <v>47</v>
      </c>
      <c r="G1403" s="2" t="s">
        <v>36</v>
      </c>
      <c r="H1403" s="2">
        <v>150000</v>
      </c>
      <c r="I1403" s="2">
        <v>2</v>
      </c>
      <c r="J1403" s="2" t="s">
        <v>43</v>
      </c>
      <c r="K1403" s="2">
        <f t="shared" si="147"/>
        <v>120000</v>
      </c>
      <c r="L1403" s="9">
        <f>Table_1[[#This Row],[Unit Price]]*Table_1[[#This Row],[Quantity]]</f>
        <v>300000</v>
      </c>
      <c r="M1403" s="8">
        <f>Table_1[[#This Row],[Cost Price]]*Table_1[[#This Row],[Quantity]]</f>
        <v>240000</v>
      </c>
      <c r="N1403">
        <f>Table_1[[#This Row],[Revenue]]-Table_1[[#This Row],[COGS]]</f>
        <v>60000</v>
      </c>
      <c r="O1403" s="11">
        <f t="shared" si="148"/>
        <v>4656740000</v>
      </c>
      <c r="P1403">
        <f t="shared" si="149"/>
        <v>3725392000</v>
      </c>
      <c r="Q1403">
        <f t="shared" si="150"/>
        <v>931348000</v>
      </c>
      <c r="R1403" s="7">
        <f t="shared" si="151"/>
        <v>2098</v>
      </c>
      <c r="S1403" s="7">
        <f t="shared" si="152"/>
        <v>4</v>
      </c>
      <c r="T1403" s="7">
        <f t="shared" si="153"/>
        <v>2098</v>
      </c>
    </row>
    <row r="1404" spans="1:20" ht="14.25" customHeight="1" x14ac:dyDescent="0.35">
      <c r="A1404" s="2" t="s">
        <v>148</v>
      </c>
      <c r="B1404" s="2" t="s">
        <v>20</v>
      </c>
      <c r="C1404" s="2" t="s">
        <v>21</v>
      </c>
      <c r="D1404" s="2" t="s">
        <v>26</v>
      </c>
      <c r="E1404" s="2" t="s">
        <v>15</v>
      </c>
      <c r="F1404" s="2" t="s">
        <v>58</v>
      </c>
      <c r="G1404" s="2" t="s">
        <v>24</v>
      </c>
      <c r="H1404" s="2">
        <v>220000</v>
      </c>
      <c r="I1404" s="2">
        <v>3</v>
      </c>
      <c r="J1404" s="2" t="s">
        <v>54</v>
      </c>
      <c r="K1404" s="2">
        <f t="shared" si="147"/>
        <v>176000</v>
      </c>
      <c r="L1404" s="9">
        <f>Table_1[[#This Row],[Unit Price]]*Table_1[[#This Row],[Quantity]]</f>
        <v>660000</v>
      </c>
      <c r="M1404" s="8">
        <f>Table_1[[#This Row],[Cost Price]]*Table_1[[#This Row],[Quantity]]</f>
        <v>528000</v>
      </c>
      <c r="N1404">
        <f>Table_1[[#This Row],[Revenue]]-Table_1[[#This Row],[COGS]]</f>
        <v>132000</v>
      </c>
      <c r="O1404" s="11">
        <f t="shared" si="148"/>
        <v>4656740000</v>
      </c>
      <c r="P1404">
        <f t="shared" si="149"/>
        <v>3725392000</v>
      </c>
      <c r="Q1404">
        <f t="shared" si="150"/>
        <v>931348000</v>
      </c>
      <c r="R1404" s="7">
        <f t="shared" si="151"/>
        <v>2098</v>
      </c>
      <c r="S1404" s="7">
        <f t="shared" si="152"/>
        <v>4</v>
      </c>
      <c r="T1404" s="7">
        <f t="shared" si="153"/>
        <v>2098</v>
      </c>
    </row>
    <row r="1405" spans="1:20" ht="14.25" customHeight="1" x14ac:dyDescent="0.35">
      <c r="A1405" s="2" t="s">
        <v>88</v>
      </c>
      <c r="B1405" s="2" t="s">
        <v>20</v>
      </c>
      <c r="C1405" s="2" t="s">
        <v>21</v>
      </c>
      <c r="D1405" s="2" t="s">
        <v>26</v>
      </c>
      <c r="E1405" s="2" t="s">
        <v>22</v>
      </c>
      <c r="F1405" s="2" t="s">
        <v>35</v>
      </c>
      <c r="G1405" s="2" t="s">
        <v>36</v>
      </c>
      <c r="H1405" s="2">
        <v>300000</v>
      </c>
      <c r="I1405" s="2">
        <v>6</v>
      </c>
      <c r="J1405" s="2" t="s">
        <v>27</v>
      </c>
      <c r="K1405" s="2">
        <f t="shared" si="147"/>
        <v>240000</v>
      </c>
      <c r="L1405" s="9">
        <f>Table_1[[#This Row],[Unit Price]]*Table_1[[#This Row],[Quantity]]</f>
        <v>1800000</v>
      </c>
      <c r="M1405" s="8">
        <f>Table_1[[#This Row],[Cost Price]]*Table_1[[#This Row],[Quantity]]</f>
        <v>1440000</v>
      </c>
      <c r="N1405">
        <f>Table_1[[#This Row],[Revenue]]-Table_1[[#This Row],[COGS]]</f>
        <v>360000</v>
      </c>
      <c r="O1405" s="11">
        <f t="shared" si="148"/>
        <v>4656740000</v>
      </c>
      <c r="P1405">
        <f t="shared" si="149"/>
        <v>3725392000</v>
      </c>
      <c r="Q1405">
        <f t="shared" si="150"/>
        <v>931348000</v>
      </c>
      <c r="R1405" s="7">
        <f t="shared" si="151"/>
        <v>2098</v>
      </c>
      <c r="S1405" s="7">
        <f t="shared" si="152"/>
        <v>3</v>
      </c>
      <c r="T1405" s="7">
        <f t="shared" si="153"/>
        <v>2098</v>
      </c>
    </row>
    <row r="1406" spans="1:20" ht="14.25" customHeight="1" x14ac:dyDescent="0.35">
      <c r="A1406" s="2" t="s">
        <v>147</v>
      </c>
      <c r="B1406" s="2" t="s">
        <v>29</v>
      </c>
      <c r="C1406" s="2" t="s">
        <v>21</v>
      </c>
      <c r="D1406" s="2" t="s">
        <v>14</v>
      </c>
      <c r="E1406" s="2" t="s">
        <v>22</v>
      </c>
      <c r="F1406" s="2" t="s">
        <v>39</v>
      </c>
      <c r="G1406" s="2" t="s">
        <v>24</v>
      </c>
      <c r="H1406" s="2">
        <v>180000</v>
      </c>
      <c r="I1406" s="2">
        <v>2</v>
      </c>
      <c r="J1406" s="2" t="s">
        <v>54</v>
      </c>
      <c r="K1406" s="2">
        <f t="shared" si="147"/>
        <v>144000</v>
      </c>
      <c r="L1406" s="9">
        <f>Table_1[[#This Row],[Unit Price]]*Table_1[[#This Row],[Quantity]]</f>
        <v>360000</v>
      </c>
      <c r="M1406" s="8">
        <f>Table_1[[#This Row],[Cost Price]]*Table_1[[#This Row],[Quantity]]</f>
        <v>288000</v>
      </c>
      <c r="N1406">
        <f>Table_1[[#This Row],[Revenue]]-Table_1[[#This Row],[COGS]]</f>
        <v>72000</v>
      </c>
      <c r="O1406" s="11">
        <f t="shared" si="148"/>
        <v>4656740000</v>
      </c>
      <c r="P1406">
        <f t="shared" si="149"/>
        <v>3725392000</v>
      </c>
      <c r="Q1406">
        <f t="shared" si="150"/>
        <v>931348000</v>
      </c>
      <c r="R1406" s="7">
        <f t="shared" si="151"/>
        <v>2098</v>
      </c>
      <c r="S1406" s="7">
        <f t="shared" si="152"/>
        <v>4</v>
      </c>
      <c r="T1406" s="7">
        <f t="shared" si="153"/>
        <v>2098</v>
      </c>
    </row>
    <row r="1407" spans="1:20" ht="14.25" customHeight="1" x14ac:dyDescent="0.35">
      <c r="A1407" s="2" t="s">
        <v>159</v>
      </c>
      <c r="B1407" s="2" t="s">
        <v>20</v>
      </c>
      <c r="C1407" s="2" t="s">
        <v>38</v>
      </c>
      <c r="D1407" s="2" t="s">
        <v>14</v>
      </c>
      <c r="E1407" s="2" t="s">
        <v>15</v>
      </c>
      <c r="F1407" s="2" t="s">
        <v>47</v>
      </c>
      <c r="G1407" s="2" t="s">
        <v>36</v>
      </c>
      <c r="H1407" s="2">
        <v>150000</v>
      </c>
      <c r="I1407" s="2">
        <v>5</v>
      </c>
      <c r="J1407" s="2" t="s">
        <v>50</v>
      </c>
      <c r="K1407" s="2">
        <f t="shared" si="147"/>
        <v>120000</v>
      </c>
      <c r="L1407" s="9">
        <f>Table_1[[#This Row],[Unit Price]]*Table_1[[#This Row],[Quantity]]</f>
        <v>750000</v>
      </c>
      <c r="M1407" s="8">
        <f>Table_1[[#This Row],[Cost Price]]*Table_1[[#This Row],[Quantity]]</f>
        <v>600000</v>
      </c>
      <c r="N1407">
        <f>Table_1[[#This Row],[Revenue]]-Table_1[[#This Row],[COGS]]</f>
        <v>150000</v>
      </c>
      <c r="O1407" s="11">
        <f t="shared" si="148"/>
        <v>4656740000</v>
      </c>
      <c r="P1407">
        <f t="shared" si="149"/>
        <v>3725392000</v>
      </c>
      <c r="Q1407">
        <f t="shared" si="150"/>
        <v>931348000</v>
      </c>
      <c r="R1407" s="7">
        <f t="shared" si="151"/>
        <v>2098</v>
      </c>
      <c r="S1407" s="7">
        <f t="shared" si="152"/>
        <v>2</v>
      </c>
      <c r="T1407" s="7">
        <f t="shared" si="153"/>
        <v>2098</v>
      </c>
    </row>
    <row r="1408" spans="1:20" ht="14.25" customHeight="1" x14ac:dyDescent="0.35">
      <c r="A1408" s="2" t="s">
        <v>78</v>
      </c>
      <c r="B1408" s="2" t="s">
        <v>20</v>
      </c>
      <c r="C1408" s="2" t="s">
        <v>30</v>
      </c>
      <c r="D1408" s="2" t="s">
        <v>26</v>
      </c>
      <c r="E1408" s="2" t="s">
        <v>22</v>
      </c>
      <c r="F1408" s="2" t="s">
        <v>16</v>
      </c>
      <c r="G1408" s="2" t="s">
        <v>17</v>
      </c>
      <c r="H1408" s="2">
        <v>85000</v>
      </c>
      <c r="I1408" s="2">
        <v>1</v>
      </c>
      <c r="J1408" s="2" t="s">
        <v>50</v>
      </c>
      <c r="K1408" s="2">
        <f t="shared" si="147"/>
        <v>68000</v>
      </c>
      <c r="L1408" s="9">
        <f>Table_1[[#This Row],[Unit Price]]*Table_1[[#This Row],[Quantity]]</f>
        <v>85000</v>
      </c>
      <c r="M1408" s="8">
        <f>Table_1[[#This Row],[Cost Price]]*Table_1[[#This Row],[Quantity]]</f>
        <v>68000</v>
      </c>
      <c r="N1408">
        <f>Table_1[[#This Row],[Revenue]]-Table_1[[#This Row],[COGS]]</f>
        <v>17000</v>
      </c>
      <c r="O1408" s="11">
        <f t="shared" si="148"/>
        <v>4656740000</v>
      </c>
      <c r="P1408">
        <f t="shared" si="149"/>
        <v>3725392000</v>
      </c>
      <c r="Q1408">
        <f t="shared" si="150"/>
        <v>931348000</v>
      </c>
      <c r="R1408" s="7">
        <f t="shared" si="151"/>
        <v>2098</v>
      </c>
      <c r="S1408" s="7">
        <f t="shared" si="152"/>
        <v>4</v>
      </c>
      <c r="T1408" s="7">
        <f t="shared" si="153"/>
        <v>2098</v>
      </c>
    </row>
    <row r="1409" spans="1:20" ht="14.25" customHeight="1" x14ac:dyDescent="0.35">
      <c r="A1409" s="2" t="s">
        <v>143</v>
      </c>
      <c r="B1409" s="2" t="s">
        <v>12</v>
      </c>
      <c r="C1409" s="2" t="s">
        <v>13</v>
      </c>
      <c r="D1409" s="2" t="s">
        <v>14</v>
      </c>
      <c r="E1409" s="2" t="s">
        <v>15</v>
      </c>
      <c r="F1409" s="2" t="s">
        <v>23</v>
      </c>
      <c r="G1409" s="2" t="s">
        <v>24</v>
      </c>
      <c r="H1409" s="2">
        <v>30000</v>
      </c>
      <c r="I1409" s="2">
        <v>1</v>
      </c>
      <c r="J1409" s="2" t="s">
        <v>43</v>
      </c>
      <c r="K1409" s="2">
        <f t="shared" si="147"/>
        <v>24000</v>
      </c>
      <c r="L1409" s="9">
        <f>Table_1[[#This Row],[Unit Price]]*Table_1[[#This Row],[Quantity]]</f>
        <v>30000</v>
      </c>
      <c r="M1409" s="8">
        <f>Table_1[[#This Row],[Cost Price]]*Table_1[[#This Row],[Quantity]]</f>
        <v>24000</v>
      </c>
      <c r="N1409">
        <f>Table_1[[#This Row],[Revenue]]-Table_1[[#This Row],[COGS]]</f>
        <v>6000</v>
      </c>
      <c r="O1409" s="11">
        <f t="shared" si="148"/>
        <v>4656740000</v>
      </c>
      <c r="P1409">
        <f t="shared" si="149"/>
        <v>3725392000</v>
      </c>
      <c r="Q1409">
        <f t="shared" si="150"/>
        <v>931348000</v>
      </c>
      <c r="R1409" s="7">
        <f t="shared" si="151"/>
        <v>2098</v>
      </c>
      <c r="S1409" s="7">
        <f t="shared" si="152"/>
        <v>1</v>
      </c>
      <c r="T1409" s="7">
        <f t="shared" si="153"/>
        <v>2098</v>
      </c>
    </row>
    <row r="1410" spans="1:20" ht="14.25" customHeight="1" x14ac:dyDescent="0.35">
      <c r="A1410" s="2" t="s">
        <v>154</v>
      </c>
      <c r="B1410" s="2" t="s">
        <v>20</v>
      </c>
      <c r="C1410" s="2" t="s">
        <v>21</v>
      </c>
      <c r="D1410" s="2" t="s">
        <v>14</v>
      </c>
      <c r="E1410" s="2" t="s">
        <v>22</v>
      </c>
      <c r="F1410" s="2" t="s">
        <v>16</v>
      </c>
      <c r="G1410" s="2" t="s">
        <v>17</v>
      </c>
      <c r="H1410" s="2">
        <v>85000</v>
      </c>
      <c r="I1410" s="2">
        <v>1</v>
      </c>
      <c r="J1410" s="2" t="s">
        <v>50</v>
      </c>
      <c r="K1410" s="2">
        <f t="shared" ref="K1410:K1473" si="154">H1410-H1410*0.2</f>
        <v>68000</v>
      </c>
      <c r="L1410" s="9">
        <f>Table_1[[#This Row],[Unit Price]]*Table_1[[#This Row],[Quantity]]</f>
        <v>85000</v>
      </c>
      <c r="M1410" s="8">
        <f>Table_1[[#This Row],[Cost Price]]*Table_1[[#This Row],[Quantity]]</f>
        <v>68000</v>
      </c>
      <c r="N1410">
        <f>Table_1[[#This Row],[Revenue]]-Table_1[[#This Row],[COGS]]</f>
        <v>17000</v>
      </c>
      <c r="O1410" s="11">
        <f t="shared" ref="O1410:O1473" si="155">SUM(L$2:L$1048576)</f>
        <v>4656740000</v>
      </c>
      <c r="P1410">
        <f t="shared" ref="P1410:P1473" si="156">SUM(M:M)</f>
        <v>3725392000</v>
      </c>
      <c r="Q1410">
        <f t="shared" ref="Q1410:Q1473" si="157">SUM(N:N)</f>
        <v>931348000</v>
      </c>
      <c r="R1410" s="7">
        <f t="shared" ref="R1410:R1473" si="158">COUNTA(A$2:A$1048576)</f>
        <v>2098</v>
      </c>
      <c r="S1410" s="7">
        <f t="shared" ref="S1410:S1473" si="159">MONTH(A1410:A2898)</f>
        <v>2</v>
      </c>
      <c r="T1410" s="7">
        <f t="shared" ref="T1410:T1473" si="160">COUNTA(A:A)-1</f>
        <v>2098</v>
      </c>
    </row>
    <row r="1411" spans="1:20" ht="14.25" customHeight="1" x14ac:dyDescent="0.35">
      <c r="A1411" s="2" t="s">
        <v>87</v>
      </c>
      <c r="B1411" s="2" t="s">
        <v>29</v>
      </c>
      <c r="C1411" s="2" t="s">
        <v>21</v>
      </c>
      <c r="D1411" s="2" t="s">
        <v>14</v>
      </c>
      <c r="E1411" s="2" t="s">
        <v>22</v>
      </c>
      <c r="F1411" s="2" t="s">
        <v>23</v>
      </c>
      <c r="G1411" s="2" t="s">
        <v>24</v>
      </c>
      <c r="H1411" s="2">
        <v>30000</v>
      </c>
      <c r="I1411" s="2">
        <v>2</v>
      </c>
      <c r="J1411" s="2" t="s">
        <v>50</v>
      </c>
      <c r="K1411" s="2">
        <f t="shared" si="154"/>
        <v>24000</v>
      </c>
      <c r="L1411" s="9">
        <f>Table_1[[#This Row],[Unit Price]]*Table_1[[#This Row],[Quantity]]</f>
        <v>60000</v>
      </c>
      <c r="M1411" s="8">
        <f>Table_1[[#This Row],[Cost Price]]*Table_1[[#This Row],[Quantity]]</f>
        <v>48000</v>
      </c>
      <c r="N1411">
        <f>Table_1[[#This Row],[Revenue]]-Table_1[[#This Row],[COGS]]</f>
        <v>12000</v>
      </c>
      <c r="O1411" s="11">
        <f t="shared" si="155"/>
        <v>4656740000</v>
      </c>
      <c r="P1411">
        <f t="shared" si="156"/>
        <v>3725392000</v>
      </c>
      <c r="Q1411">
        <f t="shared" si="157"/>
        <v>931348000</v>
      </c>
      <c r="R1411" s="7">
        <f t="shared" si="158"/>
        <v>2098</v>
      </c>
      <c r="S1411" s="7">
        <f t="shared" si="159"/>
        <v>3</v>
      </c>
      <c r="T1411" s="7">
        <f t="shared" si="160"/>
        <v>2098</v>
      </c>
    </row>
    <row r="1412" spans="1:20" ht="14.25" customHeight="1" x14ac:dyDescent="0.35">
      <c r="A1412" s="2" t="s">
        <v>138</v>
      </c>
      <c r="B1412" s="2" t="s">
        <v>20</v>
      </c>
      <c r="C1412" s="2" t="s">
        <v>13</v>
      </c>
      <c r="D1412" s="2" t="s">
        <v>14</v>
      </c>
      <c r="E1412" s="2" t="s">
        <v>22</v>
      </c>
      <c r="F1412" s="2" t="s">
        <v>52</v>
      </c>
      <c r="G1412" s="2" t="s">
        <v>36</v>
      </c>
      <c r="H1412" s="2">
        <v>420000</v>
      </c>
      <c r="I1412" s="2">
        <v>3</v>
      </c>
      <c r="J1412" s="2" t="s">
        <v>18</v>
      </c>
      <c r="K1412" s="2">
        <f t="shared" si="154"/>
        <v>336000</v>
      </c>
      <c r="L1412" s="9">
        <f>Table_1[[#This Row],[Unit Price]]*Table_1[[#This Row],[Quantity]]</f>
        <v>1260000</v>
      </c>
      <c r="M1412" s="8">
        <f>Table_1[[#This Row],[Cost Price]]*Table_1[[#This Row],[Quantity]]</f>
        <v>1008000</v>
      </c>
      <c r="N1412">
        <f>Table_1[[#This Row],[Revenue]]-Table_1[[#This Row],[COGS]]</f>
        <v>252000</v>
      </c>
      <c r="O1412" s="11">
        <f t="shared" si="155"/>
        <v>4656740000</v>
      </c>
      <c r="P1412">
        <f t="shared" si="156"/>
        <v>3725392000</v>
      </c>
      <c r="Q1412">
        <f t="shared" si="157"/>
        <v>931348000</v>
      </c>
      <c r="R1412" s="7">
        <f t="shared" si="158"/>
        <v>2098</v>
      </c>
      <c r="S1412" s="7">
        <f t="shared" si="159"/>
        <v>3</v>
      </c>
      <c r="T1412" s="7">
        <f t="shared" si="160"/>
        <v>2098</v>
      </c>
    </row>
    <row r="1413" spans="1:20" ht="14.25" customHeight="1" x14ac:dyDescent="0.35">
      <c r="A1413" s="2" t="s">
        <v>11</v>
      </c>
      <c r="B1413" s="2" t="s">
        <v>12</v>
      </c>
      <c r="C1413" s="2" t="s">
        <v>21</v>
      </c>
      <c r="D1413" s="2" t="s">
        <v>14</v>
      </c>
      <c r="E1413" s="2" t="s">
        <v>22</v>
      </c>
      <c r="F1413" s="2" t="s">
        <v>23</v>
      </c>
      <c r="G1413" s="2" t="s">
        <v>24</v>
      </c>
      <c r="H1413" s="2">
        <v>30000</v>
      </c>
      <c r="I1413" s="2">
        <v>2</v>
      </c>
      <c r="J1413" s="2" t="s">
        <v>43</v>
      </c>
      <c r="K1413" s="2">
        <f t="shared" si="154"/>
        <v>24000</v>
      </c>
      <c r="L1413" s="9">
        <f>Table_1[[#This Row],[Unit Price]]*Table_1[[#This Row],[Quantity]]</f>
        <v>60000</v>
      </c>
      <c r="M1413" s="8">
        <f>Table_1[[#This Row],[Cost Price]]*Table_1[[#This Row],[Quantity]]</f>
        <v>48000</v>
      </c>
      <c r="N1413">
        <f>Table_1[[#This Row],[Revenue]]-Table_1[[#This Row],[COGS]]</f>
        <v>12000</v>
      </c>
      <c r="O1413" s="11">
        <f t="shared" si="155"/>
        <v>4656740000</v>
      </c>
      <c r="P1413">
        <f t="shared" si="156"/>
        <v>3725392000</v>
      </c>
      <c r="Q1413">
        <f t="shared" si="157"/>
        <v>931348000</v>
      </c>
      <c r="R1413" s="7">
        <f t="shared" si="158"/>
        <v>2098</v>
      </c>
      <c r="S1413" s="7">
        <f t="shared" si="159"/>
        <v>1</v>
      </c>
      <c r="T1413" s="7">
        <f t="shared" si="160"/>
        <v>2098</v>
      </c>
    </row>
    <row r="1414" spans="1:20" ht="14.25" customHeight="1" x14ac:dyDescent="0.35">
      <c r="A1414" s="2" t="s">
        <v>111</v>
      </c>
      <c r="B1414" s="2" t="s">
        <v>29</v>
      </c>
      <c r="C1414" s="2" t="s">
        <v>38</v>
      </c>
      <c r="D1414" s="2" t="s">
        <v>14</v>
      </c>
      <c r="E1414" s="2" t="s">
        <v>22</v>
      </c>
      <c r="F1414" s="2" t="s">
        <v>35</v>
      </c>
      <c r="G1414" s="2" t="s">
        <v>36</v>
      </c>
      <c r="H1414" s="2">
        <v>300000</v>
      </c>
      <c r="I1414" s="2">
        <v>9</v>
      </c>
      <c r="J1414" s="2" t="s">
        <v>32</v>
      </c>
      <c r="K1414" s="2">
        <f t="shared" si="154"/>
        <v>240000</v>
      </c>
      <c r="L1414" s="9">
        <f>Table_1[[#This Row],[Unit Price]]*Table_1[[#This Row],[Quantity]]</f>
        <v>2700000</v>
      </c>
      <c r="M1414" s="8">
        <f>Table_1[[#This Row],[Cost Price]]*Table_1[[#This Row],[Quantity]]</f>
        <v>2160000</v>
      </c>
      <c r="N1414">
        <f>Table_1[[#This Row],[Revenue]]-Table_1[[#This Row],[COGS]]</f>
        <v>540000</v>
      </c>
      <c r="O1414" s="11">
        <f t="shared" si="155"/>
        <v>4656740000</v>
      </c>
      <c r="P1414">
        <f t="shared" si="156"/>
        <v>3725392000</v>
      </c>
      <c r="Q1414">
        <f t="shared" si="157"/>
        <v>931348000</v>
      </c>
      <c r="R1414" s="7">
        <f t="shared" si="158"/>
        <v>2098</v>
      </c>
      <c r="S1414" s="7">
        <f t="shared" si="159"/>
        <v>1</v>
      </c>
      <c r="T1414" s="7">
        <f t="shared" si="160"/>
        <v>2098</v>
      </c>
    </row>
    <row r="1415" spans="1:20" ht="14.25" customHeight="1" x14ac:dyDescent="0.35">
      <c r="A1415" s="2" t="s">
        <v>77</v>
      </c>
      <c r="B1415" s="2" t="s">
        <v>20</v>
      </c>
      <c r="C1415" s="2" t="s">
        <v>30</v>
      </c>
      <c r="D1415" s="2" t="s">
        <v>26</v>
      </c>
      <c r="E1415" s="2" t="s">
        <v>22</v>
      </c>
      <c r="F1415" s="2" t="s">
        <v>47</v>
      </c>
      <c r="G1415" s="2" t="s">
        <v>36</v>
      </c>
      <c r="H1415" s="2">
        <v>150000</v>
      </c>
      <c r="I1415" s="2">
        <v>4</v>
      </c>
      <c r="J1415" s="2" t="s">
        <v>43</v>
      </c>
      <c r="K1415" s="2">
        <f t="shared" si="154"/>
        <v>120000</v>
      </c>
      <c r="L1415" s="9">
        <f>Table_1[[#This Row],[Unit Price]]*Table_1[[#This Row],[Quantity]]</f>
        <v>600000</v>
      </c>
      <c r="M1415" s="8">
        <f>Table_1[[#This Row],[Cost Price]]*Table_1[[#This Row],[Quantity]]</f>
        <v>480000</v>
      </c>
      <c r="N1415">
        <f>Table_1[[#This Row],[Revenue]]-Table_1[[#This Row],[COGS]]</f>
        <v>120000</v>
      </c>
      <c r="O1415" s="11">
        <f t="shared" si="155"/>
        <v>4656740000</v>
      </c>
      <c r="P1415">
        <f t="shared" si="156"/>
        <v>3725392000</v>
      </c>
      <c r="Q1415">
        <f t="shared" si="157"/>
        <v>931348000</v>
      </c>
      <c r="R1415" s="7">
        <f t="shared" si="158"/>
        <v>2098</v>
      </c>
      <c r="S1415" s="7">
        <f t="shared" si="159"/>
        <v>1</v>
      </c>
      <c r="T1415" s="7">
        <f t="shared" si="160"/>
        <v>2098</v>
      </c>
    </row>
    <row r="1416" spans="1:20" ht="14.25" customHeight="1" x14ac:dyDescent="0.35">
      <c r="A1416" s="2" t="s">
        <v>98</v>
      </c>
      <c r="B1416" s="2" t="s">
        <v>20</v>
      </c>
      <c r="C1416" s="2" t="s">
        <v>13</v>
      </c>
      <c r="D1416" s="2" t="s">
        <v>14</v>
      </c>
      <c r="E1416" s="2" t="s">
        <v>22</v>
      </c>
      <c r="F1416" s="2" t="s">
        <v>58</v>
      </c>
      <c r="G1416" s="2" t="s">
        <v>24</v>
      </c>
      <c r="H1416" s="2">
        <v>220000</v>
      </c>
      <c r="I1416" s="2">
        <v>2</v>
      </c>
      <c r="J1416" s="2" t="s">
        <v>54</v>
      </c>
      <c r="K1416" s="2">
        <f t="shared" si="154"/>
        <v>176000</v>
      </c>
      <c r="L1416" s="9">
        <f>Table_1[[#This Row],[Unit Price]]*Table_1[[#This Row],[Quantity]]</f>
        <v>440000</v>
      </c>
      <c r="M1416" s="8">
        <f>Table_1[[#This Row],[Cost Price]]*Table_1[[#This Row],[Quantity]]</f>
        <v>352000</v>
      </c>
      <c r="N1416">
        <f>Table_1[[#This Row],[Revenue]]-Table_1[[#This Row],[COGS]]</f>
        <v>88000</v>
      </c>
      <c r="O1416" s="11">
        <f t="shared" si="155"/>
        <v>4656740000</v>
      </c>
      <c r="P1416">
        <f t="shared" si="156"/>
        <v>3725392000</v>
      </c>
      <c r="Q1416">
        <f t="shared" si="157"/>
        <v>931348000</v>
      </c>
      <c r="R1416" s="7">
        <f t="shared" si="158"/>
        <v>2098</v>
      </c>
      <c r="S1416" s="7">
        <f t="shared" si="159"/>
        <v>4</v>
      </c>
      <c r="T1416" s="7">
        <f t="shared" si="160"/>
        <v>2098</v>
      </c>
    </row>
    <row r="1417" spans="1:20" ht="14.25" customHeight="1" x14ac:dyDescent="0.35">
      <c r="A1417" s="2" t="s">
        <v>134</v>
      </c>
      <c r="B1417" s="2" t="s">
        <v>29</v>
      </c>
      <c r="C1417" s="2" t="s">
        <v>21</v>
      </c>
      <c r="D1417" s="2" t="s">
        <v>14</v>
      </c>
      <c r="E1417" s="2" t="s">
        <v>22</v>
      </c>
      <c r="F1417" s="2" t="s">
        <v>16</v>
      </c>
      <c r="G1417" s="2" t="s">
        <v>17</v>
      </c>
      <c r="H1417" s="2">
        <v>85000</v>
      </c>
      <c r="I1417" s="2">
        <v>6</v>
      </c>
      <c r="J1417" s="2" t="s">
        <v>18</v>
      </c>
      <c r="K1417" s="2">
        <f t="shared" si="154"/>
        <v>68000</v>
      </c>
      <c r="L1417" s="9">
        <f>Table_1[[#This Row],[Unit Price]]*Table_1[[#This Row],[Quantity]]</f>
        <v>510000</v>
      </c>
      <c r="M1417" s="8">
        <f>Table_1[[#This Row],[Cost Price]]*Table_1[[#This Row],[Quantity]]</f>
        <v>408000</v>
      </c>
      <c r="N1417">
        <f>Table_1[[#This Row],[Revenue]]-Table_1[[#This Row],[COGS]]</f>
        <v>102000</v>
      </c>
      <c r="O1417" s="11">
        <f t="shared" si="155"/>
        <v>4656740000</v>
      </c>
      <c r="P1417">
        <f t="shared" si="156"/>
        <v>3725392000</v>
      </c>
      <c r="Q1417">
        <f t="shared" si="157"/>
        <v>931348000</v>
      </c>
      <c r="R1417" s="7">
        <f t="shared" si="158"/>
        <v>2098</v>
      </c>
      <c r="S1417" s="7">
        <f t="shared" si="159"/>
        <v>4</v>
      </c>
      <c r="T1417" s="7">
        <f t="shared" si="160"/>
        <v>2098</v>
      </c>
    </row>
    <row r="1418" spans="1:20" ht="14.25" customHeight="1" x14ac:dyDescent="0.35">
      <c r="A1418" s="2" t="s">
        <v>136</v>
      </c>
      <c r="B1418" s="2" t="s">
        <v>12</v>
      </c>
      <c r="C1418" s="2" t="s">
        <v>21</v>
      </c>
      <c r="D1418" s="2" t="s">
        <v>14</v>
      </c>
      <c r="E1418" s="2" t="s">
        <v>22</v>
      </c>
      <c r="F1418" s="2" t="s">
        <v>35</v>
      </c>
      <c r="G1418" s="2" t="s">
        <v>36</v>
      </c>
      <c r="H1418" s="2">
        <v>300000</v>
      </c>
      <c r="I1418" s="2">
        <v>8</v>
      </c>
      <c r="J1418" s="2" t="s">
        <v>18</v>
      </c>
      <c r="K1418" s="2">
        <f t="shared" si="154"/>
        <v>240000</v>
      </c>
      <c r="L1418" s="9">
        <f>Table_1[[#This Row],[Unit Price]]*Table_1[[#This Row],[Quantity]]</f>
        <v>2400000</v>
      </c>
      <c r="M1418" s="8">
        <f>Table_1[[#This Row],[Cost Price]]*Table_1[[#This Row],[Quantity]]</f>
        <v>1920000</v>
      </c>
      <c r="N1418">
        <f>Table_1[[#This Row],[Revenue]]-Table_1[[#This Row],[COGS]]</f>
        <v>480000</v>
      </c>
      <c r="O1418" s="11">
        <f t="shared" si="155"/>
        <v>4656740000</v>
      </c>
      <c r="P1418">
        <f t="shared" si="156"/>
        <v>3725392000</v>
      </c>
      <c r="Q1418">
        <f t="shared" si="157"/>
        <v>931348000</v>
      </c>
      <c r="R1418" s="7">
        <f t="shared" si="158"/>
        <v>2098</v>
      </c>
      <c r="S1418" s="7">
        <f t="shared" si="159"/>
        <v>2</v>
      </c>
      <c r="T1418" s="7">
        <f t="shared" si="160"/>
        <v>2098</v>
      </c>
    </row>
    <row r="1419" spans="1:20" ht="14.25" customHeight="1" x14ac:dyDescent="0.35">
      <c r="A1419" s="2" t="s">
        <v>49</v>
      </c>
      <c r="B1419" s="2" t="s">
        <v>29</v>
      </c>
      <c r="C1419" s="2" t="s">
        <v>30</v>
      </c>
      <c r="D1419" s="2" t="s">
        <v>26</v>
      </c>
      <c r="E1419" s="2" t="s">
        <v>22</v>
      </c>
      <c r="F1419" s="2" t="s">
        <v>52</v>
      </c>
      <c r="G1419" s="2" t="s">
        <v>36</v>
      </c>
      <c r="H1419" s="2">
        <v>420000</v>
      </c>
      <c r="I1419" s="2">
        <v>2</v>
      </c>
      <c r="J1419" s="2" t="s">
        <v>43</v>
      </c>
      <c r="K1419" s="2">
        <f t="shared" si="154"/>
        <v>336000</v>
      </c>
      <c r="L1419" s="9">
        <f>Table_1[[#This Row],[Unit Price]]*Table_1[[#This Row],[Quantity]]</f>
        <v>840000</v>
      </c>
      <c r="M1419" s="8">
        <f>Table_1[[#This Row],[Cost Price]]*Table_1[[#This Row],[Quantity]]</f>
        <v>672000</v>
      </c>
      <c r="N1419">
        <f>Table_1[[#This Row],[Revenue]]-Table_1[[#This Row],[COGS]]</f>
        <v>168000</v>
      </c>
      <c r="O1419" s="11">
        <f t="shared" si="155"/>
        <v>4656740000</v>
      </c>
      <c r="P1419">
        <f t="shared" si="156"/>
        <v>3725392000</v>
      </c>
      <c r="Q1419">
        <f t="shared" si="157"/>
        <v>931348000</v>
      </c>
      <c r="R1419" s="7">
        <f t="shared" si="158"/>
        <v>2098</v>
      </c>
      <c r="S1419" s="7">
        <f t="shared" si="159"/>
        <v>4</v>
      </c>
      <c r="T1419" s="7">
        <f t="shared" si="160"/>
        <v>2098</v>
      </c>
    </row>
    <row r="1420" spans="1:20" ht="14.25" customHeight="1" x14ac:dyDescent="0.35">
      <c r="A1420" s="2" t="s">
        <v>161</v>
      </c>
      <c r="B1420" s="2" t="s">
        <v>20</v>
      </c>
      <c r="C1420" s="2" t="s">
        <v>30</v>
      </c>
      <c r="D1420" s="2" t="s">
        <v>14</v>
      </c>
      <c r="E1420" s="2" t="s">
        <v>22</v>
      </c>
      <c r="F1420" s="2" t="s">
        <v>58</v>
      </c>
      <c r="G1420" s="2" t="s">
        <v>24</v>
      </c>
      <c r="H1420" s="2">
        <v>220000</v>
      </c>
      <c r="I1420" s="2">
        <v>3</v>
      </c>
      <c r="J1420" s="2" t="s">
        <v>27</v>
      </c>
      <c r="K1420" s="2">
        <f t="shared" si="154"/>
        <v>176000</v>
      </c>
      <c r="L1420" s="9">
        <f>Table_1[[#This Row],[Unit Price]]*Table_1[[#This Row],[Quantity]]</f>
        <v>660000</v>
      </c>
      <c r="M1420" s="8">
        <f>Table_1[[#This Row],[Cost Price]]*Table_1[[#This Row],[Quantity]]</f>
        <v>528000</v>
      </c>
      <c r="N1420">
        <f>Table_1[[#This Row],[Revenue]]-Table_1[[#This Row],[COGS]]</f>
        <v>132000</v>
      </c>
      <c r="O1420" s="11">
        <f t="shared" si="155"/>
        <v>4656740000</v>
      </c>
      <c r="P1420">
        <f t="shared" si="156"/>
        <v>3725392000</v>
      </c>
      <c r="Q1420">
        <f t="shared" si="157"/>
        <v>931348000</v>
      </c>
      <c r="R1420" s="7">
        <f t="shared" si="158"/>
        <v>2098</v>
      </c>
      <c r="S1420" s="7">
        <f t="shared" si="159"/>
        <v>1</v>
      </c>
      <c r="T1420" s="7">
        <f t="shared" si="160"/>
        <v>2098</v>
      </c>
    </row>
    <row r="1421" spans="1:20" ht="14.25" customHeight="1" x14ac:dyDescent="0.35">
      <c r="A1421" s="2" t="s">
        <v>148</v>
      </c>
      <c r="B1421" s="2" t="s">
        <v>20</v>
      </c>
      <c r="C1421" s="2" t="s">
        <v>21</v>
      </c>
      <c r="D1421" s="2" t="s">
        <v>14</v>
      </c>
      <c r="E1421" s="2" t="s">
        <v>22</v>
      </c>
      <c r="F1421" s="2" t="s">
        <v>52</v>
      </c>
      <c r="G1421" s="2" t="s">
        <v>36</v>
      </c>
      <c r="H1421" s="2">
        <v>420000</v>
      </c>
      <c r="I1421" s="2">
        <v>10</v>
      </c>
      <c r="J1421" s="2" t="s">
        <v>18</v>
      </c>
      <c r="K1421" s="2">
        <f t="shared" si="154"/>
        <v>336000</v>
      </c>
      <c r="L1421" s="9">
        <f>Table_1[[#This Row],[Unit Price]]*Table_1[[#This Row],[Quantity]]</f>
        <v>4200000</v>
      </c>
      <c r="M1421" s="8">
        <f>Table_1[[#This Row],[Cost Price]]*Table_1[[#This Row],[Quantity]]</f>
        <v>3360000</v>
      </c>
      <c r="N1421">
        <f>Table_1[[#This Row],[Revenue]]-Table_1[[#This Row],[COGS]]</f>
        <v>840000</v>
      </c>
      <c r="O1421" s="11">
        <f t="shared" si="155"/>
        <v>4656740000</v>
      </c>
      <c r="P1421">
        <f t="shared" si="156"/>
        <v>3725392000</v>
      </c>
      <c r="Q1421">
        <f t="shared" si="157"/>
        <v>931348000</v>
      </c>
      <c r="R1421" s="7">
        <f t="shared" si="158"/>
        <v>2098</v>
      </c>
      <c r="S1421" s="7">
        <f t="shared" si="159"/>
        <v>4</v>
      </c>
      <c r="T1421" s="7">
        <f t="shared" si="160"/>
        <v>2098</v>
      </c>
    </row>
    <row r="1422" spans="1:20" ht="14.25" customHeight="1" x14ac:dyDescent="0.35">
      <c r="A1422" s="2" t="s">
        <v>142</v>
      </c>
      <c r="B1422" s="2" t="s">
        <v>34</v>
      </c>
      <c r="C1422" s="2" t="s">
        <v>21</v>
      </c>
      <c r="D1422" s="2" t="s">
        <v>14</v>
      </c>
      <c r="E1422" s="2" t="s">
        <v>22</v>
      </c>
      <c r="F1422" s="2" t="s">
        <v>35</v>
      </c>
      <c r="G1422" s="2" t="s">
        <v>36</v>
      </c>
      <c r="H1422" s="2">
        <v>300000</v>
      </c>
      <c r="I1422" s="2">
        <v>7</v>
      </c>
      <c r="J1422" s="2" t="s">
        <v>27</v>
      </c>
      <c r="K1422" s="2">
        <f t="shared" si="154"/>
        <v>240000</v>
      </c>
      <c r="L1422" s="9">
        <f>Table_1[[#This Row],[Unit Price]]*Table_1[[#This Row],[Quantity]]</f>
        <v>2100000</v>
      </c>
      <c r="M1422" s="8">
        <f>Table_1[[#This Row],[Cost Price]]*Table_1[[#This Row],[Quantity]]</f>
        <v>1680000</v>
      </c>
      <c r="N1422">
        <f>Table_1[[#This Row],[Revenue]]-Table_1[[#This Row],[COGS]]</f>
        <v>420000</v>
      </c>
      <c r="O1422" s="11">
        <f t="shared" si="155"/>
        <v>4656740000</v>
      </c>
      <c r="P1422">
        <f t="shared" si="156"/>
        <v>3725392000</v>
      </c>
      <c r="Q1422">
        <f t="shared" si="157"/>
        <v>931348000</v>
      </c>
      <c r="R1422" s="7">
        <f t="shared" si="158"/>
        <v>2098</v>
      </c>
      <c r="S1422" s="7">
        <f t="shared" si="159"/>
        <v>4</v>
      </c>
      <c r="T1422" s="7">
        <f t="shared" si="160"/>
        <v>2098</v>
      </c>
    </row>
    <row r="1423" spans="1:20" ht="14.25" customHeight="1" x14ac:dyDescent="0.35">
      <c r="A1423" s="2" t="s">
        <v>142</v>
      </c>
      <c r="B1423" s="2" t="s">
        <v>20</v>
      </c>
      <c r="C1423" s="2" t="s">
        <v>30</v>
      </c>
      <c r="D1423" s="2" t="s">
        <v>14</v>
      </c>
      <c r="E1423" s="2" t="s">
        <v>22</v>
      </c>
      <c r="F1423" s="2" t="s">
        <v>23</v>
      </c>
      <c r="G1423" s="2" t="s">
        <v>24</v>
      </c>
      <c r="H1423" s="2">
        <v>30000</v>
      </c>
      <c r="I1423" s="2">
        <v>1</v>
      </c>
      <c r="J1423" s="2" t="s">
        <v>32</v>
      </c>
      <c r="K1423" s="2">
        <f t="shared" si="154"/>
        <v>24000</v>
      </c>
      <c r="L1423" s="9">
        <f>Table_1[[#This Row],[Unit Price]]*Table_1[[#This Row],[Quantity]]</f>
        <v>30000</v>
      </c>
      <c r="M1423" s="8">
        <f>Table_1[[#This Row],[Cost Price]]*Table_1[[#This Row],[Quantity]]</f>
        <v>24000</v>
      </c>
      <c r="N1423">
        <f>Table_1[[#This Row],[Revenue]]-Table_1[[#This Row],[COGS]]</f>
        <v>6000</v>
      </c>
      <c r="O1423" s="11">
        <f t="shared" si="155"/>
        <v>4656740000</v>
      </c>
      <c r="P1423">
        <f t="shared" si="156"/>
        <v>3725392000</v>
      </c>
      <c r="Q1423">
        <f t="shared" si="157"/>
        <v>931348000</v>
      </c>
      <c r="R1423" s="7">
        <f t="shared" si="158"/>
        <v>2098</v>
      </c>
      <c r="S1423" s="7">
        <f t="shared" si="159"/>
        <v>4</v>
      </c>
      <c r="T1423" s="7">
        <f t="shared" si="160"/>
        <v>2098</v>
      </c>
    </row>
    <row r="1424" spans="1:20" ht="14.25" customHeight="1" x14ac:dyDescent="0.35">
      <c r="A1424" s="2" t="s">
        <v>96</v>
      </c>
      <c r="B1424" s="2" t="s">
        <v>20</v>
      </c>
      <c r="C1424" s="2" t="s">
        <v>21</v>
      </c>
      <c r="D1424" s="2" t="s">
        <v>26</v>
      </c>
      <c r="E1424" s="2" t="s">
        <v>22</v>
      </c>
      <c r="F1424" s="2" t="s">
        <v>23</v>
      </c>
      <c r="G1424" s="2" t="s">
        <v>24</v>
      </c>
      <c r="H1424" s="2">
        <v>30000</v>
      </c>
      <c r="I1424" s="2">
        <v>7</v>
      </c>
      <c r="J1424" s="2" t="s">
        <v>18</v>
      </c>
      <c r="K1424" s="2">
        <f t="shared" si="154"/>
        <v>24000</v>
      </c>
      <c r="L1424" s="9">
        <f>Table_1[[#This Row],[Unit Price]]*Table_1[[#This Row],[Quantity]]</f>
        <v>210000</v>
      </c>
      <c r="M1424" s="8">
        <f>Table_1[[#This Row],[Cost Price]]*Table_1[[#This Row],[Quantity]]</f>
        <v>168000</v>
      </c>
      <c r="N1424">
        <f>Table_1[[#This Row],[Revenue]]-Table_1[[#This Row],[COGS]]</f>
        <v>42000</v>
      </c>
      <c r="O1424" s="11">
        <f t="shared" si="155"/>
        <v>4656740000</v>
      </c>
      <c r="P1424">
        <f t="shared" si="156"/>
        <v>3725392000</v>
      </c>
      <c r="Q1424">
        <f t="shared" si="157"/>
        <v>931348000</v>
      </c>
      <c r="R1424" s="7">
        <f t="shared" si="158"/>
        <v>2098</v>
      </c>
      <c r="S1424" s="7">
        <f t="shared" si="159"/>
        <v>2</v>
      </c>
      <c r="T1424" s="7">
        <f t="shared" si="160"/>
        <v>2098</v>
      </c>
    </row>
    <row r="1425" spans="1:20" ht="14.25" customHeight="1" x14ac:dyDescent="0.35">
      <c r="A1425" s="2" t="s">
        <v>115</v>
      </c>
      <c r="B1425" s="2" t="s">
        <v>34</v>
      </c>
      <c r="C1425" s="2" t="s">
        <v>38</v>
      </c>
      <c r="D1425" s="2" t="s">
        <v>26</v>
      </c>
      <c r="E1425" s="2" t="s">
        <v>22</v>
      </c>
      <c r="F1425" s="2" t="s">
        <v>16</v>
      </c>
      <c r="G1425" s="2" t="s">
        <v>17</v>
      </c>
      <c r="H1425" s="2">
        <v>85000</v>
      </c>
      <c r="I1425" s="2">
        <v>8</v>
      </c>
      <c r="J1425" s="2" t="s">
        <v>43</v>
      </c>
      <c r="K1425" s="2">
        <f t="shared" si="154"/>
        <v>68000</v>
      </c>
      <c r="L1425" s="9">
        <f>Table_1[[#This Row],[Unit Price]]*Table_1[[#This Row],[Quantity]]</f>
        <v>680000</v>
      </c>
      <c r="M1425" s="8">
        <f>Table_1[[#This Row],[Cost Price]]*Table_1[[#This Row],[Quantity]]</f>
        <v>544000</v>
      </c>
      <c r="N1425">
        <f>Table_1[[#This Row],[Revenue]]-Table_1[[#This Row],[COGS]]</f>
        <v>136000</v>
      </c>
      <c r="O1425" s="11">
        <f t="shared" si="155"/>
        <v>4656740000</v>
      </c>
      <c r="P1425">
        <f t="shared" si="156"/>
        <v>3725392000</v>
      </c>
      <c r="Q1425">
        <f t="shared" si="157"/>
        <v>931348000</v>
      </c>
      <c r="R1425" s="7">
        <f t="shared" si="158"/>
        <v>2098</v>
      </c>
      <c r="S1425" s="7">
        <f t="shared" si="159"/>
        <v>1</v>
      </c>
      <c r="T1425" s="7">
        <f t="shared" si="160"/>
        <v>2098</v>
      </c>
    </row>
    <row r="1426" spans="1:20" ht="14.25" customHeight="1" x14ac:dyDescent="0.35">
      <c r="A1426" s="2" t="s">
        <v>45</v>
      </c>
      <c r="B1426" s="2" t="s">
        <v>20</v>
      </c>
      <c r="C1426" s="2" t="s">
        <v>21</v>
      </c>
      <c r="D1426" s="2" t="s">
        <v>14</v>
      </c>
      <c r="E1426" s="2" t="s">
        <v>22</v>
      </c>
      <c r="F1426" s="2" t="s">
        <v>56</v>
      </c>
      <c r="G1426" s="2" t="s">
        <v>36</v>
      </c>
      <c r="H1426" s="2">
        <v>250000</v>
      </c>
      <c r="I1426" s="2">
        <v>10</v>
      </c>
      <c r="J1426" s="2" t="s">
        <v>27</v>
      </c>
      <c r="K1426" s="2">
        <f t="shared" si="154"/>
        <v>200000</v>
      </c>
      <c r="L1426" s="9">
        <f>Table_1[[#This Row],[Unit Price]]*Table_1[[#This Row],[Quantity]]</f>
        <v>2500000</v>
      </c>
      <c r="M1426" s="8">
        <f>Table_1[[#This Row],[Cost Price]]*Table_1[[#This Row],[Quantity]]</f>
        <v>2000000</v>
      </c>
      <c r="N1426">
        <f>Table_1[[#This Row],[Revenue]]-Table_1[[#This Row],[COGS]]</f>
        <v>500000</v>
      </c>
      <c r="O1426" s="11">
        <f t="shared" si="155"/>
        <v>4656740000</v>
      </c>
      <c r="P1426">
        <f t="shared" si="156"/>
        <v>3725392000</v>
      </c>
      <c r="Q1426">
        <f t="shared" si="157"/>
        <v>931348000</v>
      </c>
      <c r="R1426" s="7">
        <f t="shared" si="158"/>
        <v>2098</v>
      </c>
      <c r="S1426" s="7">
        <f t="shared" si="159"/>
        <v>3</v>
      </c>
      <c r="T1426" s="7">
        <f t="shared" si="160"/>
        <v>2098</v>
      </c>
    </row>
    <row r="1427" spans="1:20" ht="14.25" customHeight="1" x14ac:dyDescent="0.35">
      <c r="A1427" s="2" t="s">
        <v>61</v>
      </c>
      <c r="B1427" s="2" t="s">
        <v>12</v>
      </c>
      <c r="C1427" s="2" t="s">
        <v>21</v>
      </c>
      <c r="D1427" s="2" t="s">
        <v>14</v>
      </c>
      <c r="E1427" s="2" t="s">
        <v>22</v>
      </c>
      <c r="F1427" s="2" t="s">
        <v>16</v>
      </c>
      <c r="G1427" s="2" t="s">
        <v>17</v>
      </c>
      <c r="H1427" s="2">
        <v>85000</v>
      </c>
      <c r="I1427" s="2">
        <v>4</v>
      </c>
      <c r="J1427" s="2" t="s">
        <v>54</v>
      </c>
      <c r="K1427" s="2">
        <f t="shared" si="154"/>
        <v>68000</v>
      </c>
      <c r="L1427" s="9">
        <f>Table_1[[#This Row],[Unit Price]]*Table_1[[#This Row],[Quantity]]</f>
        <v>340000</v>
      </c>
      <c r="M1427" s="8">
        <f>Table_1[[#This Row],[Cost Price]]*Table_1[[#This Row],[Quantity]]</f>
        <v>272000</v>
      </c>
      <c r="N1427">
        <f>Table_1[[#This Row],[Revenue]]-Table_1[[#This Row],[COGS]]</f>
        <v>68000</v>
      </c>
      <c r="O1427" s="11">
        <f t="shared" si="155"/>
        <v>4656740000</v>
      </c>
      <c r="P1427">
        <f t="shared" si="156"/>
        <v>3725392000</v>
      </c>
      <c r="Q1427">
        <f t="shared" si="157"/>
        <v>931348000</v>
      </c>
      <c r="R1427" s="7">
        <f t="shared" si="158"/>
        <v>2098</v>
      </c>
      <c r="S1427" s="7">
        <f t="shared" si="159"/>
        <v>5</v>
      </c>
      <c r="T1427" s="7">
        <f t="shared" si="160"/>
        <v>2098</v>
      </c>
    </row>
    <row r="1428" spans="1:20" ht="14.25" customHeight="1" x14ac:dyDescent="0.35">
      <c r="A1428" s="2" t="s">
        <v>106</v>
      </c>
      <c r="B1428" s="2" t="s">
        <v>12</v>
      </c>
      <c r="C1428" s="2" t="s">
        <v>38</v>
      </c>
      <c r="D1428" s="2" t="s">
        <v>14</v>
      </c>
      <c r="E1428" s="2" t="s">
        <v>22</v>
      </c>
      <c r="F1428" s="2" t="s">
        <v>56</v>
      </c>
      <c r="G1428" s="2" t="s">
        <v>36</v>
      </c>
      <c r="H1428" s="2">
        <v>250000</v>
      </c>
      <c r="I1428" s="2">
        <v>6</v>
      </c>
      <c r="J1428" s="2" t="s">
        <v>54</v>
      </c>
      <c r="K1428" s="2">
        <f t="shared" si="154"/>
        <v>200000</v>
      </c>
      <c r="L1428" s="9">
        <f>Table_1[[#This Row],[Unit Price]]*Table_1[[#This Row],[Quantity]]</f>
        <v>1500000</v>
      </c>
      <c r="M1428" s="8">
        <f>Table_1[[#This Row],[Cost Price]]*Table_1[[#This Row],[Quantity]]</f>
        <v>1200000</v>
      </c>
      <c r="N1428">
        <f>Table_1[[#This Row],[Revenue]]-Table_1[[#This Row],[COGS]]</f>
        <v>300000</v>
      </c>
      <c r="O1428" s="11">
        <f t="shared" si="155"/>
        <v>4656740000</v>
      </c>
      <c r="P1428">
        <f t="shared" si="156"/>
        <v>3725392000</v>
      </c>
      <c r="Q1428">
        <f t="shared" si="157"/>
        <v>931348000</v>
      </c>
      <c r="R1428" s="7">
        <f t="shared" si="158"/>
        <v>2098</v>
      </c>
      <c r="S1428" s="7">
        <f t="shared" si="159"/>
        <v>4</v>
      </c>
      <c r="T1428" s="7">
        <f t="shared" si="160"/>
        <v>2098</v>
      </c>
    </row>
    <row r="1429" spans="1:20" ht="14.25" customHeight="1" x14ac:dyDescent="0.35">
      <c r="A1429" s="2" t="s">
        <v>98</v>
      </c>
      <c r="B1429" s="2" t="s">
        <v>20</v>
      </c>
      <c r="C1429" s="2" t="s">
        <v>38</v>
      </c>
      <c r="D1429" s="2" t="s">
        <v>26</v>
      </c>
      <c r="E1429" s="2" t="s">
        <v>22</v>
      </c>
      <c r="F1429" s="2" t="s">
        <v>41</v>
      </c>
      <c r="G1429" s="2" t="s">
        <v>17</v>
      </c>
      <c r="H1429" s="2">
        <v>320000</v>
      </c>
      <c r="I1429" s="2">
        <v>7</v>
      </c>
      <c r="J1429" s="2" t="s">
        <v>50</v>
      </c>
      <c r="K1429" s="2">
        <f t="shared" si="154"/>
        <v>256000</v>
      </c>
      <c r="L1429" s="9">
        <f>Table_1[[#This Row],[Unit Price]]*Table_1[[#This Row],[Quantity]]</f>
        <v>2240000</v>
      </c>
      <c r="M1429" s="8">
        <f>Table_1[[#This Row],[Cost Price]]*Table_1[[#This Row],[Quantity]]</f>
        <v>1792000</v>
      </c>
      <c r="N1429">
        <f>Table_1[[#This Row],[Revenue]]-Table_1[[#This Row],[COGS]]</f>
        <v>448000</v>
      </c>
      <c r="O1429" s="11">
        <f t="shared" si="155"/>
        <v>4656740000</v>
      </c>
      <c r="P1429">
        <f t="shared" si="156"/>
        <v>3725392000</v>
      </c>
      <c r="Q1429">
        <f t="shared" si="157"/>
        <v>931348000</v>
      </c>
      <c r="R1429" s="7">
        <f t="shared" si="158"/>
        <v>2098</v>
      </c>
      <c r="S1429" s="7">
        <f t="shared" si="159"/>
        <v>4</v>
      </c>
      <c r="T1429" s="7">
        <f t="shared" si="160"/>
        <v>2098</v>
      </c>
    </row>
    <row r="1430" spans="1:20" ht="14.25" customHeight="1" x14ac:dyDescent="0.35">
      <c r="A1430" s="2" t="s">
        <v>40</v>
      </c>
      <c r="B1430" s="2" t="s">
        <v>20</v>
      </c>
      <c r="C1430" s="2" t="s">
        <v>38</v>
      </c>
      <c r="D1430" s="2" t="s">
        <v>26</v>
      </c>
      <c r="E1430" s="2" t="s">
        <v>22</v>
      </c>
      <c r="F1430" s="2" t="s">
        <v>39</v>
      </c>
      <c r="G1430" s="2" t="s">
        <v>24</v>
      </c>
      <c r="H1430" s="2">
        <v>180000</v>
      </c>
      <c r="I1430" s="2">
        <v>2</v>
      </c>
      <c r="J1430" s="2" t="s">
        <v>18</v>
      </c>
      <c r="K1430" s="2">
        <f t="shared" si="154"/>
        <v>144000</v>
      </c>
      <c r="L1430" s="9">
        <f>Table_1[[#This Row],[Unit Price]]*Table_1[[#This Row],[Quantity]]</f>
        <v>360000</v>
      </c>
      <c r="M1430" s="8">
        <f>Table_1[[#This Row],[Cost Price]]*Table_1[[#This Row],[Quantity]]</f>
        <v>288000</v>
      </c>
      <c r="N1430">
        <f>Table_1[[#This Row],[Revenue]]-Table_1[[#This Row],[COGS]]</f>
        <v>72000</v>
      </c>
      <c r="O1430" s="11">
        <f t="shared" si="155"/>
        <v>4656740000</v>
      </c>
      <c r="P1430">
        <f t="shared" si="156"/>
        <v>3725392000</v>
      </c>
      <c r="Q1430">
        <f t="shared" si="157"/>
        <v>931348000</v>
      </c>
      <c r="R1430" s="7">
        <f t="shared" si="158"/>
        <v>2098</v>
      </c>
      <c r="S1430" s="7">
        <f t="shared" si="159"/>
        <v>3</v>
      </c>
      <c r="T1430" s="7">
        <f t="shared" si="160"/>
        <v>2098</v>
      </c>
    </row>
    <row r="1431" spans="1:20" ht="14.25" customHeight="1" x14ac:dyDescent="0.35">
      <c r="A1431" s="2" t="s">
        <v>33</v>
      </c>
      <c r="B1431" s="2" t="s">
        <v>34</v>
      </c>
      <c r="C1431" s="2" t="s">
        <v>38</v>
      </c>
      <c r="D1431" s="2" t="s">
        <v>26</v>
      </c>
      <c r="E1431" s="2" t="s">
        <v>22</v>
      </c>
      <c r="F1431" s="2" t="s">
        <v>58</v>
      </c>
      <c r="G1431" s="2" t="s">
        <v>24</v>
      </c>
      <c r="H1431" s="2">
        <v>220000</v>
      </c>
      <c r="I1431" s="2">
        <v>2</v>
      </c>
      <c r="J1431" s="2" t="s">
        <v>54</v>
      </c>
      <c r="K1431" s="2">
        <f t="shared" si="154"/>
        <v>176000</v>
      </c>
      <c r="L1431" s="9">
        <f>Table_1[[#This Row],[Unit Price]]*Table_1[[#This Row],[Quantity]]</f>
        <v>440000</v>
      </c>
      <c r="M1431" s="8">
        <f>Table_1[[#This Row],[Cost Price]]*Table_1[[#This Row],[Quantity]]</f>
        <v>352000</v>
      </c>
      <c r="N1431">
        <f>Table_1[[#This Row],[Revenue]]-Table_1[[#This Row],[COGS]]</f>
        <v>88000</v>
      </c>
      <c r="O1431" s="11">
        <f t="shared" si="155"/>
        <v>4656740000</v>
      </c>
      <c r="P1431">
        <f t="shared" si="156"/>
        <v>3725392000</v>
      </c>
      <c r="Q1431">
        <f t="shared" si="157"/>
        <v>931348000</v>
      </c>
      <c r="R1431" s="7">
        <f t="shared" si="158"/>
        <v>2098</v>
      </c>
      <c r="S1431" s="7">
        <f t="shared" si="159"/>
        <v>4</v>
      </c>
      <c r="T1431" s="7">
        <f t="shared" si="160"/>
        <v>2098</v>
      </c>
    </row>
    <row r="1432" spans="1:20" ht="14.25" customHeight="1" x14ac:dyDescent="0.35">
      <c r="A1432" s="2" t="s">
        <v>118</v>
      </c>
      <c r="B1432" s="2" t="s">
        <v>34</v>
      </c>
      <c r="C1432" s="2" t="s">
        <v>30</v>
      </c>
      <c r="D1432" s="2" t="s">
        <v>26</v>
      </c>
      <c r="E1432" s="2" t="s">
        <v>22</v>
      </c>
      <c r="F1432" s="2" t="s">
        <v>39</v>
      </c>
      <c r="G1432" s="2" t="s">
        <v>24</v>
      </c>
      <c r="H1432" s="2">
        <v>180000</v>
      </c>
      <c r="I1432" s="2">
        <v>6</v>
      </c>
      <c r="J1432" s="2" t="s">
        <v>27</v>
      </c>
      <c r="K1432" s="2">
        <f t="shared" si="154"/>
        <v>144000</v>
      </c>
      <c r="L1432" s="9">
        <f>Table_1[[#This Row],[Unit Price]]*Table_1[[#This Row],[Quantity]]</f>
        <v>1080000</v>
      </c>
      <c r="M1432" s="8">
        <f>Table_1[[#This Row],[Cost Price]]*Table_1[[#This Row],[Quantity]]</f>
        <v>864000</v>
      </c>
      <c r="N1432">
        <f>Table_1[[#This Row],[Revenue]]-Table_1[[#This Row],[COGS]]</f>
        <v>216000</v>
      </c>
      <c r="O1432" s="11">
        <f t="shared" si="155"/>
        <v>4656740000</v>
      </c>
      <c r="P1432">
        <f t="shared" si="156"/>
        <v>3725392000</v>
      </c>
      <c r="Q1432">
        <f t="shared" si="157"/>
        <v>931348000</v>
      </c>
      <c r="R1432" s="7">
        <f t="shared" si="158"/>
        <v>2098</v>
      </c>
      <c r="S1432" s="7">
        <f t="shared" si="159"/>
        <v>1</v>
      </c>
      <c r="T1432" s="7">
        <f t="shared" si="160"/>
        <v>2098</v>
      </c>
    </row>
    <row r="1433" spans="1:20" ht="14.25" customHeight="1" x14ac:dyDescent="0.35">
      <c r="A1433" s="2" t="s">
        <v>100</v>
      </c>
      <c r="B1433" s="2" t="s">
        <v>12</v>
      </c>
      <c r="C1433" s="2" t="s">
        <v>38</v>
      </c>
      <c r="D1433" s="2" t="s">
        <v>14</v>
      </c>
      <c r="E1433" s="2" t="s">
        <v>22</v>
      </c>
      <c r="F1433" s="2" t="s">
        <v>39</v>
      </c>
      <c r="G1433" s="2" t="s">
        <v>24</v>
      </c>
      <c r="H1433" s="2">
        <v>180000</v>
      </c>
      <c r="I1433" s="2">
        <v>3</v>
      </c>
      <c r="J1433" s="2" t="s">
        <v>27</v>
      </c>
      <c r="K1433" s="2">
        <f t="shared" si="154"/>
        <v>144000</v>
      </c>
      <c r="L1433" s="9">
        <f>Table_1[[#This Row],[Unit Price]]*Table_1[[#This Row],[Quantity]]</f>
        <v>540000</v>
      </c>
      <c r="M1433" s="8">
        <f>Table_1[[#This Row],[Cost Price]]*Table_1[[#This Row],[Quantity]]</f>
        <v>432000</v>
      </c>
      <c r="N1433">
        <f>Table_1[[#This Row],[Revenue]]-Table_1[[#This Row],[COGS]]</f>
        <v>108000</v>
      </c>
      <c r="O1433" s="11">
        <f t="shared" si="155"/>
        <v>4656740000</v>
      </c>
      <c r="P1433">
        <f t="shared" si="156"/>
        <v>3725392000</v>
      </c>
      <c r="Q1433">
        <f t="shared" si="157"/>
        <v>931348000</v>
      </c>
      <c r="R1433" s="7">
        <f t="shared" si="158"/>
        <v>2098</v>
      </c>
      <c r="S1433" s="7">
        <f t="shared" si="159"/>
        <v>1</v>
      </c>
      <c r="T1433" s="7">
        <f t="shared" si="160"/>
        <v>2098</v>
      </c>
    </row>
    <row r="1434" spans="1:20" ht="14.25" customHeight="1" x14ac:dyDescent="0.35">
      <c r="A1434" s="2" t="s">
        <v>99</v>
      </c>
      <c r="B1434" s="2" t="s">
        <v>12</v>
      </c>
      <c r="C1434" s="2" t="s">
        <v>30</v>
      </c>
      <c r="D1434" s="2" t="s">
        <v>14</v>
      </c>
      <c r="E1434" s="2" t="s">
        <v>22</v>
      </c>
      <c r="F1434" s="2" t="s">
        <v>31</v>
      </c>
      <c r="G1434" s="2" t="s">
        <v>24</v>
      </c>
      <c r="H1434" s="2">
        <v>60000</v>
      </c>
      <c r="I1434" s="2">
        <v>2</v>
      </c>
      <c r="J1434" s="2" t="s">
        <v>27</v>
      </c>
      <c r="K1434" s="2">
        <f t="shared" si="154"/>
        <v>48000</v>
      </c>
      <c r="L1434" s="9">
        <f>Table_1[[#This Row],[Unit Price]]*Table_1[[#This Row],[Quantity]]</f>
        <v>120000</v>
      </c>
      <c r="M1434" s="8">
        <f>Table_1[[#This Row],[Cost Price]]*Table_1[[#This Row],[Quantity]]</f>
        <v>96000</v>
      </c>
      <c r="N1434">
        <f>Table_1[[#This Row],[Revenue]]-Table_1[[#This Row],[COGS]]</f>
        <v>24000</v>
      </c>
      <c r="O1434" s="11">
        <f t="shared" si="155"/>
        <v>4656740000</v>
      </c>
      <c r="P1434">
        <f t="shared" si="156"/>
        <v>3725392000</v>
      </c>
      <c r="Q1434">
        <f t="shared" si="157"/>
        <v>931348000</v>
      </c>
      <c r="R1434" s="7">
        <f t="shared" si="158"/>
        <v>2098</v>
      </c>
      <c r="S1434" s="7">
        <f t="shared" si="159"/>
        <v>4</v>
      </c>
      <c r="T1434" s="7">
        <f t="shared" si="160"/>
        <v>2098</v>
      </c>
    </row>
    <row r="1435" spans="1:20" ht="14.25" customHeight="1" x14ac:dyDescent="0.35">
      <c r="A1435" s="2" t="s">
        <v>142</v>
      </c>
      <c r="B1435" s="2" t="s">
        <v>34</v>
      </c>
      <c r="C1435" s="2" t="s">
        <v>38</v>
      </c>
      <c r="D1435" s="2" t="s">
        <v>26</v>
      </c>
      <c r="E1435" s="2" t="s">
        <v>22</v>
      </c>
      <c r="F1435" s="2" t="s">
        <v>35</v>
      </c>
      <c r="G1435" s="2" t="s">
        <v>36</v>
      </c>
      <c r="H1435" s="2">
        <v>300000</v>
      </c>
      <c r="I1435" s="2">
        <v>1</v>
      </c>
      <c r="J1435" s="2" t="s">
        <v>50</v>
      </c>
      <c r="K1435" s="2">
        <f t="shared" si="154"/>
        <v>240000</v>
      </c>
      <c r="L1435" s="9">
        <f>Table_1[[#This Row],[Unit Price]]*Table_1[[#This Row],[Quantity]]</f>
        <v>300000</v>
      </c>
      <c r="M1435" s="8">
        <f>Table_1[[#This Row],[Cost Price]]*Table_1[[#This Row],[Quantity]]</f>
        <v>240000</v>
      </c>
      <c r="N1435">
        <f>Table_1[[#This Row],[Revenue]]-Table_1[[#This Row],[COGS]]</f>
        <v>60000</v>
      </c>
      <c r="O1435" s="11">
        <f t="shared" si="155"/>
        <v>4656740000</v>
      </c>
      <c r="P1435">
        <f t="shared" si="156"/>
        <v>3725392000</v>
      </c>
      <c r="Q1435">
        <f t="shared" si="157"/>
        <v>931348000</v>
      </c>
      <c r="R1435" s="7">
        <f t="shared" si="158"/>
        <v>2098</v>
      </c>
      <c r="S1435" s="7">
        <f t="shared" si="159"/>
        <v>4</v>
      </c>
      <c r="T1435" s="7">
        <f t="shared" si="160"/>
        <v>2098</v>
      </c>
    </row>
    <row r="1436" spans="1:20" ht="14.25" customHeight="1" x14ac:dyDescent="0.35">
      <c r="A1436" s="2" t="s">
        <v>76</v>
      </c>
      <c r="B1436" s="2" t="s">
        <v>29</v>
      </c>
      <c r="C1436" s="2" t="s">
        <v>30</v>
      </c>
      <c r="D1436" s="2" t="s">
        <v>26</v>
      </c>
      <c r="E1436" s="2" t="s">
        <v>22</v>
      </c>
      <c r="F1436" s="2" t="s">
        <v>52</v>
      </c>
      <c r="G1436" s="2" t="s">
        <v>36</v>
      </c>
      <c r="H1436" s="2">
        <v>420000</v>
      </c>
      <c r="I1436" s="2">
        <v>2</v>
      </c>
      <c r="J1436" s="2" t="s">
        <v>27</v>
      </c>
      <c r="K1436" s="2">
        <f t="shared" si="154"/>
        <v>336000</v>
      </c>
      <c r="L1436" s="9">
        <f>Table_1[[#This Row],[Unit Price]]*Table_1[[#This Row],[Quantity]]</f>
        <v>840000</v>
      </c>
      <c r="M1436" s="8">
        <f>Table_1[[#This Row],[Cost Price]]*Table_1[[#This Row],[Quantity]]</f>
        <v>672000</v>
      </c>
      <c r="N1436">
        <f>Table_1[[#This Row],[Revenue]]-Table_1[[#This Row],[COGS]]</f>
        <v>168000</v>
      </c>
      <c r="O1436" s="11">
        <f t="shared" si="155"/>
        <v>4656740000</v>
      </c>
      <c r="P1436">
        <f t="shared" si="156"/>
        <v>3725392000</v>
      </c>
      <c r="Q1436">
        <f t="shared" si="157"/>
        <v>931348000</v>
      </c>
      <c r="R1436" s="7">
        <f t="shared" si="158"/>
        <v>2098</v>
      </c>
      <c r="S1436" s="7">
        <f t="shared" si="159"/>
        <v>2</v>
      </c>
      <c r="T1436" s="7">
        <f t="shared" si="160"/>
        <v>2098</v>
      </c>
    </row>
    <row r="1437" spans="1:20" ht="14.25" customHeight="1" x14ac:dyDescent="0.35">
      <c r="A1437" s="2" t="s">
        <v>55</v>
      </c>
      <c r="B1437" s="2" t="s">
        <v>12</v>
      </c>
      <c r="C1437" s="2" t="s">
        <v>21</v>
      </c>
      <c r="D1437" s="2" t="s">
        <v>14</v>
      </c>
      <c r="E1437" s="2" t="s">
        <v>22</v>
      </c>
      <c r="F1437" s="2" t="s">
        <v>56</v>
      </c>
      <c r="G1437" s="2" t="s">
        <v>36</v>
      </c>
      <c r="H1437" s="2">
        <v>250000</v>
      </c>
      <c r="I1437" s="2">
        <v>9</v>
      </c>
      <c r="J1437" s="2" t="s">
        <v>27</v>
      </c>
      <c r="K1437" s="2">
        <f t="shared" si="154"/>
        <v>200000</v>
      </c>
      <c r="L1437" s="9">
        <f>Table_1[[#This Row],[Unit Price]]*Table_1[[#This Row],[Quantity]]</f>
        <v>2250000</v>
      </c>
      <c r="M1437" s="8">
        <f>Table_1[[#This Row],[Cost Price]]*Table_1[[#This Row],[Quantity]]</f>
        <v>1800000</v>
      </c>
      <c r="N1437">
        <f>Table_1[[#This Row],[Revenue]]-Table_1[[#This Row],[COGS]]</f>
        <v>450000</v>
      </c>
      <c r="O1437" s="11">
        <f t="shared" si="155"/>
        <v>4656740000</v>
      </c>
      <c r="P1437">
        <f t="shared" si="156"/>
        <v>3725392000</v>
      </c>
      <c r="Q1437">
        <f t="shared" si="157"/>
        <v>931348000</v>
      </c>
      <c r="R1437" s="7">
        <f t="shared" si="158"/>
        <v>2098</v>
      </c>
      <c r="S1437" s="7">
        <f t="shared" si="159"/>
        <v>4</v>
      </c>
      <c r="T1437" s="7">
        <f t="shared" si="160"/>
        <v>2098</v>
      </c>
    </row>
    <row r="1438" spans="1:20" ht="14.25" customHeight="1" x14ac:dyDescent="0.35">
      <c r="A1438" s="2" t="s">
        <v>62</v>
      </c>
      <c r="B1438" s="2" t="s">
        <v>29</v>
      </c>
      <c r="C1438" s="2" t="s">
        <v>13</v>
      </c>
      <c r="D1438" s="2" t="s">
        <v>26</v>
      </c>
      <c r="E1438" s="2" t="s">
        <v>22</v>
      </c>
      <c r="F1438" s="2" t="s">
        <v>39</v>
      </c>
      <c r="G1438" s="2" t="s">
        <v>24</v>
      </c>
      <c r="H1438" s="2">
        <v>180000</v>
      </c>
      <c r="I1438" s="2">
        <v>5</v>
      </c>
      <c r="J1438" s="2" t="s">
        <v>50</v>
      </c>
      <c r="K1438" s="2">
        <f t="shared" si="154"/>
        <v>144000</v>
      </c>
      <c r="L1438" s="9">
        <f>Table_1[[#This Row],[Unit Price]]*Table_1[[#This Row],[Quantity]]</f>
        <v>900000</v>
      </c>
      <c r="M1438" s="8">
        <f>Table_1[[#This Row],[Cost Price]]*Table_1[[#This Row],[Quantity]]</f>
        <v>720000</v>
      </c>
      <c r="N1438">
        <f>Table_1[[#This Row],[Revenue]]-Table_1[[#This Row],[COGS]]</f>
        <v>180000</v>
      </c>
      <c r="O1438" s="11">
        <f t="shared" si="155"/>
        <v>4656740000</v>
      </c>
      <c r="P1438">
        <f t="shared" si="156"/>
        <v>3725392000</v>
      </c>
      <c r="Q1438">
        <f t="shared" si="157"/>
        <v>931348000</v>
      </c>
      <c r="R1438" s="7">
        <f t="shared" si="158"/>
        <v>2098</v>
      </c>
      <c r="S1438" s="7">
        <f t="shared" si="159"/>
        <v>4</v>
      </c>
      <c r="T1438" s="7">
        <f t="shared" si="160"/>
        <v>2098</v>
      </c>
    </row>
    <row r="1439" spans="1:20" ht="14.25" customHeight="1" x14ac:dyDescent="0.35">
      <c r="A1439" s="2" t="s">
        <v>129</v>
      </c>
      <c r="B1439" s="2" t="s">
        <v>29</v>
      </c>
      <c r="C1439" s="2" t="s">
        <v>21</v>
      </c>
      <c r="D1439" s="2" t="s">
        <v>26</v>
      </c>
      <c r="E1439" s="2" t="s">
        <v>22</v>
      </c>
      <c r="F1439" s="2" t="s">
        <v>47</v>
      </c>
      <c r="G1439" s="2" t="s">
        <v>36</v>
      </c>
      <c r="H1439" s="2">
        <v>150000</v>
      </c>
      <c r="I1439" s="2">
        <v>5</v>
      </c>
      <c r="J1439" s="2" t="s">
        <v>43</v>
      </c>
      <c r="K1439" s="2">
        <f t="shared" si="154"/>
        <v>120000</v>
      </c>
      <c r="L1439" s="9">
        <f>Table_1[[#This Row],[Unit Price]]*Table_1[[#This Row],[Quantity]]</f>
        <v>750000</v>
      </c>
      <c r="M1439" s="8">
        <f>Table_1[[#This Row],[Cost Price]]*Table_1[[#This Row],[Quantity]]</f>
        <v>600000</v>
      </c>
      <c r="N1439">
        <f>Table_1[[#This Row],[Revenue]]-Table_1[[#This Row],[COGS]]</f>
        <v>150000</v>
      </c>
      <c r="O1439" s="11">
        <f t="shared" si="155"/>
        <v>4656740000</v>
      </c>
      <c r="P1439">
        <f t="shared" si="156"/>
        <v>3725392000</v>
      </c>
      <c r="Q1439">
        <f t="shared" si="157"/>
        <v>931348000</v>
      </c>
      <c r="R1439" s="7">
        <f t="shared" si="158"/>
        <v>2098</v>
      </c>
      <c r="S1439" s="7">
        <f t="shared" si="159"/>
        <v>2</v>
      </c>
      <c r="T1439" s="7">
        <f t="shared" si="160"/>
        <v>2098</v>
      </c>
    </row>
    <row r="1440" spans="1:20" ht="14.25" customHeight="1" x14ac:dyDescent="0.35">
      <c r="A1440" s="2" t="s">
        <v>118</v>
      </c>
      <c r="B1440" s="2" t="s">
        <v>12</v>
      </c>
      <c r="C1440" s="2" t="s">
        <v>38</v>
      </c>
      <c r="D1440" s="2" t="s">
        <v>14</v>
      </c>
      <c r="E1440" s="2" t="s">
        <v>22</v>
      </c>
      <c r="F1440" s="2" t="s">
        <v>41</v>
      </c>
      <c r="G1440" s="2" t="s">
        <v>17</v>
      </c>
      <c r="H1440" s="2">
        <v>320000</v>
      </c>
      <c r="I1440" s="2">
        <v>4</v>
      </c>
      <c r="J1440" s="2" t="s">
        <v>54</v>
      </c>
      <c r="K1440" s="2">
        <f t="shared" si="154"/>
        <v>256000</v>
      </c>
      <c r="L1440" s="9">
        <f>Table_1[[#This Row],[Unit Price]]*Table_1[[#This Row],[Quantity]]</f>
        <v>1280000</v>
      </c>
      <c r="M1440" s="8">
        <f>Table_1[[#This Row],[Cost Price]]*Table_1[[#This Row],[Quantity]]</f>
        <v>1024000</v>
      </c>
      <c r="N1440">
        <f>Table_1[[#This Row],[Revenue]]-Table_1[[#This Row],[COGS]]</f>
        <v>256000</v>
      </c>
      <c r="O1440" s="11">
        <f t="shared" si="155"/>
        <v>4656740000</v>
      </c>
      <c r="P1440">
        <f t="shared" si="156"/>
        <v>3725392000</v>
      </c>
      <c r="Q1440">
        <f t="shared" si="157"/>
        <v>931348000</v>
      </c>
      <c r="R1440" s="7">
        <f t="shared" si="158"/>
        <v>2098</v>
      </c>
      <c r="S1440" s="7">
        <f t="shared" si="159"/>
        <v>1</v>
      </c>
      <c r="T1440" s="7">
        <f t="shared" si="160"/>
        <v>2098</v>
      </c>
    </row>
    <row r="1441" spans="1:20" ht="14.25" customHeight="1" x14ac:dyDescent="0.35">
      <c r="A1441" s="2" t="s">
        <v>95</v>
      </c>
      <c r="B1441" s="2" t="s">
        <v>29</v>
      </c>
      <c r="C1441" s="2" t="s">
        <v>30</v>
      </c>
      <c r="D1441" s="2" t="s">
        <v>14</v>
      </c>
      <c r="E1441" s="2" t="s">
        <v>22</v>
      </c>
      <c r="F1441" s="2" t="s">
        <v>39</v>
      </c>
      <c r="G1441" s="2" t="s">
        <v>24</v>
      </c>
      <c r="H1441" s="2">
        <v>180000</v>
      </c>
      <c r="I1441" s="2">
        <v>10</v>
      </c>
      <c r="J1441" s="2" t="s">
        <v>43</v>
      </c>
      <c r="K1441" s="2">
        <f t="shared" si="154"/>
        <v>144000</v>
      </c>
      <c r="L1441" s="9">
        <f>Table_1[[#This Row],[Unit Price]]*Table_1[[#This Row],[Quantity]]</f>
        <v>1800000</v>
      </c>
      <c r="M1441" s="8">
        <f>Table_1[[#This Row],[Cost Price]]*Table_1[[#This Row],[Quantity]]</f>
        <v>1440000</v>
      </c>
      <c r="N1441">
        <f>Table_1[[#This Row],[Revenue]]-Table_1[[#This Row],[COGS]]</f>
        <v>360000</v>
      </c>
      <c r="O1441" s="11">
        <f t="shared" si="155"/>
        <v>4656740000</v>
      </c>
      <c r="P1441">
        <f t="shared" si="156"/>
        <v>3725392000</v>
      </c>
      <c r="Q1441">
        <f t="shared" si="157"/>
        <v>931348000</v>
      </c>
      <c r="R1441" s="7">
        <f t="shared" si="158"/>
        <v>2098</v>
      </c>
      <c r="S1441" s="7">
        <f t="shared" si="159"/>
        <v>1</v>
      </c>
      <c r="T1441" s="7">
        <f t="shared" si="160"/>
        <v>2098</v>
      </c>
    </row>
    <row r="1442" spans="1:20" ht="14.25" customHeight="1" x14ac:dyDescent="0.35">
      <c r="A1442" s="2" t="s">
        <v>112</v>
      </c>
      <c r="B1442" s="2" t="s">
        <v>34</v>
      </c>
      <c r="C1442" s="2" t="s">
        <v>13</v>
      </c>
      <c r="D1442" s="2" t="s">
        <v>26</v>
      </c>
      <c r="E1442" s="2" t="s">
        <v>22</v>
      </c>
      <c r="F1442" s="2" t="s">
        <v>52</v>
      </c>
      <c r="G1442" s="2" t="s">
        <v>36</v>
      </c>
      <c r="H1442" s="2">
        <v>420000</v>
      </c>
      <c r="I1442" s="2">
        <v>2</v>
      </c>
      <c r="J1442" s="2" t="s">
        <v>50</v>
      </c>
      <c r="K1442" s="2">
        <f t="shared" si="154"/>
        <v>336000</v>
      </c>
      <c r="L1442" s="9">
        <f>Table_1[[#This Row],[Unit Price]]*Table_1[[#This Row],[Quantity]]</f>
        <v>840000</v>
      </c>
      <c r="M1442" s="8">
        <f>Table_1[[#This Row],[Cost Price]]*Table_1[[#This Row],[Quantity]]</f>
        <v>672000</v>
      </c>
      <c r="N1442">
        <f>Table_1[[#This Row],[Revenue]]-Table_1[[#This Row],[COGS]]</f>
        <v>168000</v>
      </c>
      <c r="O1442" s="11">
        <f t="shared" si="155"/>
        <v>4656740000</v>
      </c>
      <c r="P1442">
        <f t="shared" si="156"/>
        <v>3725392000</v>
      </c>
      <c r="Q1442">
        <f t="shared" si="157"/>
        <v>931348000</v>
      </c>
      <c r="R1442" s="7">
        <f t="shared" si="158"/>
        <v>2098</v>
      </c>
      <c r="S1442" s="7">
        <f t="shared" si="159"/>
        <v>1</v>
      </c>
      <c r="T1442" s="7">
        <f t="shared" si="160"/>
        <v>2098</v>
      </c>
    </row>
    <row r="1443" spans="1:20" ht="14.25" customHeight="1" x14ac:dyDescent="0.35">
      <c r="A1443" s="2" t="s">
        <v>75</v>
      </c>
      <c r="B1443" s="2" t="s">
        <v>29</v>
      </c>
      <c r="C1443" s="2" t="s">
        <v>13</v>
      </c>
      <c r="D1443" s="2" t="s">
        <v>26</v>
      </c>
      <c r="E1443" s="2" t="s">
        <v>22</v>
      </c>
      <c r="F1443" s="2" t="s">
        <v>47</v>
      </c>
      <c r="G1443" s="2" t="s">
        <v>36</v>
      </c>
      <c r="H1443" s="2">
        <v>150000</v>
      </c>
      <c r="I1443" s="2">
        <v>6</v>
      </c>
      <c r="J1443" s="2" t="s">
        <v>50</v>
      </c>
      <c r="K1443" s="2">
        <f t="shared" si="154"/>
        <v>120000</v>
      </c>
      <c r="L1443" s="9">
        <f>Table_1[[#This Row],[Unit Price]]*Table_1[[#This Row],[Quantity]]</f>
        <v>900000</v>
      </c>
      <c r="M1443" s="8">
        <f>Table_1[[#This Row],[Cost Price]]*Table_1[[#This Row],[Quantity]]</f>
        <v>720000</v>
      </c>
      <c r="N1443">
        <f>Table_1[[#This Row],[Revenue]]-Table_1[[#This Row],[COGS]]</f>
        <v>180000</v>
      </c>
      <c r="O1443" s="11">
        <f t="shared" si="155"/>
        <v>4656740000</v>
      </c>
      <c r="P1443">
        <f t="shared" si="156"/>
        <v>3725392000</v>
      </c>
      <c r="Q1443">
        <f t="shared" si="157"/>
        <v>931348000</v>
      </c>
      <c r="R1443" s="7">
        <f t="shared" si="158"/>
        <v>2098</v>
      </c>
      <c r="S1443" s="7">
        <f t="shared" si="159"/>
        <v>2</v>
      </c>
      <c r="T1443" s="7">
        <f t="shared" si="160"/>
        <v>2098</v>
      </c>
    </row>
    <row r="1444" spans="1:20" ht="14.25" customHeight="1" x14ac:dyDescent="0.35">
      <c r="A1444" s="2" t="s">
        <v>98</v>
      </c>
      <c r="B1444" s="2" t="s">
        <v>12</v>
      </c>
      <c r="C1444" s="2" t="s">
        <v>21</v>
      </c>
      <c r="D1444" s="2" t="s">
        <v>26</v>
      </c>
      <c r="E1444" s="2" t="s">
        <v>22</v>
      </c>
      <c r="F1444" s="2" t="s">
        <v>47</v>
      </c>
      <c r="G1444" s="2" t="s">
        <v>36</v>
      </c>
      <c r="H1444" s="2">
        <v>150000</v>
      </c>
      <c r="I1444" s="2">
        <v>4</v>
      </c>
      <c r="J1444" s="2" t="s">
        <v>27</v>
      </c>
      <c r="K1444" s="2">
        <f t="shared" si="154"/>
        <v>120000</v>
      </c>
      <c r="L1444" s="9">
        <f>Table_1[[#This Row],[Unit Price]]*Table_1[[#This Row],[Quantity]]</f>
        <v>600000</v>
      </c>
      <c r="M1444" s="8">
        <f>Table_1[[#This Row],[Cost Price]]*Table_1[[#This Row],[Quantity]]</f>
        <v>480000</v>
      </c>
      <c r="N1444">
        <f>Table_1[[#This Row],[Revenue]]-Table_1[[#This Row],[COGS]]</f>
        <v>120000</v>
      </c>
      <c r="O1444" s="11">
        <f t="shared" si="155"/>
        <v>4656740000</v>
      </c>
      <c r="P1444">
        <f t="shared" si="156"/>
        <v>3725392000</v>
      </c>
      <c r="Q1444">
        <f t="shared" si="157"/>
        <v>931348000</v>
      </c>
      <c r="R1444" s="7">
        <f t="shared" si="158"/>
        <v>2098</v>
      </c>
      <c r="S1444" s="7">
        <f t="shared" si="159"/>
        <v>4</v>
      </c>
      <c r="T1444" s="7">
        <f t="shared" si="160"/>
        <v>2098</v>
      </c>
    </row>
    <row r="1445" spans="1:20" ht="14.25" customHeight="1" x14ac:dyDescent="0.35">
      <c r="A1445" s="2" t="s">
        <v>126</v>
      </c>
      <c r="B1445" s="2" t="s">
        <v>20</v>
      </c>
      <c r="C1445" s="2" t="s">
        <v>13</v>
      </c>
      <c r="D1445" s="2" t="s">
        <v>26</v>
      </c>
      <c r="E1445" s="2" t="s">
        <v>22</v>
      </c>
      <c r="F1445" s="2" t="s">
        <v>56</v>
      </c>
      <c r="G1445" s="2" t="s">
        <v>36</v>
      </c>
      <c r="H1445" s="2">
        <v>250000</v>
      </c>
      <c r="I1445" s="2">
        <v>9</v>
      </c>
      <c r="J1445" s="2" t="s">
        <v>50</v>
      </c>
      <c r="K1445" s="2">
        <f t="shared" si="154"/>
        <v>200000</v>
      </c>
      <c r="L1445" s="9">
        <f>Table_1[[#This Row],[Unit Price]]*Table_1[[#This Row],[Quantity]]</f>
        <v>2250000</v>
      </c>
      <c r="M1445" s="8">
        <f>Table_1[[#This Row],[Cost Price]]*Table_1[[#This Row],[Quantity]]</f>
        <v>1800000</v>
      </c>
      <c r="N1445">
        <f>Table_1[[#This Row],[Revenue]]-Table_1[[#This Row],[COGS]]</f>
        <v>450000</v>
      </c>
      <c r="O1445" s="11">
        <f t="shared" si="155"/>
        <v>4656740000</v>
      </c>
      <c r="P1445">
        <f t="shared" si="156"/>
        <v>3725392000</v>
      </c>
      <c r="Q1445">
        <f t="shared" si="157"/>
        <v>931348000</v>
      </c>
      <c r="R1445" s="7">
        <f t="shared" si="158"/>
        <v>2098</v>
      </c>
      <c r="S1445" s="7">
        <f t="shared" si="159"/>
        <v>3</v>
      </c>
      <c r="T1445" s="7">
        <f t="shared" si="160"/>
        <v>2098</v>
      </c>
    </row>
    <row r="1446" spans="1:20" ht="14.25" customHeight="1" x14ac:dyDescent="0.35">
      <c r="A1446" s="2" t="s">
        <v>130</v>
      </c>
      <c r="B1446" s="2" t="s">
        <v>29</v>
      </c>
      <c r="C1446" s="2" t="s">
        <v>21</v>
      </c>
      <c r="D1446" s="2" t="s">
        <v>26</v>
      </c>
      <c r="E1446" s="2" t="s">
        <v>22</v>
      </c>
      <c r="F1446" s="2" t="s">
        <v>58</v>
      </c>
      <c r="G1446" s="2" t="s">
        <v>24</v>
      </c>
      <c r="H1446" s="2">
        <v>220000</v>
      </c>
      <c r="I1446" s="2">
        <v>8</v>
      </c>
      <c r="J1446" s="2" t="s">
        <v>54</v>
      </c>
      <c r="K1446" s="2">
        <f t="shared" si="154"/>
        <v>176000</v>
      </c>
      <c r="L1446" s="9">
        <f>Table_1[[#This Row],[Unit Price]]*Table_1[[#This Row],[Quantity]]</f>
        <v>1760000</v>
      </c>
      <c r="M1446" s="8">
        <f>Table_1[[#This Row],[Cost Price]]*Table_1[[#This Row],[Quantity]]</f>
        <v>1408000</v>
      </c>
      <c r="N1446">
        <f>Table_1[[#This Row],[Revenue]]-Table_1[[#This Row],[COGS]]</f>
        <v>352000</v>
      </c>
      <c r="O1446" s="11">
        <f t="shared" si="155"/>
        <v>4656740000</v>
      </c>
      <c r="P1446">
        <f t="shared" si="156"/>
        <v>3725392000</v>
      </c>
      <c r="Q1446">
        <f t="shared" si="157"/>
        <v>931348000</v>
      </c>
      <c r="R1446" s="7">
        <f t="shared" si="158"/>
        <v>2098</v>
      </c>
      <c r="S1446" s="7">
        <f t="shared" si="159"/>
        <v>1</v>
      </c>
      <c r="T1446" s="7">
        <f t="shared" si="160"/>
        <v>2098</v>
      </c>
    </row>
    <row r="1447" spans="1:20" ht="14.25" customHeight="1" x14ac:dyDescent="0.35">
      <c r="A1447" s="2" t="s">
        <v>153</v>
      </c>
      <c r="B1447" s="2" t="s">
        <v>34</v>
      </c>
      <c r="C1447" s="2" t="s">
        <v>30</v>
      </c>
      <c r="D1447" s="2" t="s">
        <v>14</v>
      </c>
      <c r="E1447" s="2" t="s">
        <v>22</v>
      </c>
      <c r="F1447" s="2" t="s">
        <v>47</v>
      </c>
      <c r="G1447" s="2" t="s">
        <v>36</v>
      </c>
      <c r="H1447" s="2">
        <v>150000</v>
      </c>
      <c r="I1447" s="2">
        <v>2</v>
      </c>
      <c r="J1447" s="2" t="s">
        <v>32</v>
      </c>
      <c r="K1447" s="2">
        <f t="shared" si="154"/>
        <v>120000</v>
      </c>
      <c r="L1447" s="9">
        <f>Table_1[[#This Row],[Unit Price]]*Table_1[[#This Row],[Quantity]]</f>
        <v>300000</v>
      </c>
      <c r="M1447" s="8">
        <f>Table_1[[#This Row],[Cost Price]]*Table_1[[#This Row],[Quantity]]</f>
        <v>240000</v>
      </c>
      <c r="N1447">
        <f>Table_1[[#This Row],[Revenue]]-Table_1[[#This Row],[COGS]]</f>
        <v>60000</v>
      </c>
      <c r="O1447" s="11">
        <f t="shared" si="155"/>
        <v>4656740000</v>
      </c>
      <c r="P1447">
        <f t="shared" si="156"/>
        <v>3725392000</v>
      </c>
      <c r="Q1447">
        <f t="shared" si="157"/>
        <v>931348000</v>
      </c>
      <c r="R1447" s="7">
        <f t="shared" si="158"/>
        <v>2098</v>
      </c>
      <c r="S1447" s="7">
        <f t="shared" si="159"/>
        <v>4</v>
      </c>
      <c r="T1447" s="7">
        <f t="shared" si="160"/>
        <v>2098</v>
      </c>
    </row>
    <row r="1448" spans="1:20" ht="14.25" customHeight="1" x14ac:dyDescent="0.35">
      <c r="A1448" s="2" t="s">
        <v>37</v>
      </c>
      <c r="B1448" s="2" t="s">
        <v>12</v>
      </c>
      <c r="C1448" s="2" t="s">
        <v>21</v>
      </c>
      <c r="D1448" s="2" t="s">
        <v>26</v>
      </c>
      <c r="E1448" s="2" t="s">
        <v>22</v>
      </c>
      <c r="F1448" s="2" t="s">
        <v>58</v>
      </c>
      <c r="G1448" s="2" t="s">
        <v>24</v>
      </c>
      <c r="H1448" s="2">
        <v>220000</v>
      </c>
      <c r="I1448" s="2">
        <v>4</v>
      </c>
      <c r="J1448" s="2" t="s">
        <v>32</v>
      </c>
      <c r="K1448" s="2">
        <f t="shared" si="154"/>
        <v>176000</v>
      </c>
      <c r="L1448" s="9">
        <f>Table_1[[#This Row],[Unit Price]]*Table_1[[#This Row],[Quantity]]</f>
        <v>880000</v>
      </c>
      <c r="M1448" s="8">
        <f>Table_1[[#This Row],[Cost Price]]*Table_1[[#This Row],[Quantity]]</f>
        <v>704000</v>
      </c>
      <c r="N1448">
        <f>Table_1[[#This Row],[Revenue]]-Table_1[[#This Row],[COGS]]</f>
        <v>176000</v>
      </c>
      <c r="O1448" s="11">
        <f t="shared" si="155"/>
        <v>4656740000</v>
      </c>
      <c r="P1448">
        <f t="shared" si="156"/>
        <v>3725392000</v>
      </c>
      <c r="Q1448">
        <f t="shared" si="157"/>
        <v>931348000</v>
      </c>
      <c r="R1448" s="7">
        <f t="shared" si="158"/>
        <v>2098</v>
      </c>
      <c r="S1448" s="7">
        <f t="shared" si="159"/>
        <v>3</v>
      </c>
      <c r="T1448" s="7">
        <f t="shared" si="160"/>
        <v>2098</v>
      </c>
    </row>
    <row r="1449" spans="1:20" ht="14.25" customHeight="1" x14ac:dyDescent="0.35">
      <c r="A1449" s="2" t="s">
        <v>101</v>
      </c>
      <c r="B1449" s="2" t="s">
        <v>29</v>
      </c>
      <c r="C1449" s="2" t="s">
        <v>13</v>
      </c>
      <c r="D1449" s="2" t="s">
        <v>26</v>
      </c>
      <c r="E1449" s="2" t="s">
        <v>22</v>
      </c>
      <c r="F1449" s="2" t="s">
        <v>23</v>
      </c>
      <c r="G1449" s="2" t="s">
        <v>24</v>
      </c>
      <c r="H1449" s="2">
        <v>30000</v>
      </c>
      <c r="I1449" s="2">
        <v>6</v>
      </c>
      <c r="J1449" s="2" t="s">
        <v>50</v>
      </c>
      <c r="K1449" s="2">
        <f t="shared" si="154"/>
        <v>24000</v>
      </c>
      <c r="L1449" s="9">
        <f>Table_1[[#This Row],[Unit Price]]*Table_1[[#This Row],[Quantity]]</f>
        <v>180000</v>
      </c>
      <c r="M1449" s="8">
        <f>Table_1[[#This Row],[Cost Price]]*Table_1[[#This Row],[Quantity]]</f>
        <v>144000</v>
      </c>
      <c r="N1449">
        <f>Table_1[[#This Row],[Revenue]]-Table_1[[#This Row],[COGS]]</f>
        <v>36000</v>
      </c>
      <c r="O1449" s="11">
        <f t="shared" si="155"/>
        <v>4656740000</v>
      </c>
      <c r="P1449">
        <f t="shared" si="156"/>
        <v>3725392000</v>
      </c>
      <c r="Q1449">
        <f t="shared" si="157"/>
        <v>931348000</v>
      </c>
      <c r="R1449" s="7">
        <f t="shared" si="158"/>
        <v>2098</v>
      </c>
      <c r="S1449" s="7">
        <f t="shared" si="159"/>
        <v>4</v>
      </c>
      <c r="T1449" s="7">
        <f t="shared" si="160"/>
        <v>2098</v>
      </c>
    </row>
    <row r="1450" spans="1:20" ht="14.25" customHeight="1" x14ac:dyDescent="0.35">
      <c r="A1450" s="2" t="s">
        <v>129</v>
      </c>
      <c r="B1450" s="2" t="s">
        <v>20</v>
      </c>
      <c r="C1450" s="2" t="s">
        <v>38</v>
      </c>
      <c r="D1450" s="2" t="s">
        <v>14</v>
      </c>
      <c r="E1450" s="2" t="s">
        <v>22</v>
      </c>
      <c r="F1450" s="2" t="s">
        <v>16</v>
      </c>
      <c r="G1450" s="2" t="s">
        <v>17</v>
      </c>
      <c r="H1450" s="2">
        <v>85000</v>
      </c>
      <c r="I1450" s="2">
        <v>3</v>
      </c>
      <c r="J1450" s="2" t="s">
        <v>32</v>
      </c>
      <c r="K1450" s="2">
        <f t="shared" si="154"/>
        <v>68000</v>
      </c>
      <c r="L1450" s="9">
        <f>Table_1[[#This Row],[Unit Price]]*Table_1[[#This Row],[Quantity]]</f>
        <v>255000</v>
      </c>
      <c r="M1450" s="8">
        <f>Table_1[[#This Row],[Cost Price]]*Table_1[[#This Row],[Quantity]]</f>
        <v>204000</v>
      </c>
      <c r="N1450">
        <f>Table_1[[#This Row],[Revenue]]-Table_1[[#This Row],[COGS]]</f>
        <v>51000</v>
      </c>
      <c r="O1450" s="11">
        <f t="shared" si="155"/>
        <v>4656740000</v>
      </c>
      <c r="P1450">
        <f t="shared" si="156"/>
        <v>3725392000</v>
      </c>
      <c r="Q1450">
        <f t="shared" si="157"/>
        <v>931348000</v>
      </c>
      <c r="R1450" s="7">
        <f t="shared" si="158"/>
        <v>2098</v>
      </c>
      <c r="S1450" s="7">
        <f t="shared" si="159"/>
        <v>2</v>
      </c>
      <c r="T1450" s="7">
        <f t="shared" si="160"/>
        <v>2098</v>
      </c>
    </row>
    <row r="1451" spans="1:20" ht="14.25" customHeight="1" x14ac:dyDescent="0.35">
      <c r="A1451" s="2" t="s">
        <v>158</v>
      </c>
      <c r="B1451" s="2" t="s">
        <v>20</v>
      </c>
      <c r="C1451" s="2" t="s">
        <v>21</v>
      </c>
      <c r="D1451" s="2" t="s">
        <v>14</v>
      </c>
      <c r="E1451" s="2" t="s">
        <v>22</v>
      </c>
      <c r="F1451" s="2" t="s">
        <v>16</v>
      </c>
      <c r="G1451" s="2" t="s">
        <v>17</v>
      </c>
      <c r="H1451" s="2">
        <v>85000</v>
      </c>
      <c r="I1451" s="2">
        <v>2</v>
      </c>
      <c r="J1451" s="2" t="s">
        <v>18</v>
      </c>
      <c r="K1451" s="2">
        <f t="shared" si="154"/>
        <v>68000</v>
      </c>
      <c r="L1451" s="9">
        <f>Table_1[[#This Row],[Unit Price]]*Table_1[[#This Row],[Quantity]]</f>
        <v>170000</v>
      </c>
      <c r="M1451" s="8">
        <f>Table_1[[#This Row],[Cost Price]]*Table_1[[#This Row],[Quantity]]</f>
        <v>136000</v>
      </c>
      <c r="N1451">
        <f>Table_1[[#This Row],[Revenue]]-Table_1[[#This Row],[COGS]]</f>
        <v>34000</v>
      </c>
      <c r="O1451" s="11">
        <f t="shared" si="155"/>
        <v>4656740000</v>
      </c>
      <c r="P1451">
        <f t="shared" si="156"/>
        <v>3725392000</v>
      </c>
      <c r="Q1451">
        <f t="shared" si="157"/>
        <v>931348000</v>
      </c>
      <c r="R1451" s="7">
        <f t="shared" si="158"/>
        <v>2098</v>
      </c>
      <c r="S1451" s="7">
        <f t="shared" si="159"/>
        <v>3</v>
      </c>
      <c r="T1451" s="7">
        <f t="shared" si="160"/>
        <v>2098</v>
      </c>
    </row>
    <row r="1452" spans="1:20" ht="14.25" customHeight="1" x14ac:dyDescent="0.35">
      <c r="A1452" s="2" t="s">
        <v>73</v>
      </c>
      <c r="B1452" s="2" t="s">
        <v>34</v>
      </c>
      <c r="C1452" s="2" t="s">
        <v>21</v>
      </c>
      <c r="D1452" s="2" t="s">
        <v>14</v>
      </c>
      <c r="E1452" s="2" t="s">
        <v>22</v>
      </c>
      <c r="F1452" s="2" t="s">
        <v>56</v>
      </c>
      <c r="G1452" s="2" t="s">
        <v>36</v>
      </c>
      <c r="H1452" s="2">
        <v>250000</v>
      </c>
      <c r="I1452" s="2">
        <v>10</v>
      </c>
      <c r="J1452" s="2" t="s">
        <v>32</v>
      </c>
      <c r="K1452" s="2">
        <f t="shared" si="154"/>
        <v>200000</v>
      </c>
      <c r="L1452" s="9">
        <f>Table_1[[#This Row],[Unit Price]]*Table_1[[#This Row],[Quantity]]</f>
        <v>2500000</v>
      </c>
      <c r="M1452" s="8">
        <f>Table_1[[#This Row],[Cost Price]]*Table_1[[#This Row],[Quantity]]</f>
        <v>2000000</v>
      </c>
      <c r="N1452">
        <f>Table_1[[#This Row],[Revenue]]-Table_1[[#This Row],[COGS]]</f>
        <v>500000</v>
      </c>
      <c r="O1452" s="11">
        <f t="shared" si="155"/>
        <v>4656740000</v>
      </c>
      <c r="P1452">
        <f t="shared" si="156"/>
        <v>3725392000</v>
      </c>
      <c r="Q1452">
        <f t="shared" si="157"/>
        <v>931348000</v>
      </c>
      <c r="R1452" s="7">
        <f t="shared" si="158"/>
        <v>2098</v>
      </c>
      <c r="S1452" s="7">
        <f t="shared" si="159"/>
        <v>2</v>
      </c>
      <c r="T1452" s="7">
        <f t="shared" si="160"/>
        <v>2098</v>
      </c>
    </row>
    <row r="1453" spans="1:20" ht="14.25" customHeight="1" x14ac:dyDescent="0.35">
      <c r="A1453" s="2" t="s">
        <v>78</v>
      </c>
      <c r="B1453" s="2" t="s">
        <v>12</v>
      </c>
      <c r="C1453" s="2" t="s">
        <v>21</v>
      </c>
      <c r="D1453" s="2" t="s">
        <v>26</v>
      </c>
      <c r="E1453" s="2" t="s">
        <v>22</v>
      </c>
      <c r="F1453" s="2" t="s">
        <v>58</v>
      </c>
      <c r="G1453" s="2" t="s">
        <v>24</v>
      </c>
      <c r="H1453" s="2">
        <v>220000</v>
      </c>
      <c r="I1453" s="2">
        <v>2</v>
      </c>
      <c r="J1453" s="2" t="s">
        <v>50</v>
      </c>
      <c r="K1453" s="2">
        <f t="shared" si="154"/>
        <v>176000</v>
      </c>
      <c r="L1453" s="9">
        <f>Table_1[[#This Row],[Unit Price]]*Table_1[[#This Row],[Quantity]]</f>
        <v>440000</v>
      </c>
      <c r="M1453" s="8">
        <f>Table_1[[#This Row],[Cost Price]]*Table_1[[#This Row],[Quantity]]</f>
        <v>352000</v>
      </c>
      <c r="N1453">
        <f>Table_1[[#This Row],[Revenue]]-Table_1[[#This Row],[COGS]]</f>
        <v>88000</v>
      </c>
      <c r="O1453" s="11">
        <f t="shared" si="155"/>
        <v>4656740000</v>
      </c>
      <c r="P1453">
        <f t="shared" si="156"/>
        <v>3725392000</v>
      </c>
      <c r="Q1453">
        <f t="shared" si="157"/>
        <v>931348000</v>
      </c>
      <c r="R1453" s="7">
        <f t="shared" si="158"/>
        <v>2098</v>
      </c>
      <c r="S1453" s="7">
        <f t="shared" si="159"/>
        <v>4</v>
      </c>
      <c r="T1453" s="7">
        <f t="shared" si="160"/>
        <v>2098</v>
      </c>
    </row>
    <row r="1454" spans="1:20" ht="14.25" customHeight="1" x14ac:dyDescent="0.35">
      <c r="A1454" s="2" t="s">
        <v>138</v>
      </c>
      <c r="B1454" s="2" t="s">
        <v>12</v>
      </c>
      <c r="C1454" s="2" t="s">
        <v>13</v>
      </c>
      <c r="D1454" s="2" t="s">
        <v>26</v>
      </c>
      <c r="E1454" s="2" t="s">
        <v>22</v>
      </c>
      <c r="F1454" s="2" t="s">
        <v>35</v>
      </c>
      <c r="G1454" s="2" t="s">
        <v>36</v>
      </c>
      <c r="H1454" s="2">
        <v>300000</v>
      </c>
      <c r="I1454" s="2">
        <v>9</v>
      </c>
      <c r="J1454" s="2" t="s">
        <v>50</v>
      </c>
      <c r="K1454" s="2">
        <f t="shared" si="154"/>
        <v>240000</v>
      </c>
      <c r="L1454" s="9">
        <f>Table_1[[#This Row],[Unit Price]]*Table_1[[#This Row],[Quantity]]</f>
        <v>2700000</v>
      </c>
      <c r="M1454" s="8">
        <f>Table_1[[#This Row],[Cost Price]]*Table_1[[#This Row],[Quantity]]</f>
        <v>2160000</v>
      </c>
      <c r="N1454">
        <f>Table_1[[#This Row],[Revenue]]-Table_1[[#This Row],[COGS]]</f>
        <v>540000</v>
      </c>
      <c r="O1454" s="11">
        <f t="shared" si="155"/>
        <v>4656740000</v>
      </c>
      <c r="P1454">
        <f t="shared" si="156"/>
        <v>3725392000</v>
      </c>
      <c r="Q1454">
        <f t="shared" si="157"/>
        <v>931348000</v>
      </c>
      <c r="R1454" s="7">
        <f t="shared" si="158"/>
        <v>2098</v>
      </c>
      <c r="S1454" s="7">
        <f t="shared" si="159"/>
        <v>3</v>
      </c>
      <c r="T1454" s="7">
        <f t="shared" si="160"/>
        <v>2098</v>
      </c>
    </row>
    <row r="1455" spans="1:20" ht="14.25" customHeight="1" x14ac:dyDescent="0.35">
      <c r="A1455" s="2" t="s">
        <v>105</v>
      </c>
      <c r="B1455" s="2" t="s">
        <v>20</v>
      </c>
      <c r="C1455" s="2" t="s">
        <v>38</v>
      </c>
      <c r="D1455" s="2" t="s">
        <v>14</v>
      </c>
      <c r="E1455" s="2" t="s">
        <v>22</v>
      </c>
      <c r="F1455" s="2" t="s">
        <v>58</v>
      </c>
      <c r="G1455" s="2" t="s">
        <v>24</v>
      </c>
      <c r="H1455" s="2">
        <v>220000</v>
      </c>
      <c r="I1455" s="2">
        <v>3</v>
      </c>
      <c r="J1455" s="2" t="s">
        <v>27</v>
      </c>
      <c r="K1455" s="2">
        <f t="shared" si="154"/>
        <v>176000</v>
      </c>
      <c r="L1455" s="9">
        <f>Table_1[[#This Row],[Unit Price]]*Table_1[[#This Row],[Quantity]]</f>
        <v>660000</v>
      </c>
      <c r="M1455" s="8">
        <f>Table_1[[#This Row],[Cost Price]]*Table_1[[#This Row],[Quantity]]</f>
        <v>528000</v>
      </c>
      <c r="N1455">
        <f>Table_1[[#This Row],[Revenue]]-Table_1[[#This Row],[COGS]]</f>
        <v>132000</v>
      </c>
      <c r="O1455" s="11">
        <f t="shared" si="155"/>
        <v>4656740000</v>
      </c>
      <c r="P1455">
        <f t="shared" si="156"/>
        <v>3725392000</v>
      </c>
      <c r="Q1455">
        <f t="shared" si="157"/>
        <v>931348000</v>
      </c>
      <c r="R1455" s="7">
        <f t="shared" si="158"/>
        <v>2098</v>
      </c>
      <c r="S1455" s="7">
        <f t="shared" si="159"/>
        <v>3</v>
      </c>
      <c r="T1455" s="7">
        <f t="shared" si="160"/>
        <v>2098</v>
      </c>
    </row>
    <row r="1456" spans="1:20" ht="14.25" customHeight="1" x14ac:dyDescent="0.35">
      <c r="A1456" s="2" t="s">
        <v>48</v>
      </c>
      <c r="B1456" s="2" t="s">
        <v>20</v>
      </c>
      <c r="C1456" s="2" t="s">
        <v>38</v>
      </c>
      <c r="D1456" s="2" t="s">
        <v>26</v>
      </c>
      <c r="E1456" s="2" t="s">
        <v>22</v>
      </c>
      <c r="F1456" s="2" t="s">
        <v>56</v>
      </c>
      <c r="G1456" s="2" t="s">
        <v>36</v>
      </c>
      <c r="H1456" s="2">
        <v>250000</v>
      </c>
      <c r="I1456" s="2">
        <v>8</v>
      </c>
      <c r="J1456" s="2" t="s">
        <v>32</v>
      </c>
      <c r="K1456" s="2">
        <f t="shared" si="154"/>
        <v>200000</v>
      </c>
      <c r="L1456" s="9">
        <f>Table_1[[#This Row],[Unit Price]]*Table_1[[#This Row],[Quantity]]</f>
        <v>2000000</v>
      </c>
      <c r="M1456" s="8">
        <f>Table_1[[#This Row],[Cost Price]]*Table_1[[#This Row],[Quantity]]</f>
        <v>1600000</v>
      </c>
      <c r="N1456">
        <f>Table_1[[#This Row],[Revenue]]-Table_1[[#This Row],[COGS]]</f>
        <v>400000</v>
      </c>
      <c r="O1456" s="11">
        <f t="shared" si="155"/>
        <v>4656740000</v>
      </c>
      <c r="P1456">
        <f t="shared" si="156"/>
        <v>3725392000</v>
      </c>
      <c r="Q1456">
        <f t="shared" si="157"/>
        <v>931348000</v>
      </c>
      <c r="R1456" s="7">
        <f t="shared" si="158"/>
        <v>2098</v>
      </c>
      <c r="S1456" s="7">
        <f t="shared" si="159"/>
        <v>1</v>
      </c>
      <c r="T1456" s="7">
        <f t="shared" si="160"/>
        <v>2098</v>
      </c>
    </row>
    <row r="1457" spans="1:20" ht="14.25" customHeight="1" x14ac:dyDescent="0.35">
      <c r="A1457" s="2" t="s">
        <v>95</v>
      </c>
      <c r="B1457" s="2" t="s">
        <v>29</v>
      </c>
      <c r="C1457" s="2" t="s">
        <v>21</v>
      </c>
      <c r="D1457" s="2" t="s">
        <v>26</v>
      </c>
      <c r="E1457" s="2" t="s">
        <v>22</v>
      </c>
      <c r="F1457" s="2" t="s">
        <v>56</v>
      </c>
      <c r="G1457" s="2" t="s">
        <v>36</v>
      </c>
      <c r="H1457" s="2">
        <v>250000</v>
      </c>
      <c r="I1457" s="2">
        <v>5</v>
      </c>
      <c r="J1457" s="2" t="s">
        <v>54</v>
      </c>
      <c r="K1457" s="2">
        <f t="shared" si="154"/>
        <v>200000</v>
      </c>
      <c r="L1457" s="9">
        <f>Table_1[[#This Row],[Unit Price]]*Table_1[[#This Row],[Quantity]]</f>
        <v>1250000</v>
      </c>
      <c r="M1457" s="8">
        <f>Table_1[[#This Row],[Cost Price]]*Table_1[[#This Row],[Quantity]]</f>
        <v>1000000</v>
      </c>
      <c r="N1457">
        <f>Table_1[[#This Row],[Revenue]]-Table_1[[#This Row],[COGS]]</f>
        <v>250000</v>
      </c>
      <c r="O1457" s="11">
        <f t="shared" si="155"/>
        <v>4656740000</v>
      </c>
      <c r="P1457">
        <f t="shared" si="156"/>
        <v>3725392000</v>
      </c>
      <c r="Q1457">
        <f t="shared" si="157"/>
        <v>931348000</v>
      </c>
      <c r="R1457" s="7">
        <f t="shared" si="158"/>
        <v>2098</v>
      </c>
      <c r="S1457" s="7">
        <f t="shared" si="159"/>
        <v>1</v>
      </c>
      <c r="T1457" s="7">
        <f t="shared" si="160"/>
        <v>2098</v>
      </c>
    </row>
    <row r="1458" spans="1:20" ht="14.25" customHeight="1" x14ac:dyDescent="0.35">
      <c r="A1458" s="2" t="s">
        <v>136</v>
      </c>
      <c r="B1458" s="2" t="s">
        <v>34</v>
      </c>
      <c r="C1458" s="2" t="s">
        <v>38</v>
      </c>
      <c r="D1458" s="2" t="s">
        <v>14</v>
      </c>
      <c r="E1458" s="2" t="s">
        <v>22</v>
      </c>
      <c r="F1458" s="2" t="s">
        <v>52</v>
      </c>
      <c r="G1458" s="2" t="s">
        <v>36</v>
      </c>
      <c r="H1458" s="2">
        <v>420000</v>
      </c>
      <c r="I1458" s="2">
        <v>5</v>
      </c>
      <c r="J1458" s="2" t="s">
        <v>27</v>
      </c>
      <c r="K1458" s="2">
        <f t="shared" si="154"/>
        <v>336000</v>
      </c>
      <c r="L1458" s="9">
        <f>Table_1[[#This Row],[Unit Price]]*Table_1[[#This Row],[Quantity]]</f>
        <v>2100000</v>
      </c>
      <c r="M1458" s="8">
        <f>Table_1[[#This Row],[Cost Price]]*Table_1[[#This Row],[Quantity]]</f>
        <v>1680000</v>
      </c>
      <c r="N1458">
        <f>Table_1[[#This Row],[Revenue]]-Table_1[[#This Row],[COGS]]</f>
        <v>420000</v>
      </c>
      <c r="O1458" s="11">
        <f t="shared" si="155"/>
        <v>4656740000</v>
      </c>
      <c r="P1458">
        <f t="shared" si="156"/>
        <v>3725392000</v>
      </c>
      <c r="Q1458">
        <f t="shared" si="157"/>
        <v>931348000</v>
      </c>
      <c r="R1458" s="7">
        <f t="shared" si="158"/>
        <v>2098</v>
      </c>
      <c r="S1458" s="7">
        <f t="shared" si="159"/>
        <v>2</v>
      </c>
      <c r="T1458" s="7">
        <f t="shared" si="160"/>
        <v>2098</v>
      </c>
    </row>
    <row r="1459" spans="1:20" ht="14.25" customHeight="1" x14ac:dyDescent="0.35">
      <c r="A1459" s="2" t="s">
        <v>71</v>
      </c>
      <c r="B1459" s="2" t="s">
        <v>29</v>
      </c>
      <c r="C1459" s="2" t="s">
        <v>21</v>
      </c>
      <c r="D1459" s="2" t="s">
        <v>14</v>
      </c>
      <c r="E1459" s="2" t="s">
        <v>22</v>
      </c>
      <c r="F1459" s="2" t="s">
        <v>31</v>
      </c>
      <c r="G1459" s="2" t="s">
        <v>24</v>
      </c>
      <c r="H1459" s="2">
        <v>60000</v>
      </c>
      <c r="I1459" s="2">
        <v>7</v>
      </c>
      <c r="J1459" s="2" t="s">
        <v>54</v>
      </c>
      <c r="K1459" s="2">
        <f t="shared" si="154"/>
        <v>48000</v>
      </c>
      <c r="L1459" s="9">
        <f>Table_1[[#This Row],[Unit Price]]*Table_1[[#This Row],[Quantity]]</f>
        <v>420000</v>
      </c>
      <c r="M1459" s="8">
        <f>Table_1[[#This Row],[Cost Price]]*Table_1[[#This Row],[Quantity]]</f>
        <v>336000</v>
      </c>
      <c r="N1459">
        <f>Table_1[[#This Row],[Revenue]]-Table_1[[#This Row],[COGS]]</f>
        <v>84000</v>
      </c>
      <c r="O1459" s="11">
        <f t="shared" si="155"/>
        <v>4656740000</v>
      </c>
      <c r="P1459">
        <f t="shared" si="156"/>
        <v>3725392000</v>
      </c>
      <c r="Q1459">
        <f t="shared" si="157"/>
        <v>931348000</v>
      </c>
      <c r="R1459" s="7">
        <f t="shared" si="158"/>
        <v>2098</v>
      </c>
      <c r="S1459" s="7">
        <f t="shared" si="159"/>
        <v>2</v>
      </c>
      <c r="T1459" s="7">
        <f t="shared" si="160"/>
        <v>2098</v>
      </c>
    </row>
    <row r="1460" spans="1:20" ht="14.25" customHeight="1" x14ac:dyDescent="0.35">
      <c r="A1460" s="2" t="s">
        <v>101</v>
      </c>
      <c r="B1460" s="2" t="s">
        <v>20</v>
      </c>
      <c r="C1460" s="2" t="s">
        <v>30</v>
      </c>
      <c r="D1460" s="2" t="s">
        <v>14</v>
      </c>
      <c r="E1460" s="2" t="s">
        <v>22</v>
      </c>
      <c r="F1460" s="2" t="s">
        <v>23</v>
      </c>
      <c r="G1460" s="2" t="s">
        <v>24</v>
      </c>
      <c r="H1460" s="2">
        <v>30000</v>
      </c>
      <c r="I1460" s="2">
        <v>8</v>
      </c>
      <c r="J1460" s="2" t="s">
        <v>18</v>
      </c>
      <c r="K1460" s="2">
        <f t="shared" si="154"/>
        <v>24000</v>
      </c>
      <c r="L1460" s="9">
        <f>Table_1[[#This Row],[Unit Price]]*Table_1[[#This Row],[Quantity]]</f>
        <v>240000</v>
      </c>
      <c r="M1460" s="8">
        <f>Table_1[[#This Row],[Cost Price]]*Table_1[[#This Row],[Quantity]]</f>
        <v>192000</v>
      </c>
      <c r="N1460">
        <f>Table_1[[#This Row],[Revenue]]-Table_1[[#This Row],[COGS]]</f>
        <v>48000</v>
      </c>
      <c r="O1460" s="11">
        <f t="shared" si="155"/>
        <v>4656740000</v>
      </c>
      <c r="P1460">
        <f t="shared" si="156"/>
        <v>3725392000</v>
      </c>
      <c r="Q1460">
        <f t="shared" si="157"/>
        <v>931348000</v>
      </c>
      <c r="R1460" s="7">
        <f t="shared" si="158"/>
        <v>2098</v>
      </c>
      <c r="S1460" s="7">
        <f t="shared" si="159"/>
        <v>4</v>
      </c>
      <c r="T1460" s="7">
        <f t="shared" si="160"/>
        <v>2098</v>
      </c>
    </row>
    <row r="1461" spans="1:20" ht="14.25" customHeight="1" x14ac:dyDescent="0.35">
      <c r="A1461" s="2" t="s">
        <v>60</v>
      </c>
      <c r="B1461" s="2" t="s">
        <v>34</v>
      </c>
      <c r="C1461" s="2" t="s">
        <v>13</v>
      </c>
      <c r="D1461" s="2" t="s">
        <v>26</v>
      </c>
      <c r="E1461" s="2" t="s">
        <v>22</v>
      </c>
      <c r="F1461" s="2" t="s">
        <v>56</v>
      </c>
      <c r="G1461" s="2" t="s">
        <v>36</v>
      </c>
      <c r="H1461" s="2">
        <v>250000</v>
      </c>
      <c r="I1461" s="2">
        <v>2</v>
      </c>
      <c r="J1461" s="2" t="s">
        <v>32</v>
      </c>
      <c r="K1461" s="2">
        <f t="shared" si="154"/>
        <v>200000</v>
      </c>
      <c r="L1461" s="9">
        <f>Table_1[[#This Row],[Unit Price]]*Table_1[[#This Row],[Quantity]]</f>
        <v>500000</v>
      </c>
      <c r="M1461" s="8">
        <f>Table_1[[#This Row],[Cost Price]]*Table_1[[#This Row],[Quantity]]</f>
        <v>400000</v>
      </c>
      <c r="N1461">
        <f>Table_1[[#This Row],[Revenue]]-Table_1[[#This Row],[COGS]]</f>
        <v>100000</v>
      </c>
      <c r="O1461" s="11">
        <f t="shared" si="155"/>
        <v>4656740000</v>
      </c>
      <c r="P1461">
        <f t="shared" si="156"/>
        <v>3725392000</v>
      </c>
      <c r="Q1461">
        <f t="shared" si="157"/>
        <v>931348000</v>
      </c>
      <c r="R1461" s="7">
        <f t="shared" si="158"/>
        <v>2098</v>
      </c>
      <c r="S1461" s="7">
        <f t="shared" si="159"/>
        <v>3</v>
      </c>
      <c r="T1461" s="7">
        <f t="shared" si="160"/>
        <v>2098</v>
      </c>
    </row>
    <row r="1462" spans="1:20" ht="14.25" customHeight="1" x14ac:dyDescent="0.35">
      <c r="A1462" s="2" t="s">
        <v>64</v>
      </c>
      <c r="B1462" s="2" t="s">
        <v>20</v>
      </c>
      <c r="C1462" s="2" t="s">
        <v>13</v>
      </c>
      <c r="D1462" s="2" t="s">
        <v>14</v>
      </c>
      <c r="E1462" s="2" t="s">
        <v>22</v>
      </c>
      <c r="F1462" s="2" t="s">
        <v>31</v>
      </c>
      <c r="G1462" s="2" t="s">
        <v>24</v>
      </c>
      <c r="H1462" s="2">
        <v>60000</v>
      </c>
      <c r="I1462" s="2">
        <v>8</v>
      </c>
      <c r="J1462" s="2" t="s">
        <v>54</v>
      </c>
      <c r="K1462" s="2">
        <f t="shared" si="154"/>
        <v>48000</v>
      </c>
      <c r="L1462" s="9">
        <f>Table_1[[#This Row],[Unit Price]]*Table_1[[#This Row],[Quantity]]</f>
        <v>480000</v>
      </c>
      <c r="M1462" s="8">
        <f>Table_1[[#This Row],[Cost Price]]*Table_1[[#This Row],[Quantity]]</f>
        <v>384000</v>
      </c>
      <c r="N1462">
        <f>Table_1[[#This Row],[Revenue]]-Table_1[[#This Row],[COGS]]</f>
        <v>96000</v>
      </c>
      <c r="O1462" s="11">
        <f t="shared" si="155"/>
        <v>4656740000</v>
      </c>
      <c r="P1462">
        <f t="shared" si="156"/>
        <v>3725392000</v>
      </c>
      <c r="Q1462">
        <f t="shared" si="157"/>
        <v>931348000</v>
      </c>
      <c r="R1462" s="7">
        <f t="shared" si="158"/>
        <v>2098</v>
      </c>
      <c r="S1462" s="7">
        <f t="shared" si="159"/>
        <v>2</v>
      </c>
      <c r="T1462" s="7">
        <f t="shared" si="160"/>
        <v>2098</v>
      </c>
    </row>
    <row r="1463" spans="1:20" ht="14.25" customHeight="1" x14ac:dyDescent="0.35">
      <c r="A1463" s="2" t="s">
        <v>147</v>
      </c>
      <c r="B1463" s="2" t="s">
        <v>12</v>
      </c>
      <c r="C1463" s="2" t="s">
        <v>13</v>
      </c>
      <c r="D1463" s="2" t="s">
        <v>14</v>
      </c>
      <c r="E1463" s="2" t="s">
        <v>22</v>
      </c>
      <c r="F1463" s="2" t="s">
        <v>23</v>
      </c>
      <c r="G1463" s="2" t="s">
        <v>24</v>
      </c>
      <c r="H1463" s="2">
        <v>30000</v>
      </c>
      <c r="I1463" s="2">
        <v>7</v>
      </c>
      <c r="J1463" s="2" t="s">
        <v>50</v>
      </c>
      <c r="K1463" s="2">
        <f t="shared" si="154"/>
        <v>24000</v>
      </c>
      <c r="L1463" s="9">
        <f>Table_1[[#This Row],[Unit Price]]*Table_1[[#This Row],[Quantity]]</f>
        <v>210000</v>
      </c>
      <c r="M1463" s="8">
        <f>Table_1[[#This Row],[Cost Price]]*Table_1[[#This Row],[Quantity]]</f>
        <v>168000</v>
      </c>
      <c r="N1463">
        <f>Table_1[[#This Row],[Revenue]]-Table_1[[#This Row],[COGS]]</f>
        <v>42000</v>
      </c>
      <c r="O1463" s="11">
        <f t="shared" si="155"/>
        <v>4656740000</v>
      </c>
      <c r="P1463">
        <f t="shared" si="156"/>
        <v>3725392000</v>
      </c>
      <c r="Q1463">
        <f t="shared" si="157"/>
        <v>931348000</v>
      </c>
      <c r="R1463" s="7">
        <f t="shared" si="158"/>
        <v>2098</v>
      </c>
      <c r="S1463" s="7">
        <f t="shared" si="159"/>
        <v>4</v>
      </c>
      <c r="T1463" s="7">
        <f t="shared" si="160"/>
        <v>2098</v>
      </c>
    </row>
    <row r="1464" spans="1:20" ht="14.25" customHeight="1" x14ac:dyDescent="0.35">
      <c r="A1464" s="2" t="s">
        <v>110</v>
      </c>
      <c r="B1464" s="2" t="s">
        <v>29</v>
      </c>
      <c r="C1464" s="2" t="s">
        <v>21</v>
      </c>
      <c r="D1464" s="2" t="s">
        <v>26</v>
      </c>
      <c r="E1464" s="2" t="s">
        <v>22</v>
      </c>
      <c r="F1464" s="2" t="s">
        <v>23</v>
      </c>
      <c r="G1464" s="2" t="s">
        <v>24</v>
      </c>
      <c r="H1464" s="2">
        <v>30000</v>
      </c>
      <c r="I1464" s="2">
        <v>3</v>
      </c>
      <c r="J1464" s="2" t="s">
        <v>18</v>
      </c>
      <c r="K1464" s="2">
        <f t="shared" si="154"/>
        <v>24000</v>
      </c>
      <c r="L1464" s="9">
        <f>Table_1[[#This Row],[Unit Price]]*Table_1[[#This Row],[Quantity]]</f>
        <v>90000</v>
      </c>
      <c r="M1464" s="8">
        <f>Table_1[[#This Row],[Cost Price]]*Table_1[[#This Row],[Quantity]]</f>
        <v>72000</v>
      </c>
      <c r="N1464">
        <f>Table_1[[#This Row],[Revenue]]-Table_1[[#This Row],[COGS]]</f>
        <v>18000</v>
      </c>
      <c r="O1464" s="11">
        <f t="shared" si="155"/>
        <v>4656740000</v>
      </c>
      <c r="P1464">
        <f t="shared" si="156"/>
        <v>3725392000</v>
      </c>
      <c r="Q1464">
        <f t="shared" si="157"/>
        <v>931348000</v>
      </c>
      <c r="R1464" s="7">
        <f t="shared" si="158"/>
        <v>2098</v>
      </c>
      <c r="S1464" s="7">
        <f t="shared" si="159"/>
        <v>2</v>
      </c>
      <c r="T1464" s="7">
        <f t="shared" si="160"/>
        <v>2098</v>
      </c>
    </row>
    <row r="1465" spans="1:20" ht="14.25" customHeight="1" x14ac:dyDescent="0.35">
      <c r="A1465" s="2" t="s">
        <v>128</v>
      </c>
      <c r="B1465" s="2" t="s">
        <v>29</v>
      </c>
      <c r="C1465" s="2" t="s">
        <v>30</v>
      </c>
      <c r="D1465" s="2" t="s">
        <v>26</v>
      </c>
      <c r="E1465" s="2" t="s">
        <v>22</v>
      </c>
      <c r="F1465" s="2" t="s">
        <v>39</v>
      </c>
      <c r="G1465" s="2" t="s">
        <v>24</v>
      </c>
      <c r="H1465" s="2">
        <v>180000</v>
      </c>
      <c r="I1465" s="2">
        <v>5</v>
      </c>
      <c r="J1465" s="2" t="s">
        <v>50</v>
      </c>
      <c r="K1465" s="2">
        <f t="shared" si="154"/>
        <v>144000</v>
      </c>
      <c r="L1465" s="9">
        <f>Table_1[[#This Row],[Unit Price]]*Table_1[[#This Row],[Quantity]]</f>
        <v>900000</v>
      </c>
      <c r="M1465" s="8">
        <f>Table_1[[#This Row],[Cost Price]]*Table_1[[#This Row],[Quantity]]</f>
        <v>720000</v>
      </c>
      <c r="N1465">
        <f>Table_1[[#This Row],[Revenue]]-Table_1[[#This Row],[COGS]]</f>
        <v>180000</v>
      </c>
      <c r="O1465" s="11">
        <f t="shared" si="155"/>
        <v>4656740000</v>
      </c>
      <c r="P1465">
        <f t="shared" si="156"/>
        <v>3725392000</v>
      </c>
      <c r="Q1465">
        <f t="shared" si="157"/>
        <v>931348000</v>
      </c>
      <c r="R1465" s="7">
        <f t="shared" si="158"/>
        <v>2098</v>
      </c>
      <c r="S1465" s="7">
        <f t="shared" si="159"/>
        <v>4</v>
      </c>
      <c r="T1465" s="7">
        <f t="shared" si="160"/>
        <v>2098</v>
      </c>
    </row>
    <row r="1466" spans="1:20" ht="14.25" customHeight="1" x14ac:dyDescent="0.35">
      <c r="A1466" s="2" t="s">
        <v>67</v>
      </c>
      <c r="B1466" s="2" t="s">
        <v>20</v>
      </c>
      <c r="C1466" s="2" t="s">
        <v>38</v>
      </c>
      <c r="D1466" s="2" t="s">
        <v>14</v>
      </c>
      <c r="E1466" s="2" t="s">
        <v>22</v>
      </c>
      <c r="F1466" s="2" t="s">
        <v>56</v>
      </c>
      <c r="G1466" s="2" t="s">
        <v>36</v>
      </c>
      <c r="H1466" s="2">
        <v>250000</v>
      </c>
      <c r="I1466" s="2">
        <v>5</v>
      </c>
      <c r="J1466" s="2" t="s">
        <v>43</v>
      </c>
      <c r="K1466" s="2">
        <f t="shared" si="154"/>
        <v>200000</v>
      </c>
      <c r="L1466" s="9">
        <f>Table_1[[#This Row],[Unit Price]]*Table_1[[#This Row],[Quantity]]</f>
        <v>1250000</v>
      </c>
      <c r="M1466" s="8">
        <f>Table_1[[#This Row],[Cost Price]]*Table_1[[#This Row],[Quantity]]</f>
        <v>1000000</v>
      </c>
      <c r="N1466">
        <f>Table_1[[#This Row],[Revenue]]-Table_1[[#This Row],[COGS]]</f>
        <v>250000</v>
      </c>
      <c r="O1466" s="11">
        <f t="shared" si="155"/>
        <v>4656740000</v>
      </c>
      <c r="P1466">
        <f t="shared" si="156"/>
        <v>3725392000</v>
      </c>
      <c r="Q1466">
        <f t="shared" si="157"/>
        <v>931348000</v>
      </c>
      <c r="R1466" s="7">
        <f t="shared" si="158"/>
        <v>2098</v>
      </c>
      <c r="S1466" s="7">
        <f t="shared" si="159"/>
        <v>3</v>
      </c>
      <c r="T1466" s="7">
        <f t="shared" si="160"/>
        <v>2098</v>
      </c>
    </row>
    <row r="1467" spans="1:20" ht="14.25" customHeight="1" x14ac:dyDescent="0.35">
      <c r="A1467" s="2" t="s">
        <v>53</v>
      </c>
      <c r="B1467" s="2" t="s">
        <v>20</v>
      </c>
      <c r="C1467" s="2" t="s">
        <v>13</v>
      </c>
      <c r="D1467" s="2" t="s">
        <v>14</v>
      </c>
      <c r="E1467" s="2" t="s">
        <v>22</v>
      </c>
      <c r="F1467" s="2" t="s">
        <v>16</v>
      </c>
      <c r="G1467" s="2" t="s">
        <v>17</v>
      </c>
      <c r="H1467" s="2">
        <v>85000</v>
      </c>
      <c r="I1467" s="2">
        <v>3</v>
      </c>
      <c r="J1467" s="2" t="s">
        <v>50</v>
      </c>
      <c r="K1467" s="2">
        <f t="shared" si="154"/>
        <v>68000</v>
      </c>
      <c r="L1467" s="9">
        <f>Table_1[[#This Row],[Unit Price]]*Table_1[[#This Row],[Quantity]]</f>
        <v>255000</v>
      </c>
      <c r="M1467" s="8">
        <f>Table_1[[#This Row],[Cost Price]]*Table_1[[#This Row],[Quantity]]</f>
        <v>204000</v>
      </c>
      <c r="N1467">
        <f>Table_1[[#This Row],[Revenue]]-Table_1[[#This Row],[COGS]]</f>
        <v>51000</v>
      </c>
      <c r="O1467" s="11">
        <f t="shared" si="155"/>
        <v>4656740000</v>
      </c>
      <c r="P1467">
        <f t="shared" si="156"/>
        <v>3725392000</v>
      </c>
      <c r="Q1467">
        <f t="shared" si="157"/>
        <v>931348000</v>
      </c>
      <c r="R1467" s="7">
        <f t="shared" si="158"/>
        <v>2098</v>
      </c>
      <c r="S1467" s="7">
        <f t="shared" si="159"/>
        <v>3</v>
      </c>
      <c r="T1467" s="7">
        <f t="shared" si="160"/>
        <v>2098</v>
      </c>
    </row>
    <row r="1468" spans="1:20" ht="14.25" customHeight="1" x14ac:dyDescent="0.35">
      <c r="A1468" s="2" t="s">
        <v>127</v>
      </c>
      <c r="B1468" s="2" t="s">
        <v>34</v>
      </c>
      <c r="C1468" s="2" t="s">
        <v>13</v>
      </c>
      <c r="D1468" s="2" t="s">
        <v>26</v>
      </c>
      <c r="E1468" s="2" t="s">
        <v>22</v>
      </c>
      <c r="F1468" s="2" t="s">
        <v>23</v>
      </c>
      <c r="G1468" s="2" t="s">
        <v>24</v>
      </c>
      <c r="H1468" s="2">
        <v>30000</v>
      </c>
      <c r="I1468" s="2">
        <v>1</v>
      </c>
      <c r="J1468" s="2" t="s">
        <v>27</v>
      </c>
      <c r="K1468" s="2">
        <f t="shared" si="154"/>
        <v>24000</v>
      </c>
      <c r="L1468" s="9">
        <f>Table_1[[#This Row],[Unit Price]]*Table_1[[#This Row],[Quantity]]</f>
        <v>30000</v>
      </c>
      <c r="M1468" s="8">
        <f>Table_1[[#This Row],[Cost Price]]*Table_1[[#This Row],[Quantity]]</f>
        <v>24000</v>
      </c>
      <c r="N1468">
        <f>Table_1[[#This Row],[Revenue]]-Table_1[[#This Row],[COGS]]</f>
        <v>6000</v>
      </c>
      <c r="O1468" s="11">
        <f t="shared" si="155"/>
        <v>4656740000</v>
      </c>
      <c r="P1468">
        <f t="shared" si="156"/>
        <v>3725392000</v>
      </c>
      <c r="Q1468">
        <f t="shared" si="157"/>
        <v>931348000</v>
      </c>
      <c r="R1468" s="7">
        <f t="shared" si="158"/>
        <v>2098</v>
      </c>
      <c r="S1468" s="7">
        <f t="shared" si="159"/>
        <v>4</v>
      </c>
      <c r="T1468" s="7">
        <f t="shared" si="160"/>
        <v>2098</v>
      </c>
    </row>
    <row r="1469" spans="1:20" ht="14.25" customHeight="1" x14ac:dyDescent="0.35">
      <c r="A1469" s="2" t="s">
        <v>146</v>
      </c>
      <c r="B1469" s="2" t="s">
        <v>29</v>
      </c>
      <c r="C1469" s="2" t="s">
        <v>30</v>
      </c>
      <c r="D1469" s="2" t="s">
        <v>26</v>
      </c>
      <c r="E1469" s="2" t="s">
        <v>22</v>
      </c>
      <c r="F1469" s="2" t="s">
        <v>35</v>
      </c>
      <c r="G1469" s="2" t="s">
        <v>36</v>
      </c>
      <c r="H1469" s="2">
        <v>300000</v>
      </c>
      <c r="I1469" s="2">
        <v>10</v>
      </c>
      <c r="J1469" s="2" t="s">
        <v>43</v>
      </c>
      <c r="K1469" s="2">
        <f t="shared" si="154"/>
        <v>240000</v>
      </c>
      <c r="L1469" s="9">
        <f>Table_1[[#This Row],[Unit Price]]*Table_1[[#This Row],[Quantity]]</f>
        <v>3000000</v>
      </c>
      <c r="M1469" s="8">
        <f>Table_1[[#This Row],[Cost Price]]*Table_1[[#This Row],[Quantity]]</f>
        <v>2400000</v>
      </c>
      <c r="N1469">
        <f>Table_1[[#This Row],[Revenue]]-Table_1[[#This Row],[COGS]]</f>
        <v>600000</v>
      </c>
      <c r="O1469" s="11">
        <f t="shared" si="155"/>
        <v>4656740000</v>
      </c>
      <c r="P1469">
        <f t="shared" si="156"/>
        <v>3725392000</v>
      </c>
      <c r="Q1469">
        <f t="shared" si="157"/>
        <v>931348000</v>
      </c>
      <c r="R1469" s="7">
        <f t="shared" si="158"/>
        <v>2098</v>
      </c>
      <c r="S1469" s="7">
        <f t="shared" si="159"/>
        <v>3</v>
      </c>
      <c r="T1469" s="7">
        <f t="shared" si="160"/>
        <v>2098</v>
      </c>
    </row>
    <row r="1470" spans="1:20" ht="14.25" customHeight="1" x14ac:dyDescent="0.35">
      <c r="A1470" s="2" t="s">
        <v>80</v>
      </c>
      <c r="B1470" s="2" t="s">
        <v>29</v>
      </c>
      <c r="C1470" s="2" t="s">
        <v>21</v>
      </c>
      <c r="D1470" s="2" t="s">
        <v>26</v>
      </c>
      <c r="E1470" s="2" t="s">
        <v>22</v>
      </c>
      <c r="F1470" s="2" t="s">
        <v>52</v>
      </c>
      <c r="G1470" s="2" t="s">
        <v>36</v>
      </c>
      <c r="H1470" s="2">
        <v>420000</v>
      </c>
      <c r="I1470" s="2">
        <v>5</v>
      </c>
      <c r="J1470" s="2" t="s">
        <v>50</v>
      </c>
      <c r="K1470" s="2">
        <f t="shared" si="154"/>
        <v>336000</v>
      </c>
      <c r="L1470" s="9">
        <f>Table_1[[#This Row],[Unit Price]]*Table_1[[#This Row],[Quantity]]</f>
        <v>2100000</v>
      </c>
      <c r="M1470" s="8">
        <f>Table_1[[#This Row],[Cost Price]]*Table_1[[#This Row],[Quantity]]</f>
        <v>1680000</v>
      </c>
      <c r="N1470">
        <f>Table_1[[#This Row],[Revenue]]-Table_1[[#This Row],[COGS]]</f>
        <v>420000</v>
      </c>
      <c r="O1470" s="11">
        <f t="shared" si="155"/>
        <v>4656740000</v>
      </c>
      <c r="P1470">
        <f t="shared" si="156"/>
        <v>3725392000</v>
      </c>
      <c r="Q1470">
        <f t="shared" si="157"/>
        <v>931348000</v>
      </c>
      <c r="R1470" s="7">
        <f t="shared" si="158"/>
        <v>2098</v>
      </c>
      <c r="S1470" s="7">
        <f t="shared" si="159"/>
        <v>2</v>
      </c>
      <c r="T1470" s="7">
        <f t="shared" si="160"/>
        <v>2098</v>
      </c>
    </row>
    <row r="1471" spans="1:20" ht="14.25" customHeight="1" x14ac:dyDescent="0.35">
      <c r="A1471" s="2" t="s">
        <v>55</v>
      </c>
      <c r="B1471" s="2" t="s">
        <v>20</v>
      </c>
      <c r="C1471" s="2" t="s">
        <v>13</v>
      </c>
      <c r="D1471" s="2" t="s">
        <v>26</v>
      </c>
      <c r="E1471" s="2" t="s">
        <v>22</v>
      </c>
      <c r="F1471" s="2" t="s">
        <v>56</v>
      </c>
      <c r="G1471" s="2" t="s">
        <v>36</v>
      </c>
      <c r="H1471" s="2">
        <v>250000</v>
      </c>
      <c r="I1471" s="2">
        <v>4</v>
      </c>
      <c r="J1471" s="2" t="s">
        <v>50</v>
      </c>
      <c r="K1471" s="2">
        <f t="shared" si="154"/>
        <v>200000</v>
      </c>
      <c r="L1471" s="9">
        <f>Table_1[[#This Row],[Unit Price]]*Table_1[[#This Row],[Quantity]]</f>
        <v>1000000</v>
      </c>
      <c r="M1471" s="8">
        <f>Table_1[[#This Row],[Cost Price]]*Table_1[[#This Row],[Quantity]]</f>
        <v>800000</v>
      </c>
      <c r="N1471">
        <f>Table_1[[#This Row],[Revenue]]-Table_1[[#This Row],[COGS]]</f>
        <v>200000</v>
      </c>
      <c r="O1471" s="11">
        <f t="shared" si="155"/>
        <v>4656740000</v>
      </c>
      <c r="P1471">
        <f t="shared" si="156"/>
        <v>3725392000</v>
      </c>
      <c r="Q1471">
        <f t="shared" si="157"/>
        <v>931348000</v>
      </c>
      <c r="R1471" s="7">
        <f t="shared" si="158"/>
        <v>2098</v>
      </c>
      <c r="S1471" s="7">
        <f t="shared" si="159"/>
        <v>4</v>
      </c>
      <c r="T1471" s="7">
        <f t="shared" si="160"/>
        <v>2098</v>
      </c>
    </row>
    <row r="1472" spans="1:20" ht="14.25" customHeight="1" x14ac:dyDescent="0.35">
      <c r="A1472" s="2" t="s">
        <v>81</v>
      </c>
      <c r="B1472" s="2" t="s">
        <v>29</v>
      </c>
      <c r="C1472" s="2" t="s">
        <v>30</v>
      </c>
      <c r="D1472" s="2" t="s">
        <v>14</v>
      </c>
      <c r="E1472" s="2" t="s">
        <v>22</v>
      </c>
      <c r="F1472" s="2" t="s">
        <v>58</v>
      </c>
      <c r="G1472" s="2" t="s">
        <v>24</v>
      </c>
      <c r="H1472" s="2">
        <v>220000</v>
      </c>
      <c r="I1472" s="2">
        <v>3</v>
      </c>
      <c r="J1472" s="2" t="s">
        <v>18</v>
      </c>
      <c r="K1472" s="2">
        <f t="shared" si="154"/>
        <v>176000</v>
      </c>
      <c r="L1472" s="9">
        <f>Table_1[[#This Row],[Unit Price]]*Table_1[[#This Row],[Quantity]]</f>
        <v>660000</v>
      </c>
      <c r="M1472" s="8">
        <f>Table_1[[#This Row],[Cost Price]]*Table_1[[#This Row],[Quantity]]</f>
        <v>528000</v>
      </c>
      <c r="N1472">
        <f>Table_1[[#This Row],[Revenue]]-Table_1[[#This Row],[COGS]]</f>
        <v>132000</v>
      </c>
      <c r="O1472" s="11">
        <f t="shared" si="155"/>
        <v>4656740000</v>
      </c>
      <c r="P1472">
        <f t="shared" si="156"/>
        <v>3725392000</v>
      </c>
      <c r="Q1472">
        <f t="shared" si="157"/>
        <v>931348000</v>
      </c>
      <c r="R1472" s="7">
        <f t="shared" si="158"/>
        <v>2098</v>
      </c>
      <c r="S1472" s="7">
        <f t="shared" si="159"/>
        <v>3</v>
      </c>
      <c r="T1472" s="7">
        <f t="shared" si="160"/>
        <v>2098</v>
      </c>
    </row>
    <row r="1473" spans="1:20" ht="14.25" customHeight="1" x14ac:dyDescent="0.35">
      <c r="A1473" s="2" t="s">
        <v>89</v>
      </c>
      <c r="B1473" s="2" t="s">
        <v>34</v>
      </c>
      <c r="C1473" s="2" t="s">
        <v>38</v>
      </c>
      <c r="D1473" s="2" t="s">
        <v>14</v>
      </c>
      <c r="E1473" s="2" t="s">
        <v>22</v>
      </c>
      <c r="F1473" s="2" t="s">
        <v>41</v>
      </c>
      <c r="G1473" s="2" t="s">
        <v>17</v>
      </c>
      <c r="H1473" s="2">
        <v>320000</v>
      </c>
      <c r="I1473" s="2">
        <v>2</v>
      </c>
      <c r="J1473" s="2" t="s">
        <v>32</v>
      </c>
      <c r="K1473" s="2">
        <f t="shared" si="154"/>
        <v>256000</v>
      </c>
      <c r="L1473" s="9">
        <f>Table_1[[#This Row],[Unit Price]]*Table_1[[#This Row],[Quantity]]</f>
        <v>640000</v>
      </c>
      <c r="M1473" s="8">
        <f>Table_1[[#This Row],[Cost Price]]*Table_1[[#This Row],[Quantity]]</f>
        <v>512000</v>
      </c>
      <c r="N1473">
        <f>Table_1[[#This Row],[Revenue]]-Table_1[[#This Row],[COGS]]</f>
        <v>128000</v>
      </c>
      <c r="O1473" s="11">
        <f t="shared" si="155"/>
        <v>4656740000</v>
      </c>
      <c r="P1473">
        <f t="shared" si="156"/>
        <v>3725392000</v>
      </c>
      <c r="Q1473">
        <f t="shared" si="157"/>
        <v>931348000</v>
      </c>
      <c r="R1473" s="7">
        <f t="shared" si="158"/>
        <v>2098</v>
      </c>
      <c r="S1473" s="7">
        <f t="shared" si="159"/>
        <v>3</v>
      </c>
      <c r="T1473" s="7">
        <f t="shared" si="160"/>
        <v>2098</v>
      </c>
    </row>
    <row r="1474" spans="1:20" ht="14.25" customHeight="1" x14ac:dyDescent="0.35">
      <c r="A1474" s="2" t="s">
        <v>62</v>
      </c>
      <c r="B1474" s="2" t="s">
        <v>12</v>
      </c>
      <c r="C1474" s="2" t="s">
        <v>38</v>
      </c>
      <c r="D1474" s="2" t="s">
        <v>26</v>
      </c>
      <c r="E1474" s="2" t="s">
        <v>22</v>
      </c>
      <c r="F1474" s="2" t="s">
        <v>41</v>
      </c>
      <c r="G1474" s="2" t="s">
        <v>17</v>
      </c>
      <c r="H1474" s="2">
        <v>320000</v>
      </c>
      <c r="I1474" s="2">
        <v>9</v>
      </c>
      <c r="J1474" s="2" t="s">
        <v>54</v>
      </c>
      <c r="K1474" s="2">
        <f t="shared" ref="K1474:K1537" si="161">H1474-H1474*0.2</f>
        <v>256000</v>
      </c>
      <c r="L1474" s="9">
        <f>Table_1[[#This Row],[Unit Price]]*Table_1[[#This Row],[Quantity]]</f>
        <v>2880000</v>
      </c>
      <c r="M1474" s="8">
        <f>Table_1[[#This Row],[Cost Price]]*Table_1[[#This Row],[Quantity]]</f>
        <v>2304000</v>
      </c>
      <c r="N1474">
        <f>Table_1[[#This Row],[Revenue]]-Table_1[[#This Row],[COGS]]</f>
        <v>576000</v>
      </c>
      <c r="O1474" s="11">
        <f t="shared" ref="O1474:O1537" si="162">SUM(L$2:L$1048576)</f>
        <v>4656740000</v>
      </c>
      <c r="P1474">
        <f t="shared" ref="P1474:P1537" si="163">SUM(M:M)</f>
        <v>3725392000</v>
      </c>
      <c r="Q1474">
        <f t="shared" ref="Q1474:Q1537" si="164">SUM(N:N)</f>
        <v>931348000</v>
      </c>
      <c r="R1474" s="7">
        <f t="shared" ref="R1474:R1537" si="165">COUNTA(A$2:A$1048576)</f>
        <v>2098</v>
      </c>
      <c r="S1474" s="7">
        <f t="shared" ref="S1474:S1537" si="166">MONTH(A1474:A2962)</f>
        <v>4</v>
      </c>
      <c r="T1474" s="7">
        <f t="shared" ref="T1474:T1537" si="167">COUNTA(A:A)-1</f>
        <v>2098</v>
      </c>
    </row>
    <row r="1475" spans="1:20" ht="14.25" customHeight="1" x14ac:dyDescent="0.35">
      <c r="A1475" s="2" t="s">
        <v>25</v>
      </c>
      <c r="B1475" s="2" t="s">
        <v>34</v>
      </c>
      <c r="C1475" s="2" t="s">
        <v>21</v>
      </c>
      <c r="D1475" s="2" t="s">
        <v>14</v>
      </c>
      <c r="E1475" s="2" t="s">
        <v>22</v>
      </c>
      <c r="F1475" s="2" t="s">
        <v>58</v>
      </c>
      <c r="G1475" s="2" t="s">
        <v>24</v>
      </c>
      <c r="H1475" s="2">
        <v>220000</v>
      </c>
      <c r="I1475" s="2">
        <v>10</v>
      </c>
      <c r="J1475" s="2" t="s">
        <v>27</v>
      </c>
      <c r="K1475" s="2">
        <f t="shared" si="161"/>
        <v>176000</v>
      </c>
      <c r="L1475" s="9">
        <f>Table_1[[#This Row],[Unit Price]]*Table_1[[#This Row],[Quantity]]</f>
        <v>2200000</v>
      </c>
      <c r="M1475" s="8">
        <f>Table_1[[#This Row],[Cost Price]]*Table_1[[#This Row],[Quantity]]</f>
        <v>1760000</v>
      </c>
      <c r="N1475">
        <f>Table_1[[#This Row],[Revenue]]-Table_1[[#This Row],[COGS]]</f>
        <v>440000</v>
      </c>
      <c r="O1475" s="11">
        <f t="shared" si="162"/>
        <v>4656740000</v>
      </c>
      <c r="P1475">
        <f t="shared" si="163"/>
        <v>3725392000</v>
      </c>
      <c r="Q1475">
        <f t="shared" si="164"/>
        <v>931348000</v>
      </c>
      <c r="R1475" s="7">
        <f t="shared" si="165"/>
        <v>2098</v>
      </c>
      <c r="S1475" s="7">
        <f t="shared" si="166"/>
        <v>2</v>
      </c>
      <c r="T1475" s="7">
        <f t="shared" si="167"/>
        <v>2098</v>
      </c>
    </row>
    <row r="1476" spans="1:20" ht="14.25" customHeight="1" x14ac:dyDescent="0.35">
      <c r="A1476" s="2" t="s">
        <v>126</v>
      </c>
      <c r="B1476" s="2" t="s">
        <v>29</v>
      </c>
      <c r="C1476" s="2" t="s">
        <v>13</v>
      </c>
      <c r="D1476" s="2" t="s">
        <v>14</v>
      </c>
      <c r="E1476" s="2" t="s">
        <v>22</v>
      </c>
      <c r="F1476" s="2" t="s">
        <v>16</v>
      </c>
      <c r="G1476" s="2" t="s">
        <v>17</v>
      </c>
      <c r="H1476" s="2">
        <v>85000</v>
      </c>
      <c r="I1476" s="2">
        <v>1</v>
      </c>
      <c r="J1476" s="2" t="s">
        <v>32</v>
      </c>
      <c r="K1476" s="2">
        <f t="shared" si="161"/>
        <v>68000</v>
      </c>
      <c r="L1476" s="9">
        <f>Table_1[[#This Row],[Unit Price]]*Table_1[[#This Row],[Quantity]]</f>
        <v>85000</v>
      </c>
      <c r="M1476" s="8">
        <f>Table_1[[#This Row],[Cost Price]]*Table_1[[#This Row],[Quantity]]</f>
        <v>68000</v>
      </c>
      <c r="N1476">
        <f>Table_1[[#This Row],[Revenue]]-Table_1[[#This Row],[COGS]]</f>
        <v>17000</v>
      </c>
      <c r="O1476" s="11">
        <f t="shared" si="162"/>
        <v>4656740000</v>
      </c>
      <c r="P1476">
        <f t="shared" si="163"/>
        <v>3725392000</v>
      </c>
      <c r="Q1476">
        <f t="shared" si="164"/>
        <v>931348000</v>
      </c>
      <c r="R1476" s="7">
        <f t="shared" si="165"/>
        <v>2098</v>
      </c>
      <c r="S1476" s="7">
        <f t="shared" si="166"/>
        <v>3</v>
      </c>
      <c r="T1476" s="7">
        <f t="shared" si="167"/>
        <v>2098</v>
      </c>
    </row>
    <row r="1477" spans="1:20" ht="14.25" customHeight="1" x14ac:dyDescent="0.35">
      <c r="A1477" s="2" t="s">
        <v>83</v>
      </c>
      <c r="B1477" s="2" t="s">
        <v>29</v>
      </c>
      <c r="C1477" s="2" t="s">
        <v>38</v>
      </c>
      <c r="D1477" s="2" t="s">
        <v>14</v>
      </c>
      <c r="E1477" s="2" t="s">
        <v>15</v>
      </c>
      <c r="F1477" s="2" t="s">
        <v>35</v>
      </c>
      <c r="G1477" s="2" t="s">
        <v>36</v>
      </c>
      <c r="H1477" s="2">
        <v>300000</v>
      </c>
      <c r="I1477" s="2">
        <v>4</v>
      </c>
      <c r="J1477" s="2" t="s">
        <v>32</v>
      </c>
      <c r="K1477" s="2">
        <f t="shared" si="161"/>
        <v>240000</v>
      </c>
      <c r="L1477" s="9">
        <f>Table_1[[#This Row],[Unit Price]]*Table_1[[#This Row],[Quantity]]</f>
        <v>1200000</v>
      </c>
      <c r="M1477" s="8">
        <f>Table_1[[#This Row],[Cost Price]]*Table_1[[#This Row],[Quantity]]</f>
        <v>960000</v>
      </c>
      <c r="N1477">
        <f>Table_1[[#This Row],[Revenue]]-Table_1[[#This Row],[COGS]]</f>
        <v>240000</v>
      </c>
      <c r="O1477" s="11">
        <f t="shared" si="162"/>
        <v>4656740000</v>
      </c>
      <c r="P1477">
        <f t="shared" si="163"/>
        <v>3725392000</v>
      </c>
      <c r="Q1477">
        <f t="shared" si="164"/>
        <v>931348000</v>
      </c>
      <c r="R1477" s="7">
        <f t="shared" si="165"/>
        <v>2098</v>
      </c>
      <c r="S1477" s="7">
        <f t="shared" si="166"/>
        <v>1</v>
      </c>
      <c r="T1477" s="7">
        <f t="shared" si="167"/>
        <v>2098</v>
      </c>
    </row>
    <row r="1478" spans="1:20" ht="14.25" customHeight="1" x14ac:dyDescent="0.35">
      <c r="A1478" s="2" t="s">
        <v>25</v>
      </c>
      <c r="B1478" s="2" t="s">
        <v>29</v>
      </c>
      <c r="C1478" s="2" t="s">
        <v>38</v>
      </c>
      <c r="D1478" s="2" t="s">
        <v>26</v>
      </c>
      <c r="E1478" s="2" t="s">
        <v>22</v>
      </c>
      <c r="F1478" s="2" t="s">
        <v>16</v>
      </c>
      <c r="G1478" s="2" t="s">
        <v>17</v>
      </c>
      <c r="H1478" s="2">
        <v>85000</v>
      </c>
      <c r="I1478" s="2">
        <v>5</v>
      </c>
      <c r="J1478" s="2" t="s">
        <v>27</v>
      </c>
      <c r="K1478" s="2">
        <f t="shared" si="161"/>
        <v>68000</v>
      </c>
      <c r="L1478" s="9">
        <f>Table_1[[#This Row],[Unit Price]]*Table_1[[#This Row],[Quantity]]</f>
        <v>425000</v>
      </c>
      <c r="M1478" s="8">
        <f>Table_1[[#This Row],[Cost Price]]*Table_1[[#This Row],[Quantity]]</f>
        <v>340000</v>
      </c>
      <c r="N1478">
        <f>Table_1[[#This Row],[Revenue]]-Table_1[[#This Row],[COGS]]</f>
        <v>85000</v>
      </c>
      <c r="O1478" s="11">
        <f t="shared" si="162"/>
        <v>4656740000</v>
      </c>
      <c r="P1478">
        <f t="shared" si="163"/>
        <v>3725392000</v>
      </c>
      <c r="Q1478">
        <f t="shared" si="164"/>
        <v>931348000</v>
      </c>
      <c r="R1478" s="7">
        <f t="shared" si="165"/>
        <v>2098</v>
      </c>
      <c r="S1478" s="7">
        <f t="shared" si="166"/>
        <v>2</v>
      </c>
      <c r="T1478" s="7">
        <f t="shared" si="167"/>
        <v>2098</v>
      </c>
    </row>
    <row r="1479" spans="1:20" ht="14.25" customHeight="1" x14ac:dyDescent="0.35">
      <c r="A1479" s="2" t="s">
        <v>150</v>
      </c>
      <c r="B1479" s="2" t="s">
        <v>29</v>
      </c>
      <c r="C1479" s="2" t="s">
        <v>38</v>
      </c>
      <c r="D1479" s="2" t="s">
        <v>26</v>
      </c>
      <c r="E1479" s="2" t="s">
        <v>15</v>
      </c>
      <c r="F1479" s="2" t="s">
        <v>35</v>
      </c>
      <c r="G1479" s="2" t="s">
        <v>36</v>
      </c>
      <c r="H1479" s="2">
        <v>300000</v>
      </c>
      <c r="I1479" s="2">
        <v>5</v>
      </c>
      <c r="J1479" s="2" t="s">
        <v>54</v>
      </c>
      <c r="K1479" s="2">
        <f t="shared" si="161"/>
        <v>240000</v>
      </c>
      <c r="L1479" s="9">
        <f>Table_1[[#This Row],[Unit Price]]*Table_1[[#This Row],[Quantity]]</f>
        <v>1500000</v>
      </c>
      <c r="M1479" s="8">
        <f>Table_1[[#This Row],[Cost Price]]*Table_1[[#This Row],[Quantity]]</f>
        <v>1200000</v>
      </c>
      <c r="N1479">
        <f>Table_1[[#This Row],[Revenue]]-Table_1[[#This Row],[COGS]]</f>
        <v>300000</v>
      </c>
      <c r="O1479" s="11">
        <f t="shared" si="162"/>
        <v>4656740000</v>
      </c>
      <c r="P1479">
        <f t="shared" si="163"/>
        <v>3725392000</v>
      </c>
      <c r="Q1479">
        <f t="shared" si="164"/>
        <v>931348000</v>
      </c>
      <c r="R1479" s="7">
        <f t="shared" si="165"/>
        <v>2098</v>
      </c>
      <c r="S1479" s="7">
        <f t="shared" si="166"/>
        <v>4</v>
      </c>
      <c r="T1479" s="7">
        <f t="shared" si="167"/>
        <v>2098</v>
      </c>
    </row>
    <row r="1480" spans="1:20" ht="14.25" customHeight="1" x14ac:dyDescent="0.35">
      <c r="A1480" s="2" t="s">
        <v>95</v>
      </c>
      <c r="B1480" s="2" t="s">
        <v>29</v>
      </c>
      <c r="C1480" s="2" t="s">
        <v>38</v>
      </c>
      <c r="D1480" s="2" t="s">
        <v>14</v>
      </c>
      <c r="E1480" s="2" t="s">
        <v>22</v>
      </c>
      <c r="F1480" s="2" t="s">
        <v>35</v>
      </c>
      <c r="G1480" s="2" t="s">
        <v>36</v>
      </c>
      <c r="H1480" s="2">
        <v>300000</v>
      </c>
      <c r="I1480" s="2">
        <v>5</v>
      </c>
      <c r="J1480" s="2" t="s">
        <v>18</v>
      </c>
      <c r="K1480" s="2">
        <f t="shared" si="161"/>
        <v>240000</v>
      </c>
      <c r="L1480" s="9">
        <f>Table_1[[#This Row],[Unit Price]]*Table_1[[#This Row],[Quantity]]</f>
        <v>1500000</v>
      </c>
      <c r="M1480" s="8">
        <f>Table_1[[#This Row],[Cost Price]]*Table_1[[#This Row],[Quantity]]</f>
        <v>1200000</v>
      </c>
      <c r="N1480">
        <f>Table_1[[#This Row],[Revenue]]-Table_1[[#This Row],[COGS]]</f>
        <v>300000</v>
      </c>
      <c r="O1480" s="11">
        <f t="shared" si="162"/>
        <v>4656740000</v>
      </c>
      <c r="P1480">
        <f t="shared" si="163"/>
        <v>3725392000</v>
      </c>
      <c r="Q1480">
        <f t="shared" si="164"/>
        <v>931348000</v>
      </c>
      <c r="R1480" s="7">
        <f t="shared" si="165"/>
        <v>2098</v>
      </c>
      <c r="S1480" s="7">
        <f t="shared" si="166"/>
        <v>1</v>
      </c>
      <c r="T1480" s="7">
        <f t="shared" si="167"/>
        <v>2098</v>
      </c>
    </row>
    <row r="1481" spans="1:20" ht="14.25" customHeight="1" x14ac:dyDescent="0.35">
      <c r="A1481" s="2" t="s">
        <v>122</v>
      </c>
      <c r="B1481" s="2" t="s">
        <v>12</v>
      </c>
      <c r="C1481" s="2" t="s">
        <v>21</v>
      </c>
      <c r="D1481" s="2" t="s">
        <v>26</v>
      </c>
      <c r="E1481" s="2" t="s">
        <v>22</v>
      </c>
      <c r="F1481" s="2" t="s">
        <v>23</v>
      </c>
      <c r="G1481" s="2" t="s">
        <v>24</v>
      </c>
      <c r="H1481" s="2">
        <v>30000</v>
      </c>
      <c r="I1481" s="2">
        <v>10</v>
      </c>
      <c r="J1481" s="2" t="s">
        <v>18</v>
      </c>
      <c r="K1481" s="2">
        <f t="shared" si="161"/>
        <v>24000</v>
      </c>
      <c r="L1481" s="9">
        <f>Table_1[[#This Row],[Unit Price]]*Table_1[[#This Row],[Quantity]]</f>
        <v>300000</v>
      </c>
      <c r="M1481" s="8">
        <f>Table_1[[#This Row],[Cost Price]]*Table_1[[#This Row],[Quantity]]</f>
        <v>240000</v>
      </c>
      <c r="N1481">
        <f>Table_1[[#This Row],[Revenue]]-Table_1[[#This Row],[COGS]]</f>
        <v>60000</v>
      </c>
      <c r="O1481" s="11">
        <f t="shared" si="162"/>
        <v>4656740000</v>
      </c>
      <c r="P1481">
        <f t="shared" si="163"/>
        <v>3725392000</v>
      </c>
      <c r="Q1481">
        <f t="shared" si="164"/>
        <v>931348000</v>
      </c>
      <c r="R1481" s="7">
        <f t="shared" si="165"/>
        <v>2098</v>
      </c>
      <c r="S1481" s="7">
        <f t="shared" si="166"/>
        <v>4</v>
      </c>
      <c r="T1481" s="7">
        <f t="shared" si="167"/>
        <v>2098</v>
      </c>
    </row>
    <row r="1482" spans="1:20" ht="14.25" customHeight="1" x14ac:dyDescent="0.35">
      <c r="A1482" s="2" t="s">
        <v>141</v>
      </c>
      <c r="B1482" s="2" t="s">
        <v>29</v>
      </c>
      <c r="C1482" s="2" t="s">
        <v>30</v>
      </c>
      <c r="D1482" s="2" t="s">
        <v>14</v>
      </c>
      <c r="E1482" s="2" t="s">
        <v>15</v>
      </c>
      <c r="F1482" s="2" t="s">
        <v>58</v>
      </c>
      <c r="G1482" s="2" t="s">
        <v>24</v>
      </c>
      <c r="H1482" s="2">
        <v>220000</v>
      </c>
      <c r="I1482" s="2">
        <v>6</v>
      </c>
      <c r="J1482" s="2" t="s">
        <v>43</v>
      </c>
      <c r="K1482" s="2">
        <f t="shared" si="161"/>
        <v>176000</v>
      </c>
      <c r="L1482" s="9">
        <f>Table_1[[#This Row],[Unit Price]]*Table_1[[#This Row],[Quantity]]</f>
        <v>1320000</v>
      </c>
      <c r="M1482" s="8">
        <f>Table_1[[#This Row],[Cost Price]]*Table_1[[#This Row],[Quantity]]</f>
        <v>1056000</v>
      </c>
      <c r="N1482">
        <f>Table_1[[#This Row],[Revenue]]-Table_1[[#This Row],[COGS]]</f>
        <v>264000</v>
      </c>
      <c r="O1482" s="11">
        <f t="shared" si="162"/>
        <v>4656740000</v>
      </c>
      <c r="P1482">
        <f t="shared" si="163"/>
        <v>3725392000</v>
      </c>
      <c r="Q1482">
        <f t="shared" si="164"/>
        <v>931348000</v>
      </c>
      <c r="R1482" s="7">
        <f t="shared" si="165"/>
        <v>2098</v>
      </c>
      <c r="S1482" s="7">
        <f t="shared" si="166"/>
        <v>2</v>
      </c>
      <c r="T1482" s="7">
        <f t="shared" si="167"/>
        <v>2098</v>
      </c>
    </row>
    <row r="1483" spans="1:20" ht="14.25" customHeight="1" x14ac:dyDescent="0.35">
      <c r="A1483" s="2" t="s">
        <v>127</v>
      </c>
      <c r="B1483" s="2" t="s">
        <v>12</v>
      </c>
      <c r="C1483" s="2" t="s">
        <v>38</v>
      </c>
      <c r="D1483" s="2" t="s">
        <v>26</v>
      </c>
      <c r="E1483" s="2" t="s">
        <v>15</v>
      </c>
      <c r="F1483" s="2" t="s">
        <v>16</v>
      </c>
      <c r="G1483" s="2" t="s">
        <v>17</v>
      </c>
      <c r="H1483" s="2">
        <v>85000</v>
      </c>
      <c r="I1483" s="2">
        <v>9</v>
      </c>
      <c r="J1483" s="2" t="s">
        <v>27</v>
      </c>
      <c r="K1483" s="2">
        <f t="shared" si="161"/>
        <v>68000</v>
      </c>
      <c r="L1483" s="9">
        <f>Table_1[[#This Row],[Unit Price]]*Table_1[[#This Row],[Quantity]]</f>
        <v>765000</v>
      </c>
      <c r="M1483" s="8">
        <f>Table_1[[#This Row],[Cost Price]]*Table_1[[#This Row],[Quantity]]</f>
        <v>612000</v>
      </c>
      <c r="N1483">
        <f>Table_1[[#This Row],[Revenue]]-Table_1[[#This Row],[COGS]]</f>
        <v>153000</v>
      </c>
      <c r="O1483" s="11">
        <f t="shared" si="162"/>
        <v>4656740000</v>
      </c>
      <c r="P1483">
        <f t="shared" si="163"/>
        <v>3725392000</v>
      </c>
      <c r="Q1483">
        <f t="shared" si="164"/>
        <v>931348000</v>
      </c>
      <c r="R1483" s="7">
        <f t="shared" si="165"/>
        <v>2098</v>
      </c>
      <c r="S1483" s="7">
        <f t="shared" si="166"/>
        <v>4</v>
      </c>
      <c r="T1483" s="7">
        <f t="shared" si="167"/>
        <v>2098</v>
      </c>
    </row>
    <row r="1484" spans="1:20" ht="14.25" customHeight="1" x14ac:dyDescent="0.35">
      <c r="A1484" s="2" t="s">
        <v>112</v>
      </c>
      <c r="B1484" s="2" t="s">
        <v>20</v>
      </c>
      <c r="C1484" s="2" t="s">
        <v>38</v>
      </c>
      <c r="D1484" s="2" t="s">
        <v>14</v>
      </c>
      <c r="E1484" s="2" t="s">
        <v>15</v>
      </c>
      <c r="F1484" s="2" t="s">
        <v>52</v>
      </c>
      <c r="G1484" s="2" t="s">
        <v>36</v>
      </c>
      <c r="H1484" s="2">
        <v>420000</v>
      </c>
      <c r="I1484" s="2">
        <v>10</v>
      </c>
      <c r="J1484" s="2" t="s">
        <v>32</v>
      </c>
      <c r="K1484" s="2">
        <f t="shared" si="161"/>
        <v>336000</v>
      </c>
      <c r="L1484" s="9">
        <f>Table_1[[#This Row],[Unit Price]]*Table_1[[#This Row],[Quantity]]</f>
        <v>4200000</v>
      </c>
      <c r="M1484" s="8">
        <f>Table_1[[#This Row],[Cost Price]]*Table_1[[#This Row],[Quantity]]</f>
        <v>3360000</v>
      </c>
      <c r="N1484">
        <f>Table_1[[#This Row],[Revenue]]-Table_1[[#This Row],[COGS]]</f>
        <v>840000</v>
      </c>
      <c r="O1484" s="11">
        <f t="shared" si="162"/>
        <v>4656740000</v>
      </c>
      <c r="P1484">
        <f t="shared" si="163"/>
        <v>3725392000</v>
      </c>
      <c r="Q1484">
        <f t="shared" si="164"/>
        <v>931348000</v>
      </c>
      <c r="R1484" s="7">
        <f t="shared" si="165"/>
        <v>2098</v>
      </c>
      <c r="S1484" s="7">
        <f t="shared" si="166"/>
        <v>1</v>
      </c>
      <c r="T1484" s="7">
        <f t="shared" si="167"/>
        <v>2098</v>
      </c>
    </row>
    <row r="1485" spans="1:20" ht="14.25" customHeight="1" x14ac:dyDescent="0.35">
      <c r="A1485" s="2" t="s">
        <v>110</v>
      </c>
      <c r="B1485" s="2" t="s">
        <v>34</v>
      </c>
      <c r="C1485" s="2" t="s">
        <v>13</v>
      </c>
      <c r="D1485" s="2" t="s">
        <v>26</v>
      </c>
      <c r="E1485" s="2" t="s">
        <v>22</v>
      </c>
      <c r="F1485" s="2" t="s">
        <v>52</v>
      </c>
      <c r="G1485" s="2" t="s">
        <v>36</v>
      </c>
      <c r="H1485" s="2">
        <v>420000</v>
      </c>
      <c r="I1485" s="2">
        <v>1</v>
      </c>
      <c r="J1485" s="2" t="s">
        <v>43</v>
      </c>
      <c r="K1485" s="2">
        <f t="shared" si="161"/>
        <v>336000</v>
      </c>
      <c r="L1485" s="9">
        <f>Table_1[[#This Row],[Unit Price]]*Table_1[[#This Row],[Quantity]]</f>
        <v>420000</v>
      </c>
      <c r="M1485" s="8">
        <f>Table_1[[#This Row],[Cost Price]]*Table_1[[#This Row],[Quantity]]</f>
        <v>336000</v>
      </c>
      <c r="N1485">
        <f>Table_1[[#This Row],[Revenue]]-Table_1[[#This Row],[COGS]]</f>
        <v>84000</v>
      </c>
      <c r="O1485" s="11">
        <f t="shared" si="162"/>
        <v>4656740000</v>
      </c>
      <c r="P1485">
        <f t="shared" si="163"/>
        <v>3725392000</v>
      </c>
      <c r="Q1485">
        <f t="shared" si="164"/>
        <v>931348000</v>
      </c>
      <c r="R1485" s="7">
        <f t="shared" si="165"/>
        <v>2098</v>
      </c>
      <c r="S1485" s="7">
        <f t="shared" si="166"/>
        <v>2</v>
      </c>
      <c r="T1485" s="7">
        <f t="shared" si="167"/>
        <v>2098</v>
      </c>
    </row>
    <row r="1486" spans="1:20" ht="14.25" customHeight="1" x14ac:dyDescent="0.35">
      <c r="A1486" s="2" t="s">
        <v>33</v>
      </c>
      <c r="B1486" s="2" t="s">
        <v>12</v>
      </c>
      <c r="C1486" s="2" t="s">
        <v>21</v>
      </c>
      <c r="D1486" s="2" t="s">
        <v>14</v>
      </c>
      <c r="E1486" s="2" t="s">
        <v>22</v>
      </c>
      <c r="F1486" s="2" t="s">
        <v>31</v>
      </c>
      <c r="G1486" s="2" t="s">
        <v>24</v>
      </c>
      <c r="H1486" s="2">
        <v>60000</v>
      </c>
      <c r="I1486" s="2">
        <v>6</v>
      </c>
      <c r="J1486" s="2" t="s">
        <v>32</v>
      </c>
      <c r="K1486" s="2">
        <f t="shared" si="161"/>
        <v>48000</v>
      </c>
      <c r="L1486" s="9">
        <f>Table_1[[#This Row],[Unit Price]]*Table_1[[#This Row],[Quantity]]</f>
        <v>360000</v>
      </c>
      <c r="M1486" s="8">
        <f>Table_1[[#This Row],[Cost Price]]*Table_1[[#This Row],[Quantity]]</f>
        <v>288000</v>
      </c>
      <c r="N1486">
        <f>Table_1[[#This Row],[Revenue]]-Table_1[[#This Row],[COGS]]</f>
        <v>72000</v>
      </c>
      <c r="O1486" s="11">
        <f t="shared" si="162"/>
        <v>4656740000</v>
      </c>
      <c r="P1486">
        <f t="shared" si="163"/>
        <v>3725392000</v>
      </c>
      <c r="Q1486">
        <f t="shared" si="164"/>
        <v>931348000</v>
      </c>
      <c r="R1486" s="7">
        <f t="shared" si="165"/>
        <v>2098</v>
      </c>
      <c r="S1486" s="7">
        <f t="shared" si="166"/>
        <v>4</v>
      </c>
      <c r="T1486" s="7">
        <f t="shared" si="167"/>
        <v>2098</v>
      </c>
    </row>
    <row r="1487" spans="1:20" ht="14.25" customHeight="1" x14ac:dyDescent="0.35">
      <c r="A1487" s="2" t="s">
        <v>113</v>
      </c>
      <c r="B1487" s="2" t="s">
        <v>29</v>
      </c>
      <c r="C1487" s="2" t="s">
        <v>38</v>
      </c>
      <c r="D1487" s="2" t="s">
        <v>14</v>
      </c>
      <c r="E1487" s="2" t="s">
        <v>22</v>
      </c>
      <c r="F1487" s="2" t="s">
        <v>47</v>
      </c>
      <c r="G1487" s="2" t="s">
        <v>36</v>
      </c>
      <c r="H1487" s="2">
        <v>150000</v>
      </c>
      <c r="I1487" s="2">
        <v>1</v>
      </c>
      <c r="J1487" s="2" t="s">
        <v>32</v>
      </c>
      <c r="K1487" s="2">
        <f t="shared" si="161"/>
        <v>120000</v>
      </c>
      <c r="L1487" s="9">
        <f>Table_1[[#This Row],[Unit Price]]*Table_1[[#This Row],[Quantity]]</f>
        <v>150000</v>
      </c>
      <c r="M1487" s="8">
        <f>Table_1[[#This Row],[Cost Price]]*Table_1[[#This Row],[Quantity]]</f>
        <v>120000</v>
      </c>
      <c r="N1487">
        <f>Table_1[[#This Row],[Revenue]]-Table_1[[#This Row],[COGS]]</f>
        <v>30000</v>
      </c>
      <c r="O1487" s="11">
        <f t="shared" si="162"/>
        <v>4656740000</v>
      </c>
      <c r="P1487">
        <f t="shared" si="163"/>
        <v>3725392000</v>
      </c>
      <c r="Q1487">
        <f t="shared" si="164"/>
        <v>931348000</v>
      </c>
      <c r="R1487" s="7">
        <f t="shared" si="165"/>
        <v>2098</v>
      </c>
      <c r="S1487" s="7">
        <f t="shared" si="166"/>
        <v>3</v>
      </c>
      <c r="T1487" s="7">
        <f t="shared" si="167"/>
        <v>2098</v>
      </c>
    </row>
    <row r="1488" spans="1:20" ht="14.25" customHeight="1" x14ac:dyDescent="0.35">
      <c r="A1488" s="2" t="s">
        <v>76</v>
      </c>
      <c r="B1488" s="2" t="s">
        <v>34</v>
      </c>
      <c r="C1488" s="2" t="s">
        <v>30</v>
      </c>
      <c r="D1488" s="2" t="s">
        <v>14</v>
      </c>
      <c r="E1488" s="2" t="s">
        <v>15</v>
      </c>
      <c r="F1488" s="2" t="s">
        <v>56</v>
      </c>
      <c r="G1488" s="2" t="s">
        <v>36</v>
      </c>
      <c r="H1488" s="2">
        <v>250000</v>
      </c>
      <c r="I1488" s="2">
        <v>5</v>
      </c>
      <c r="J1488" s="2" t="s">
        <v>32</v>
      </c>
      <c r="K1488" s="2">
        <f t="shared" si="161"/>
        <v>200000</v>
      </c>
      <c r="L1488" s="9">
        <f>Table_1[[#This Row],[Unit Price]]*Table_1[[#This Row],[Quantity]]</f>
        <v>1250000</v>
      </c>
      <c r="M1488" s="8">
        <f>Table_1[[#This Row],[Cost Price]]*Table_1[[#This Row],[Quantity]]</f>
        <v>1000000</v>
      </c>
      <c r="N1488">
        <f>Table_1[[#This Row],[Revenue]]-Table_1[[#This Row],[COGS]]</f>
        <v>250000</v>
      </c>
      <c r="O1488" s="11">
        <f t="shared" si="162"/>
        <v>4656740000</v>
      </c>
      <c r="P1488">
        <f t="shared" si="163"/>
        <v>3725392000</v>
      </c>
      <c r="Q1488">
        <f t="shared" si="164"/>
        <v>931348000</v>
      </c>
      <c r="R1488" s="7">
        <f t="shared" si="165"/>
        <v>2098</v>
      </c>
      <c r="S1488" s="7">
        <f t="shared" si="166"/>
        <v>2</v>
      </c>
      <c r="T1488" s="7">
        <f t="shared" si="167"/>
        <v>2098</v>
      </c>
    </row>
    <row r="1489" spans="1:20" ht="14.25" customHeight="1" x14ac:dyDescent="0.35">
      <c r="A1489" s="2" t="s">
        <v>106</v>
      </c>
      <c r="B1489" s="2" t="s">
        <v>20</v>
      </c>
      <c r="C1489" s="2" t="s">
        <v>38</v>
      </c>
      <c r="D1489" s="2" t="s">
        <v>14</v>
      </c>
      <c r="E1489" s="2" t="s">
        <v>22</v>
      </c>
      <c r="F1489" s="2" t="s">
        <v>58</v>
      </c>
      <c r="G1489" s="2" t="s">
        <v>24</v>
      </c>
      <c r="H1489" s="2">
        <v>220000</v>
      </c>
      <c r="I1489" s="2">
        <v>5</v>
      </c>
      <c r="J1489" s="2" t="s">
        <v>32</v>
      </c>
      <c r="K1489" s="2">
        <f t="shared" si="161"/>
        <v>176000</v>
      </c>
      <c r="L1489" s="9">
        <f>Table_1[[#This Row],[Unit Price]]*Table_1[[#This Row],[Quantity]]</f>
        <v>1100000</v>
      </c>
      <c r="M1489" s="8">
        <f>Table_1[[#This Row],[Cost Price]]*Table_1[[#This Row],[Quantity]]</f>
        <v>880000</v>
      </c>
      <c r="N1489">
        <f>Table_1[[#This Row],[Revenue]]-Table_1[[#This Row],[COGS]]</f>
        <v>220000</v>
      </c>
      <c r="O1489" s="11">
        <f t="shared" si="162"/>
        <v>4656740000</v>
      </c>
      <c r="P1489">
        <f t="shared" si="163"/>
        <v>3725392000</v>
      </c>
      <c r="Q1489">
        <f t="shared" si="164"/>
        <v>931348000</v>
      </c>
      <c r="R1489" s="7">
        <f t="shared" si="165"/>
        <v>2098</v>
      </c>
      <c r="S1489" s="7">
        <f t="shared" si="166"/>
        <v>4</v>
      </c>
      <c r="T1489" s="7">
        <f t="shared" si="167"/>
        <v>2098</v>
      </c>
    </row>
    <row r="1490" spans="1:20" ht="14.25" customHeight="1" x14ac:dyDescent="0.35">
      <c r="A1490" s="2" t="s">
        <v>28</v>
      </c>
      <c r="B1490" s="2" t="s">
        <v>12</v>
      </c>
      <c r="C1490" s="2" t="s">
        <v>21</v>
      </c>
      <c r="D1490" s="2" t="s">
        <v>26</v>
      </c>
      <c r="E1490" s="2" t="s">
        <v>22</v>
      </c>
      <c r="F1490" s="2" t="s">
        <v>31</v>
      </c>
      <c r="G1490" s="2" t="s">
        <v>24</v>
      </c>
      <c r="H1490" s="2">
        <v>60000</v>
      </c>
      <c r="I1490" s="2">
        <v>2</v>
      </c>
      <c r="J1490" s="2" t="s">
        <v>32</v>
      </c>
      <c r="K1490" s="2">
        <f t="shared" si="161"/>
        <v>48000</v>
      </c>
      <c r="L1490" s="9">
        <f>Table_1[[#This Row],[Unit Price]]*Table_1[[#This Row],[Quantity]]</f>
        <v>120000</v>
      </c>
      <c r="M1490" s="8">
        <f>Table_1[[#This Row],[Cost Price]]*Table_1[[#This Row],[Quantity]]</f>
        <v>96000</v>
      </c>
      <c r="N1490">
        <f>Table_1[[#This Row],[Revenue]]-Table_1[[#This Row],[COGS]]</f>
        <v>24000</v>
      </c>
      <c r="O1490" s="11">
        <f t="shared" si="162"/>
        <v>4656740000</v>
      </c>
      <c r="P1490">
        <f t="shared" si="163"/>
        <v>3725392000</v>
      </c>
      <c r="Q1490">
        <f t="shared" si="164"/>
        <v>931348000</v>
      </c>
      <c r="R1490" s="7">
        <f t="shared" si="165"/>
        <v>2098</v>
      </c>
      <c r="S1490" s="7">
        <f t="shared" si="166"/>
        <v>4</v>
      </c>
      <c r="T1490" s="7">
        <f t="shared" si="167"/>
        <v>2098</v>
      </c>
    </row>
    <row r="1491" spans="1:20" ht="14.25" customHeight="1" x14ac:dyDescent="0.35">
      <c r="A1491" s="2" t="s">
        <v>37</v>
      </c>
      <c r="B1491" s="2" t="s">
        <v>20</v>
      </c>
      <c r="C1491" s="2" t="s">
        <v>38</v>
      </c>
      <c r="D1491" s="2" t="s">
        <v>26</v>
      </c>
      <c r="E1491" s="2" t="s">
        <v>22</v>
      </c>
      <c r="F1491" s="2" t="s">
        <v>47</v>
      </c>
      <c r="G1491" s="2" t="s">
        <v>36</v>
      </c>
      <c r="H1491" s="2">
        <v>150000</v>
      </c>
      <c r="I1491" s="2">
        <v>3</v>
      </c>
      <c r="J1491" s="2" t="s">
        <v>54</v>
      </c>
      <c r="K1491" s="2">
        <f t="shared" si="161"/>
        <v>120000</v>
      </c>
      <c r="L1491" s="9">
        <f>Table_1[[#This Row],[Unit Price]]*Table_1[[#This Row],[Quantity]]</f>
        <v>450000</v>
      </c>
      <c r="M1491" s="8">
        <f>Table_1[[#This Row],[Cost Price]]*Table_1[[#This Row],[Quantity]]</f>
        <v>360000</v>
      </c>
      <c r="N1491">
        <f>Table_1[[#This Row],[Revenue]]-Table_1[[#This Row],[COGS]]</f>
        <v>90000</v>
      </c>
      <c r="O1491" s="11">
        <f t="shared" si="162"/>
        <v>4656740000</v>
      </c>
      <c r="P1491">
        <f t="shared" si="163"/>
        <v>3725392000</v>
      </c>
      <c r="Q1491">
        <f t="shared" si="164"/>
        <v>931348000</v>
      </c>
      <c r="R1491" s="7">
        <f t="shared" si="165"/>
        <v>2098</v>
      </c>
      <c r="S1491" s="7">
        <f t="shared" si="166"/>
        <v>3</v>
      </c>
      <c r="T1491" s="7">
        <f t="shared" si="167"/>
        <v>2098</v>
      </c>
    </row>
    <row r="1492" spans="1:20" ht="14.25" customHeight="1" x14ac:dyDescent="0.35">
      <c r="A1492" s="2" t="s">
        <v>25</v>
      </c>
      <c r="B1492" s="2" t="s">
        <v>29</v>
      </c>
      <c r="C1492" s="2" t="s">
        <v>21</v>
      </c>
      <c r="D1492" s="2" t="s">
        <v>26</v>
      </c>
      <c r="E1492" s="2" t="s">
        <v>22</v>
      </c>
      <c r="F1492" s="2" t="s">
        <v>16</v>
      </c>
      <c r="G1492" s="2" t="s">
        <v>17</v>
      </c>
      <c r="H1492" s="2">
        <v>85000</v>
      </c>
      <c r="I1492" s="2">
        <v>3</v>
      </c>
      <c r="J1492" s="2" t="s">
        <v>50</v>
      </c>
      <c r="K1492" s="2">
        <f t="shared" si="161"/>
        <v>68000</v>
      </c>
      <c r="L1492" s="9">
        <f>Table_1[[#This Row],[Unit Price]]*Table_1[[#This Row],[Quantity]]</f>
        <v>255000</v>
      </c>
      <c r="M1492" s="8">
        <f>Table_1[[#This Row],[Cost Price]]*Table_1[[#This Row],[Quantity]]</f>
        <v>204000</v>
      </c>
      <c r="N1492">
        <f>Table_1[[#This Row],[Revenue]]-Table_1[[#This Row],[COGS]]</f>
        <v>51000</v>
      </c>
      <c r="O1492" s="11">
        <f t="shared" si="162"/>
        <v>4656740000</v>
      </c>
      <c r="P1492">
        <f t="shared" si="163"/>
        <v>3725392000</v>
      </c>
      <c r="Q1492">
        <f t="shared" si="164"/>
        <v>931348000</v>
      </c>
      <c r="R1492" s="7">
        <f t="shared" si="165"/>
        <v>2098</v>
      </c>
      <c r="S1492" s="7">
        <f t="shared" si="166"/>
        <v>2</v>
      </c>
      <c r="T1492" s="7">
        <f t="shared" si="167"/>
        <v>2098</v>
      </c>
    </row>
    <row r="1493" spans="1:20" ht="14.25" customHeight="1" x14ac:dyDescent="0.35">
      <c r="A1493" s="2" t="s">
        <v>155</v>
      </c>
      <c r="B1493" s="2" t="s">
        <v>34</v>
      </c>
      <c r="C1493" s="2" t="s">
        <v>38</v>
      </c>
      <c r="D1493" s="2" t="s">
        <v>14</v>
      </c>
      <c r="E1493" s="2" t="s">
        <v>22</v>
      </c>
      <c r="F1493" s="2" t="s">
        <v>39</v>
      </c>
      <c r="G1493" s="2" t="s">
        <v>24</v>
      </c>
      <c r="H1493" s="2">
        <v>180000</v>
      </c>
      <c r="I1493" s="2">
        <v>7</v>
      </c>
      <c r="J1493" s="2" t="s">
        <v>54</v>
      </c>
      <c r="K1493" s="2">
        <f t="shared" si="161"/>
        <v>144000</v>
      </c>
      <c r="L1493" s="9">
        <f>Table_1[[#This Row],[Unit Price]]*Table_1[[#This Row],[Quantity]]</f>
        <v>1260000</v>
      </c>
      <c r="M1493" s="8">
        <f>Table_1[[#This Row],[Cost Price]]*Table_1[[#This Row],[Quantity]]</f>
        <v>1008000</v>
      </c>
      <c r="N1493">
        <f>Table_1[[#This Row],[Revenue]]-Table_1[[#This Row],[COGS]]</f>
        <v>252000</v>
      </c>
      <c r="O1493" s="11">
        <f t="shared" si="162"/>
        <v>4656740000</v>
      </c>
      <c r="P1493">
        <f t="shared" si="163"/>
        <v>3725392000</v>
      </c>
      <c r="Q1493">
        <f t="shared" si="164"/>
        <v>931348000</v>
      </c>
      <c r="R1493" s="7">
        <f t="shared" si="165"/>
        <v>2098</v>
      </c>
      <c r="S1493" s="7">
        <f t="shared" si="166"/>
        <v>1</v>
      </c>
      <c r="T1493" s="7">
        <f t="shared" si="167"/>
        <v>2098</v>
      </c>
    </row>
    <row r="1494" spans="1:20" ht="14.25" customHeight="1" x14ac:dyDescent="0.35">
      <c r="A1494" s="2" t="s">
        <v>44</v>
      </c>
      <c r="B1494" s="2" t="s">
        <v>34</v>
      </c>
      <c r="C1494" s="2" t="s">
        <v>21</v>
      </c>
      <c r="D1494" s="2" t="s">
        <v>26</v>
      </c>
      <c r="E1494" s="2" t="s">
        <v>15</v>
      </c>
      <c r="F1494" s="2" t="s">
        <v>39</v>
      </c>
      <c r="G1494" s="2" t="s">
        <v>24</v>
      </c>
      <c r="H1494" s="2">
        <v>180000</v>
      </c>
      <c r="I1494" s="2">
        <v>10</v>
      </c>
      <c r="J1494" s="2" t="s">
        <v>50</v>
      </c>
      <c r="K1494" s="2">
        <f t="shared" si="161"/>
        <v>144000</v>
      </c>
      <c r="L1494" s="9">
        <f>Table_1[[#This Row],[Unit Price]]*Table_1[[#This Row],[Quantity]]</f>
        <v>1800000</v>
      </c>
      <c r="M1494" s="8">
        <f>Table_1[[#This Row],[Cost Price]]*Table_1[[#This Row],[Quantity]]</f>
        <v>1440000</v>
      </c>
      <c r="N1494">
        <f>Table_1[[#This Row],[Revenue]]-Table_1[[#This Row],[COGS]]</f>
        <v>360000</v>
      </c>
      <c r="O1494" s="11">
        <f t="shared" si="162"/>
        <v>4656740000</v>
      </c>
      <c r="P1494">
        <f t="shared" si="163"/>
        <v>3725392000</v>
      </c>
      <c r="Q1494">
        <f t="shared" si="164"/>
        <v>931348000</v>
      </c>
      <c r="R1494" s="7">
        <f t="shared" si="165"/>
        <v>2098</v>
      </c>
      <c r="S1494" s="7">
        <f t="shared" si="166"/>
        <v>3</v>
      </c>
      <c r="T1494" s="7">
        <f t="shared" si="167"/>
        <v>2098</v>
      </c>
    </row>
    <row r="1495" spans="1:20" ht="14.25" customHeight="1" x14ac:dyDescent="0.35">
      <c r="A1495" s="2" t="s">
        <v>19</v>
      </c>
      <c r="B1495" s="2" t="s">
        <v>34</v>
      </c>
      <c r="C1495" s="2" t="s">
        <v>13</v>
      </c>
      <c r="D1495" s="2" t="s">
        <v>26</v>
      </c>
      <c r="E1495" s="2" t="s">
        <v>22</v>
      </c>
      <c r="F1495" s="2" t="s">
        <v>39</v>
      </c>
      <c r="G1495" s="2" t="s">
        <v>24</v>
      </c>
      <c r="H1495" s="2">
        <v>180000</v>
      </c>
      <c r="I1495" s="2">
        <v>1</v>
      </c>
      <c r="J1495" s="2" t="s">
        <v>32</v>
      </c>
      <c r="K1495" s="2">
        <f t="shared" si="161"/>
        <v>144000</v>
      </c>
      <c r="L1495" s="9">
        <f>Table_1[[#This Row],[Unit Price]]*Table_1[[#This Row],[Quantity]]</f>
        <v>180000</v>
      </c>
      <c r="M1495" s="8">
        <f>Table_1[[#This Row],[Cost Price]]*Table_1[[#This Row],[Quantity]]</f>
        <v>144000</v>
      </c>
      <c r="N1495">
        <f>Table_1[[#This Row],[Revenue]]-Table_1[[#This Row],[COGS]]</f>
        <v>36000</v>
      </c>
      <c r="O1495" s="11">
        <f t="shared" si="162"/>
        <v>4656740000</v>
      </c>
      <c r="P1495">
        <f t="shared" si="163"/>
        <v>3725392000</v>
      </c>
      <c r="Q1495">
        <f t="shared" si="164"/>
        <v>931348000</v>
      </c>
      <c r="R1495" s="7">
        <f t="shared" si="165"/>
        <v>2098</v>
      </c>
      <c r="S1495" s="7">
        <f t="shared" si="166"/>
        <v>4</v>
      </c>
      <c r="T1495" s="7">
        <f t="shared" si="167"/>
        <v>2098</v>
      </c>
    </row>
    <row r="1496" spans="1:20" ht="14.25" customHeight="1" x14ac:dyDescent="0.35">
      <c r="A1496" s="2" t="s">
        <v>68</v>
      </c>
      <c r="B1496" s="2" t="s">
        <v>12</v>
      </c>
      <c r="C1496" s="2" t="s">
        <v>38</v>
      </c>
      <c r="D1496" s="2" t="s">
        <v>14</v>
      </c>
      <c r="E1496" s="2" t="s">
        <v>15</v>
      </c>
      <c r="F1496" s="2" t="s">
        <v>41</v>
      </c>
      <c r="G1496" s="2" t="s">
        <v>17</v>
      </c>
      <c r="H1496" s="2">
        <v>320000</v>
      </c>
      <c r="I1496" s="2">
        <v>5</v>
      </c>
      <c r="J1496" s="2" t="s">
        <v>32</v>
      </c>
      <c r="K1496" s="2">
        <f t="shared" si="161"/>
        <v>256000</v>
      </c>
      <c r="L1496" s="9">
        <f>Table_1[[#This Row],[Unit Price]]*Table_1[[#This Row],[Quantity]]</f>
        <v>1600000</v>
      </c>
      <c r="M1496" s="8">
        <f>Table_1[[#This Row],[Cost Price]]*Table_1[[#This Row],[Quantity]]</f>
        <v>1280000</v>
      </c>
      <c r="N1496">
        <f>Table_1[[#This Row],[Revenue]]-Table_1[[#This Row],[COGS]]</f>
        <v>320000</v>
      </c>
      <c r="O1496" s="11">
        <f t="shared" si="162"/>
        <v>4656740000</v>
      </c>
      <c r="P1496">
        <f t="shared" si="163"/>
        <v>3725392000</v>
      </c>
      <c r="Q1496">
        <f t="shared" si="164"/>
        <v>931348000</v>
      </c>
      <c r="R1496" s="7">
        <f t="shared" si="165"/>
        <v>2098</v>
      </c>
      <c r="S1496" s="7">
        <f t="shared" si="166"/>
        <v>1</v>
      </c>
      <c r="T1496" s="7">
        <f t="shared" si="167"/>
        <v>2098</v>
      </c>
    </row>
    <row r="1497" spans="1:20" ht="14.25" customHeight="1" x14ac:dyDescent="0.35">
      <c r="A1497" s="2" t="s">
        <v>113</v>
      </c>
      <c r="B1497" s="2" t="s">
        <v>20</v>
      </c>
      <c r="C1497" s="2" t="s">
        <v>21</v>
      </c>
      <c r="D1497" s="2" t="s">
        <v>14</v>
      </c>
      <c r="E1497" s="2" t="s">
        <v>22</v>
      </c>
      <c r="F1497" s="2" t="s">
        <v>52</v>
      </c>
      <c r="G1497" s="2" t="s">
        <v>36</v>
      </c>
      <c r="H1497" s="2">
        <v>420000</v>
      </c>
      <c r="I1497" s="2">
        <v>5</v>
      </c>
      <c r="J1497" s="2" t="s">
        <v>43</v>
      </c>
      <c r="K1497" s="2">
        <f t="shared" si="161"/>
        <v>336000</v>
      </c>
      <c r="L1497" s="9">
        <f>Table_1[[#This Row],[Unit Price]]*Table_1[[#This Row],[Quantity]]</f>
        <v>2100000</v>
      </c>
      <c r="M1497" s="8">
        <f>Table_1[[#This Row],[Cost Price]]*Table_1[[#This Row],[Quantity]]</f>
        <v>1680000</v>
      </c>
      <c r="N1497">
        <f>Table_1[[#This Row],[Revenue]]-Table_1[[#This Row],[COGS]]</f>
        <v>420000</v>
      </c>
      <c r="O1497" s="11">
        <f t="shared" si="162"/>
        <v>4656740000</v>
      </c>
      <c r="P1497">
        <f t="shared" si="163"/>
        <v>3725392000</v>
      </c>
      <c r="Q1497">
        <f t="shared" si="164"/>
        <v>931348000</v>
      </c>
      <c r="R1497" s="7">
        <f t="shared" si="165"/>
        <v>2098</v>
      </c>
      <c r="S1497" s="7">
        <f t="shared" si="166"/>
        <v>3</v>
      </c>
      <c r="T1497" s="7">
        <f t="shared" si="167"/>
        <v>2098</v>
      </c>
    </row>
    <row r="1498" spans="1:20" ht="14.25" customHeight="1" x14ac:dyDescent="0.35">
      <c r="A1498" s="2" t="s">
        <v>60</v>
      </c>
      <c r="B1498" s="2" t="s">
        <v>12</v>
      </c>
      <c r="C1498" s="2" t="s">
        <v>30</v>
      </c>
      <c r="D1498" s="2" t="s">
        <v>26</v>
      </c>
      <c r="E1498" s="2" t="s">
        <v>15</v>
      </c>
      <c r="F1498" s="2" t="s">
        <v>39</v>
      </c>
      <c r="G1498" s="2" t="s">
        <v>24</v>
      </c>
      <c r="H1498" s="2">
        <v>180000</v>
      </c>
      <c r="I1498" s="2">
        <v>2</v>
      </c>
      <c r="J1498" s="2" t="s">
        <v>18</v>
      </c>
      <c r="K1498" s="2">
        <f t="shared" si="161"/>
        <v>144000</v>
      </c>
      <c r="L1498" s="9">
        <f>Table_1[[#This Row],[Unit Price]]*Table_1[[#This Row],[Quantity]]</f>
        <v>360000</v>
      </c>
      <c r="M1498" s="8">
        <f>Table_1[[#This Row],[Cost Price]]*Table_1[[#This Row],[Quantity]]</f>
        <v>288000</v>
      </c>
      <c r="N1498">
        <f>Table_1[[#This Row],[Revenue]]-Table_1[[#This Row],[COGS]]</f>
        <v>72000</v>
      </c>
      <c r="O1498" s="11">
        <f t="shared" si="162"/>
        <v>4656740000</v>
      </c>
      <c r="P1498">
        <f t="shared" si="163"/>
        <v>3725392000</v>
      </c>
      <c r="Q1498">
        <f t="shared" si="164"/>
        <v>931348000</v>
      </c>
      <c r="R1498" s="7">
        <f t="shared" si="165"/>
        <v>2098</v>
      </c>
      <c r="S1498" s="7">
        <f t="shared" si="166"/>
        <v>3</v>
      </c>
      <c r="T1498" s="7">
        <f t="shared" si="167"/>
        <v>2098</v>
      </c>
    </row>
    <row r="1499" spans="1:20" ht="14.25" customHeight="1" x14ac:dyDescent="0.35">
      <c r="A1499" s="2" t="s">
        <v>101</v>
      </c>
      <c r="B1499" s="2" t="s">
        <v>29</v>
      </c>
      <c r="C1499" s="2" t="s">
        <v>30</v>
      </c>
      <c r="D1499" s="2" t="s">
        <v>14</v>
      </c>
      <c r="E1499" s="2" t="s">
        <v>22</v>
      </c>
      <c r="F1499" s="2" t="s">
        <v>58</v>
      </c>
      <c r="G1499" s="2" t="s">
        <v>24</v>
      </c>
      <c r="H1499" s="2">
        <v>220000</v>
      </c>
      <c r="I1499" s="2">
        <v>1</v>
      </c>
      <c r="J1499" s="2" t="s">
        <v>27</v>
      </c>
      <c r="K1499" s="2">
        <f t="shared" si="161"/>
        <v>176000</v>
      </c>
      <c r="L1499" s="9">
        <f>Table_1[[#This Row],[Unit Price]]*Table_1[[#This Row],[Quantity]]</f>
        <v>220000</v>
      </c>
      <c r="M1499" s="8">
        <f>Table_1[[#This Row],[Cost Price]]*Table_1[[#This Row],[Quantity]]</f>
        <v>176000</v>
      </c>
      <c r="N1499">
        <f>Table_1[[#This Row],[Revenue]]-Table_1[[#This Row],[COGS]]</f>
        <v>44000</v>
      </c>
      <c r="O1499" s="11">
        <f t="shared" si="162"/>
        <v>4656740000</v>
      </c>
      <c r="P1499">
        <f t="shared" si="163"/>
        <v>3725392000</v>
      </c>
      <c r="Q1499">
        <f t="shared" si="164"/>
        <v>931348000</v>
      </c>
      <c r="R1499" s="7">
        <f t="shared" si="165"/>
        <v>2098</v>
      </c>
      <c r="S1499" s="7">
        <f t="shared" si="166"/>
        <v>4</v>
      </c>
      <c r="T1499" s="7">
        <f t="shared" si="167"/>
        <v>2098</v>
      </c>
    </row>
    <row r="1500" spans="1:20" ht="14.25" customHeight="1" x14ac:dyDescent="0.35">
      <c r="A1500" s="2" t="s">
        <v>99</v>
      </c>
      <c r="B1500" s="2" t="s">
        <v>12</v>
      </c>
      <c r="C1500" s="2" t="s">
        <v>30</v>
      </c>
      <c r="D1500" s="2" t="s">
        <v>26</v>
      </c>
      <c r="E1500" s="2" t="s">
        <v>15</v>
      </c>
      <c r="F1500" s="2" t="s">
        <v>41</v>
      </c>
      <c r="G1500" s="2" t="s">
        <v>17</v>
      </c>
      <c r="H1500" s="2">
        <v>320000</v>
      </c>
      <c r="I1500" s="2">
        <v>4</v>
      </c>
      <c r="J1500" s="2" t="s">
        <v>50</v>
      </c>
      <c r="K1500" s="2">
        <f t="shared" si="161"/>
        <v>256000</v>
      </c>
      <c r="L1500" s="9">
        <f>Table_1[[#This Row],[Unit Price]]*Table_1[[#This Row],[Quantity]]</f>
        <v>1280000</v>
      </c>
      <c r="M1500" s="8">
        <f>Table_1[[#This Row],[Cost Price]]*Table_1[[#This Row],[Quantity]]</f>
        <v>1024000</v>
      </c>
      <c r="N1500">
        <f>Table_1[[#This Row],[Revenue]]-Table_1[[#This Row],[COGS]]</f>
        <v>256000</v>
      </c>
      <c r="O1500" s="11">
        <f t="shared" si="162"/>
        <v>4656740000</v>
      </c>
      <c r="P1500">
        <f t="shared" si="163"/>
        <v>3725392000</v>
      </c>
      <c r="Q1500">
        <f t="shared" si="164"/>
        <v>931348000</v>
      </c>
      <c r="R1500" s="7">
        <f t="shared" si="165"/>
        <v>2098</v>
      </c>
      <c r="S1500" s="7">
        <f t="shared" si="166"/>
        <v>4</v>
      </c>
      <c r="T1500" s="7">
        <f t="shared" si="167"/>
        <v>2098</v>
      </c>
    </row>
    <row r="1501" spans="1:20" ht="14.25" customHeight="1" x14ac:dyDescent="0.35">
      <c r="A1501" s="2" t="s">
        <v>44</v>
      </c>
      <c r="B1501" s="2" t="s">
        <v>29</v>
      </c>
      <c r="C1501" s="2" t="s">
        <v>30</v>
      </c>
      <c r="D1501" s="2" t="s">
        <v>14</v>
      </c>
      <c r="E1501" s="2" t="s">
        <v>15</v>
      </c>
      <c r="F1501" s="2" t="s">
        <v>56</v>
      </c>
      <c r="G1501" s="2" t="s">
        <v>36</v>
      </c>
      <c r="H1501" s="2">
        <v>250000</v>
      </c>
      <c r="I1501" s="2">
        <v>4</v>
      </c>
      <c r="J1501" s="2" t="s">
        <v>27</v>
      </c>
      <c r="K1501" s="2">
        <f t="shared" si="161"/>
        <v>200000</v>
      </c>
      <c r="L1501" s="9">
        <f>Table_1[[#This Row],[Unit Price]]*Table_1[[#This Row],[Quantity]]</f>
        <v>1000000</v>
      </c>
      <c r="M1501" s="8">
        <f>Table_1[[#This Row],[Cost Price]]*Table_1[[#This Row],[Quantity]]</f>
        <v>800000</v>
      </c>
      <c r="N1501">
        <f>Table_1[[#This Row],[Revenue]]-Table_1[[#This Row],[COGS]]</f>
        <v>200000</v>
      </c>
      <c r="O1501" s="11">
        <f t="shared" si="162"/>
        <v>4656740000</v>
      </c>
      <c r="P1501">
        <f t="shared" si="163"/>
        <v>3725392000</v>
      </c>
      <c r="Q1501">
        <f t="shared" si="164"/>
        <v>931348000</v>
      </c>
      <c r="R1501" s="7">
        <f t="shared" si="165"/>
        <v>2098</v>
      </c>
      <c r="S1501" s="7">
        <f t="shared" si="166"/>
        <v>3</v>
      </c>
      <c r="T1501" s="7">
        <f t="shared" si="167"/>
        <v>2098</v>
      </c>
    </row>
    <row r="1502" spans="1:20" ht="14.25" customHeight="1" x14ac:dyDescent="0.35">
      <c r="A1502" s="2" t="s">
        <v>25</v>
      </c>
      <c r="B1502" s="2" t="s">
        <v>29</v>
      </c>
      <c r="C1502" s="2" t="s">
        <v>13</v>
      </c>
      <c r="D1502" s="2" t="s">
        <v>14</v>
      </c>
      <c r="E1502" s="2" t="s">
        <v>22</v>
      </c>
      <c r="F1502" s="2" t="s">
        <v>31</v>
      </c>
      <c r="G1502" s="2" t="s">
        <v>24</v>
      </c>
      <c r="H1502" s="2">
        <v>60000</v>
      </c>
      <c r="I1502" s="2">
        <v>10</v>
      </c>
      <c r="J1502" s="2" t="s">
        <v>54</v>
      </c>
      <c r="K1502" s="2">
        <f t="shared" si="161"/>
        <v>48000</v>
      </c>
      <c r="L1502" s="9">
        <f>Table_1[[#This Row],[Unit Price]]*Table_1[[#This Row],[Quantity]]</f>
        <v>600000</v>
      </c>
      <c r="M1502" s="8">
        <f>Table_1[[#This Row],[Cost Price]]*Table_1[[#This Row],[Quantity]]</f>
        <v>480000</v>
      </c>
      <c r="N1502">
        <f>Table_1[[#This Row],[Revenue]]-Table_1[[#This Row],[COGS]]</f>
        <v>120000</v>
      </c>
      <c r="O1502" s="11">
        <f t="shared" si="162"/>
        <v>4656740000</v>
      </c>
      <c r="P1502">
        <f t="shared" si="163"/>
        <v>3725392000</v>
      </c>
      <c r="Q1502">
        <f t="shared" si="164"/>
        <v>931348000</v>
      </c>
      <c r="R1502" s="7">
        <f t="shared" si="165"/>
        <v>2098</v>
      </c>
      <c r="S1502" s="7">
        <f t="shared" si="166"/>
        <v>2</v>
      </c>
      <c r="T1502" s="7">
        <f t="shared" si="167"/>
        <v>2098</v>
      </c>
    </row>
    <row r="1503" spans="1:20" ht="14.25" customHeight="1" x14ac:dyDescent="0.35">
      <c r="A1503" s="2" t="s">
        <v>119</v>
      </c>
      <c r="B1503" s="2" t="s">
        <v>20</v>
      </c>
      <c r="C1503" s="2" t="s">
        <v>38</v>
      </c>
      <c r="D1503" s="2" t="s">
        <v>26</v>
      </c>
      <c r="E1503" s="2" t="s">
        <v>15</v>
      </c>
      <c r="F1503" s="2" t="s">
        <v>39</v>
      </c>
      <c r="G1503" s="2" t="s">
        <v>24</v>
      </c>
      <c r="H1503" s="2">
        <v>180000</v>
      </c>
      <c r="I1503" s="2">
        <v>10</v>
      </c>
      <c r="J1503" s="2" t="s">
        <v>50</v>
      </c>
      <c r="K1503" s="2">
        <f t="shared" si="161"/>
        <v>144000</v>
      </c>
      <c r="L1503" s="9">
        <f>Table_1[[#This Row],[Unit Price]]*Table_1[[#This Row],[Quantity]]</f>
        <v>1800000</v>
      </c>
      <c r="M1503" s="8">
        <f>Table_1[[#This Row],[Cost Price]]*Table_1[[#This Row],[Quantity]]</f>
        <v>1440000</v>
      </c>
      <c r="N1503">
        <f>Table_1[[#This Row],[Revenue]]-Table_1[[#This Row],[COGS]]</f>
        <v>360000</v>
      </c>
      <c r="O1503" s="11">
        <f t="shared" si="162"/>
        <v>4656740000</v>
      </c>
      <c r="P1503">
        <f t="shared" si="163"/>
        <v>3725392000</v>
      </c>
      <c r="Q1503">
        <f t="shared" si="164"/>
        <v>931348000</v>
      </c>
      <c r="R1503" s="7">
        <f t="shared" si="165"/>
        <v>2098</v>
      </c>
      <c r="S1503" s="7">
        <f t="shared" si="166"/>
        <v>1</v>
      </c>
      <c r="T1503" s="7">
        <f t="shared" si="167"/>
        <v>2098</v>
      </c>
    </row>
    <row r="1504" spans="1:20" ht="14.25" customHeight="1" x14ac:dyDescent="0.35">
      <c r="A1504" s="2" t="s">
        <v>74</v>
      </c>
      <c r="B1504" s="2" t="s">
        <v>20</v>
      </c>
      <c r="C1504" s="2" t="s">
        <v>30</v>
      </c>
      <c r="D1504" s="2" t="s">
        <v>26</v>
      </c>
      <c r="E1504" s="2" t="s">
        <v>22</v>
      </c>
      <c r="F1504" s="2" t="s">
        <v>35</v>
      </c>
      <c r="G1504" s="2" t="s">
        <v>36</v>
      </c>
      <c r="H1504" s="2">
        <v>300000</v>
      </c>
      <c r="I1504" s="2">
        <v>5</v>
      </c>
      <c r="J1504" s="2" t="s">
        <v>43</v>
      </c>
      <c r="K1504" s="2">
        <f t="shared" si="161"/>
        <v>240000</v>
      </c>
      <c r="L1504" s="9">
        <f>Table_1[[#This Row],[Unit Price]]*Table_1[[#This Row],[Quantity]]</f>
        <v>1500000</v>
      </c>
      <c r="M1504" s="8">
        <f>Table_1[[#This Row],[Cost Price]]*Table_1[[#This Row],[Quantity]]</f>
        <v>1200000</v>
      </c>
      <c r="N1504">
        <f>Table_1[[#This Row],[Revenue]]-Table_1[[#This Row],[COGS]]</f>
        <v>300000</v>
      </c>
      <c r="O1504" s="11">
        <f t="shared" si="162"/>
        <v>4656740000</v>
      </c>
      <c r="P1504">
        <f t="shared" si="163"/>
        <v>3725392000</v>
      </c>
      <c r="Q1504">
        <f t="shared" si="164"/>
        <v>931348000</v>
      </c>
      <c r="R1504" s="7">
        <f t="shared" si="165"/>
        <v>2098</v>
      </c>
      <c r="S1504" s="7">
        <f t="shared" si="166"/>
        <v>2</v>
      </c>
      <c r="T1504" s="7">
        <f t="shared" si="167"/>
        <v>2098</v>
      </c>
    </row>
    <row r="1505" spans="1:20" ht="14.25" customHeight="1" x14ac:dyDescent="0.35">
      <c r="A1505" s="2" t="s">
        <v>152</v>
      </c>
      <c r="B1505" s="2" t="s">
        <v>20</v>
      </c>
      <c r="C1505" s="2" t="s">
        <v>38</v>
      </c>
      <c r="D1505" s="2" t="s">
        <v>14</v>
      </c>
      <c r="E1505" s="2" t="s">
        <v>22</v>
      </c>
      <c r="F1505" s="2" t="s">
        <v>16</v>
      </c>
      <c r="G1505" s="2" t="s">
        <v>17</v>
      </c>
      <c r="H1505" s="2">
        <v>85000</v>
      </c>
      <c r="I1505" s="2">
        <v>7</v>
      </c>
      <c r="J1505" s="2" t="s">
        <v>50</v>
      </c>
      <c r="K1505" s="2">
        <f t="shared" si="161"/>
        <v>68000</v>
      </c>
      <c r="L1505" s="9">
        <f>Table_1[[#This Row],[Unit Price]]*Table_1[[#This Row],[Quantity]]</f>
        <v>595000</v>
      </c>
      <c r="M1505" s="8">
        <f>Table_1[[#This Row],[Cost Price]]*Table_1[[#This Row],[Quantity]]</f>
        <v>476000</v>
      </c>
      <c r="N1505">
        <f>Table_1[[#This Row],[Revenue]]-Table_1[[#This Row],[COGS]]</f>
        <v>119000</v>
      </c>
      <c r="O1505" s="11">
        <f t="shared" si="162"/>
        <v>4656740000</v>
      </c>
      <c r="P1505">
        <f t="shared" si="163"/>
        <v>3725392000</v>
      </c>
      <c r="Q1505">
        <f t="shared" si="164"/>
        <v>931348000</v>
      </c>
      <c r="R1505" s="7">
        <f t="shared" si="165"/>
        <v>2098</v>
      </c>
      <c r="S1505" s="7">
        <f t="shared" si="166"/>
        <v>4</v>
      </c>
      <c r="T1505" s="7">
        <f t="shared" si="167"/>
        <v>2098</v>
      </c>
    </row>
    <row r="1506" spans="1:20" ht="14.25" customHeight="1" x14ac:dyDescent="0.35">
      <c r="A1506" s="2" t="s">
        <v>62</v>
      </c>
      <c r="B1506" s="2" t="s">
        <v>20</v>
      </c>
      <c r="C1506" s="2" t="s">
        <v>13</v>
      </c>
      <c r="D1506" s="2" t="s">
        <v>14</v>
      </c>
      <c r="E1506" s="2" t="s">
        <v>15</v>
      </c>
      <c r="F1506" s="2" t="s">
        <v>39</v>
      </c>
      <c r="G1506" s="2" t="s">
        <v>24</v>
      </c>
      <c r="H1506" s="2">
        <v>180000</v>
      </c>
      <c r="I1506" s="2">
        <v>5</v>
      </c>
      <c r="J1506" s="2" t="s">
        <v>32</v>
      </c>
      <c r="K1506" s="2">
        <f t="shared" si="161"/>
        <v>144000</v>
      </c>
      <c r="L1506" s="9">
        <f>Table_1[[#This Row],[Unit Price]]*Table_1[[#This Row],[Quantity]]</f>
        <v>900000</v>
      </c>
      <c r="M1506" s="8">
        <f>Table_1[[#This Row],[Cost Price]]*Table_1[[#This Row],[Quantity]]</f>
        <v>720000</v>
      </c>
      <c r="N1506">
        <f>Table_1[[#This Row],[Revenue]]-Table_1[[#This Row],[COGS]]</f>
        <v>180000</v>
      </c>
      <c r="O1506" s="11">
        <f t="shared" si="162"/>
        <v>4656740000</v>
      </c>
      <c r="P1506">
        <f t="shared" si="163"/>
        <v>3725392000</v>
      </c>
      <c r="Q1506">
        <f t="shared" si="164"/>
        <v>931348000</v>
      </c>
      <c r="R1506" s="7">
        <f t="shared" si="165"/>
        <v>2098</v>
      </c>
      <c r="S1506" s="7">
        <f t="shared" si="166"/>
        <v>4</v>
      </c>
      <c r="T1506" s="7">
        <f t="shared" si="167"/>
        <v>2098</v>
      </c>
    </row>
    <row r="1507" spans="1:20" ht="14.25" customHeight="1" x14ac:dyDescent="0.35">
      <c r="A1507" s="2" t="s">
        <v>100</v>
      </c>
      <c r="B1507" s="2" t="s">
        <v>20</v>
      </c>
      <c r="C1507" s="2" t="s">
        <v>30</v>
      </c>
      <c r="D1507" s="2" t="s">
        <v>26</v>
      </c>
      <c r="E1507" s="2" t="s">
        <v>22</v>
      </c>
      <c r="F1507" s="2" t="s">
        <v>41</v>
      </c>
      <c r="G1507" s="2" t="s">
        <v>17</v>
      </c>
      <c r="H1507" s="2">
        <v>320000</v>
      </c>
      <c r="I1507" s="2">
        <v>4</v>
      </c>
      <c r="J1507" s="2" t="s">
        <v>27</v>
      </c>
      <c r="K1507" s="2">
        <f t="shared" si="161"/>
        <v>256000</v>
      </c>
      <c r="L1507" s="9">
        <f>Table_1[[#This Row],[Unit Price]]*Table_1[[#This Row],[Quantity]]</f>
        <v>1280000</v>
      </c>
      <c r="M1507" s="8">
        <f>Table_1[[#This Row],[Cost Price]]*Table_1[[#This Row],[Quantity]]</f>
        <v>1024000</v>
      </c>
      <c r="N1507">
        <f>Table_1[[#This Row],[Revenue]]-Table_1[[#This Row],[COGS]]</f>
        <v>256000</v>
      </c>
      <c r="O1507" s="11">
        <f t="shared" si="162"/>
        <v>4656740000</v>
      </c>
      <c r="P1507">
        <f t="shared" si="163"/>
        <v>3725392000</v>
      </c>
      <c r="Q1507">
        <f t="shared" si="164"/>
        <v>931348000</v>
      </c>
      <c r="R1507" s="7">
        <f t="shared" si="165"/>
        <v>2098</v>
      </c>
      <c r="S1507" s="7">
        <f t="shared" si="166"/>
        <v>1</v>
      </c>
      <c r="T1507" s="7">
        <f t="shared" si="167"/>
        <v>2098</v>
      </c>
    </row>
    <row r="1508" spans="1:20" ht="14.25" customHeight="1" x14ac:dyDescent="0.35">
      <c r="A1508" s="2" t="s">
        <v>113</v>
      </c>
      <c r="B1508" s="2" t="s">
        <v>12</v>
      </c>
      <c r="C1508" s="2" t="s">
        <v>13</v>
      </c>
      <c r="D1508" s="2" t="s">
        <v>26</v>
      </c>
      <c r="E1508" s="2" t="s">
        <v>15</v>
      </c>
      <c r="F1508" s="2" t="s">
        <v>39</v>
      </c>
      <c r="G1508" s="2" t="s">
        <v>24</v>
      </c>
      <c r="H1508" s="2">
        <v>180000</v>
      </c>
      <c r="I1508" s="2">
        <v>8</v>
      </c>
      <c r="J1508" s="2" t="s">
        <v>32</v>
      </c>
      <c r="K1508" s="2">
        <f t="shared" si="161"/>
        <v>144000</v>
      </c>
      <c r="L1508" s="9">
        <f>Table_1[[#This Row],[Unit Price]]*Table_1[[#This Row],[Quantity]]</f>
        <v>1440000</v>
      </c>
      <c r="M1508" s="8">
        <f>Table_1[[#This Row],[Cost Price]]*Table_1[[#This Row],[Quantity]]</f>
        <v>1152000</v>
      </c>
      <c r="N1508">
        <f>Table_1[[#This Row],[Revenue]]-Table_1[[#This Row],[COGS]]</f>
        <v>288000</v>
      </c>
      <c r="O1508" s="11">
        <f t="shared" si="162"/>
        <v>4656740000</v>
      </c>
      <c r="P1508">
        <f t="shared" si="163"/>
        <v>3725392000</v>
      </c>
      <c r="Q1508">
        <f t="shared" si="164"/>
        <v>931348000</v>
      </c>
      <c r="R1508" s="7">
        <f t="shared" si="165"/>
        <v>2098</v>
      </c>
      <c r="S1508" s="7">
        <f t="shared" si="166"/>
        <v>3</v>
      </c>
      <c r="T1508" s="7">
        <f t="shared" si="167"/>
        <v>2098</v>
      </c>
    </row>
    <row r="1509" spans="1:20" ht="14.25" customHeight="1" x14ac:dyDescent="0.35">
      <c r="A1509" s="2" t="s">
        <v>132</v>
      </c>
      <c r="B1509" s="2" t="s">
        <v>34</v>
      </c>
      <c r="C1509" s="2" t="s">
        <v>30</v>
      </c>
      <c r="D1509" s="2" t="s">
        <v>14</v>
      </c>
      <c r="E1509" s="2" t="s">
        <v>15</v>
      </c>
      <c r="F1509" s="2" t="s">
        <v>23</v>
      </c>
      <c r="G1509" s="2" t="s">
        <v>24</v>
      </c>
      <c r="H1509" s="2">
        <v>30000</v>
      </c>
      <c r="I1509" s="2">
        <v>3</v>
      </c>
      <c r="J1509" s="2" t="s">
        <v>50</v>
      </c>
      <c r="K1509" s="2">
        <f t="shared" si="161"/>
        <v>24000</v>
      </c>
      <c r="L1509" s="9">
        <f>Table_1[[#This Row],[Unit Price]]*Table_1[[#This Row],[Quantity]]</f>
        <v>90000</v>
      </c>
      <c r="M1509" s="8">
        <f>Table_1[[#This Row],[Cost Price]]*Table_1[[#This Row],[Quantity]]</f>
        <v>72000</v>
      </c>
      <c r="N1509">
        <f>Table_1[[#This Row],[Revenue]]-Table_1[[#This Row],[COGS]]</f>
        <v>18000</v>
      </c>
      <c r="O1509" s="11">
        <f t="shared" si="162"/>
        <v>4656740000</v>
      </c>
      <c r="P1509">
        <f t="shared" si="163"/>
        <v>3725392000</v>
      </c>
      <c r="Q1509">
        <f t="shared" si="164"/>
        <v>931348000</v>
      </c>
      <c r="R1509" s="7">
        <f t="shared" si="165"/>
        <v>2098</v>
      </c>
      <c r="S1509" s="7">
        <f t="shared" si="166"/>
        <v>1</v>
      </c>
      <c r="T1509" s="7">
        <f t="shared" si="167"/>
        <v>2098</v>
      </c>
    </row>
    <row r="1510" spans="1:20" ht="14.25" customHeight="1" x14ac:dyDescent="0.35">
      <c r="A1510" s="2" t="s">
        <v>28</v>
      </c>
      <c r="B1510" s="2" t="s">
        <v>34</v>
      </c>
      <c r="C1510" s="2" t="s">
        <v>38</v>
      </c>
      <c r="D1510" s="2" t="s">
        <v>26</v>
      </c>
      <c r="E1510" s="2" t="s">
        <v>22</v>
      </c>
      <c r="F1510" s="2" t="s">
        <v>58</v>
      </c>
      <c r="G1510" s="2" t="s">
        <v>24</v>
      </c>
      <c r="H1510" s="2">
        <v>220000</v>
      </c>
      <c r="I1510" s="2">
        <v>3</v>
      </c>
      <c r="J1510" s="2" t="s">
        <v>27</v>
      </c>
      <c r="K1510" s="2">
        <f t="shared" si="161"/>
        <v>176000</v>
      </c>
      <c r="L1510" s="9">
        <f>Table_1[[#This Row],[Unit Price]]*Table_1[[#This Row],[Quantity]]</f>
        <v>660000</v>
      </c>
      <c r="M1510" s="8">
        <f>Table_1[[#This Row],[Cost Price]]*Table_1[[#This Row],[Quantity]]</f>
        <v>528000</v>
      </c>
      <c r="N1510">
        <f>Table_1[[#This Row],[Revenue]]-Table_1[[#This Row],[COGS]]</f>
        <v>132000</v>
      </c>
      <c r="O1510" s="11">
        <f t="shared" si="162"/>
        <v>4656740000</v>
      </c>
      <c r="P1510">
        <f t="shared" si="163"/>
        <v>3725392000</v>
      </c>
      <c r="Q1510">
        <f t="shared" si="164"/>
        <v>931348000</v>
      </c>
      <c r="R1510" s="7">
        <f t="shared" si="165"/>
        <v>2098</v>
      </c>
      <c r="S1510" s="7">
        <f t="shared" si="166"/>
        <v>4</v>
      </c>
      <c r="T1510" s="7">
        <f t="shared" si="167"/>
        <v>2098</v>
      </c>
    </row>
    <row r="1511" spans="1:20" ht="14.25" customHeight="1" x14ac:dyDescent="0.35">
      <c r="A1511" s="2" t="s">
        <v>148</v>
      </c>
      <c r="B1511" s="2" t="s">
        <v>20</v>
      </c>
      <c r="C1511" s="2" t="s">
        <v>30</v>
      </c>
      <c r="D1511" s="2" t="s">
        <v>14</v>
      </c>
      <c r="E1511" s="2" t="s">
        <v>15</v>
      </c>
      <c r="F1511" s="2" t="s">
        <v>16</v>
      </c>
      <c r="G1511" s="2" t="s">
        <v>17</v>
      </c>
      <c r="H1511" s="2">
        <v>85000</v>
      </c>
      <c r="I1511" s="2">
        <v>4</v>
      </c>
      <c r="J1511" s="2" t="s">
        <v>27</v>
      </c>
      <c r="K1511" s="2">
        <f t="shared" si="161"/>
        <v>68000</v>
      </c>
      <c r="L1511" s="9">
        <f>Table_1[[#This Row],[Unit Price]]*Table_1[[#This Row],[Quantity]]</f>
        <v>340000</v>
      </c>
      <c r="M1511" s="8">
        <f>Table_1[[#This Row],[Cost Price]]*Table_1[[#This Row],[Quantity]]</f>
        <v>272000</v>
      </c>
      <c r="N1511">
        <f>Table_1[[#This Row],[Revenue]]-Table_1[[#This Row],[COGS]]</f>
        <v>68000</v>
      </c>
      <c r="O1511" s="11">
        <f t="shared" si="162"/>
        <v>4656740000</v>
      </c>
      <c r="P1511">
        <f t="shared" si="163"/>
        <v>3725392000</v>
      </c>
      <c r="Q1511">
        <f t="shared" si="164"/>
        <v>931348000</v>
      </c>
      <c r="R1511" s="7">
        <f t="shared" si="165"/>
        <v>2098</v>
      </c>
      <c r="S1511" s="7">
        <f t="shared" si="166"/>
        <v>4</v>
      </c>
      <c r="T1511" s="7">
        <f t="shared" si="167"/>
        <v>2098</v>
      </c>
    </row>
    <row r="1512" spans="1:20" ht="14.25" customHeight="1" x14ac:dyDescent="0.35">
      <c r="A1512" s="2" t="s">
        <v>139</v>
      </c>
      <c r="B1512" s="2" t="s">
        <v>34</v>
      </c>
      <c r="C1512" s="2" t="s">
        <v>21</v>
      </c>
      <c r="D1512" s="2" t="s">
        <v>14</v>
      </c>
      <c r="E1512" s="2" t="s">
        <v>15</v>
      </c>
      <c r="F1512" s="2" t="s">
        <v>39</v>
      </c>
      <c r="G1512" s="2" t="s">
        <v>24</v>
      </c>
      <c r="H1512" s="2">
        <v>180000</v>
      </c>
      <c r="I1512" s="2">
        <v>6</v>
      </c>
      <c r="J1512" s="2" t="s">
        <v>27</v>
      </c>
      <c r="K1512" s="2">
        <f t="shared" si="161"/>
        <v>144000</v>
      </c>
      <c r="L1512" s="9">
        <f>Table_1[[#This Row],[Unit Price]]*Table_1[[#This Row],[Quantity]]</f>
        <v>1080000</v>
      </c>
      <c r="M1512" s="8">
        <f>Table_1[[#This Row],[Cost Price]]*Table_1[[#This Row],[Quantity]]</f>
        <v>864000</v>
      </c>
      <c r="N1512">
        <f>Table_1[[#This Row],[Revenue]]-Table_1[[#This Row],[COGS]]</f>
        <v>216000</v>
      </c>
      <c r="O1512" s="11">
        <f t="shared" si="162"/>
        <v>4656740000</v>
      </c>
      <c r="P1512">
        <f t="shared" si="163"/>
        <v>3725392000</v>
      </c>
      <c r="Q1512">
        <f t="shared" si="164"/>
        <v>931348000</v>
      </c>
      <c r="R1512" s="7">
        <f t="shared" si="165"/>
        <v>2098</v>
      </c>
      <c r="S1512" s="7">
        <f t="shared" si="166"/>
        <v>2</v>
      </c>
      <c r="T1512" s="7">
        <f t="shared" si="167"/>
        <v>2098</v>
      </c>
    </row>
    <row r="1513" spans="1:20" ht="14.25" customHeight="1" x14ac:dyDescent="0.35">
      <c r="A1513" s="2" t="s">
        <v>83</v>
      </c>
      <c r="B1513" s="2" t="s">
        <v>34</v>
      </c>
      <c r="C1513" s="2" t="s">
        <v>30</v>
      </c>
      <c r="D1513" s="2" t="s">
        <v>26</v>
      </c>
      <c r="E1513" s="2" t="s">
        <v>22</v>
      </c>
      <c r="F1513" s="2" t="s">
        <v>58</v>
      </c>
      <c r="G1513" s="2" t="s">
        <v>24</v>
      </c>
      <c r="H1513" s="2">
        <v>220000</v>
      </c>
      <c r="I1513" s="2">
        <v>8</v>
      </c>
      <c r="J1513" s="2" t="s">
        <v>18</v>
      </c>
      <c r="K1513" s="2">
        <f t="shared" si="161"/>
        <v>176000</v>
      </c>
      <c r="L1513" s="9">
        <f>Table_1[[#This Row],[Unit Price]]*Table_1[[#This Row],[Quantity]]</f>
        <v>1760000</v>
      </c>
      <c r="M1513" s="8">
        <f>Table_1[[#This Row],[Cost Price]]*Table_1[[#This Row],[Quantity]]</f>
        <v>1408000</v>
      </c>
      <c r="N1513">
        <f>Table_1[[#This Row],[Revenue]]-Table_1[[#This Row],[COGS]]</f>
        <v>352000</v>
      </c>
      <c r="O1513" s="11">
        <f t="shared" si="162"/>
        <v>4656740000</v>
      </c>
      <c r="P1513">
        <f t="shared" si="163"/>
        <v>3725392000</v>
      </c>
      <c r="Q1513">
        <f t="shared" si="164"/>
        <v>931348000</v>
      </c>
      <c r="R1513" s="7">
        <f t="shared" si="165"/>
        <v>2098</v>
      </c>
      <c r="S1513" s="7">
        <f t="shared" si="166"/>
        <v>1</v>
      </c>
      <c r="T1513" s="7">
        <f t="shared" si="167"/>
        <v>2098</v>
      </c>
    </row>
    <row r="1514" spans="1:20" ht="14.25" customHeight="1" x14ac:dyDescent="0.35">
      <c r="A1514" s="2" t="s">
        <v>121</v>
      </c>
      <c r="B1514" s="2" t="s">
        <v>29</v>
      </c>
      <c r="C1514" s="2" t="s">
        <v>21</v>
      </c>
      <c r="D1514" s="2" t="s">
        <v>14</v>
      </c>
      <c r="E1514" s="2" t="s">
        <v>22</v>
      </c>
      <c r="F1514" s="2" t="s">
        <v>47</v>
      </c>
      <c r="G1514" s="2" t="s">
        <v>36</v>
      </c>
      <c r="H1514" s="2">
        <v>150000</v>
      </c>
      <c r="I1514" s="2">
        <v>1</v>
      </c>
      <c r="J1514" s="2" t="s">
        <v>54</v>
      </c>
      <c r="K1514" s="2">
        <f t="shared" si="161"/>
        <v>120000</v>
      </c>
      <c r="L1514" s="9">
        <f>Table_1[[#This Row],[Unit Price]]*Table_1[[#This Row],[Quantity]]</f>
        <v>150000</v>
      </c>
      <c r="M1514" s="8">
        <f>Table_1[[#This Row],[Cost Price]]*Table_1[[#This Row],[Quantity]]</f>
        <v>120000</v>
      </c>
      <c r="N1514">
        <f>Table_1[[#This Row],[Revenue]]-Table_1[[#This Row],[COGS]]</f>
        <v>30000</v>
      </c>
      <c r="O1514" s="11">
        <f t="shared" si="162"/>
        <v>4656740000</v>
      </c>
      <c r="P1514">
        <f t="shared" si="163"/>
        <v>3725392000</v>
      </c>
      <c r="Q1514">
        <f t="shared" si="164"/>
        <v>931348000</v>
      </c>
      <c r="R1514" s="7">
        <f t="shared" si="165"/>
        <v>2098</v>
      </c>
      <c r="S1514" s="7">
        <f t="shared" si="166"/>
        <v>2</v>
      </c>
      <c r="T1514" s="7">
        <f t="shared" si="167"/>
        <v>2098</v>
      </c>
    </row>
    <row r="1515" spans="1:20" ht="14.25" customHeight="1" x14ac:dyDescent="0.35">
      <c r="A1515" s="2" t="s">
        <v>126</v>
      </c>
      <c r="B1515" s="2" t="s">
        <v>34</v>
      </c>
      <c r="C1515" s="2" t="s">
        <v>30</v>
      </c>
      <c r="D1515" s="2" t="s">
        <v>26</v>
      </c>
      <c r="E1515" s="2" t="s">
        <v>15</v>
      </c>
      <c r="F1515" s="2" t="s">
        <v>39</v>
      </c>
      <c r="G1515" s="2" t="s">
        <v>24</v>
      </c>
      <c r="H1515" s="2">
        <v>180000</v>
      </c>
      <c r="I1515" s="2">
        <v>9</v>
      </c>
      <c r="J1515" s="2" t="s">
        <v>43</v>
      </c>
      <c r="K1515" s="2">
        <f t="shared" si="161"/>
        <v>144000</v>
      </c>
      <c r="L1515" s="9">
        <f>Table_1[[#This Row],[Unit Price]]*Table_1[[#This Row],[Quantity]]</f>
        <v>1620000</v>
      </c>
      <c r="M1515" s="8">
        <f>Table_1[[#This Row],[Cost Price]]*Table_1[[#This Row],[Quantity]]</f>
        <v>1296000</v>
      </c>
      <c r="N1515">
        <f>Table_1[[#This Row],[Revenue]]-Table_1[[#This Row],[COGS]]</f>
        <v>324000</v>
      </c>
      <c r="O1515" s="11">
        <f t="shared" si="162"/>
        <v>4656740000</v>
      </c>
      <c r="P1515">
        <f t="shared" si="163"/>
        <v>3725392000</v>
      </c>
      <c r="Q1515">
        <f t="shared" si="164"/>
        <v>931348000</v>
      </c>
      <c r="R1515" s="7">
        <f t="shared" si="165"/>
        <v>2098</v>
      </c>
      <c r="S1515" s="7">
        <f t="shared" si="166"/>
        <v>3</v>
      </c>
      <c r="T1515" s="7">
        <f t="shared" si="167"/>
        <v>2098</v>
      </c>
    </row>
    <row r="1516" spans="1:20" ht="14.25" customHeight="1" x14ac:dyDescent="0.35">
      <c r="A1516" s="2" t="s">
        <v>106</v>
      </c>
      <c r="B1516" s="2" t="s">
        <v>34</v>
      </c>
      <c r="C1516" s="2" t="s">
        <v>30</v>
      </c>
      <c r="D1516" s="2" t="s">
        <v>26</v>
      </c>
      <c r="E1516" s="2" t="s">
        <v>22</v>
      </c>
      <c r="F1516" s="2" t="s">
        <v>52</v>
      </c>
      <c r="G1516" s="2" t="s">
        <v>36</v>
      </c>
      <c r="H1516" s="2">
        <v>420000</v>
      </c>
      <c r="I1516" s="2">
        <v>10</v>
      </c>
      <c r="J1516" s="2" t="s">
        <v>18</v>
      </c>
      <c r="K1516" s="2">
        <f t="shared" si="161"/>
        <v>336000</v>
      </c>
      <c r="L1516" s="9">
        <f>Table_1[[#This Row],[Unit Price]]*Table_1[[#This Row],[Quantity]]</f>
        <v>4200000</v>
      </c>
      <c r="M1516" s="8">
        <f>Table_1[[#This Row],[Cost Price]]*Table_1[[#This Row],[Quantity]]</f>
        <v>3360000</v>
      </c>
      <c r="N1516">
        <f>Table_1[[#This Row],[Revenue]]-Table_1[[#This Row],[COGS]]</f>
        <v>840000</v>
      </c>
      <c r="O1516" s="11">
        <f t="shared" si="162"/>
        <v>4656740000</v>
      </c>
      <c r="P1516">
        <f t="shared" si="163"/>
        <v>3725392000</v>
      </c>
      <c r="Q1516">
        <f t="shared" si="164"/>
        <v>931348000</v>
      </c>
      <c r="R1516" s="7">
        <f t="shared" si="165"/>
        <v>2098</v>
      </c>
      <c r="S1516" s="7">
        <f t="shared" si="166"/>
        <v>4</v>
      </c>
      <c r="T1516" s="7">
        <f t="shared" si="167"/>
        <v>2098</v>
      </c>
    </row>
    <row r="1517" spans="1:20" ht="14.25" customHeight="1" x14ac:dyDescent="0.35">
      <c r="A1517" s="2" t="s">
        <v>44</v>
      </c>
      <c r="B1517" s="2" t="s">
        <v>12</v>
      </c>
      <c r="C1517" s="2" t="s">
        <v>38</v>
      </c>
      <c r="D1517" s="2" t="s">
        <v>14</v>
      </c>
      <c r="E1517" s="2" t="s">
        <v>15</v>
      </c>
      <c r="F1517" s="2" t="s">
        <v>56</v>
      </c>
      <c r="G1517" s="2" t="s">
        <v>36</v>
      </c>
      <c r="H1517" s="2">
        <v>250000</v>
      </c>
      <c r="I1517" s="2">
        <v>10</v>
      </c>
      <c r="J1517" s="2" t="s">
        <v>18</v>
      </c>
      <c r="K1517" s="2">
        <f t="shared" si="161"/>
        <v>200000</v>
      </c>
      <c r="L1517" s="9">
        <f>Table_1[[#This Row],[Unit Price]]*Table_1[[#This Row],[Quantity]]</f>
        <v>2500000</v>
      </c>
      <c r="M1517" s="8">
        <f>Table_1[[#This Row],[Cost Price]]*Table_1[[#This Row],[Quantity]]</f>
        <v>2000000</v>
      </c>
      <c r="N1517">
        <f>Table_1[[#This Row],[Revenue]]-Table_1[[#This Row],[COGS]]</f>
        <v>500000</v>
      </c>
      <c r="O1517" s="11">
        <f t="shared" si="162"/>
        <v>4656740000</v>
      </c>
      <c r="P1517">
        <f t="shared" si="163"/>
        <v>3725392000</v>
      </c>
      <c r="Q1517">
        <f t="shared" si="164"/>
        <v>931348000</v>
      </c>
      <c r="R1517" s="7">
        <f t="shared" si="165"/>
        <v>2098</v>
      </c>
      <c r="S1517" s="7">
        <f t="shared" si="166"/>
        <v>3</v>
      </c>
      <c r="T1517" s="7">
        <f t="shared" si="167"/>
        <v>2098</v>
      </c>
    </row>
    <row r="1518" spans="1:20" ht="14.25" customHeight="1" x14ac:dyDescent="0.35">
      <c r="A1518" s="2" t="s">
        <v>63</v>
      </c>
      <c r="B1518" s="2" t="s">
        <v>20</v>
      </c>
      <c r="C1518" s="2" t="s">
        <v>30</v>
      </c>
      <c r="D1518" s="2" t="s">
        <v>14</v>
      </c>
      <c r="E1518" s="2" t="s">
        <v>22</v>
      </c>
      <c r="F1518" s="2" t="s">
        <v>58</v>
      </c>
      <c r="G1518" s="2" t="s">
        <v>24</v>
      </c>
      <c r="H1518" s="2">
        <v>220000</v>
      </c>
      <c r="I1518" s="2">
        <v>3</v>
      </c>
      <c r="J1518" s="2" t="s">
        <v>27</v>
      </c>
      <c r="K1518" s="2">
        <f t="shared" si="161"/>
        <v>176000</v>
      </c>
      <c r="L1518" s="9">
        <f>Table_1[[#This Row],[Unit Price]]*Table_1[[#This Row],[Quantity]]</f>
        <v>660000</v>
      </c>
      <c r="M1518" s="8">
        <f>Table_1[[#This Row],[Cost Price]]*Table_1[[#This Row],[Quantity]]</f>
        <v>528000</v>
      </c>
      <c r="N1518">
        <f>Table_1[[#This Row],[Revenue]]-Table_1[[#This Row],[COGS]]</f>
        <v>132000</v>
      </c>
      <c r="O1518" s="11">
        <f t="shared" si="162"/>
        <v>4656740000</v>
      </c>
      <c r="P1518">
        <f t="shared" si="163"/>
        <v>3725392000</v>
      </c>
      <c r="Q1518">
        <f t="shared" si="164"/>
        <v>931348000</v>
      </c>
      <c r="R1518" s="7">
        <f t="shared" si="165"/>
        <v>2098</v>
      </c>
      <c r="S1518" s="7">
        <f t="shared" si="166"/>
        <v>4</v>
      </c>
      <c r="T1518" s="7">
        <f t="shared" si="167"/>
        <v>2098</v>
      </c>
    </row>
    <row r="1519" spans="1:20" ht="14.25" customHeight="1" x14ac:dyDescent="0.35">
      <c r="A1519" s="2" t="s">
        <v>124</v>
      </c>
      <c r="B1519" s="2" t="s">
        <v>34</v>
      </c>
      <c r="C1519" s="2" t="s">
        <v>38</v>
      </c>
      <c r="D1519" s="2" t="s">
        <v>14</v>
      </c>
      <c r="E1519" s="2" t="s">
        <v>15</v>
      </c>
      <c r="F1519" s="2" t="s">
        <v>23</v>
      </c>
      <c r="G1519" s="2" t="s">
        <v>24</v>
      </c>
      <c r="H1519" s="2">
        <v>30000</v>
      </c>
      <c r="I1519" s="2">
        <v>4</v>
      </c>
      <c r="J1519" s="2" t="s">
        <v>43</v>
      </c>
      <c r="K1519" s="2">
        <f t="shared" si="161"/>
        <v>24000</v>
      </c>
      <c r="L1519" s="9">
        <f>Table_1[[#This Row],[Unit Price]]*Table_1[[#This Row],[Quantity]]</f>
        <v>120000</v>
      </c>
      <c r="M1519" s="8">
        <f>Table_1[[#This Row],[Cost Price]]*Table_1[[#This Row],[Quantity]]</f>
        <v>96000</v>
      </c>
      <c r="N1519">
        <f>Table_1[[#This Row],[Revenue]]-Table_1[[#This Row],[COGS]]</f>
        <v>24000</v>
      </c>
      <c r="O1519" s="11">
        <f t="shared" si="162"/>
        <v>4656740000</v>
      </c>
      <c r="P1519">
        <f t="shared" si="163"/>
        <v>3725392000</v>
      </c>
      <c r="Q1519">
        <f t="shared" si="164"/>
        <v>931348000</v>
      </c>
      <c r="R1519" s="7">
        <f t="shared" si="165"/>
        <v>2098</v>
      </c>
      <c r="S1519" s="7">
        <f t="shared" si="166"/>
        <v>1</v>
      </c>
      <c r="T1519" s="7">
        <f t="shared" si="167"/>
        <v>2098</v>
      </c>
    </row>
    <row r="1520" spans="1:20" ht="14.25" customHeight="1" x14ac:dyDescent="0.35">
      <c r="A1520" s="2" t="s">
        <v>147</v>
      </c>
      <c r="B1520" s="2" t="s">
        <v>20</v>
      </c>
      <c r="C1520" s="2" t="s">
        <v>38</v>
      </c>
      <c r="D1520" s="2" t="s">
        <v>14</v>
      </c>
      <c r="E1520" s="2" t="s">
        <v>22</v>
      </c>
      <c r="F1520" s="2" t="s">
        <v>39</v>
      </c>
      <c r="G1520" s="2" t="s">
        <v>24</v>
      </c>
      <c r="H1520" s="2">
        <v>180000</v>
      </c>
      <c r="I1520" s="2">
        <v>9</v>
      </c>
      <c r="J1520" s="2" t="s">
        <v>43</v>
      </c>
      <c r="K1520" s="2">
        <f t="shared" si="161"/>
        <v>144000</v>
      </c>
      <c r="L1520" s="9">
        <f>Table_1[[#This Row],[Unit Price]]*Table_1[[#This Row],[Quantity]]</f>
        <v>1620000</v>
      </c>
      <c r="M1520" s="8">
        <f>Table_1[[#This Row],[Cost Price]]*Table_1[[#This Row],[Quantity]]</f>
        <v>1296000</v>
      </c>
      <c r="N1520">
        <f>Table_1[[#This Row],[Revenue]]-Table_1[[#This Row],[COGS]]</f>
        <v>324000</v>
      </c>
      <c r="O1520" s="11">
        <f t="shared" si="162"/>
        <v>4656740000</v>
      </c>
      <c r="P1520">
        <f t="shared" si="163"/>
        <v>3725392000</v>
      </c>
      <c r="Q1520">
        <f t="shared" si="164"/>
        <v>931348000</v>
      </c>
      <c r="R1520" s="7">
        <f t="shared" si="165"/>
        <v>2098</v>
      </c>
      <c r="S1520" s="7">
        <f t="shared" si="166"/>
        <v>4</v>
      </c>
      <c r="T1520" s="7">
        <f t="shared" si="167"/>
        <v>2098</v>
      </c>
    </row>
    <row r="1521" spans="1:20" ht="14.25" customHeight="1" x14ac:dyDescent="0.35">
      <c r="A1521" s="2" t="s">
        <v>159</v>
      </c>
      <c r="B1521" s="2" t="s">
        <v>12</v>
      </c>
      <c r="C1521" s="2" t="s">
        <v>30</v>
      </c>
      <c r="D1521" s="2" t="s">
        <v>14</v>
      </c>
      <c r="E1521" s="2" t="s">
        <v>22</v>
      </c>
      <c r="F1521" s="2" t="s">
        <v>39</v>
      </c>
      <c r="G1521" s="2" t="s">
        <v>24</v>
      </c>
      <c r="H1521" s="2">
        <v>180000</v>
      </c>
      <c r="I1521" s="2">
        <v>7</v>
      </c>
      <c r="J1521" s="2" t="s">
        <v>43</v>
      </c>
      <c r="K1521" s="2">
        <f t="shared" si="161"/>
        <v>144000</v>
      </c>
      <c r="L1521" s="9">
        <f>Table_1[[#This Row],[Unit Price]]*Table_1[[#This Row],[Quantity]]</f>
        <v>1260000</v>
      </c>
      <c r="M1521" s="8">
        <f>Table_1[[#This Row],[Cost Price]]*Table_1[[#This Row],[Quantity]]</f>
        <v>1008000</v>
      </c>
      <c r="N1521">
        <f>Table_1[[#This Row],[Revenue]]-Table_1[[#This Row],[COGS]]</f>
        <v>252000</v>
      </c>
      <c r="O1521" s="11">
        <f t="shared" si="162"/>
        <v>4656740000</v>
      </c>
      <c r="P1521">
        <f t="shared" si="163"/>
        <v>3725392000</v>
      </c>
      <c r="Q1521">
        <f t="shared" si="164"/>
        <v>931348000</v>
      </c>
      <c r="R1521" s="7">
        <f t="shared" si="165"/>
        <v>2098</v>
      </c>
      <c r="S1521" s="7">
        <f t="shared" si="166"/>
        <v>2</v>
      </c>
      <c r="T1521" s="7">
        <f t="shared" si="167"/>
        <v>2098</v>
      </c>
    </row>
    <row r="1522" spans="1:20" ht="14.25" customHeight="1" x14ac:dyDescent="0.35">
      <c r="A1522" s="2" t="s">
        <v>75</v>
      </c>
      <c r="B1522" s="2" t="s">
        <v>20</v>
      </c>
      <c r="C1522" s="2" t="s">
        <v>13</v>
      </c>
      <c r="D1522" s="2" t="s">
        <v>26</v>
      </c>
      <c r="E1522" s="2" t="s">
        <v>22</v>
      </c>
      <c r="F1522" s="2" t="s">
        <v>47</v>
      </c>
      <c r="G1522" s="2" t="s">
        <v>36</v>
      </c>
      <c r="H1522" s="2">
        <v>150000</v>
      </c>
      <c r="I1522" s="2">
        <v>7</v>
      </c>
      <c r="J1522" s="2" t="s">
        <v>18</v>
      </c>
      <c r="K1522" s="2">
        <f t="shared" si="161"/>
        <v>120000</v>
      </c>
      <c r="L1522" s="9">
        <f>Table_1[[#This Row],[Unit Price]]*Table_1[[#This Row],[Quantity]]</f>
        <v>1050000</v>
      </c>
      <c r="M1522" s="8">
        <f>Table_1[[#This Row],[Cost Price]]*Table_1[[#This Row],[Quantity]]</f>
        <v>840000</v>
      </c>
      <c r="N1522">
        <f>Table_1[[#This Row],[Revenue]]-Table_1[[#This Row],[COGS]]</f>
        <v>210000</v>
      </c>
      <c r="O1522" s="11">
        <f t="shared" si="162"/>
        <v>4656740000</v>
      </c>
      <c r="P1522">
        <f t="shared" si="163"/>
        <v>3725392000</v>
      </c>
      <c r="Q1522">
        <f t="shared" si="164"/>
        <v>931348000</v>
      </c>
      <c r="R1522" s="7">
        <f t="shared" si="165"/>
        <v>2098</v>
      </c>
      <c r="S1522" s="7">
        <f t="shared" si="166"/>
        <v>2</v>
      </c>
      <c r="T1522" s="7">
        <f t="shared" si="167"/>
        <v>2098</v>
      </c>
    </row>
    <row r="1523" spans="1:20" ht="14.25" customHeight="1" x14ac:dyDescent="0.35">
      <c r="A1523" s="2" t="s">
        <v>83</v>
      </c>
      <c r="B1523" s="2" t="s">
        <v>20</v>
      </c>
      <c r="C1523" s="2" t="s">
        <v>38</v>
      </c>
      <c r="D1523" s="2" t="s">
        <v>14</v>
      </c>
      <c r="E1523" s="2" t="s">
        <v>15</v>
      </c>
      <c r="F1523" s="2" t="s">
        <v>23</v>
      </c>
      <c r="G1523" s="2" t="s">
        <v>24</v>
      </c>
      <c r="H1523" s="2">
        <v>30000</v>
      </c>
      <c r="I1523" s="2">
        <v>4</v>
      </c>
      <c r="J1523" s="2" t="s">
        <v>32</v>
      </c>
      <c r="K1523" s="2">
        <f t="shared" si="161"/>
        <v>24000</v>
      </c>
      <c r="L1523" s="9">
        <f>Table_1[[#This Row],[Unit Price]]*Table_1[[#This Row],[Quantity]]</f>
        <v>120000</v>
      </c>
      <c r="M1523" s="8">
        <f>Table_1[[#This Row],[Cost Price]]*Table_1[[#This Row],[Quantity]]</f>
        <v>96000</v>
      </c>
      <c r="N1523">
        <f>Table_1[[#This Row],[Revenue]]-Table_1[[#This Row],[COGS]]</f>
        <v>24000</v>
      </c>
      <c r="O1523" s="11">
        <f t="shared" si="162"/>
        <v>4656740000</v>
      </c>
      <c r="P1523">
        <f t="shared" si="163"/>
        <v>3725392000</v>
      </c>
      <c r="Q1523">
        <f t="shared" si="164"/>
        <v>931348000</v>
      </c>
      <c r="R1523" s="7">
        <f t="shared" si="165"/>
        <v>2098</v>
      </c>
      <c r="S1523" s="7">
        <f t="shared" si="166"/>
        <v>1</v>
      </c>
      <c r="T1523" s="7">
        <f t="shared" si="167"/>
        <v>2098</v>
      </c>
    </row>
    <row r="1524" spans="1:20" ht="14.25" customHeight="1" x14ac:dyDescent="0.35">
      <c r="A1524" s="2" t="s">
        <v>151</v>
      </c>
      <c r="B1524" s="2" t="s">
        <v>20</v>
      </c>
      <c r="C1524" s="2" t="s">
        <v>21</v>
      </c>
      <c r="D1524" s="2" t="s">
        <v>14</v>
      </c>
      <c r="E1524" s="2" t="s">
        <v>15</v>
      </c>
      <c r="F1524" s="2" t="s">
        <v>41</v>
      </c>
      <c r="G1524" s="2" t="s">
        <v>17</v>
      </c>
      <c r="H1524" s="2">
        <v>320000</v>
      </c>
      <c r="I1524" s="2">
        <v>2</v>
      </c>
      <c r="J1524" s="2" t="s">
        <v>43</v>
      </c>
      <c r="K1524" s="2">
        <f t="shared" si="161"/>
        <v>256000</v>
      </c>
      <c r="L1524" s="9">
        <f>Table_1[[#This Row],[Unit Price]]*Table_1[[#This Row],[Quantity]]</f>
        <v>640000</v>
      </c>
      <c r="M1524" s="8">
        <f>Table_1[[#This Row],[Cost Price]]*Table_1[[#This Row],[Quantity]]</f>
        <v>512000</v>
      </c>
      <c r="N1524">
        <f>Table_1[[#This Row],[Revenue]]-Table_1[[#This Row],[COGS]]</f>
        <v>128000</v>
      </c>
      <c r="O1524" s="11">
        <f t="shared" si="162"/>
        <v>4656740000</v>
      </c>
      <c r="P1524">
        <f t="shared" si="163"/>
        <v>3725392000</v>
      </c>
      <c r="Q1524">
        <f t="shared" si="164"/>
        <v>931348000</v>
      </c>
      <c r="R1524" s="7">
        <f t="shared" si="165"/>
        <v>2098</v>
      </c>
      <c r="S1524" s="7">
        <f t="shared" si="166"/>
        <v>1</v>
      </c>
      <c r="T1524" s="7">
        <f t="shared" si="167"/>
        <v>2098</v>
      </c>
    </row>
    <row r="1525" spans="1:20" ht="14.25" customHeight="1" x14ac:dyDescent="0.35">
      <c r="A1525" s="2" t="s">
        <v>122</v>
      </c>
      <c r="B1525" s="2" t="s">
        <v>20</v>
      </c>
      <c r="C1525" s="2" t="s">
        <v>21</v>
      </c>
      <c r="D1525" s="2" t="s">
        <v>26</v>
      </c>
      <c r="E1525" s="2" t="s">
        <v>22</v>
      </c>
      <c r="F1525" s="2" t="s">
        <v>41</v>
      </c>
      <c r="G1525" s="2" t="s">
        <v>17</v>
      </c>
      <c r="H1525" s="2">
        <v>320000</v>
      </c>
      <c r="I1525" s="2">
        <v>6</v>
      </c>
      <c r="J1525" s="2" t="s">
        <v>50</v>
      </c>
      <c r="K1525" s="2">
        <f t="shared" si="161"/>
        <v>256000</v>
      </c>
      <c r="L1525" s="9">
        <f>Table_1[[#This Row],[Unit Price]]*Table_1[[#This Row],[Quantity]]</f>
        <v>1920000</v>
      </c>
      <c r="M1525" s="8">
        <f>Table_1[[#This Row],[Cost Price]]*Table_1[[#This Row],[Quantity]]</f>
        <v>1536000</v>
      </c>
      <c r="N1525">
        <f>Table_1[[#This Row],[Revenue]]-Table_1[[#This Row],[COGS]]</f>
        <v>384000</v>
      </c>
      <c r="O1525" s="11">
        <f t="shared" si="162"/>
        <v>4656740000</v>
      </c>
      <c r="P1525">
        <f t="shared" si="163"/>
        <v>3725392000</v>
      </c>
      <c r="Q1525">
        <f t="shared" si="164"/>
        <v>931348000</v>
      </c>
      <c r="R1525" s="7">
        <f t="shared" si="165"/>
        <v>2098</v>
      </c>
      <c r="S1525" s="7">
        <f t="shared" si="166"/>
        <v>4</v>
      </c>
      <c r="T1525" s="7">
        <f t="shared" si="167"/>
        <v>2098</v>
      </c>
    </row>
    <row r="1526" spans="1:20" ht="14.25" customHeight="1" x14ac:dyDescent="0.35">
      <c r="A1526" s="2" t="s">
        <v>63</v>
      </c>
      <c r="B1526" s="2" t="s">
        <v>20</v>
      </c>
      <c r="C1526" s="2" t="s">
        <v>30</v>
      </c>
      <c r="D1526" s="2" t="s">
        <v>26</v>
      </c>
      <c r="E1526" s="2" t="s">
        <v>22</v>
      </c>
      <c r="F1526" s="2" t="s">
        <v>52</v>
      </c>
      <c r="G1526" s="2" t="s">
        <v>36</v>
      </c>
      <c r="H1526" s="2">
        <v>420000</v>
      </c>
      <c r="I1526" s="2">
        <v>10</v>
      </c>
      <c r="J1526" s="2" t="s">
        <v>27</v>
      </c>
      <c r="K1526" s="2">
        <f t="shared" si="161"/>
        <v>336000</v>
      </c>
      <c r="L1526" s="9">
        <f>Table_1[[#This Row],[Unit Price]]*Table_1[[#This Row],[Quantity]]</f>
        <v>4200000</v>
      </c>
      <c r="M1526" s="8">
        <f>Table_1[[#This Row],[Cost Price]]*Table_1[[#This Row],[Quantity]]</f>
        <v>3360000</v>
      </c>
      <c r="N1526">
        <f>Table_1[[#This Row],[Revenue]]-Table_1[[#This Row],[COGS]]</f>
        <v>840000</v>
      </c>
      <c r="O1526" s="11">
        <f t="shared" si="162"/>
        <v>4656740000</v>
      </c>
      <c r="P1526">
        <f t="shared" si="163"/>
        <v>3725392000</v>
      </c>
      <c r="Q1526">
        <f t="shared" si="164"/>
        <v>931348000</v>
      </c>
      <c r="R1526" s="7">
        <f t="shared" si="165"/>
        <v>2098</v>
      </c>
      <c r="S1526" s="7">
        <f t="shared" si="166"/>
        <v>4</v>
      </c>
      <c r="T1526" s="7">
        <f t="shared" si="167"/>
        <v>2098</v>
      </c>
    </row>
    <row r="1527" spans="1:20" ht="14.25" customHeight="1" x14ac:dyDescent="0.35">
      <c r="A1527" s="2" t="s">
        <v>123</v>
      </c>
      <c r="B1527" s="2" t="s">
        <v>29</v>
      </c>
      <c r="C1527" s="2" t="s">
        <v>38</v>
      </c>
      <c r="D1527" s="2" t="s">
        <v>14</v>
      </c>
      <c r="E1527" s="2" t="s">
        <v>15</v>
      </c>
      <c r="F1527" s="2" t="s">
        <v>58</v>
      </c>
      <c r="G1527" s="2" t="s">
        <v>24</v>
      </c>
      <c r="H1527" s="2">
        <v>220000</v>
      </c>
      <c r="I1527" s="2">
        <v>8</v>
      </c>
      <c r="J1527" s="2" t="s">
        <v>18</v>
      </c>
      <c r="K1527" s="2">
        <f t="shared" si="161"/>
        <v>176000</v>
      </c>
      <c r="L1527" s="9">
        <f>Table_1[[#This Row],[Unit Price]]*Table_1[[#This Row],[Quantity]]</f>
        <v>1760000</v>
      </c>
      <c r="M1527" s="8">
        <f>Table_1[[#This Row],[Cost Price]]*Table_1[[#This Row],[Quantity]]</f>
        <v>1408000</v>
      </c>
      <c r="N1527">
        <f>Table_1[[#This Row],[Revenue]]-Table_1[[#This Row],[COGS]]</f>
        <v>352000</v>
      </c>
      <c r="O1527" s="11">
        <f t="shared" si="162"/>
        <v>4656740000</v>
      </c>
      <c r="P1527">
        <f t="shared" si="163"/>
        <v>3725392000</v>
      </c>
      <c r="Q1527">
        <f t="shared" si="164"/>
        <v>931348000</v>
      </c>
      <c r="R1527" s="7">
        <f t="shared" si="165"/>
        <v>2098</v>
      </c>
      <c r="S1527" s="7">
        <f t="shared" si="166"/>
        <v>4</v>
      </c>
      <c r="T1527" s="7">
        <f t="shared" si="167"/>
        <v>2098</v>
      </c>
    </row>
    <row r="1528" spans="1:20" ht="14.25" customHeight="1" x14ac:dyDescent="0.35">
      <c r="A1528" s="2" t="s">
        <v>116</v>
      </c>
      <c r="B1528" s="2" t="s">
        <v>20</v>
      </c>
      <c r="C1528" s="2" t="s">
        <v>13</v>
      </c>
      <c r="D1528" s="2" t="s">
        <v>14</v>
      </c>
      <c r="E1528" s="2" t="s">
        <v>15</v>
      </c>
      <c r="F1528" s="2" t="s">
        <v>35</v>
      </c>
      <c r="G1528" s="2" t="s">
        <v>36</v>
      </c>
      <c r="H1528" s="2">
        <v>300000</v>
      </c>
      <c r="I1528" s="2">
        <v>10</v>
      </c>
      <c r="J1528" s="2" t="s">
        <v>18</v>
      </c>
      <c r="K1528" s="2">
        <f t="shared" si="161"/>
        <v>240000</v>
      </c>
      <c r="L1528" s="9">
        <f>Table_1[[#This Row],[Unit Price]]*Table_1[[#This Row],[Quantity]]</f>
        <v>3000000</v>
      </c>
      <c r="M1528" s="8">
        <f>Table_1[[#This Row],[Cost Price]]*Table_1[[#This Row],[Quantity]]</f>
        <v>2400000</v>
      </c>
      <c r="N1528">
        <f>Table_1[[#This Row],[Revenue]]-Table_1[[#This Row],[COGS]]</f>
        <v>600000</v>
      </c>
      <c r="O1528" s="11">
        <f t="shared" si="162"/>
        <v>4656740000</v>
      </c>
      <c r="P1528">
        <f t="shared" si="163"/>
        <v>3725392000</v>
      </c>
      <c r="Q1528">
        <f t="shared" si="164"/>
        <v>931348000</v>
      </c>
      <c r="R1528" s="7">
        <f t="shared" si="165"/>
        <v>2098</v>
      </c>
      <c r="S1528" s="7">
        <f t="shared" si="166"/>
        <v>3</v>
      </c>
      <c r="T1528" s="7">
        <f t="shared" si="167"/>
        <v>2098</v>
      </c>
    </row>
    <row r="1529" spans="1:20" ht="14.25" customHeight="1" x14ac:dyDescent="0.35">
      <c r="A1529" s="2" t="s">
        <v>48</v>
      </c>
      <c r="B1529" s="2" t="s">
        <v>29</v>
      </c>
      <c r="C1529" s="2" t="s">
        <v>38</v>
      </c>
      <c r="D1529" s="2" t="s">
        <v>26</v>
      </c>
      <c r="E1529" s="2" t="s">
        <v>22</v>
      </c>
      <c r="F1529" s="2" t="s">
        <v>35</v>
      </c>
      <c r="G1529" s="2" t="s">
        <v>36</v>
      </c>
      <c r="H1529" s="2">
        <v>300000</v>
      </c>
      <c r="I1529" s="2">
        <v>3</v>
      </c>
      <c r="J1529" s="2" t="s">
        <v>32</v>
      </c>
      <c r="K1529" s="2">
        <f t="shared" si="161"/>
        <v>240000</v>
      </c>
      <c r="L1529" s="9">
        <f>Table_1[[#This Row],[Unit Price]]*Table_1[[#This Row],[Quantity]]</f>
        <v>900000</v>
      </c>
      <c r="M1529" s="8">
        <f>Table_1[[#This Row],[Cost Price]]*Table_1[[#This Row],[Quantity]]</f>
        <v>720000</v>
      </c>
      <c r="N1529">
        <f>Table_1[[#This Row],[Revenue]]-Table_1[[#This Row],[COGS]]</f>
        <v>180000</v>
      </c>
      <c r="O1529" s="11">
        <f t="shared" si="162"/>
        <v>4656740000</v>
      </c>
      <c r="P1529">
        <f t="shared" si="163"/>
        <v>3725392000</v>
      </c>
      <c r="Q1529">
        <f t="shared" si="164"/>
        <v>931348000</v>
      </c>
      <c r="R1529" s="7">
        <f t="shared" si="165"/>
        <v>2098</v>
      </c>
      <c r="S1529" s="7">
        <f t="shared" si="166"/>
        <v>1</v>
      </c>
      <c r="T1529" s="7">
        <f t="shared" si="167"/>
        <v>2098</v>
      </c>
    </row>
    <row r="1530" spans="1:20" ht="14.25" customHeight="1" x14ac:dyDescent="0.35">
      <c r="A1530" s="2" t="s">
        <v>110</v>
      </c>
      <c r="B1530" s="2" t="s">
        <v>34</v>
      </c>
      <c r="C1530" s="2" t="s">
        <v>13</v>
      </c>
      <c r="D1530" s="2" t="s">
        <v>14</v>
      </c>
      <c r="E1530" s="2" t="s">
        <v>15</v>
      </c>
      <c r="F1530" s="2" t="s">
        <v>41</v>
      </c>
      <c r="G1530" s="2" t="s">
        <v>17</v>
      </c>
      <c r="H1530" s="2">
        <v>320000</v>
      </c>
      <c r="I1530" s="2">
        <v>5</v>
      </c>
      <c r="J1530" s="2" t="s">
        <v>50</v>
      </c>
      <c r="K1530" s="2">
        <f t="shared" si="161"/>
        <v>256000</v>
      </c>
      <c r="L1530" s="9">
        <f>Table_1[[#This Row],[Unit Price]]*Table_1[[#This Row],[Quantity]]</f>
        <v>1600000</v>
      </c>
      <c r="M1530" s="8">
        <f>Table_1[[#This Row],[Cost Price]]*Table_1[[#This Row],[Quantity]]</f>
        <v>1280000</v>
      </c>
      <c r="N1530">
        <f>Table_1[[#This Row],[Revenue]]-Table_1[[#This Row],[COGS]]</f>
        <v>320000</v>
      </c>
      <c r="O1530" s="11">
        <f t="shared" si="162"/>
        <v>4656740000</v>
      </c>
      <c r="P1530">
        <f t="shared" si="163"/>
        <v>3725392000</v>
      </c>
      <c r="Q1530">
        <f t="shared" si="164"/>
        <v>931348000</v>
      </c>
      <c r="R1530" s="7">
        <f t="shared" si="165"/>
        <v>2098</v>
      </c>
      <c r="S1530" s="7">
        <f t="shared" si="166"/>
        <v>2</v>
      </c>
      <c r="T1530" s="7">
        <f t="shared" si="167"/>
        <v>2098</v>
      </c>
    </row>
    <row r="1531" spans="1:20" ht="14.25" customHeight="1" x14ac:dyDescent="0.35">
      <c r="A1531" s="2" t="s">
        <v>71</v>
      </c>
      <c r="B1531" s="2" t="s">
        <v>20</v>
      </c>
      <c r="C1531" s="2" t="s">
        <v>38</v>
      </c>
      <c r="D1531" s="2" t="s">
        <v>14</v>
      </c>
      <c r="E1531" s="2" t="s">
        <v>15</v>
      </c>
      <c r="F1531" s="2" t="s">
        <v>16</v>
      </c>
      <c r="G1531" s="2" t="s">
        <v>17</v>
      </c>
      <c r="H1531" s="2">
        <v>85000</v>
      </c>
      <c r="I1531" s="2">
        <v>7</v>
      </c>
      <c r="J1531" s="2" t="s">
        <v>18</v>
      </c>
      <c r="K1531" s="2">
        <f t="shared" si="161"/>
        <v>68000</v>
      </c>
      <c r="L1531" s="9">
        <f>Table_1[[#This Row],[Unit Price]]*Table_1[[#This Row],[Quantity]]</f>
        <v>595000</v>
      </c>
      <c r="M1531" s="8">
        <f>Table_1[[#This Row],[Cost Price]]*Table_1[[#This Row],[Quantity]]</f>
        <v>476000</v>
      </c>
      <c r="N1531">
        <f>Table_1[[#This Row],[Revenue]]-Table_1[[#This Row],[COGS]]</f>
        <v>119000</v>
      </c>
      <c r="O1531" s="11">
        <f t="shared" si="162"/>
        <v>4656740000</v>
      </c>
      <c r="P1531">
        <f t="shared" si="163"/>
        <v>3725392000</v>
      </c>
      <c r="Q1531">
        <f t="shared" si="164"/>
        <v>931348000</v>
      </c>
      <c r="R1531" s="7">
        <f t="shared" si="165"/>
        <v>2098</v>
      </c>
      <c r="S1531" s="7">
        <f t="shared" si="166"/>
        <v>2</v>
      </c>
      <c r="T1531" s="7">
        <f t="shared" si="167"/>
        <v>2098</v>
      </c>
    </row>
    <row r="1532" spans="1:20" ht="14.25" customHeight="1" x14ac:dyDescent="0.35">
      <c r="A1532" s="2" t="s">
        <v>141</v>
      </c>
      <c r="B1532" s="2" t="s">
        <v>12</v>
      </c>
      <c r="C1532" s="2" t="s">
        <v>30</v>
      </c>
      <c r="D1532" s="2" t="s">
        <v>14</v>
      </c>
      <c r="E1532" s="2" t="s">
        <v>22</v>
      </c>
      <c r="F1532" s="2" t="s">
        <v>58</v>
      </c>
      <c r="G1532" s="2" t="s">
        <v>24</v>
      </c>
      <c r="H1532" s="2">
        <v>220000</v>
      </c>
      <c r="I1532" s="2">
        <v>2</v>
      </c>
      <c r="J1532" s="2" t="s">
        <v>50</v>
      </c>
      <c r="K1532" s="2">
        <f t="shared" si="161"/>
        <v>176000</v>
      </c>
      <c r="L1532" s="9">
        <f>Table_1[[#This Row],[Unit Price]]*Table_1[[#This Row],[Quantity]]</f>
        <v>440000</v>
      </c>
      <c r="M1532" s="8">
        <f>Table_1[[#This Row],[Cost Price]]*Table_1[[#This Row],[Quantity]]</f>
        <v>352000</v>
      </c>
      <c r="N1532">
        <f>Table_1[[#This Row],[Revenue]]-Table_1[[#This Row],[COGS]]</f>
        <v>88000</v>
      </c>
      <c r="O1532" s="11">
        <f t="shared" si="162"/>
        <v>4656740000</v>
      </c>
      <c r="P1532">
        <f t="shared" si="163"/>
        <v>3725392000</v>
      </c>
      <c r="Q1532">
        <f t="shared" si="164"/>
        <v>931348000</v>
      </c>
      <c r="R1532" s="7">
        <f t="shared" si="165"/>
        <v>2098</v>
      </c>
      <c r="S1532" s="7">
        <f t="shared" si="166"/>
        <v>2</v>
      </c>
      <c r="T1532" s="7">
        <f t="shared" si="167"/>
        <v>2098</v>
      </c>
    </row>
    <row r="1533" spans="1:20" ht="14.25" customHeight="1" x14ac:dyDescent="0.35">
      <c r="A1533" s="2" t="s">
        <v>120</v>
      </c>
      <c r="B1533" s="2" t="s">
        <v>34</v>
      </c>
      <c r="C1533" s="2" t="s">
        <v>38</v>
      </c>
      <c r="D1533" s="2" t="s">
        <v>14</v>
      </c>
      <c r="E1533" s="2" t="s">
        <v>22</v>
      </c>
      <c r="F1533" s="2" t="s">
        <v>35</v>
      </c>
      <c r="G1533" s="2" t="s">
        <v>36</v>
      </c>
      <c r="H1533" s="2">
        <v>300000</v>
      </c>
      <c r="I1533" s="2">
        <v>2</v>
      </c>
      <c r="J1533" s="2" t="s">
        <v>32</v>
      </c>
      <c r="K1533" s="2">
        <f t="shared" si="161"/>
        <v>240000</v>
      </c>
      <c r="L1533" s="9">
        <f>Table_1[[#This Row],[Unit Price]]*Table_1[[#This Row],[Quantity]]</f>
        <v>600000</v>
      </c>
      <c r="M1533" s="8">
        <f>Table_1[[#This Row],[Cost Price]]*Table_1[[#This Row],[Quantity]]</f>
        <v>480000</v>
      </c>
      <c r="N1533">
        <f>Table_1[[#This Row],[Revenue]]-Table_1[[#This Row],[COGS]]</f>
        <v>120000</v>
      </c>
      <c r="O1533" s="11">
        <f t="shared" si="162"/>
        <v>4656740000</v>
      </c>
      <c r="P1533">
        <f t="shared" si="163"/>
        <v>3725392000</v>
      </c>
      <c r="Q1533">
        <f t="shared" si="164"/>
        <v>931348000</v>
      </c>
      <c r="R1533" s="7">
        <f t="shared" si="165"/>
        <v>2098</v>
      </c>
      <c r="S1533" s="7">
        <f t="shared" si="166"/>
        <v>3</v>
      </c>
      <c r="T1533" s="7">
        <f t="shared" si="167"/>
        <v>2098</v>
      </c>
    </row>
    <row r="1534" spans="1:20" ht="14.25" customHeight="1" x14ac:dyDescent="0.35">
      <c r="A1534" s="2" t="s">
        <v>141</v>
      </c>
      <c r="B1534" s="2" t="s">
        <v>29</v>
      </c>
      <c r="C1534" s="2" t="s">
        <v>21</v>
      </c>
      <c r="D1534" s="2" t="s">
        <v>26</v>
      </c>
      <c r="E1534" s="2" t="s">
        <v>15</v>
      </c>
      <c r="F1534" s="2" t="s">
        <v>16</v>
      </c>
      <c r="G1534" s="2" t="s">
        <v>17</v>
      </c>
      <c r="H1534" s="2">
        <v>85000</v>
      </c>
      <c r="I1534" s="2">
        <v>3</v>
      </c>
      <c r="J1534" s="2" t="s">
        <v>27</v>
      </c>
      <c r="K1534" s="2">
        <f t="shared" si="161"/>
        <v>68000</v>
      </c>
      <c r="L1534" s="9">
        <f>Table_1[[#This Row],[Unit Price]]*Table_1[[#This Row],[Quantity]]</f>
        <v>255000</v>
      </c>
      <c r="M1534" s="8">
        <f>Table_1[[#This Row],[Cost Price]]*Table_1[[#This Row],[Quantity]]</f>
        <v>204000</v>
      </c>
      <c r="N1534">
        <f>Table_1[[#This Row],[Revenue]]-Table_1[[#This Row],[COGS]]</f>
        <v>51000</v>
      </c>
      <c r="O1534" s="11">
        <f t="shared" si="162"/>
        <v>4656740000</v>
      </c>
      <c r="P1534">
        <f t="shared" si="163"/>
        <v>3725392000</v>
      </c>
      <c r="Q1534">
        <f t="shared" si="164"/>
        <v>931348000</v>
      </c>
      <c r="R1534" s="7">
        <f t="shared" si="165"/>
        <v>2098</v>
      </c>
      <c r="S1534" s="7">
        <f t="shared" si="166"/>
        <v>2</v>
      </c>
      <c r="T1534" s="7">
        <f t="shared" si="167"/>
        <v>2098</v>
      </c>
    </row>
    <row r="1535" spans="1:20" ht="14.25" customHeight="1" x14ac:dyDescent="0.35">
      <c r="A1535" s="2" t="s">
        <v>11</v>
      </c>
      <c r="B1535" s="2" t="s">
        <v>34</v>
      </c>
      <c r="C1535" s="2" t="s">
        <v>38</v>
      </c>
      <c r="D1535" s="2" t="s">
        <v>14</v>
      </c>
      <c r="E1535" s="2" t="s">
        <v>22</v>
      </c>
      <c r="F1535" s="2" t="s">
        <v>58</v>
      </c>
      <c r="G1535" s="2" t="s">
        <v>24</v>
      </c>
      <c r="H1535" s="2">
        <v>220000</v>
      </c>
      <c r="I1535" s="2">
        <v>7</v>
      </c>
      <c r="J1535" s="2" t="s">
        <v>50</v>
      </c>
      <c r="K1535" s="2">
        <f t="shared" si="161"/>
        <v>176000</v>
      </c>
      <c r="L1535" s="9">
        <f>Table_1[[#This Row],[Unit Price]]*Table_1[[#This Row],[Quantity]]</f>
        <v>1540000</v>
      </c>
      <c r="M1535" s="8">
        <f>Table_1[[#This Row],[Cost Price]]*Table_1[[#This Row],[Quantity]]</f>
        <v>1232000</v>
      </c>
      <c r="N1535">
        <f>Table_1[[#This Row],[Revenue]]-Table_1[[#This Row],[COGS]]</f>
        <v>308000</v>
      </c>
      <c r="O1535" s="11">
        <f t="shared" si="162"/>
        <v>4656740000</v>
      </c>
      <c r="P1535">
        <f t="shared" si="163"/>
        <v>3725392000</v>
      </c>
      <c r="Q1535">
        <f t="shared" si="164"/>
        <v>931348000</v>
      </c>
      <c r="R1535" s="7">
        <f t="shared" si="165"/>
        <v>2098</v>
      </c>
      <c r="S1535" s="7">
        <f t="shared" si="166"/>
        <v>1</v>
      </c>
      <c r="T1535" s="7">
        <f t="shared" si="167"/>
        <v>2098</v>
      </c>
    </row>
    <row r="1536" spans="1:20" ht="14.25" customHeight="1" x14ac:dyDescent="0.35">
      <c r="A1536" s="2" t="s">
        <v>146</v>
      </c>
      <c r="B1536" s="2" t="s">
        <v>20</v>
      </c>
      <c r="C1536" s="2" t="s">
        <v>30</v>
      </c>
      <c r="D1536" s="2" t="s">
        <v>26</v>
      </c>
      <c r="E1536" s="2" t="s">
        <v>15</v>
      </c>
      <c r="F1536" s="2" t="s">
        <v>47</v>
      </c>
      <c r="G1536" s="2" t="s">
        <v>36</v>
      </c>
      <c r="H1536" s="2">
        <v>150000</v>
      </c>
      <c r="I1536" s="2">
        <v>3</v>
      </c>
      <c r="J1536" s="2" t="s">
        <v>32</v>
      </c>
      <c r="K1536" s="2">
        <f t="shared" si="161"/>
        <v>120000</v>
      </c>
      <c r="L1536" s="9">
        <f>Table_1[[#This Row],[Unit Price]]*Table_1[[#This Row],[Quantity]]</f>
        <v>450000</v>
      </c>
      <c r="M1536" s="8">
        <f>Table_1[[#This Row],[Cost Price]]*Table_1[[#This Row],[Quantity]]</f>
        <v>360000</v>
      </c>
      <c r="N1536">
        <f>Table_1[[#This Row],[Revenue]]-Table_1[[#This Row],[COGS]]</f>
        <v>90000</v>
      </c>
      <c r="O1536" s="11">
        <f t="shared" si="162"/>
        <v>4656740000</v>
      </c>
      <c r="P1536">
        <f t="shared" si="163"/>
        <v>3725392000</v>
      </c>
      <c r="Q1536">
        <f t="shared" si="164"/>
        <v>931348000</v>
      </c>
      <c r="R1536" s="7">
        <f t="shared" si="165"/>
        <v>2098</v>
      </c>
      <c r="S1536" s="7">
        <f t="shared" si="166"/>
        <v>3</v>
      </c>
      <c r="T1536" s="7">
        <f t="shared" si="167"/>
        <v>2098</v>
      </c>
    </row>
    <row r="1537" spans="1:20" ht="14.25" customHeight="1" x14ac:dyDescent="0.35">
      <c r="A1537" s="2" t="s">
        <v>161</v>
      </c>
      <c r="B1537" s="2" t="s">
        <v>20</v>
      </c>
      <c r="C1537" s="2" t="s">
        <v>21</v>
      </c>
      <c r="D1537" s="2" t="s">
        <v>14</v>
      </c>
      <c r="E1537" s="2" t="s">
        <v>22</v>
      </c>
      <c r="F1537" s="2" t="s">
        <v>52</v>
      </c>
      <c r="G1537" s="2" t="s">
        <v>36</v>
      </c>
      <c r="H1537" s="2">
        <v>420000</v>
      </c>
      <c r="I1537" s="2">
        <v>10</v>
      </c>
      <c r="J1537" s="2" t="s">
        <v>50</v>
      </c>
      <c r="K1537" s="2">
        <f t="shared" si="161"/>
        <v>336000</v>
      </c>
      <c r="L1537" s="9">
        <f>Table_1[[#This Row],[Unit Price]]*Table_1[[#This Row],[Quantity]]</f>
        <v>4200000</v>
      </c>
      <c r="M1537" s="8">
        <f>Table_1[[#This Row],[Cost Price]]*Table_1[[#This Row],[Quantity]]</f>
        <v>3360000</v>
      </c>
      <c r="N1537">
        <f>Table_1[[#This Row],[Revenue]]-Table_1[[#This Row],[COGS]]</f>
        <v>840000</v>
      </c>
      <c r="O1537" s="11">
        <f t="shared" si="162"/>
        <v>4656740000</v>
      </c>
      <c r="P1537">
        <f t="shared" si="163"/>
        <v>3725392000</v>
      </c>
      <c r="Q1537">
        <f t="shared" si="164"/>
        <v>931348000</v>
      </c>
      <c r="R1537" s="7">
        <f t="shared" si="165"/>
        <v>2098</v>
      </c>
      <c r="S1537" s="7">
        <f t="shared" si="166"/>
        <v>1</v>
      </c>
      <c r="T1537" s="7">
        <f t="shared" si="167"/>
        <v>2098</v>
      </c>
    </row>
    <row r="1538" spans="1:20" ht="14.25" customHeight="1" x14ac:dyDescent="0.35">
      <c r="A1538" s="2" t="s">
        <v>129</v>
      </c>
      <c r="B1538" s="2" t="s">
        <v>34</v>
      </c>
      <c r="C1538" s="2" t="s">
        <v>21</v>
      </c>
      <c r="D1538" s="2" t="s">
        <v>14</v>
      </c>
      <c r="E1538" s="2" t="s">
        <v>22</v>
      </c>
      <c r="F1538" s="2" t="s">
        <v>31</v>
      </c>
      <c r="G1538" s="2" t="s">
        <v>24</v>
      </c>
      <c r="H1538" s="2">
        <v>60000</v>
      </c>
      <c r="I1538" s="2">
        <v>3</v>
      </c>
      <c r="J1538" s="2" t="s">
        <v>43</v>
      </c>
      <c r="K1538" s="2">
        <f t="shared" ref="K1538:K1601" si="168">H1538-H1538*0.2</f>
        <v>48000</v>
      </c>
      <c r="L1538" s="9">
        <f>Table_1[[#This Row],[Unit Price]]*Table_1[[#This Row],[Quantity]]</f>
        <v>180000</v>
      </c>
      <c r="M1538" s="8">
        <f>Table_1[[#This Row],[Cost Price]]*Table_1[[#This Row],[Quantity]]</f>
        <v>144000</v>
      </c>
      <c r="N1538">
        <f>Table_1[[#This Row],[Revenue]]-Table_1[[#This Row],[COGS]]</f>
        <v>36000</v>
      </c>
      <c r="O1538" s="11">
        <f t="shared" ref="O1538:O1601" si="169">SUM(L$2:L$1048576)</f>
        <v>4656740000</v>
      </c>
      <c r="P1538">
        <f t="shared" ref="P1538:P1601" si="170">SUM(M:M)</f>
        <v>3725392000</v>
      </c>
      <c r="Q1538">
        <f t="shared" ref="Q1538:Q1601" si="171">SUM(N:N)</f>
        <v>931348000</v>
      </c>
      <c r="R1538" s="7">
        <f t="shared" ref="R1538:R1601" si="172">COUNTA(A$2:A$1048576)</f>
        <v>2098</v>
      </c>
      <c r="S1538" s="7">
        <f t="shared" ref="S1538:S1601" si="173">MONTH(A1538:A3026)</f>
        <v>2</v>
      </c>
      <c r="T1538" s="7">
        <f t="shared" ref="T1538:T1601" si="174">COUNTA(A:A)-1</f>
        <v>2098</v>
      </c>
    </row>
    <row r="1539" spans="1:20" ht="14.25" customHeight="1" x14ac:dyDescent="0.35">
      <c r="A1539" s="2" t="s">
        <v>112</v>
      </c>
      <c r="B1539" s="2" t="s">
        <v>20</v>
      </c>
      <c r="C1539" s="2" t="s">
        <v>21</v>
      </c>
      <c r="D1539" s="2" t="s">
        <v>26</v>
      </c>
      <c r="E1539" s="2" t="s">
        <v>15</v>
      </c>
      <c r="F1539" s="2" t="s">
        <v>35</v>
      </c>
      <c r="G1539" s="2" t="s">
        <v>36</v>
      </c>
      <c r="H1539" s="2">
        <v>300000</v>
      </c>
      <c r="I1539" s="2">
        <v>9</v>
      </c>
      <c r="J1539" s="2" t="s">
        <v>27</v>
      </c>
      <c r="K1539" s="2">
        <f t="shared" si="168"/>
        <v>240000</v>
      </c>
      <c r="L1539" s="9">
        <f>Table_1[[#This Row],[Unit Price]]*Table_1[[#This Row],[Quantity]]</f>
        <v>2700000</v>
      </c>
      <c r="M1539" s="8">
        <f>Table_1[[#This Row],[Cost Price]]*Table_1[[#This Row],[Quantity]]</f>
        <v>2160000</v>
      </c>
      <c r="N1539">
        <f>Table_1[[#This Row],[Revenue]]-Table_1[[#This Row],[COGS]]</f>
        <v>540000</v>
      </c>
      <c r="O1539" s="11">
        <f t="shared" si="169"/>
        <v>4656740000</v>
      </c>
      <c r="P1539">
        <f t="shared" si="170"/>
        <v>3725392000</v>
      </c>
      <c r="Q1539">
        <f t="shared" si="171"/>
        <v>931348000</v>
      </c>
      <c r="R1539" s="7">
        <f t="shared" si="172"/>
        <v>2098</v>
      </c>
      <c r="S1539" s="7">
        <f t="shared" si="173"/>
        <v>1</v>
      </c>
      <c r="T1539" s="7">
        <f t="shared" si="174"/>
        <v>2098</v>
      </c>
    </row>
    <row r="1540" spans="1:20" ht="14.25" customHeight="1" x14ac:dyDescent="0.35">
      <c r="A1540" s="2" t="s">
        <v>59</v>
      </c>
      <c r="B1540" s="2" t="s">
        <v>29</v>
      </c>
      <c r="C1540" s="2" t="s">
        <v>21</v>
      </c>
      <c r="D1540" s="2" t="s">
        <v>26</v>
      </c>
      <c r="E1540" s="2" t="s">
        <v>15</v>
      </c>
      <c r="F1540" s="2" t="s">
        <v>31</v>
      </c>
      <c r="G1540" s="2" t="s">
        <v>24</v>
      </c>
      <c r="H1540" s="2">
        <v>60000</v>
      </c>
      <c r="I1540" s="2">
        <v>7</v>
      </c>
      <c r="J1540" s="2" t="s">
        <v>18</v>
      </c>
      <c r="K1540" s="2">
        <f t="shared" si="168"/>
        <v>48000</v>
      </c>
      <c r="L1540" s="9">
        <f>Table_1[[#This Row],[Unit Price]]*Table_1[[#This Row],[Quantity]]</f>
        <v>420000</v>
      </c>
      <c r="M1540" s="8">
        <f>Table_1[[#This Row],[Cost Price]]*Table_1[[#This Row],[Quantity]]</f>
        <v>336000</v>
      </c>
      <c r="N1540">
        <f>Table_1[[#This Row],[Revenue]]-Table_1[[#This Row],[COGS]]</f>
        <v>84000</v>
      </c>
      <c r="O1540" s="11">
        <f t="shared" si="169"/>
        <v>4656740000</v>
      </c>
      <c r="P1540">
        <f t="shared" si="170"/>
        <v>3725392000</v>
      </c>
      <c r="Q1540">
        <f t="shared" si="171"/>
        <v>931348000</v>
      </c>
      <c r="R1540" s="7">
        <f t="shared" si="172"/>
        <v>2098</v>
      </c>
      <c r="S1540" s="7">
        <f t="shared" si="173"/>
        <v>2</v>
      </c>
      <c r="T1540" s="7">
        <f t="shared" si="174"/>
        <v>2098</v>
      </c>
    </row>
    <row r="1541" spans="1:20" ht="14.25" customHeight="1" x14ac:dyDescent="0.35">
      <c r="A1541" s="2" t="s">
        <v>87</v>
      </c>
      <c r="B1541" s="2" t="s">
        <v>12</v>
      </c>
      <c r="C1541" s="2" t="s">
        <v>13</v>
      </c>
      <c r="D1541" s="2" t="s">
        <v>14</v>
      </c>
      <c r="E1541" s="2" t="s">
        <v>15</v>
      </c>
      <c r="F1541" s="2" t="s">
        <v>41</v>
      </c>
      <c r="G1541" s="2" t="s">
        <v>17</v>
      </c>
      <c r="H1541" s="2">
        <v>320000</v>
      </c>
      <c r="I1541" s="2">
        <v>3</v>
      </c>
      <c r="J1541" s="2" t="s">
        <v>32</v>
      </c>
      <c r="K1541" s="2">
        <f t="shared" si="168"/>
        <v>256000</v>
      </c>
      <c r="L1541" s="9">
        <f>Table_1[[#This Row],[Unit Price]]*Table_1[[#This Row],[Quantity]]</f>
        <v>960000</v>
      </c>
      <c r="M1541" s="8">
        <f>Table_1[[#This Row],[Cost Price]]*Table_1[[#This Row],[Quantity]]</f>
        <v>768000</v>
      </c>
      <c r="N1541">
        <f>Table_1[[#This Row],[Revenue]]-Table_1[[#This Row],[COGS]]</f>
        <v>192000</v>
      </c>
      <c r="O1541" s="11">
        <f t="shared" si="169"/>
        <v>4656740000</v>
      </c>
      <c r="P1541">
        <f t="shared" si="170"/>
        <v>3725392000</v>
      </c>
      <c r="Q1541">
        <f t="shared" si="171"/>
        <v>931348000</v>
      </c>
      <c r="R1541" s="7">
        <f t="shared" si="172"/>
        <v>2098</v>
      </c>
      <c r="S1541" s="7">
        <f t="shared" si="173"/>
        <v>3</v>
      </c>
      <c r="T1541" s="7">
        <f t="shared" si="174"/>
        <v>2098</v>
      </c>
    </row>
    <row r="1542" spans="1:20" ht="14.25" customHeight="1" x14ac:dyDescent="0.35">
      <c r="A1542" s="2" t="s">
        <v>110</v>
      </c>
      <c r="B1542" s="2" t="s">
        <v>34</v>
      </c>
      <c r="C1542" s="2" t="s">
        <v>21</v>
      </c>
      <c r="D1542" s="2" t="s">
        <v>26</v>
      </c>
      <c r="E1542" s="2" t="s">
        <v>15</v>
      </c>
      <c r="F1542" s="2" t="s">
        <v>58</v>
      </c>
      <c r="G1542" s="2" t="s">
        <v>24</v>
      </c>
      <c r="H1542" s="2">
        <v>220000</v>
      </c>
      <c r="I1542" s="2">
        <v>5</v>
      </c>
      <c r="J1542" s="2" t="s">
        <v>18</v>
      </c>
      <c r="K1542" s="2">
        <f t="shared" si="168"/>
        <v>176000</v>
      </c>
      <c r="L1542" s="9">
        <f>Table_1[[#This Row],[Unit Price]]*Table_1[[#This Row],[Quantity]]</f>
        <v>1100000</v>
      </c>
      <c r="M1542" s="8">
        <f>Table_1[[#This Row],[Cost Price]]*Table_1[[#This Row],[Quantity]]</f>
        <v>880000</v>
      </c>
      <c r="N1542">
        <f>Table_1[[#This Row],[Revenue]]-Table_1[[#This Row],[COGS]]</f>
        <v>220000</v>
      </c>
      <c r="O1542" s="11">
        <f t="shared" si="169"/>
        <v>4656740000</v>
      </c>
      <c r="P1542">
        <f t="shared" si="170"/>
        <v>3725392000</v>
      </c>
      <c r="Q1542">
        <f t="shared" si="171"/>
        <v>931348000</v>
      </c>
      <c r="R1542" s="7">
        <f t="shared" si="172"/>
        <v>2098</v>
      </c>
      <c r="S1542" s="7">
        <f t="shared" si="173"/>
        <v>2</v>
      </c>
      <c r="T1542" s="7">
        <f t="shared" si="174"/>
        <v>2098</v>
      </c>
    </row>
    <row r="1543" spans="1:20" ht="14.25" customHeight="1" x14ac:dyDescent="0.35">
      <c r="A1543" s="2" t="s">
        <v>139</v>
      </c>
      <c r="B1543" s="2" t="s">
        <v>20</v>
      </c>
      <c r="C1543" s="2" t="s">
        <v>21</v>
      </c>
      <c r="D1543" s="2" t="s">
        <v>26</v>
      </c>
      <c r="E1543" s="2" t="s">
        <v>15</v>
      </c>
      <c r="F1543" s="2" t="s">
        <v>58</v>
      </c>
      <c r="G1543" s="2" t="s">
        <v>24</v>
      </c>
      <c r="H1543" s="2">
        <v>220000</v>
      </c>
      <c r="I1543" s="2">
        <v>2</v>
      </c>
      <c r="J1543" s="2" t="s">
        <v>18</v>
      </c>
      <c r="K1543" s="2">
        <f t="shared" si="168"/>
        <v>176000</v>
      </c>
      <c r="L1543" s="9">
        <f>Table_1[[#This Row],[Unit Price]]*Table_1[[#This Row],[Quantity]]</f>
        <v>440000</v>
      </c>
      <c r="M1543" s="8">
        <f>Table_1[[#This Row],[Cost Price]]*Table_1[[#This Row],[Quantity]]</f>
        <v>352000</v>
      </c>
      <c r="N1543">
        <f>Table_1[[#This Row],[Revenue]]-Table_1[[#This Row],[COGS]]</f>
        <v>88000</v>
      </c>
      <c r="O1543" s="11">
        <f t="shared" si="169"/>
        <v>4656740000</v>
      </c>
      <c r="P1543">
        <f t="shared" si="170"/>
        <v>3725392000</v>
      </c>
      <c r="Q1543">
        <f t="shared" si="171"/>
        <v>931348000</v>
      </c>
      <c r="R1543" s="7">
        <f t="shared" si="172"/>
        <v>2098</v>
      </c>
      <c r="S1543" s="7">
        <f t="shared" si="173"/>
        <v>2</v>
      </c>
      <c r="T1543" s="7">
        <f t="shared" si="174"/>
        <v>2098</v>
      </c>
    </row>
    <row r="1544" spans="1:20" ht="14.25" customHeight="1" x14ac:dyDescent="0.35">
      <c r="A1544" s="2" t="s">
        <v>111</v>
      </c>
      <c r="B1544" s="2" t="s">
        <v>12</v>
      </c>
      <c r="C1544" s="2" t="s">
        <v>13</v>
      </c>
      <c r="D1544" s="2" t="s">
        <v>14</v>
      </c>
      <c r="E1544" s="2" t="s">
        <v>22</v>
      </c>
      <c r="F1544" s="2" t="s">
        <v>47</v>
      </c>
      <c r="G1544" s="2" t="s">
        <v>36</v>
      </c>
      <c r="H1544" s="2">
        <v>150000</v>
      </c>
      <c r="I1544" s="2">
        <v>10</v>
      </c>
      <c r="J1544" s="2" t="s">
        <v>27</v>
      </c>
      <c r="K1544" s="2">
        <f t="shared" si="168"/>
        <v>120000</v>
      </c>
      <c r="L1544" s="9">
        <f>Table_1[[#This Row],[Unit Price]]*Table_1[[#This Row],[Quantity]]</f>
        <v>1500000</v>
      </c>
      <c r="M1544" s="8">
        <f>Table_1[[#This Row],[Cost Price]]*Table_1[[#This Row],[Quantity]]</f>
        <v>1200000</v>
      </c>
      <c r="N1544">
        <f>Table_1[[#This Row],[Revenue]]-Table_1[[#This Row],[COGS]]</f>
        <v>300000</v>
      </c>
      <c r="O1544" s="11">
        <f t="shared" si="169"/>
        <v>4656740000</v>
      </c>
      <c r="P1544">
        <f t="shared" si="170"/>
        <v>3725392000</v>
      </c>
      <c r="Q1544">
        <f t="shared" si="171"/>
        <v>931348000</v>
      </c>
      <c r="R1544" s="7">
        <f t="shared" si="172"/>
        <v>2098</v>
      </c>
      <c r="S1544" s="7">
        <f t="shared" si="173"/>
        <v>1</v>
      </c>
      <c r="T1544" s="7">
        <f t="shared" si="174"/>
        <v>2098</v>
      </c>
    </row>
    <row r="1545" spans="1:20" ht="14.25" customHeight="1" x14ac:dyDescent="0.35">
      <c r="A1545" s="2" t="s">
        <v>123</v>
      </c>
      <c r="B1545" s="2" t="s">
        <v>34</v>
      </c>
      <c r="C1545" s="2" t="s">
        <v>30</v>
      </c>
      <c r="D1545" s="2" t="s">
        <v>14</v>
      </c>
      <c r="E1545" s="2" t="s">
        <v>22</v>
      </c>
      <c r="F1545" s="2" t="s">
        <v>23</v>
      </c>
      <c r="G1545" s="2" t="s">
        <v>24</v>
      </c>
      <c r="H1545" s="2">
        <v>30000</v>
      </c>
      <c r="I1545" s="2">
        <v>8</v>
      </c>
      <c r="J1545" s="2" t="s">
        <v>54</v>
      </c>
      <c r="K1545" s="2">
        <f t="shared" si="168"/>
        <v>24000</v>
      </c>
      <c r="L1545" s="9">
        <f>Table_1[[#This Row],[Unit Price]]*Table_1[[#This Row],[Quantity]]</f>
        <v>240000</v>
      </c>
      <c r="M1545" s="8">
        <f>Table_1[[#This Row],[Cost Price]]*Table_1[[#This Row],[Quantity]]</f>
        <v>192000</v>
      </c>
      <c r="N1545">
        <f>Table_1[[#This Row],[Revenue]]-Table_1[[#This Row],[COGS]]</f>
        <v>48000</v>
      </c>
      <c r="O1545" s="11">
        <f t="shared" si="169"/>
        <v>4656740000</v>
      </c>
      <c r="P1545">
        <f t="shared" si="170"/>
        <v>3725392000</v>
      </c>
      <c r="Q1545">
        <f t="shared" si="171"/>
        <v>931348000</v>
      </c>
      <c r="R1545" s="7">
        <f t="shared" si="172"/>
        <v>2098</v>
      </c>
      <c r="S1545" s="7">
        <f t="shared" si="173"/>
        <v>4</v>
      </c>
      <c r="T1545" s="7">
        <f t="shared" si="174"/>
        <v>2098</v>
      </c>
    </row>
    <row r="1546" spans="1:20" ht="14.25" customHeight="1" x14ac:dyDescent="0.35">
      <c r="A1546" s="2" t="s">
        <v>123</v>
      </c>
      <c r="B1546" s="2" t="s">
        <v>20</v>
      </c>
      <c r="C1546" s="2" t="s">
        <v>21</v>
      </c>
      <c r="D1546" s="2" t="s">
        <v>14</v>
      </c>
      <c r="E1546" s="2" t="s">
        <v>22</v>
      </c>
      <c r="F1546" s="2" t="s">
        <v>23</v>
      </c>
      <c r="G1546" s="2" t="s">
        <v>24</v>
      </c>
      <c r="H1546" s="2">
        <v>30000</v>
      </c>
      <c r="I1546" s="2">
        <v>9</v>
      </c>
      <c r="J1546" s="2" t="s">
        <v>43</v>
      </c>
      <c r="K1546" s="2">
        <f t="shared" si="168"/>
        <v>24000</v>
      </c>
      <c r="L1546" s="9">
        <f>Table_1[[#This Row],[Unit Price]]*Table_1[[#This Row],[Quantity]]</f>
        <v>270000</v>
      </c>
      <c r="M1546" s="8">
        <f>Table_1[[#This Row],[Cost Price]]*Table_1[[#This Row],[Quantity]]</f>
        <v>216000</v>
      </c>
      <c r="N1546">
        <f>Table_1[[#This Row],[Revenue]]-Table_1[[#This Row],[COGS]]</f>
        <v>54000</v>
      </c>
      <c r="O1546" s="11">
        <f t="shared" si="169"/>
        <v>4656740000</v>
      </c>
      <c r="P1546">
        <f t="shared" si="170"/>
        <v>3725392000</v>
      </c>
      <c r="Q1546">
        <f t="shared" si="171"/>
        <v>931348000</v>
      </c>
      <c r="R1546" s="7">
        <f t="shared" si="172"/>
        <v>2098</v>
      </c>
      <c r="S1546" s="7">
        <f t="shared" si="173"/>
        <v>4</v>
      </c>
      <c r="T1546" s="7">
        <f t="shared" si="174"/>
        <v>2098</v>
      </c>
    </row>
    <row r="1547" spans="1:20" ht="14.25" customHeight="1" x14ac:dyDescent="0.35">
      <c r="A1547" s="2" t="s">
        <v>84</v>
      </c>
      <c r="B1547" s="2" t="s">
        <v>20</v>
      </c>
      <c r="C1547" s="2" t="s">
        <v>13</v>
      </c>
      <c r="D1547" s="2" t="s">
        <v>14</v>
      </c>
      <c r="E1547" s="2" t="s">
        <v>22</v>
      </c>
      <c r="F1547" s="2" t="s">
        <v>47</v>
      </c>
      <c r="G1547" s="2" t="s">
        <v>36</v>
      </c>
      <c r="H1547" s="2">
        <v>150000</v>
      </c>
      <c r="I1547" s="2">
        <v>3</v>
      </c>
      <c r="J1547" s="2" t="s">
        <v>27</v>
      </c>
      <c r="K1547" s="2">
        <f t="shared" si="168"/>
        <v>120000</v>
      </c>
      <c r="L1547" s="9">
        <f>Table_1[[#This Row],[Unit Price]]*Table_1[[#This Row],[Quantity]]</f>
        <v>450000</v>
      </c>
      <c r="M1547" s="8">
        <f>Table_1[[#This Row],[Cost Price]]*Table_1[[#This Row],[Quantity]]</f>
        <v>360000</v>
      </c>
      <c r="N1547">
        <f>Table_1[[#This Row],[Revenue]]-Table_1[[#This Row],[COGS]]</f>
        <v>90000</v>
      </c>
      <c r="O1547" s="11">
        <f t="shared" si="169"/>
        <v>4656740000</v>
      </c>
      <c r="P1547">
        <f t="shared" si="170"/>
        <v>3725392000</v>
      </c>
      <c r="Q1547">
        <f t="shared" si="171"/>
        <v>931348000</v>
      </c>
      <c r="R1547" s="7">
        <f t="shared" si="172"/>
        <v>2098</v>
      </c>
      <c r="S1547" s="7">
        <f t="shared" si="173"/>
        <v>4</v>
      </c>
      <c r="T1547" s="7">
        <f t="shared" si="174"/>
        <v>2098</v>
      </c>
    </row>
    <row r="1548" spans="1:20" ht="14.25" customHeight="1" x14ac:dyDescent="0.35">
      <c r="A1548" s="2" t="s">
        <v>110</v>
      </c>
      <c r="B1548" s="2" t="s">
        <v>20</v>
      </c>
      <c r="C1548" s="2" t="s">
        <v>13</v>
      </c>
      <c r="D1548" s="2" t="s">
        <v>26</v>
      </c>
      <c r="E1548" s="2" t="s">
        <v>15</v>
      </c>
      <c r="F1548" s="2" t="s">
        <v>31</v>
      </c>
      <c r="G1548" s="2" t="s">
        <v>24</v>
      </c>
      <c r="H1548" s="2">
        <v>60000</v>
      </c>
      <c r="I1548" s="2">
        <v>6</v>
      </c>
      <c r="J1548" s="2" t="s">
        <v>32</v>
      </c>
      <c r="K1548" s="2">
        <f t="shared" si="168"/>
        <v>48000</v>
      </c>
      <c r="L1548" s="9">
        <f>Table_1[[#This Row],[Unit Price]]*Table_1[[#This Row],[Quantity]]</f>
        <v>360000</v>
      </c>
      <c r="M1548" s="8">
        <f>Table_1[[#This Row],[Cost Price]]*Table_1[[#This Row],[Quantity]]</f>
        <v>288000</v>
      </c>
      <c r="N1548">
        <f>Table_1[[#This Row],[Revenue]]-Table_1[[#This Row],[COGS]]</f>
        <v>72000</v>
      </c>
      <c r="O1548" s="11">
        <f t="shared" si="169"/>
        <v>4656740000</v>
      </c>
      <c r="P1548">
        <f t="shared" si="170"/>
        <v>3725392000</v>
      </c>
      <c r="Q1548">
        <f t="shared" si="171"/>
        <v>931348000</v>
      </c>
      <c r="R1548" s="7">
        <f t="shared" si="172"/>
        <v>2098</v>
      </c>
      <c r="S1548" s="7">
        <f t="shared" si="173"/>
        <v>2</v>
      </c>
      <c r="T1548" s="7">
        <f t="shared" si="174"/>
        <v>2098</v>
      </c>
    </row>
    <row r="1549" spans="1:20" ht="14.25" customHeight="1" x14ac:dyDescent="0.35">
      <c r="A1549" s="2" t="s">
        <v>141</v>
      </c>
      <c r="B1549" s="2" t="s">
        <v>20</v>
      </c>
      <c r="C1549" s="2" t="s">
        <v>13</v>
      </c>
      <c r="D1549" s="2" t="s">
        <v>26</v>
      </c>
      <c r="E1549" s="2" t="s">
        <v>22</v>
      </c>
      <c r="F1549" s="2" t="s">
        <v>56</v>
      </c>
      <c r="G1549" s="2" t="s">
        <v>36</v>
      </c>
      <c r="H1549" s="2">
        <v>250000</v>
      </c>
      <c r="I1549" s="2">
        <v>1</v>
      </c>
      <c r="J1549" s="2" t="s">
        <v>32</v>
      </c>
      <c r="K1549" s="2">
        <f t="shared" si="168"/>
        <v>200000</v>
      </c>
      <c r="L1549" s="9">
        <f>Table_1[[#This Row],[Unit Price]]*Table_1[[#This Row],[Quantity]]</f>
        <v>250000</v>
      </c>
      <c r="M1549" s="8">
        <f>Table_1[[#This Row],[Cost Price]]*Table_1[[#This Row],[Quantity]]</f>
        <v>200000</v>
      </c>
      <c r="N1549">
        <f>Table_1[[#This Row],[Revenue]]-Table_1[[#This Row],[COGS]]</f>
        <v>50000</v>
      </c>
      <c r="O1549" s="11">
        <f t="shared" si="169"/>
        <v>4656740000</v>
      </c>
      <c r="P1549">
        <f t="shared" si="170"/>
        <v>3725392000</v>
      </c>
      <c r="Q1549">
        <f t="shared" si="171"/>
        <v>931348000</v>
      </c>
      <c r="R1549" s="7">
        <f t="shared" si="172"/>
        <v>2098</v>
      </c>
      <c r="S1549" s="7">
        <f t="shared" si="173"/>
        <v>2</v>
      </c>
      <c r="T1549" s="7">
        <f t="shared" si="174"/>
        <v>2098</v>
      </c>
    </row>
    <row r="1550" spans="1:20" ht="14.25" customHeight="1" x14ac:dyDescent="0.35">
      <c r="A1550" s="2" t="s">
        <v>28</v>
      </c>
      <c r="B1550" s="2" t="s">
        <v>12</v>
      </c>
      <c r="C1550" s="2" t="s">
        <v>30</v>
      </c>
      <c r="D1550" s="2" t="s">
        <v>14</v>
      </c>
      <c r="E1550" s="2" t="s">
        <v>22</v>
      </c>
      <c r="F1550" s="2" t="s">
        <v>16</v>
      </c>
      <c r="G1550" s="2" t="s">
        <v>17</v>
      </c>
      <c r="H1550" s="2">
        <v>85000</v>
      </c>
      <c r="I1550" s="2">
        <v>8</v>
      </c>
      <c r="J1550" s="2" t="s">
        <v>32</v>
      </c>
      <c r="K1550" s="2">
        <f t="shared" si="168"/>
        <v>68000</v>
      </c>
      <c r="L1550" s="9">
        <f>Table_1[[#This Row],[Unit Price]]*Table_1[[#This Row],[Quantity]]</f>
        <v>680000</v>
      </c>
      <c r="M1550" s="8">
        <f>Table_1[[#This Row],[Cost Price]]*Table_1[[#This Row],[Quantity]]</f>
        <v>544000</v>
      </c>
      <c r="N1550">
        <f>Table_1[[#This Row],[Revenue]]-Table_1[[#This Row],[COGS]]</f>
        <v>136000</v>
      </c>
      <c r="O1550" s="11">
        <f t="shared" si="169"/>
        <v>4656740000</v>
      </c>
      <c r="P1550">
        <f t="shared" si="170"/>
        <v>3725392000</v>
      </c>
      <c r="Q1550">
        <f t="shared" si="171"/>
        <v>931348000</v>
      </c>
      <c r="R1550" s="7">
        <f t="shared" si="172"/>
        <v>2098</v>
      </c>
      <c r="S1550" s="7">
        <f t="shared" si="173"/>
        <v>4</v>
      </c>
      <c r="T1550" s="7">
        <f t="shared" si="174"/>
        <v>2098</v>
      </c>
    </row>
    <row r="1551" spans="1:20" ht="14.25" customHeight="1" x14ac:dyDescent="0.35">
      <c r="A1551" s="2" t="s">
        <v>65</v>
      </c>
      <c r="B1551" s="2" t="s">
        <v>34</v>
      </c>
      <c r="C1551" s="2" t="s">
        <v>13</v>
      </c>
      <c r="D1551" s="2" t="s">
        <v>14</v>
      </c>
      <c r="E1551" s="2" t="s">
        <v>22</v>
      </c>
      <c r="F1551" s="2" t="s">
        <v>39</v>
      </c>
      <c r="G1551" s="2" t="s">
        <v>24</v>
      </c>
      <c r="H1551" s="2">
        <v>180000</v>
      </c>
      <c r="I1551" s="2">
        <v>8</v>
      </c>
      <c r="J1551" s="2" t="s">
        <v>32</v>
      </c>
      <c r="K1551" s="2">
        <f t="shared" si="168"/>
        <v>144000</v>
      </c>
      <c r="L1551" s="9">
        <f>Table_1[[#This Row],[Unit Price]]*Table_1[[#This Row],[Quantity]]</f>
        <v>1440000</v>
      </c>
      <c r="M1551" s="8">
        <f>Table_1[[#This Row],[Cost Price]]*Table_1[[#This Row],[Quantity]]</f>
        <v>1152000</v>
      </c>
      <c r="N1551">
        <f>Table_1[[#This Row],[Revenue]]-Table_1[[#This Row],[COGS]]</f>
        <v>288000</v>
      </c>
      <c r="O1551" s="11">
        <f t="shared" si="169"/>
        <v>4656740000</v>
      </c>
      <c r="P1551">
        <f t="shared" si="170"/>
        <v>3725392000</v>
      </c>
      <c r="Q1551">
        <f t="shared" si="171"/>
        <v>931348000</v>
      </c>
      <c r="R1551" s="7">
        <f t="shared" si="172"/>
        <v>2098</v>
      </c>
      <c r="S1551" s="7">
        <f t="shared" si="173"/>
        <v>2</v>
      </c>
      <c r="T1551" s="7">
        <f t="shared" si="174"/>
        <v>2098</v>
      </c>
    </row>
    <row r="1552" spans="1:20" ht="14.25" customHeight="1" x14ac:dyDescent="0.35">
      <c r="A1552" s="2" t="s">
        <v>72</v>
      </c>
      <c r="B1552" s="2" t="s">
        <v>20</v>
      </c>
      <c r="C1552" s="2" t="s">
        <v>38</v>
      </c>
      <c r="D1552" s="2" t="s">
        <v>26</v>
      </c>
      <c r="E1552" s="2" t="s">
        <v>22</v>
      </c>
      <c r="F1552" s="2" t="s">
        <v>58</v>
      </c>
      <c r="G1552" s="2" t="s">
        <v>24</v>
      </c>
      <c r="H1552" s="2">
        <v>220000</v>
      </c>
      <c r="I1552" s="2">
        <v>9</v>
      </c>
      <c r="J1552" s="2" t="s">
        <v>50</v>
      </c>
      <c r="K1552" s="2">
        <f t="shared" si="168"/>
        <v>176000</v>
      </c>
      <c r="L1552" s="9">
        <f>Table_1[[#This Row],[Unit Price]]*Table_1[[#This Row],[Quantity]]</f>
        <v>1980000</v>
      </c>
      <c r="M1552" s="8">
        <f>Table_1[[#This Row],[Cost Price]]*Table_1[[#This Row],[Quantity]]</f>
        <v>1584000</v>
      </c>
      <c r="N1552">
        <f>Table_1[[#This Row],[Revenue]]-Table_1[[#This Row],[COGS]]</f>
        <v>396000</v>
      </c>
      <c r="O1552" s="11">
        <f t="shared" si="169"/>
        <v>4656740000</v>
      </c>
      <c r="P1552">
        <f t="shared" si="170"/>
        <v>3725392000</v>
      </c>
      <c r="Q1552">
        <f t="shared" si="171"/>
        <v>931348000</v>
      </c>
      <c r="R1552" s="7">
        <f t="shared" si="172"/>
        <v>2098</v>
      </c>
      <c r="S1552" s="7">
        <f t="shared" si="173"/>
        <v>3</v>
      </c>
      <c r="T1552" s="7">
        <f t="shared" si="174"/>
        <v>2098</v>
      </c>
    </row>
    <row r="1553" spans="1:20" ht="14.25" customHeight="1" x14ac:dyDescent="0.35">
      <c r="A1553" s="2" t="s">
        <v>145</v>
      </c>
      <c r="B1553" s="2" t="s">
        <v>12</v>
      </c>
      <c r="C1553" s="2" t="s">
        <v>13</v>
      </c>
      <c r="D1553" s="2" t="s">
        <v>14</v>
      </c>
      <c r="E1553" s="2" t="s">
        <v>22</v>
      </c>
      <c r="F1553" s="2" t="s">
        <v>56</v>
      </c>
      <c r="G1553" s="2" t="s">
        <v>36</v>
      </c>
      <c r="H1553" s="2">
        <v>250000</v>
      </c>
      <c r="I1553" s="2">
        <v>3</v>
      </c>
      <c r="J1553" s="2" t="s">
        <v>32</v>
      </c>
      <c r="K1553" s="2">
        <f t="shared" si="168"/>
        <v>200000</v>
      </c>
      <c r="L1553" s="9">
        <f>Table_1[[#This Row],[Unit Price]]*Table_1[[#This Row],[Quantity]]</f>
        <v>750000</v>
      </c>
      <c r="M1553" s="8">
        <f>Table_1[[#This Row],[Cost Price]]*Table_1[[#This Row],[Quantity]]</f>
        <v>600000</v>
      </c>
      <c r="N1553">
        <f>Table_1[[#This Row],[Revenue]]-Table_1[[#This Row],[COGS]]</f>
        <v>150000</v>
      </c>
      <c r="O1553" s="11">
        <f t="shared" si="169"/>
        <v>4656740000</v>
      </c>
      <c r="P1553">
        <f t="shared" si="170"/>
        <v>3725392000</v>
      </c>
      <c r="Q1553">
        <f t="shared" si="171"/>
        <v>931348000</v>
      </c>
      <c r="R1553" s="7">
        <f t="shared" si="172"/>
        <v>2098</v>
      </c>
      <c r="S1553" s="7">
        <f t="shared" si="173"/>
        <v>1</v>
      </c>
      <c r="T1553" s="7">
        <f t="shared" si="174"/>
        <v>2098</v>
      </c>
    </row>
    <row r="1554" spans="1:20" ht="14.25" customHeight="1" x14ac:dyDescent="0.35">
      <c r="A1554" s="2" t="s">
        <v>25</v>
      </c>
      <c r="B1554" s="2" t="s">
        <v>34</v>
      </c>
      <c r="C1554" s="2" t="s">
        <v>38</v>
      </c>
      <c r="D1554" s="2" t="s">
        <v>14</v>
      </c>
      <c r="E1554" s="2" t="s">
        <v>15</v>
      </c>
      <c r="F1554" s="2" t="s">
        <v>52</v>
      </c>
      <c r="G1554" s="2" t="s">
        <v>36</v>
      </c>
      <c r="H1554" s="2">
        <v>420000</v>
      </c>
      <c r="I1554" s="2">
        <v>6</v>
      </c>
      <c r="J1554" s="2" t="s">
        <v>54</v>
      </c>
      <c r="K1554" s="2">
        <f t="shared" si="168"/>
        <v>336000</v>
      </c>
      <c r="L1554" s="9">
        <f>Table_1[[#This Row],[Unit Price]]*Table_1[[#This Row],[Quantity]]</f>
        <v>2520000</v>
      </c>
      <c r="M1554" s="8">
        <f>Table_1[[#This Row],[Cost Price]]*Table_1[[#This Row],[Quantity]]</f>
        <v>2016000</v>
      </c>
      <c r="N1554">
        <f>Table_1[[#This Row],[Revenue]]-Table_1[[#This Row],[COGS]]</f>
        <v>504000</v>
      </c>
      <c r="O1554" s="11">
        <f t="shared" si="169"/>
        <v>4656740000</v>
      </c>
      <c r="P1554">
        <f t="shared" si="170"/>
        <v>3725392000</v>
      </c>
      <c r="Q1554">
        <f t="shared" si="171"/>
        <v>931348000</v>
      </c>
      <c r="R1554" s="7">
        <f t="shared" si="172"/>
        <v>2098</v>
      </c>
      <c r="S1554" s="7">
        <f t="shared" si="173"/>
        <v>2</v>
      </c>
      <c r="T1554" s="7">
        <f t="shared" si="174"/>
        <v>2098</v>
      </c>
    </row>
    <row r="1555" spans="1:20" ht="14.25" customHeight="1" x14ac:dyDescent="0.35">
      <c r="A1555" s="2" t="s">
        <v>92</v>
      </c>
      <c r="B1555" s="2" t="s">
        <v>20</v>
      </c>
      <c r="C1555" s="2" t="s">
        <v>21</v>
      </c>
      <c r="D1555" s="2" t="s">
        <v>26</v>
      </c>
      <c r="E1555" s="2" t="s">
        <v>22</v>
      </c>
      <c r="F1555" s="2" t="s">
        <v>39</v>
      </c>
      <c r="G1555" s="2" t="s">
        <v>24</v>
      </c>
      <c r="H1555" s="2">
        <v>180000</v>
      </c>
      <c r="I1555" s="2">
        <v>3</v>
      </c>
      <c r="J1555" s="2" t="s">
        <v>18</v>
      </c>
      <c r="K1555" s="2">
        <f t="shared" si="168"/>
        <v>144000</v>
      </c>
      <c r="L1555" s="9">
        <f>Table_1[[#This Row],[Unit Price]]*Table_1[[#This Row],[Quantity]]</f>
        <v>540000</v>
      </c>
      <c r="M1555" s="8">
        <f>Table_1[[#This Row],[Cost Price]]*Table_1[[#This Row],[Quantity]]</f>
        <v>432000</v>
      </c>
      <c r="N1555">
        <f>Table_1[[#This Row],[Revenue]]-Table_1[[#This Row],[COGS]]</f>
        <v>108000</v>
      </c>
      <c r="O1555" s="11">
        <f t="shared" si="169"/>
        <v>4656740000</v>
      </c>
      <c r="P1555">
        <f t="shared" si="170"/>
        <v>3725392000</v>
      </c>
      <c r="Q1555">
        <f t="shared" si="171"/>
        <v>931348000</v>
      </c>
      <c r="R1555" s="7">
        <f t="shared" si="172"/>
        <v>2098</v>
      </c>
      <c r="S1555" s="7">
        <f t="shared" si="173"/>
        <v>2</v>
      </c>
      <c r="T1555" s="7">
        <f t="shared" si="174"/>
        <v>2098</v>
      </c>
    </row>
    <row r="1556" spans="1:20" ht="14.25" customHeight="1" x14ac:dyDescent="0.35">
      <c r="A1556" s="2" t="s">
        <v>159</v>
      </c>
      <c r="B1556" s="2" t="s">
        <v>29</v>
      </c>
      <c r="C1556" s="2" t="s">
        <v>30</v>
      </c>
      <c r="D1556" s="2" t="s">
        <v>26</v>
      </c>
      <c r="E1556" s="2" t="s">
        <v>22</v>
      </c>
      <c r="F1556" s="2" t="s">
        <v>39</v>
      </c>
      <c r="G1556" s="2" t="s">
        <v>24</v>
      </c>
      <c r="H1556" s="2">
        <v>180000</v>
      </c>
      <c r="I1556" s="2">
        <v>9</v>
      </c>
      <c r="J1556" s="2" t="s">
        <v>18</v>
      </c>
      <c r="K1556" s="2">
        <f t="shared" si="168"/>
        <v>144000</v>
      </c>
      <c r="L1556" s="9">
        <f>Table_1[[#This Row],[Unit Price]]*Table_1[[#This Row],[Quantity]]</f>
        <v>1620000</v>
      </c>
      <c r="M1556" s="8">
        <f>Table_1[[#This Row],[Cost Price]]*Table_1[[#This Row],[Quantity]]</f>
        <v>1296000</v>
      </c>
      <c r="N1556">
        <f>Table_1[[#This Row],[Revenue]]-Table_1[[#This Row],[COGS]]</f>
        <v>324000</v>
      </c>
      <c r="O1556" s="11">
        <f t="shared" si="169"/>
        <v>4656740000</v>
      </c>
      <c r="P1556">
        <f t="shared" si="170"/>
        <v>3725392000</v>
      </c>
      <c r="Q1556">
        <f t="shared" si="171"/>
        <v>931348000</v>
      </c>
      <c r="R1556" s="7">
        <f t="shared" si="172"/>
        <v>2098</v>
      </c>
      <c r="S1556" s="7">
        <f t="shared" si="173"/>
        <v>2</v>
      </c>
      <c r="T1556" s="7">
        <f t="shared" si="174"/>
        <v>2098</v>
      </c>
    </row>
    <row r="1557" spans="1:20" ht="14.25" customHeight="1" x14ac:dyDescent="0.35">
      <c r="A1557" s="2" t="s">
        <v>11</v>
      </c>
      <c r="B1557" s="2" t="s">
        <v>20</v>
      </c>
      <c r="C1557" s="2" t="s">
        <v>30</v>
      </c>
      <c r="D1557" s="2" t="s">
        <v>14</v>
      </c>
      <c r="E1557" s="2" t="s">
        <v>15</v>
      </c>
      <c r="F1557" s="2" t="s">
        <v>52</v>
      </c>
      <c r="G1557" s="2" t="s">
        <v>36</v>
      </c>
      <c r="H1557" s="2">
        <v>420000</v>
      </c>
      <c r="I1557" s="2">
        <v>5</v>
      </c>
      <c r="J1557" s="2" t="s">
        <v>18</v>
      </c>
      <c r="K1557" s="2">
        <f t="shared" si="168"/>
        <v>336000</v>
      </c>
      <c r="L1557" s="9">
        <f>Table_1[[#This Row],[Unit Price]]*Table_1[[#This Row],[Quantity]]</f>
        <v>2100000</v>
      </c>
      <c r="M1557" s="8">
        <f>Table_1[[#This Row],[Cost Price]]*Table_1[[#This Row],[Quantity]]</f>
        <v>1680000</v>
      </c>
      <c r="N1557">
        <f>Table_1[[#This Row],[Revenue]]-Table_1[[#This Row],[COGS]]</f>
        <v>420000</v>
      </c>
      <c r="O1557" s="11">
        <f t="shared" si="169"/>
        <v>4656740000</v>
      </c>
      <c r="P1557">
        <f t="shared" si="170"/>
        <v>3725392000</v>
      </c>
      <c r="Q1557">
        <f t="shared" si="171"/>
        <v>931348000</v>
      </c>
      <c r="R1557" s="7">
        <f t="shared" si="172"/>
        <v>2098</v>
      </c>
      <c r="S1557" s="7">
        <f t="shared" si="173"/>
        <v>1</v>
      </c>
      <c r="T1557" s="7">
        <f t="shared" si="174"/>
        <v>2098</v>
      </c>
    </row>
    <row r="1558" spans="1:20" ht="14.25" customHeight="1" x14ac:dyDescent="0.35">
      <c r="A1558" s="2" t="s">
        <v>110</v>
      </c>
      <c r="B1558" s="2" t="s">
        <v>34</v>
      </c>
      <c r="C1558" s="2" t="s">
        <v>30</v>
      </c>
      <c r="D1558" s="2" t="s">
        <v>14</v>
      </c>
      <c r="E1558" s="2" t="s">
        <v>22</v>
      </c>
      <c r="F1558" s="2" t="s">
        <v>39</v>
      </c>
      <c r="G1558" s="2" t="s">
        <v>24</v>
      </c>
      <c r="H1558" s="2">
        <v>180000</v>
      </c>
      <c r="I1558" s="2">
        <v>6</v>
      </c>
      <c r="J1558" s="2" t="s">
        <v>54</v>
      </c>
      <c r="K1558" s="2">
        <f t="shared" si="168"/>
        <v>144000</v>
      </c>
      <c r="L1558" s="9">
        <f>Table_1[[#This Row],[Unit Price]]*Table_1[[#This Row],[Quantity]]</f>
        <v>1080000</v>
      </c>
      <c r="M1558" s="8">
        <f>Table_1[[#This Row],[Cost Price]]*Table_1[[#This Row],[Quantity]]</f>
        <v>864000</v>
      </c>
      <c r="N1558">
        <f>Table_1[[#This Row],[Revenue]]-Table_1[[#This Row],[COGS]]</f>
        <v>216000</v>
      </c>
      <c r="O1558" s="11">
        <f t="shared" si="169"/>
        <v>4656740000</v>
      </c>
      <c r="P1558">
        <f t="shared" si="170"/>
        <v>3725392000</v>
      </c>
      <c r="Q1558">
        <f t="shared" si="171"/>
        <v>931348000</v>
      </c>
      <c r="R1558" s="7">
        <f t="shared" si="172"/>
        <v>2098</v>
      </c>
      <c r="S1558" s="7">
        <f t="shared" si="173"/>
        <v>2</v>
      </c>
      <c r="T1558" s="7">
        <f t="shared" si="174"/>
        <v>2098</v>
      </c>
    </row>
    <row r="1559" spans="1:20" ht="14.25" customHeight="1" x14ac:dyDescent="0.35">
      <c r="A1559" s="2" t="s">
        <v>96</v>
      </c>
      <c r="B1559" s="2" t="s">
        <v>20</v>
      </c>
      <c r="C1559" s="2" t="s">
        <v>30</v>
      </c>
      <c r="D1559" s="2" t="s">
        <v>26</v>
      </c>
      <c r="E1559" s="2" t="s">
        <v>15</v>
      </c>
      <c r="F1559" s="2" t="s">
        <v>35</v>
      </c>
      <c r="G1559" s="2" t="s">
        <v>36</v>
      </c>
      <c r="H1559" s="2">
        <v>300000</v>
      </c>
      <c r="I1559" s="2">
        <v>3</v>
      </c>
      <c r="J1559" s="2" t="s">
        <v>32</v>
      </c>
      <c r="K1559" s="2">
        <f t="shared" si="168"/>
        <v>240000</v>
      </c>
      <c r="L1559" s="9">
        <f>Table_1[[#This Row],[Unit Price]]*Table_1[[#This Row],[Quantity]]</f>
        <v>900000</v>
      </c>
      <c r="M1559" s="8">
        <f>Table_1[[#This Row],[Cost Price]]*Table_1[[#This Row],[Quantity]]</f>
        <v>720000</v>
      </c>
      <c r="N1559">
        <f>Table_1[[#This Row],[Revenue]]-Table_1[[#This Row],[COGS]]</f>
        <v>180000</v>
      </c>
      <c r="O1559" s="11">
        <f t="shared" si="169"/>
        <v>4656740000</v>
      </c>
      <c r="P1559">
        <f t="shared" si="170"/>
        <v>3725392000</v>
      </c>
      <c r="Q1559">
        <f t="shared" si="171"/>
        <v>931348000</v>
      </c>
      <c r="R1559" s="7">
        <f t="shared" si="172"/>
        <v>2098</v>
      </c>
      <c r="S1559" s="7">
        <f t="shared" si="173"/>
        <v>2</v>
      </c>
      <c r="T1559" s="7">
        <f t="shared" si="174"/>
        <v>2098</v>
      </c>
    </row>
    <row r="1560" spans="1:20" ht="14.25" customHeight="1" x14ac:dyDescent="0.35">
      <c r="A1560" s="2" t="s">
        <v>138</v>
      </c>
      <c r="B1560" s="2" t="s">
        <v>12</v>
      </c>
      <c r="C1560" s="2" t="s">
        <v>30</v>
      </c>
      <c r="D1560" s="2" t="s">
        <v>14</v>
      </c>
      <c r="E1560" s="2" t="s">
        <v>15</v>
      </c>
      <c r="F1560" s="2" t="s">
        <v>58</v>
      </c>
      <c r="G1560" s="2" t="s">
        <v>24</v>
      </c>
      <c r="H1560" s="2">
        <v>220000</v>
      </c>
      <c r="I1560" s="2">
        <v>7</v>
      </c>
      <c r="J1560" s="2" t="s">
        <v>18</v>
      </c>
      <c r="K1560" s="2">
        <f t="shared" si="168"/>
        <v>176000</v>
      </c>
      <c r="L1560" s="9">
        <f>Table_1[[#This Row],[Unit Price]]*Table_1[[#This Row],[Quantity]]</f>
        <v>1540000</v>
      </c>
      <c r="M1560" s="8">
        <f>Table_1[[#This Row],[Cost Price]]*Table_1[[#This Row],[Quantity]]</f>
        <v>1232000</v>
      </c>
      <c r="N1560">
        <f>Table_1[[#This Row],[Revenue]]-Table_1[[#This Row],[COGS]]</f>
        <v>308000</v>
      </c>
      <c r="O1560" s="11">
        <f t="shared" si="169"/>
        <v>4656740000</v>
      </c>
      <c r="P1560">
        <f t="shared" si="170"/>
        <v>3725392000</v>
      </c>
      <c r="Q1560">
        <f t="shared" si="171"/>
        <v>931348000</v>
      </c>
      <c r="R1560" s="7">
        <f t="shared" si="172"/>
        <v>2098</v>
      </c>
      <c r="S1560" s="7">
        <f t="shared" si="173"/>
        <v>3</v>
      </c>
      <c r="T1560" s="7">
        <f t="shared" si="174"/>
        <v>2098</v>
      </c>
    </row>
    <row r="1561" spans="1:20" ht="14.25" customHeight="1" x14ac:dyDescent="0.35">
      <c r="A1561" s="2" t="s">
        <v>106</v>
      </c>
      <c r="B1561" s="2" t="s">
        <v>29</v>
      </c>
      <c r="C1561" s="2" t="s">
        <v>21</v>
      </c>
      <c r="D1561" s="2" t="s">
        <v>14</v>
      </c>
      <c r="E1561" s="2" t="s">
        <v>15</v>
      </c>
      <c r="F1561" s="2" t="s">
        <v>31</v>
      </c>
      <c r="G1561" s="2" t="s">
        <v>24</v>
      </c>
      <c r="H1561" s="2">
        <v>60000</v>
      </c>
      <c r="I1561" s="2">
        <v>2</v>
      </c>
      <c r="J1561" s="2" t="s">
        <v>18</v>
      </c>
      <c r="K1561" s="2">
        <f t="shared" si="168"/>
        <v>48000</v>
      </c>
      <c r="L1561" s="9">
        <f>Table_1[[#This Row],[Unit Price]]*Table_1[[#This Row],[Quantity]]</f>
        <v>120000</v>
      </c>
      <c r="M1561" s="8">
        <f>Table_1[[#This Row],[Cost Price]]*Table_1[[#This Row],[Quantity]]</f>
        <v>96000</v>
      </c>
      <c r="N1561">
        <f>Table_1[[#This Row],[Revenue]]-Table_1[[#This Row],[COGS]]</f>
        <v>24000</v>
      </c>
      <c r="O1561" s="11">
        <f t="shared" si="169"/>
        <v>4656740000</v>
      </c>
      <c r="P1561">
        <f t="shared" si="170"/>
        <v>3725392000</v>
      </c>
      <c r="Q1561">
        <f t="shared" si="171"/>
        <v>931348000</v>
      </c>
      <c r="R1561" s="7">
        <f t="shared" si="172"/>
        <v>2098</v>
      </c>
      <c r="S1561" s="7">
        <f t="shared" si="173"/>
        <v>4</v>
      </c>
      <c r="T1561" s="7">
        <f t="shared" si="174"/>
        <v>2098</v>
      </c>
    </row>
    <row r="1562" spans="1:20" ht="14.25" customHeight="1" x14ac:dyDescent="0.35">
      <c r="A1562" s="2" t="s">
        <v>110</v>
      </c>
      <c r="B1562" s="2" t="s">
        <v>29</v>
      </c>
      <c r="C1562" s="2" t="s">
        <v>21</v>
      </c>
      <c r="D1562" s="2" t="s">
        <v>26</v>
      </c>
      <c r="E1562" s="2" t="s">
        <v>15</v>
      </c>
      <c r="F1562" s="2" t="s">
        <v>23</v>
      </c>
      <c r="G1562" s="2" t="s">
        <v>24</v>
      </c>
      <c r="H1562" s="2">
        <v>30000</v>
      </c>
      <c r="I1562" s="2">
        <v>4</v>
      </c>
      <c r="J1562" s="2" t="s">
        <v>43</v>
      </c>
      <c r="K1562" s="2">
        <f t="shared" si="168"/>
        <v>24000</v>
      </c>
      <c r="L1562" s="9">
        <f>Table_1[[#This Row],[Unit Price]]*Table_1[[#This Row],[Quantity]]</f>
        <v>120000</v>
      </c>
      <c r="M1562" s="8">
        <f>Table_1[[#This Row],[Cost Price]]*Table_1[[#This Row],[Quantity]]</f>
        <v>96000</v>
      </c>
      <c r="N1562">
        <f>Table_1[[#This Row],[Revenue]]-Table_1[[#This Row],[COGS]]</f>
        <v>24000</v>
      </c>
      <c r="O1562" s="11">
        <f t="shared" si="169"/>
        <v>4656740000</v>
      </c>
      <c r="P1562">
        <f t="shared" si="170"/>
        <v>3725392000</v>
      </c>
      <c r="Q1562">
        <f t="shared" si="171"/>
        <v>931348000</v>
      </c>
      <c r="R1562" s="7">
        <f t="shared" si="172"/>
        <v>2098</v>
      </c>
      <c r="S1562" s="7">
        <f t="shared" si="173"/>
        <v>2</v>
      </c>
      <c r="T1562" s="7">
        <f t="shared" si="174"/>
        <v>2098</v>
      </c>
    </row>
    <row r="1563" spans="1:20" ht="14.25" customHeight="1" x14ac:dyDescent="0.35">
      <c r="A1563" s="2" t="s">
        <v>124</v>
      </c>
      <c r="B1563" s="2" t="s">
        <v>12</v>
      </c>
      <c r="C1563" s="2" t="s">
        <v>21</v>
      </c>
      <c r="D1563" s="2" t="s">
        <v>26</v>
      </c>
      <c r="E1563" s="2" t="s">
        <v>22</v>
      </c>
      <c r="F1563" s="2" t="s">
        <v>41</v>
      </c>
      <c r="G1563" s="2" t="s">
        <v>17</v>
      </c>
      <c r="H1563" s="2">
        <v>320000</v>
      </c>
      <c r="I1563" s="2">
        <v>8</v>
      </c>
      <c r="J1563" s="2" t="s">
        <v>43</v>
      </c>
      <c r="K1563" s="2">
        <f t="shared" si="168"/>
        <v>256000</v>
      </c>
      <c r="L1563" s="9">
        <f>Table_1[[#This Row],[Unit Price]]*Table_1[[#This Row],[Quantity]]</f>
        <v>2560000</v>
      </c>
      <c r="M1563" s="8">
        <f>Table_1[[#This Row],[Cost Price]]*Table_1[[#This Row],[Quantity]]</f>
        <v>2048000</v>
      </c>
      <c r="N1563">
        <f>Table_1[[#This Row],[Revenue]]-Table_1[[#This Row],[COGS]]</f>
        <v>512000</v>
      </c>
      <c r="O1563" s="11">
        <f t="shared" si="169"/>
        <v>4656740000</v>
      </c>
      <c r="P1563">
        <f t="shared" si="170"/>
        <v>3725392000</v>
      </c>
      <c r="Q1563">
        <f t="shared" si="171"/>
        <v>931348000</v>
      </c>
      <c r="R1563" s="7">
        <f t="shared" si="172"/>
        <v>2098</v>
      </c>
      <c r="S1563" s="7">
        <f t="shared" si="173"/>
        <v>1</v>
      </c>
      <c r="T1563" s="7">
        <f t="shared" si="174"/>
        <v>2098</v>
      </c>
    </row>
    <row r="1564" spans="1:20" ht="14.25" customHeight="1" x14ac:dyDescent="0.35">
      <c r="A1564" s="2" t="s">
        <v>49</v>
      </c>
      <c r="B1564" s="2" t="s">
        <v>12</v>
      </c>
      <c r="C1564" s="2" t="s">
        <v>38</v>
      </c>
      <c r="D1564" s="2" t="s">
        <v>26</v>
      </c>
      <c r="E1564" s="2" t="s">
        <v>22</v>
      </c>
      <c r="F1564" s="2" t="s">
        <v>39</v>
      </c>
      <c r="G1564" s="2" t="s">
        <v>24</v>
      </c>
      <c r="H1564" s="2">
        <v>180000</v>
      </c>
      <c r="I1564" s="2">
        <v>5</v>
      </c>
      <c r="J1564" s="2" t="s">
        <v>32</v>
      </c>
      <c r="K1564" s="2">
        <f t="shared" si="168"/>
        <v>144000</v>
      </c>
      <c r="L1564" s="9">
        <f>Table_1[[#This Row],[Unit Price]]*Table_1[[#This Row],[Quantity]]</f>
        <v>900000</v>
      </c>
      <c r="M1564" s="8">
        <f>Table_1[[#This Row],[Cost Price]]*Table_1[[#This Row],[Quantity]]</f>
        <v>720000</v>
      </c>
      <c r="N1564">
        <f>Table_1[[#This Row],[Revenue]]-Table_1[[#This Row],[COGS]]</f>
        <v>180000</v>
      </c>
      <c r="O1564" s="11">
        <f t="shared" si="169"/>
        <v>4656740000</v>
      </c>
      <c r="P1564">
        <f t="shared" si="170"/>
        <v>3725392000</v>
      </c>
      <c r="Q1564">
        <f t="shared" si="171"/>
        <v>931348000</v>
      </c>
      <c r="R1564" s="7">
        <f t="shared" si="172"/>
        <v>2098</v>
      </c>
      <c r="S1564" s="7">
        <f t="shared" si="173"/>
        <v>4</v>
      </c>
      <c r="T1564" s="7">
        <f t="shared" si="174"/>
        <v>2098</v>
      </c>
    </row>
    <row r="1565" spans="1:20" ht="14.25" customHeight="1" x14ac:dyDescent="0.35">
      <c r="A1565" s="2" t="s">
        <v>67</v>
      </c>
      <c r="B1565" s="2" t="s">
        <v>20</v>
      </c>
      <c r="C1565" s="2" t="s">
        <v>13</v>
      </c>
      <c r="D1565" s="2" t="s">
        <v>14</v>
      </c>
      <c r="E1565" s="2" t="s">
        <v>22</v>
      </c>
      <c r="F1565" s="2" t="s">
        <v>41</v>
      </c>
      <c r="G1565" s="2" t="s">
        <v>17</v>
      </c>
      <c r="H1565" s="2">
        <v>320000</v>
      </c>
      <c r="I1565" s="2">
        <v>6</v>
      </c>
      <c r="J1565" s="2" t="s">
        <v>32</v>
      </c>
      <c r="K1565" s="2">
        <f t="shared" si="168"/>
        <v>256000</v>
      </c>
      <c r="L1565" s="9">
        <f>Table_1[[#This Row],[Unit Price]]*Table_1[[#This Row],[Quantity]]</f>
        <v>1920000</v>
      </c>
      <c r="M1565" s="8">
        <f>Table_1[[#This Row],[Cost Price]]*Table_1[[#This Row],[Quantity]]</f>
        <v>1536000</v>
      </c>
      <c r="N1565">
        <f>Table_1[[#This Row],[Revenue]]-Table_1[[#This Row],[COGS]]</f>
        <v>384000</v>
      </c>
      <c r="O1565" s="11">
        <f t="shared" si="169"/>
        <v>4656740000</v>
      </c>
      <c r="P1565">
        <f t="shared" si="170"/>
        <v>3725392000</v>
      </c>
      <c r="Q1565">
        <f t="shared" si="171"/>
        <v>931348000</v>
      </c>
      <c r="R1565" s="7">
        <f t="shared" si="172"/>
        <v>2098</v>
      </c>
      <c r="S1565" s="7">
        <f t="shared" si="173"/>
        <v>3</v>
      </c>
      <c r="T1565" s="7">
        <f t="shared" si="174"/>
        <v>2098</v>
      </c>
    </row>
    <row r="1566" spans="1:20" ht="14.25" customHeight="1" x14ac:dyDescent="0.35">
      <c r="A1566" s="2" t="s">
        <v>48</v>
      </c>
      <c r="B1566" s="2" t="s">
        <v>29</v>
      </c>
      <c r="C1566" s="2" t="s">
        <v>21</v>
      </c>
      <c r="D1566" s="2" t="s">
        <v>14</v>
      </c>
      <c r="E1566" s="2" t="s">
        <v>15</v>
      </c>
      <c r="F1566" s="2" t="s">
        <v>52</v>
      </c>
      <c r="G1566" s="2" t="s">
        <v>36</v>
      </c>
      <c r="H1566" s="2">
        <v>420000</v>
      </c>
      <c r="I1566" s="2">
        <v>3</v>
      </c>
      <c r="J1566" s="2" t="s">
        <v>32</v>
      </c>
      <c r="K1566" s="2">
        <f t="shared" si="168"/>
        <v>336000</v>
      </c>
      <c r="L1566" s="9">
        <f>Table_1[[#This Row],[Unit Price]]*Table_1[[#This Row],[Quantity]]</f>
        <v>1260000</v>
      </c>
      <c r="M1566" s="8">
        <f>Table_1[[#This Row],[Cost Price]]*Table_1[[#This Row],[Quantity]]</f>
        <v>1008000</v>
      </c>
      <c r="N1566">
        <f>Table_1[[#This Row],[Revenue]]-Table_1[[#This Row],[COGS]]</f>
        <v>252000</v>
      </c>
      <c r="O1566" s="11">
        <f t="shared" si="169"/>
        <v>4656740000</v>
      </c>
      <c r="P1566">
        <f t="shared" si="170"/>
        <v>3725392000</v>
      </c>
      <c r="Q1566">
        <f t="shared" si="171"/>
        <v>931348000</v>
      </c>
      <c r="R1566" s="7">
        <f t="shared" si="172"/>
        <v>2098</v>
      </c>
      <c r="S1566" s="7">
        <f t="shared" si="173"/>
        <v>1</v>
      </c>
      <c r="T1566" s="7">
        <f t="shared" si="174"/>
        <v>2098</v>
      </c>
    </row>
    <row r="1567" spans="1:20" ht="14.25" customHeight="1" x14ac:dyDescent="0.35">
      <c r="A1567" s="2" t="s">
        <v>95</v>
      </c>
      <c r="B1567" s="2" t="s">
        <v>34</v>
      </c>
      <c r="C1567" s="2" t="s">
        <v>38</v>
      </c>
      <c r="D1567" s="2" t="s">
        <v>26</v>
      </c>
      <c r="E1567" s="2" t="s">
        <v>15</v>
      </c>
      <c r="F1567" s="2" t="s">
        <v>47</v>
      </c>
      <c r="G1567" s="2" t="s">
        <v>36</v>
      </c>
      <c r="H1567" s="2">
        <v>150000</v>
      </c>
      <c r="I1567" s="2">
        <v>2</v>
      </c>
      <c r="J1567" s="2" t="s">
        <v>54</v>
      </c>
      <c r="K1567" s="2">
        <f t="shared" si="168"/>
        <v>120000</v>
      </c>
      <c r="L1567" s="9">
        <f>Table_1[[#This Row],[Unit Price]]*Table_1[[#This Row],[Quantity]]</f>
        <v>300000</v>
      </c>
      <c r="M1567" s="8">
        <f>Table_1[[#This Row],[Cost Price]]*Table_1[[#This Row],[Quantity]]</f>
        <v>240000</v>
      </c>
      <c r="N1567">
        <f>Table_1[[#This Row],[Revenue]]-Table_1[[#This Row],[COGS]]</f>
        <v>60000</v>
      </c>
      <c r="O1567" s="11">
        <f t="shared" si="169"/>
        <v>4656740000</v>
      </c>
      <c r="P1567">
        <f t="shared" si="170"/>
        <v>3725392000</v>
      </c>
      <c r="Q1567">
        <f t="shared" si="171"/>
        <v>931348000</v>
      </c>
      <c r="R1567" s="7">
        <f t="shared" si="172"/>
        <v>2098</v>
      </c>
      <c r="S1567" s="7">
        <f t="shared" si="173"/>
        <v>1</v>
      </c>
      <c r="T1567" s="7">
        <f t="shared" si="174"/>
        <v>2098</v>
      </c>
    </row>
    <row r="1568" spans="1:20" ht="14.25" customHeight="1" x14ac:dyDescent="0.35">
      <c r="A1568" s="2" t="s">
        <v>101</v>
      </c>
      <c r="B1568" s="2" t="s">
        <v>12</v>
      </c>
      <c r="C1568" s="2" t="s">
        <v>38</v>
      </c>
      <c r="D1568" s="2" t="s">
        <v>14</v>
      </c>
      <c r="E1568" s="2" t="s">
        <v>15</v>
      </c>
      <c r="F1568" s="2" t="s">
        <v>39</v>
      </c>
      <c r="G1568" s="2" t="s">
        <v>24</v>
      </c>
      <c r="H1568" s="2">
        <v>180000</v>
      </c>
      <c r="I1568" s="2">
        <v>8</v>
      </c>
      <c r="J1568" s="2" t="s">
        <v>43</v>
      </c>
      <c r="K1568" s="2">
        <f t="shared" si="168"/>
        <v>144000</v>
      </c>
      <c r="L1568" s="9">
        <f>Table_1[[#This Row],[Unit Price]]*Table_1[[#This Row],[Quantity]]</f>
        <v>1440000</v>
      </c>
      <c r="M1568" s="8">
        <f>Table_1[[#This Row],[Cost Price]]*Table_1[[#This Row],[Quantity]]</f>
        <v>1152000</v>
      </c>
      <c r="N1568">
        <f>Table_1[[#This Row],[Revenue]]-Table_1[[#This Row],[COGS]]</f>
        <v>288000</v>
      </c>
      <c r="O1568" s="11">
        <f t="shared" si="169"/>
        <v>4656740000</v>
      </c>
      <c r="P1568">
        <f t="shared" si="170"/>
        <v>3725392000</v>
      </c>
      <c r="Q1568">
        <f t="shared" si="171"/>
        <v>931348000</v>
      </c>
      <c r="R1568" s="7">
        <f t="shared" si="172"/>
        <v>2098</v>
      </c>
      <c r="S1568" s="7">
        <f t="shared" si="173"/>
        <v>4</v>
      </c>
      <c r="T1568" s="7">
        <f t="shared" si="174"/>
        <v>2098</v>
      </c>
    </row>
    <row r="1569" spans="1:20" ht="14.25" customHeight="1" x14ac:dyDescent="0.35">
      <c r="A1569" s="2" t="s">
        <v>113</v>
      </c>
      <c r="B1569" s="2" t="s">
        <v>34</v>
      </c>
      <c r="C1569" s="2" t="s">
        <v>21</v>
      </c>
      <c r="D1569" s="2" t="s">
        <v>14</v>
      </c>
      <c r="E1569" s="2" t="s">
        <v>15</v>
      </c>
      <c r="F1569" s="2" t="s">
        <v>47</v>
      </c>
      <c r="G1569" s="2" t="s">
        <v>36</v>
      </c>
      <c r="H1569" s="2">
        <v>150000</v>
      </c>
      <c r="I1569" s="2">
        <v>4</v>
      </c>
      <c r="J1569" s="2" t="s">
        <v>43</v>
      </c>
      <c r="K1569" s="2">
        <f t="shared" si="168"/>
        <v>120000</v>
      </c>
      <c r="L1569" s="9">
        <f>Table_1[[#This Row],[Unit Price]]*Table_1[[#This Row],[Quantity]]</f>
        <v>600000</v>
      </c>
      <c r="M1569" s="8">
        <f>Table_1[[#This Row],[Cost Price]]*Table_1[[#This Row],[Quantity]]</f>
        <v>480000</v>
      </c>
      <c r="N1569">
        <f>Table_1[[#This Row],[Revenue]]-Table_1[[#This Row],[COGS]]</f>
        <v>120000</v>
      </c>
      <c r="O1569" s="11">
        <f t="shared" si="169"/>
        <v>4656740000</v>
      </c>
      <c r="P1569">
        <f t="shared" si="170"/>
        <v>3725392000</v>
      </c>
      <c r="Q1569">
        <f t="shared" si="171"/>
        <v>931348000</v>
      </c>
      <c r="R1569" s="7">
        <f t="shared" si="172"/>
        <v>2098</v>
      </c>
      <c r="S1569" s="7">
        <f t="shared" si="173"/>
        <v>3</v>
      </c>
      <c r="T1569" s="7">
        <f t="shared" si="174"/>
        <v>2098</v>
      </c>
    </row>
    <row r="1570" spans="1:20" ht="14.25" customHeight="1" x14ac:dyDescent="0.35">
      <c r="A1570" s="2" t="s">
        <v>64</v>
      </c>
      <c r="B1570" s="2" t="s">
        <v>34</v>
      </c>
      <c r="C1570" s="2" t="s">
        <v>30</v>
      </c>
      <c r="D1570" s="2" t="s">
        <v>26</v>
      </c>
      <c r="E1570" s="2" t="s">
        <v>22</v>
      </c>
      <c r="F1570" s="2" t="s">
        <v>31</v>
      </c>
      <c r="G1570" s="2" t="s">
        <v>24</v>
      </c>
      <c r="H1570" s="2">
        <v>60000</v>
      </c>
      <c r="I1570" s="2">
        <v>8</v>
      </c>
      <c r="J1570" s="2" t="s">
        <v>32</v>
      </c>
      <c r="K1570" s="2">
        <f t="shared" si="168"/>
        <v>48000</v>
      </c>
      <c r="L1570" s="9">
        <f>Table_1[[#This Row],[Unit Price]]*Table_1[[#This Row],[Quantity]]</f>
        <v>480000</v>
      </c>
      <c r="M1570" s="8">
        <f>Table_1[[#This Row],[Cost Price]]*Table_1[[#This Row],[Quantity]]</f>
        <v>384000</v>
      </c>
      <c r="N1570">
        <f>Table_1[[#This Row],[Revenue]]-Table_1[[#This Row],[COGS]]</f>
        <v>96000</v>
      </c>
      <c r="O1570" s="11">
        <f t="shared" si="169"/>
        <v>4656740000</v>
      </c>
      <c r="P1570">
        <f t="shared" si="170"/>
        <v>3725392000</v>
      </c>
      <c r="Q1570">
        <f t="shared" si="171"/>
        <v>931348000</v>
      </c>
      <c r="R1570" s="7">
        <f t="shared" si="172"/>
        <v>2098</v>
      </c>
      <c r="S1570" s="7">
        <f t="shared" si="173"/>
        <v>2</v>
      </c>
      <c r="T1570" s="7">
        <f t="shared" si="174"/>
        <v>2098</v>
      </c>
    </row>
    <row r="1571" spans="1:20" ht="14.25" customHeight="1" x14ac:dyDescent="0.35">
      <c r="A1571" s="2" t="s">
        <v>140</v>
      </c>
      <c r="B1571" s="2" t="s">
        <v>34</v>
      </c>
      <c r="C1571" s="2" t="s">
        <v>13</v>
      </c>
      <c r="D1571" s="2" t="s">
        <v>26</v>
      </c>
      <c r="E1571" s="2" t="s">
        <v>22</v>
      </c>
      <c r="F1571" s="2" t="s">
        <v>52</v>
      </c>
      <c r="G1571" s="2" t="s">
        <v>36</v>
      </c>
      <c r="H1571" s="2">
        <v>420000</v>
      </c>
      <c r="I1571" s="2">
        <v>5</v>
      </c>
      <c r="J1571" s="2" t="s">
        <v>50</v>
      </c>
      <c r="K1571" s="2">
        <f t="shared" si="168"/>
        <v>336000</v>
      </c>
      <c r="L1571" s="9">
        <f>Table_1[[#This Row],[Unit Price]]*Table_1[[#This Row],[Quantity]]</f>
        <v>2100000</v>
      </c>
      <c r="M1571" s="8">
        <f>Table_1[[#This Row],[Cost Price]]*Table_1[[#This Row],[Quantity]]</f>
        <v>1680000</v>
      </c>
      <c r="N1571">
        <f>Table_1[[#This Row],[Revenue]]-Table_1[[#This Row],[COGS]]</f>
        <v>420000</v>
      </c>
      <c r="O1571" s="11">
        <f t="shared" si="169"/>
        <v>4656740000</v>
      </c>
      <c r="P1571">
        <f t="shared" si="170"/>
        <v>3725392000</v>
      </c>
      <c r="Q1571">
        <f t="shared" si="171"/>
        <v>931348000</v>
      </c>
      <c r="R1571" s="7">
        <f t="shared" si="172"/>
        <v>2098</v>
      </c>
      <c r="S1571" s="7">
        <f t="shared" si="173"/>
        <v>4</v>
      </c>
      <c r="T1571" s="7">
        <f t="shared" si="174"/>
        <v>2098</v>
      </c>
    </row>
    <row r="1572" spans="1:20" ht="14.25" customHeight="1" x14ac:dyDescent="0.35">
      <c r="A1572" s="2" t="s">
        <v>90</v>
      </c>
      <c r="B1572" s="2" t="s">
        <v>34</v>
      </c>
      <c r="C1572" s="2" t="s">
        <v>13</v>
      </c>
      <c r="D1572" s="2" t="s">
        <v>14</v>
      </c>
      <c r="E1572" s="2" t="s">
        <v>22</v>
      </c>
      <c r="F1572" s="2" t="s">
        <v>52</v>
      </c>
      <c r="G1572" s="2" t="s">
        <v>36</v>
      </c>
      <c r="H1572" s="2">
        <v>420000</v>
      </c>
      <c r="I1572" s="2">
        <v>6</v>
      </c>
      <c r="J1572" s="2" t="s">
        <v>54</v>
      </c>
      <c r="K1572" s="2">
        <f t="shared" si="168"/>
        <v>336000</v>
      </c>
      <c r="L1572" s="9">
        <f>Table_1[[#This Row],[Unit Price]]*Table_1[[#This Row],[Quantity]]</f>
        <v>2520000</v>
      </c>
      <c r="M1572" s="8">
        <f>Table_1[[#This Row],[Cost Price]]*Table_1[[#This Row],[Quantity]]</f>
        <v>2016000</v>
      </c>
      <c r="N1572">
        <f>Table_1[[#This Row],[Revenue]]-Table_1[[#This Row],[COGS]]</f>
        <v>504000</v>
      </c>
      <c r="O1572" s="11">
        <f t="shared" si="169"/>
        <v>4656740000</v>
      </c>
      <c r="P1572">
        <f t="shared" si="170"/>
        <v>3725392000</v>
      </c>
      <c r="Q1572">
        <f t="shared" si="171"/>
        <v>931348000</v>
      </c>
      <c r="R1572" s="7">
        <f t="shared" si="172"/>
        <v>2098</v>
      </c>
      <c r="S1572" s="7">
        <f t="shared" si="173"/>
        <v>3</v>
      </c>
      <c r="T1572" s="7">
        <f t="shared" si="174"/>
        <v>2098</v>
      </c>
    </row>
    <row r="1573" spans="1:20" ht="14.25" customHeight="1" x14ac:dyDescent="0.35">
      <c r="A1573" s="2" t="s">
        <v>119</v>
      </c>
      <c r="B1573" s="2" t="s">
        <v>29</v>
      </c>
      <c r="C1573" s="2" t="s">
        <v>13</v>
      </c>
      <c r="D1573" s="2" t="s">
        <v>14</v>
      </c>
      <c r="E1573" s="2" t="s">
        <v>22</v>
      </c>
      <c r="F1573" s="2" t="s">
        <v>35</v>
      </c>
      <c r="G1573" s="2" t="s">
        <v>36</v>
      </c>
      <c r="H1573" s="2">
        <v>300000</v>
      </c>
      <c r="I1573" s="2">
        <v>4</v>
      </c>
      <c r="J1573" s="2" t="s">
        <v>27</v>
      </c>
      <c r="K1573" s="2">
        <f t="shared" si="168"/>
        <v>240000</v>
      </c>
      <c r="L1573" s="9">
        <f>Table_1[[#This Row],[Unit Price]]*Table_1[[#This Row],[Quantity]]</f>
        <v>1200000</v>
      </c>
      <c r="M1573" s="8">
        <f>Table_1[[#This Row],[Cost Price]]*Table_1[[#This Row],[Quantity]]</f>
        <v>960000</v>
      </c>
      <c r="N1573">
        <f>Table_1[[#This Row],[Revenue]]-Table_1[[#This Row],[COGS]]</f>
        <v>240000</v>
      </c>
      <c r="O1573" s="11">
        <f t="shared" si="169"/>
        <v>4656740000</v>
      </c>
      <c r="P1573">
        <f t="shared" si="170"/>
        <v>3725392000</v>
      </c>
      <c r="Q1573">
        <f t="shared" si="171"/>
        <v>931348000</v>
      </c>
      <c r="R1573" s="7">
        <f t="shared" si="172"/>
        <v>2098</v>
      </c>
      <c r="S1573" s="7">
        <f t="shared" si="173"/>
        <v>1</v>
      </c>
      <c r="T1573" s="7">
        <f t="shared" si="174"/>
        <v>2098</v>
      </c>
    </row>
    <row r="1574" spans="1:20" ht="14.25" customHeight="1" x14ac:dyDescent="0.35">
      <c r="A1574" s="2" t="s">
        <v>73</v>
      </c>
      <c r="B1574" s="2" t="s">
        <v>20</v>
      </c>
      <c r="C1574" s="2" t="s">
        <v>38</v>
      </c>
      <c r="D1574" s="2" t="s">
        <v>14</v>
      </c>
      <c r="E1574" s="2" t="s">
        <v>15</v>
      </c>
      <c r="F1574" s="2" t="s">
        <v>39</v>
      </c>
      <c r="G1574" s="2" t="s">
        <v>24</v>
      </c>
      <c r="H1574" s="2">
        <v>180000</v>
      </c>
      <c r="I1574" s="2">
        <v>1</v>
      </c>
      <c r="J1574" s="2" t="s">
        <v>54</v>
      </c>
      <c r="K1574" s="2">
        <f t="shared" si="168"/>
        <v>144000</v>
      </c>
      <c r="L1574" s="9">
        <f>Table_1[[#This Row],[Unit Price]]*Table_1[[#This Row],[Quantity]]</f>
        <v>180000</v>
      </c>
      <c r="M1574" s="8">
        <f>Table_1[[#This Row],[Cost Price]]*Table_1[[#This Row],[Quantity]]</f>
        <v>144000</v>
      </c>
      <c r="N1574">
        <f>Table_1[[#This Row],[Revenue]]-Table_1[[#This Row],[COGS]]</f>
        <v>36000</v>
      </c>
      <c r="O1574" s="11">
        <f t="shared" si="169"/>
        <v>4656740000</v>
      </c>
      <c r="P1574">
        <f t="shared" si="170"/>
        <v>3725392000</v>
      </c>
      <c r="Q1574">
        <f t="shared" si="171"/>
        <v>931348000</v>
      </c>
      <c r="R1574" s="7">
        <f t="shared" si="172"/>
        <v>2098</v>
      </c>
      <c r="S1574" s="7">
        <f t="shared" si="173"/>
        <v>2</v>
      </c>
      <c r="T1574" s="7">
        <f t="shared" si="174"/>
        <v>2098</v>
      </c>
    </row>
    <row r="1575" spans="1:20" ht="14.25" customHeight="1" x14ac:dyDescent="0.35">
      <c r="A1575" s="2" t="s">
        <v>45</v>
      </c>
      <c r="B1575" s="2" t="s">
        <v>34</v>
      </c>
      <c r="C1575" s="2" t="s">
        <v>38</v>
      </c>
      <c r="D1575" s="2" t="s">
        <v>26</v>
      </c>
      <c r="E1575" s="2" t="s">
        <v>15</v>
      </c>
      <c r="F1575" s="2" t="s">
        <v>52</v>
      </c>
      <c r="G1575" s="2" t="s">
        <v>36</v>
      </c>
      <c r="H1575" s="2">
        <v>420000</v>
      </c>
      <c r="I1575" s="2">
        <v>5</v>
      </c>
      <c r="J1575" s="2" t="s">
        <v>50</v>
      </c>
      <c r="K1575" s="2">
        <f t="shared" si="168"/>
        <v>336000</v>
      </c>
      <c r="L1575" s="9">
        <f>Table_1[[#This Row],[Unit Price]]*Table_1[[#This Row],[Quantity]]</f>
        <v>2100000</v>
      </c>
      <c r="M1575" s="8">
        <f>Table_1[[#This Row],[Cost Price]]*Table_1[[#This Row],[Quantity]]</f>
        <v>1680000</v>
      </c>
      <c r="N1575">
        <f>Table_1[[#This Row],[Revenue]]-Table_1[[#This Row],[COGS]]</f>
        <v>420000</v>
      </c>
      <c r="O1575" s="11">
        <f t="shared" si="169"/>
        <v>4656740000</v>
      </c>
      <c r="P1575">
        <f t="shared" si="170"/>
        <v>3725392000</v>
      </c>
      <c r="Q1575">
        <f t="shared" si="171"/>
        <v>931348000</v>
      </c>
      <c r="R1575" s="7">
        <f t="shared" si="172"/>
        <v>2098</v>
      </c>
      <c r="S1575" s="7">
        <f t="shared" si="173"/>
        <v>3</v>
      </c>
      <c r="T1575" s="7">
        <f t="shared" si="174"/>
        <v>2098</v>
      </c>
    </row>
    <row r="1576" spans="1:20" ht="14.25" customHeight="1" x14ac:dyDescent="0.35">
      <c r="A1576" s="2" t="s">
        <v>45</v>
      </c>
      <c r="B1576" s="2" t="s">
        <v>12</v>
      </c>
      <c r="C1576" s="2" t="s">
        <v>21</v>
      </c>
      <c r="D1576" s="2" t="s">
        <v>26</v>
      </c>
      <c r="E1576" s="2" t="s">
        <v>22</v>
      </c>
      <c r="F1576" s="2" t="s">
        <v>56</v>
      </c>
      <c r="G1576" s="2" t="s">
        <v>36</v>
      </c>
      <c r="H1576" s="2">
        <v>250000</v>
      </c>
      <c r="I1576" s="2">
        <v>7</v>
      </c>
      <c r="J1576" s="2" t="s">
        <v>54</v>
      </c>
      <c r="K1576" s="2">
        <f t="shared" si="168"/>
        <v>200000</v>
      </c>
      <c r="L1576" s="9">
        <f>Table_1[[#This Row],[Unit Price]]*Table_1[[#This Row],[Quantity]]</f>
        <v>1750000</v>
      </c>
      <c r="M1576" s="8">
        <f>Table_1[[#This Row],[Cost Price]]*Table_1[[#This Row],[Quantity]]</f>
        <v>1400000</v>
      </c>
      <c r="N1576">
        <f>Table_1[[#This Row],[Revenue]]-Table_1[[#This Row],[COGS]]</f>
        <v>350000</v>
      </c>
      <c r="O1576" s="11">
        <f t="shared" si="169"/>
        <v>4656740000</v>
      </c>
      <c r="P1576">
        <f t="shared" si="170"/>
        <v>3725392000</v>
      </c>
      <c r="Q1576">
        <f t="shared" si="171"/>
        <v>931348000</v>
      </c>
      <c r="R1576" s="7">
        <f t="shared" si="172"/>
        <v>2098</v>
      </c>
      <c r="S1576" s="7">
        <f t="shared" si="173"/>
        <v>3</v>
      </c>
      <c r="T1576" s="7">
        <f t="shared" si="174"/>
        <v>2098</v>
      </c>
    </row>
    <row r="1577" spans="1:20" ht="14.25" customHeight="1" x14ac:dyDescent="0.35">
      <c r="A1577" s="2" t="s">
        <v>91</v>
      </c>
      <c r="B1577" s="2" t="s">
        <v>29</v>
      </c>
      <c r="C1577" s="2" t="s">
        <v>38</v>
      </c>
      <c r="D1577" s="2" t="s">
        <v>26</v>
      </c>
      <c r="E1577" s="2" t="s">
        <v>15</v>
      </c>
      <c r="F1577" s="2" t="s">
        <v>23</v>
      </c>
      <c r="G1577" s="2" t="s">
        <v>24</v>
      </c>
      <c r="H1577" s="2">
        <v>30000</v>
      </c>
      <c r="I1577" s="2">
        <v>1</v>
      </c>
      <c r="J1577" s="2" t="s">
        <v>54</v>
      </c>
      <c r="K1577" s="2">
        <f t="shared" si="168"/>
        <v>24000</v>
      </c>
      <c r="L1577" s="9">
        <f>Table_1[[#This Row],[Unit Price]]*Table_1[[#This Row],[Quantity]]</f>
        <v>30000</v>
      </c>
      <c r="M1577" s="8">
        <f>Table_1[[#This Row],[Cost Price]]*Table_1[[#This Row],[Quantity]]</f>
        <v>24000</v>
      </c>
      <c r="N1577">
        <f>Table_1[[#This Row],[Revenue]]-Table_1[[#This Row],[COGS]]</f>
        <v>6000</v>
      </c>
      <c r="O1577" s="11">
        <f t="shared" si="169"/>
        <v>4656740000</v>
      </c>
      <c r="P1577">
        <f t="shared" si="170"/>
        <v>3725392000</v>
      </c>
      <c r="Q1577">
        <f t="shared" si="171"/>
        <v>931348000</v>
      </c>
      <c r="R1577" s="7">
        <f t="shared" si="172"/>
        <v>2098</v>
      </c>
      <c r="S1577" s="7">
        <f t="shared" si="173"/>
        <v>4</v>
      </c>
      <c r="T1577" s="7">
        <f t="shared" si="174"/>
        <v>2098</v>
      </c>
    </row>
    <row r="1578" spans="1:20" ht="14.25" customHeight="1" x14ac:dyDescent="0.35">
      <c r="A1578" s="2" t="s">
        <v>113</v>
      </c>
      <c r="B1578" s="2" t="s">
        <v>29</v>
      </c>
      <c r="C1578" s="2" t="s">
        <v>21</v>
      </c>
      <c r="D1578" s="2" t="s">
        <v>26</v>
      </c>
      <c r="E1578" s="2" t="s">
        <v>15</v>
      </c>
      <c r="F1578" s="2" t="s">
        <v>39</v>
      </c>
      <c r="G1578" s="2" t="s">
        <v>24</v>
      </c>
      <c r="H1578" s="2">
        <v>180000</v>
      </c>
      <c r="I1578" s="2">
        <v>9</v>
      </c>
      <c r="J1578" s="2" t="s">
        <v>43</v>
      </c>
      <c r="K1578" s="2">
        <f t="shared" si="168"/>
        <v>144000</v>
      </c>
      <c r="L1578" s="9">
        <f>Table_1[[#This Row],[Unit Price]]*Table_1[[#This Row],[Quantity]]</f>
        <v>1620000</v>
      </c>
      <c r="M1578" s="8">
        <f>Table_1[[#This Row],[Cost Price]]*Table_1[[#This Row],[Quantity]]</f>
        <v>1296000</v>
      </c>
      <c r="N1578">
        <f>Table_1[[#This Row],[Revenue]]-Table_1[[#This Row],[COGS]]</f>
        <v>324000</v>
      </c>
      <c r="O1578" s="11">
        <f t="shared" si="169"/>
        <v>4656740000</v>
      </c>
      <c r="P1578">
        <f t="shared" si="170"/>
        <v>3725392000</v>
      </c>
      <c r="Q1578">
        <f t="shared" si="171"/>
        <v>931348000</v>
      </c>
      <c r="R1578" s="7">
        <f t="shared" si="172"/>
        <v>2098</v>
      </c>
      <c r="S1578" s="7">
        <f t="shared" si="173"/>
        <v>3</v>
      </c>
      <c r="T1578" s="7">
        <f t="shared" si="174"/>
        <v>2098</v>
      </c>
    </row>
    <row r="1579" spans="1:20" ht="14.25" customHeight="1" x14ac:dyDescent="0.35">
      <c r="A1579" s="2" t="s">
        <v>134</v>
      </c>
      <c r="B1579" s="2" t="s">
        <v>34</v>
      </c>
      <c r="C1579" s="2" t="s">
        <v>21</v>
      </c>
      <c r="D1579" s="2" t="s">
        <v>26</v>
      </c>
      <c r="E1579" s="2" t="s">
        <v>15</v>
      </c>
      <c r="F1579" s="2" t="s">
        <v>35</v>
      </c>
      <c r="G1579" s="2" t="s">
        <v>36</v>
      </c>
      <c r="H1579" s="2">
        <v>300000</v>
      </c>
      <c r="I1579" s="2">
        <v>7</v>
      </c>
      <c r="J1579" s="2" t="s">
        <v>54</v>
      </c>
      <c r="K1579" s="2">
        <f t="shared" si="168"/>
        <v>240000</v>
      </c>
      <c r="L1579" s="9">
        <f>Table_1[[#This Row],[Unit Price]]*Table_1[[#This Row],[Quantity]]</f>
        <v>2100000</v>
      </c>
      <c r="M1579" s="8">
        <f>Table_1[[#This Row],[Cost Price]]*Table_1[[#This Row],[Quantity]]</f>
        <v>1680000</v>
      </c>
      <c r="N1579">
        <f>Table_1[[#This Row],[Revenue]]-Table_1[[#This Row],[COGS]]</f>
        <v>420000</v>
      </c>
      <c r="O1579" s="11">
        <f t="shared" si="169"/>
        <v>4656740000</v>
      </c>
      <c r="P1579">
        <f t="shared" si="170"/>
        <v>3725392000</v>
      </c>
      <c r="Q1579">
        <f t="shared" si="171"/>
        <v>931348000</v>
      </c>
      <c r="R1579" s="7">
        <f t="shared" si="172"/>
        <v>2098</v>
      </c>
      <c r="S1579" s="7">
        <f t="shared" si="173"/>
        <v>4</v>
      </c>
      <c r="T1579" s="7">
        <f t="shared" si="174"/>
        <v>2098</v>
      </c>
    </row>
    <row r="1580" spans="1:20" ht="14.25" customHeight="1" x14ac:dyDescent="0.35">
      <c r="A1580" s="2" t="s">
        <v>49</v>
      </c>
      <c r="B1580" s="2" t="s">
        <v>20</v>
      </c>
      <c r="C1580" s="2" t="s">
        <v>21</v>
      </c>
      <c r="D1580" s="2" t="s">
        <v>14</v>
      </c>
      <c r="E1580" s="2" t="s">
        <v>15</v>
      </c>
      <c r="F1580" s="2" t="s">
        <v>31</v>
      </c>
      <c r="G1580" s="2" t="s">
        <v>24</v>
      </c>
      <c r="H1580" s="2">
        <v>60000</v>
      </c>
      <c r="I1580" s="2">
        <v>2</v>
      </c>
      <c r="J1580" s="2" t="s">
        <v>54</v>
      </c>
      <c r="K1580" s="2">
        <f t="shared" si="168"/>
        <v>48000</v>
      </c>
      <c r="L1580" s="9">
        <f>Table_1[[#This Row],[Unit Price]]*Table_1[[#This Row],[Quantity]]</f>
        <v>120000</v>
      </c>
      <c r="M1580" s="8">
        <f>Table_1[[#This Row],[Cost Price]]*Table_1[[#This Row],[Quantity]]</f>
        <v>96000</v>
      </c>
      <c r="N1580">
        <f>Table_1[[#This Row],[Revenue]]-Table_1[[#This Row],[COGS]]</f>
        <v>24000</v>
      </c>
      <c r="O1580" s="11">
        <f t="shared" si="169"/>
        <v>4656740000</v>
      </c>
      <c r="P1580">
        <f t="shared" si="170"/>
        <v>3725392000</v>
      </c>
      <c r="Q1580">
        <f t="shared" si="171"/>
        <v>931348000</v>
      </c>
      <c r="R1580" s="7">
        <f t="shared" si="172"/>
        <v>2098</v>
      </c>
      <c r="S1580" s="7">
        <f t="shared" si="173"/>
        <v>4</v>
      </c>
      <c r="T1580" s="7">
        <f t="shared" si="174"/>
        <v>2098</v>
      </c>
    </row>
    <row r="1581" spans="1:20" ht="14.25" customHeight="1" x14ac:dyDescent="0.35">
      <c r="A1581" s="2" t="s">
        <v>107</v>
      </c>
      <c r="B1581" s="2" t="s">
        <v>12</v>
      </c>
      <c r="C1581" s="2" t="s">
        <v>38</v>
      </c>
      <c r="D1581" s="2" t="s">
        <v>26</v>
      </c>
      <c r="E1581" s="2" t="s">
        <v>15</v>
      </c>
      <c r="F1581" s="2" t="s">
        <v>56</v>
      </c>
      <c r="G1581" s="2" t="s">
        <v>36</v>
      </c>
      <c r="H1581" s="2">
        <v>250000</v>
      </c>
      <c r="I1581" s="2">
        <v>5</v>
      </c>
      <c r="J1581" s="2" t="s">
        <v>32</v>
      </c>
      <c r="K1581" s="2">
        <f t="shared" si="168"/>
        <v>200000</v>
      </c>
      <c r="L1581" s="9">
        <f>Table_1[[#This Row],[Unit Price]]*Table_1[[#This Row],[Quantity]]</f>
        <v>1250000</v>
      </c>
      <c r="M1581" s="8">
        <f>Table_1[[#This Row],[Cost Price]]*Table_1[[#This Row],[Quantity]]</f>
        <v>1000000</v>
      </c>
      <c r="N1581">
        <f>Table_1[[#This Row],[Revenue]]-Table_1[[#This Row],[COGS]]</f>
        <v>250000</v>
      </c>
      <c r="O1581" s="11">
        <f t="shared" si="169"/>
        <v>4656740000</v>
      </c>
      <c r="P1581">
        <f t="shared" si="170"/>
        <v>3725392000</v>
      </c>
      <c r="Q1581">
        <f t="shared" si="171"/>
        <v>931348000</v>
      </c>
      <c r="R1581" s="7">
        <f t="shared" si="172"/>
        <v>2098</v>
      </c>
      <c r="S1581" s="7">
        <f t="shared" si="173"/>
        <v>3</v>
      </c>
      <c r="T1581" s="7">
        <f t="shared" si="174"/>
        <v>2098</v>
      </c>
    </row>
    <row r="1582" spans="1:20" ht="14.25" customHeight="1" x14ac:dyDescent="0.35">
      <c r="A1582" s="2" t="s">
        <v>113</v>
      </c>
      <c r="B1582" s="2" t="s">
        <v>34</v>
      </c>
      <c r="C1582" s="2" t="s">
        <v>38</v>
      </c>
      <c r="D1582" s="2" t="s">
        <v>26</v>
      </c>
      <c r="E1582" s="2" t="s">
        <v>22</v>
      </c>
      <c r="F1582" s="2" t="s">
        <v>16</v>
      </c>
      <c r="G1582" s="2" t="s">
        <v>17</v>
      </c>
      <c r="H1582" s="2">
        <v>85000</v>
      </c>
      <c r="I1582" s="2">
        <v>9</v>
      </c>
      <c r="J1582" s="2" t="s">
        <v>43</v>
      </c>
      <c r="K1582" s="2">
        <f t="shared" si="168"/>
        <v>68000</v>
      </c>
      <c r="L1582" s="9">
        <f>Table_1[[#This Row],[Unit Price]]*Table_1[[#This Row],[Quantity]]</f>
        <v>765000</v>
      </c>
      <c r="M1582" s="8">
        <f>Table_1[[#This Row],[Cost Price]]*Table_1[[#This Row],[Quantity]]</f>
        <v>612000</v>
      </c>
      <c r="N1582">
        <f>Table_1[[#This Row],[Revenue]]-Table_1[[#This Row],[COGS]]</f>
        <v>153000</v>
      </c>
      <c r="O1582" s="11">
        <f t="shared" si="169"/>
        <v>4656740000</v>
      </c>
      <c r="P1582">
        <f t="shared" si="170"/>
        <v>3725392000</v>
      </c>
      <c r="Q1582">
        <f t="shared" si="171"/>
        <v>931348000</v>
      </c>
      <c r="R1582" s="7">
        <f t="shared" si="172"/>
        <v>2098</v>
      </c>
      <c r="S1582" s="7">
        <f t="shared" si="173"/>
        <v>3</v>
      </c>
      <c r="T1582" s="7">
        <f t="shared" si="174"/>
        <v>2098</v>
      </c>
    </row>
    <row r="1583" spans="1:20" ht="14.25" customHeight="1" x14ac:dyDescent="0.35">
      <c r="A1583" s="2" t="s">
        <v>127</v>
      </c>
      <c r="B1583" s="2" t="s">
        <v>34</v>
      </c>
      <c r="C1583" s="2" t="s">
        <v>30</v>
      </c>
      <c r="D1583" s="2" t="s">
        <v>14</v>
      </c>
      <c r="E1583" s="2" t="s">
        <v>15</v>
      </c>
      <c r="F1583" s="2" t="s">
        <v>52</v>
      </c>
      <c r="G1583" s="2" t="s">
        <v>36</v>
      </c>
      <c r="H1583" s="2">
        <v>420000</v>
      </c>
      <c r="I1583" s="2">
        <v>5</v>
      </c>
      <c r="J1583" s="2" t="s">
        <v>32</v>
      </c>
      <c r="K1583" s="2">
        <f t="shared" si="168"/>
        <v>336000</v>
      </c>
      <c r="L1583" s="9">
        <f>Table_1[[#This Row],[Unit Price]]*Table_1[[#This Row],[Quantity]]</f>
        <v>2100000</v>
      </c>
      <c r="M1583" s="8">
        <f>Table_1[[#This Row],[Cost Price]]*Table_1[[#This Row],[Quantity]]</f>
        <v>1680000</v>
      </c>
      <c r="N1583">
        <f>Table_1[[#This Row],[Revenue]]-Table_1[[#This Row],[COGS]]</f>
        <v>420000</v>
      </c>
      <c r="O1583" s="11">
        <f t="shared" si="169"/>
        <v>4656740000</v>
      </c>
      <c r="P1583">
        <f t="shared" si="170"/>
        <v>3725392000</v>
      </c>
      <c r="Q1583">
        <f t="shared" si="171"/>
        <v>931348000</v>
      </c>
      <c r="R1583" s="7">
        <f t="shared" si="172"/>
        <v>2098</v>
      </c>
      <c r="S1583" s="7">
        <f t="shared" si="173"/>
        <v>4</v>
      </c>
      <c r="T1583" s="7">
        <f t="shared" si="174"/>
        <v>2098</v>
      </c>
    </row>
    <row r="1584" spans="1:20" ht="14.25" customHeight="1" x14ac:dyDescent="0.35">
      <c r="A1584" s="2" t="s">
        <v>98</v>
      </c>
      <c r="B1584" s="2" t="s">
        <v>20</v>
      </c>
      <c r="C1584" s="2" t="s">
        <v>38</v>
      </c>
      <c r="D1584" s="2" t="s">
        <v>14</v>
      </c>
      <c r="E1584" s="2" t="s">
        <v>15</v>
      </c>
      <c r="F1584" s="2" t="s">
        <v>52</v>
      </c>
      <c r="G1584" s="2" t="s">
        <v>36</v>
      </c>
      <c r="H1584" s="2">
        <v>420000</v>
      </c>
      <c r="I1584" s="2">
        <v>7</v>
      </c>
      <c r="J1584" s="2" t="s">
        <v>32</v>
      </c>
      <c r="K1584" s="2">
        <f t="shared" si="168"/>
        <v>336000</v>
      </c>
      <c r="L1584" s="9">
        <f>Table_1[[#This Row],[Unit Price]]*Table_1[[#This Row],[Quantity]]</f>
        <v>2940000</v>
      </c>
      <c r="M1584" s="8">
        <f>Table_1[[#This Row],[Cost Price]]*Table_1[[#This Row],[Quantity]]</f>
        <v>2352000</v>
      </c>
      <c r="N1584">
        <f>Table_1[[#This Row],[Revenue]]-Table_1[[#This Row],[COGS]]</f>
        <v>588000</v>
      </c>
      <c r="O1584" s="11">
        <f t="shared" si="169"/>
        <v>4656740000</v>
      </c>
      <c r="P1584">
        <f t="shared" si="170"/>
        <v>3725392000</v>
      </c>
      <c r="Q1584">
        <f t="shared" si="171"/>
        <v>931348000</v>
      </c>
      <c r="R1584" s="7">
        <f t="shared" si="172"/>
        <v>2098</v>
      </c>
      <c r="S1584" s="7">
        <f t="shared" si="173"/>
        <v>4</v>
      </c>
      <c r="T1584" s="7">
        <f t="shared" si="174"/>
        <v>2098</v>
      </c>
    </row>
    <row r="1585" spans="1:20" ht="14.25" customHeight="1" x14ac:dyDescent="0.35">
      <c r="A1585" s="2" t="s">
        <v>70</v>
      </c>
      <c r="B1585" s="2" t="s">
        <v>34</v>
      </c>
      <c r="C1585" s="2" t="s">
        <v>13</v>
      </c>
      <c r="D1585" s="2" t="s">
        <v>14</v>
      </c>
      <c r="E1585" s="2" t="s">
        <v>22</v>
      </c>
      <c r="F1585" s="2" t="s">
        <v>41</v>
      </c>
      <c r="G1585" s="2" t="s">
        <v>17</v>
      </c>
      <c r="H1585" s="2">
        <v>320000</v>
      </c>
      <c r="I1585" s="2">
        <v>3</v>
      </c>
      <c r="J1585" s="2" t="s">
        <v>32</v>
      </c>
      <c r="K1585" s="2">
        <f t="shared" si="168"/>
        <v>256000</v>
      </c>
      <c r="L1585" s="9">
        <f>Table_1[[#This Row],[Unit Price]]*Table_1[[#This Row],[Quantity]]</f>
        <v>960000</v>
      </c>
      <c r="M1585" s="8">
        <f>Table_1[[#This Row],[Cost Price]]*Table_1[[#This Row],[Quantity]]</f>
        <v>768000</v>
      </c>
      <c r="N1585">
        <f>Table_1[[#This Row],[Revenue]]-Table_1[[#This Row],[COGS]]</f>
        <v>192000</v>
      </c>
      <c r="O1585" s="11">
        <f t="shared" si="169"/>
        <v>4656740000</v>
      </c>
      <c r="P1585">
        <f t="shared" si="170"/>
        <v>3725392000</v>
      </c>
      <c r="Q1585">
        <f t="shared" si="171"/>
        <v>931348000</v>
      </c>
      <c r="R1585" s="7">
        <f t="shared" si="172"/>
        <v>2098</v>
      </c>
      <c r="S1585" s="7">
        <f t="shared" si="173"/>
        <v>2</v>
      </c>
      <c r="T1585" s="7">
        <f t="shared" si="174"/>
        <v>2098</v>
      </c>
    </row>
    <row r="1586" spans="1:20" ht="14.25" customHeight="1" x14ac:dyDescent="0.35">
      <c r="A1586" s="2" t="s">
        <v>121</v>
      </c>
      <c r="B1586" s="2" t="s">
        <v>29</v>
      </c>
      <c r="C1586" s="2" t="s">
        <v>13</v>
      </c>
      <c r="D1586" s="2" t="s">
        <v>26</v>
      </c>
      <c r="E1586" s="2" t="s">
        <v>22</v>
      </c>
      <c r="F1586" s="2" t="s">
        <v>56</v>
      </c>
      <c r="G1586" s="2" t="s">
        <v>36</v>
      </c>
      <c r="H1586" s="2">
        <v>250000</v>
      </c>
      <c r="I1586" s="2">
        <v>10</v>
      </c>
      <c r="J1586" s="2" t="s">
        <v>32</v>
      </c>
      <c r="K1586" s="2">
        <f t="shared" si="168"/>
        <v>200000</v>
      </c>
      <c r="L1586" s="9">
        <f>Table_1[[#This Row],[Unit Price]]*Table_1[[#This Row],[Quantity]]</f>
        <v>2500000</v>
      </c>
      <c r="M1586" s="8">
        <f>Table_1[[#This Row],[Cost Price]]*Table_1[[#This Row],[Quantity]]</f>
        <v>2000000</v>
      </c>
      <c r="N1586">
        <f>Table_1[[#This Row],[Revenue]]-Table_1[[#This Row],[COGS]]</f>
        <v>500000</v>
      </c>
      <c r="O1586" s="11">
        <f t="shared" si="169"/>
        <v>4656740000</v>
      </c>
      <c r="P1586">
        <f t="shared" si="170"/>
        <v>3725392000</v>
      </c>
      <c r="Q1586">
        <f t="shared" si="171"/>
        <v>931348000</v>
      </c>
      <c r="R1586" s="7">
        <f t="shared" si="172"/>
        <v>2098</v>
      </c>
      <c r="S1586" s="7">
        <f t="shared" si="173"/>
        <v>2</v>
      </c>
      <c r="T1586" s="7">
        <f t="shared" si="174"/>
        <v>2098</v>
      </c>
    </row>
    <row r="1587" spans="1:20" ht="14.25" customHeight="1" x14ac:dyDescent="0.35">
      <c r="A1587" s="2" t="s">
        <v>28</v>
      </c>
      <c r="B1587" s="2" t="s">
        <v>20</v>
      </c>
      <c r="C1587" s="2" t="s">
        <v>30</v>
      </c>
      <c r="D1587" s="2" t="s">
        <v>14</v>
      </c>
      <c r="E1587" s="2" t="s">
        <v>15</v>
      </c>
      <c r="F1587" s="2" t="s">
        <v>47</v>
      </c>
      <c r="G1587" s="2" t="s">
        <v>36</v>
      </c>
      <c r="H1587" s="2">
        <v>150000</v>
      </c>
      <c r="I1587" s="2">
        <v>9</v>
      </c>
      <c r="J1587" s="2" t="s">
        <v>54</v>
      </c>
      <c r="K1587" s="2">
        <f t="shared" si="168"/>
        <v>120000</v>
      </c>
      <c r="L1587" s="9">
        <f>Table_1[[#This Row],[Unit Price]]*Table_1[[#This Row],[Quantity]]</f>
        <v>1350000</v>
      </c>
      <c r="M1587" s="8">
        <f>Table_1[[#This Row],[Cost Price]]*Table_1[[#This Row],[Quantity]]</f>
        <v>1080000</v>
      </c>
      <c r="N1587">
        <f>Table_1[[#This Row],[Revenue]]-Table_1[[#This Row],[COGS]]</f>
        <v>270000</v>
      </c>
      <c r="O1587" s="11">
        <f t="shared" si="169"/>
        <v>4656740000</v>
      </c>
      <c r="P1587">
        <f t="shared" si="170"/>
        <v>3725392000</v>
      </c>
      <c r="Q1587">
        <f t="shared" si="171"/>
        <v>931348000</v>
      </c>
      <c r="R1587" s="7">
        <f t="shared" si="172"/>
        <v>2098</v>
      </c>
      <c r="S1587" s="7">
        <f t="shared" si="173"/>
        <v>4</v>
      </c>
      <c r="T1587" s="7">
        <f t="shared" si="174"/>
        <v>2098</v>
      </c>
    </row>
    <row r="1588" spans="1:20" ht="14.25" customHeight="1" x14ac:dyDescent="0.35">
      <c r="A1588" s="2" t="s">
        <v>74</v>
      </c>
      <c r="B1588" s="2" t="s">
        <v>12</v>
      </c>
      <c r="C1588" s="2" t="s">
        <v>13</v>
      </c>
      <c r="D1588" s="2" t="s">
        <v>26</v>
      </c>
      <c r="E1588" s="2" t="s">
        <v>15</v>
      </c>
      <c r="F1588" s="2" t="s">
        <v>35</v>
      </c>
      <c r="G1588" s="2" t="s">
        <v>36</v>
      </c>
      <c r="H1588" s="2">
        <v>300000</v>
      </c>
      <c r="I1588" s="2">
        <v>10</v>
      </c>
      <c r="J1588" s="2" t="s">
        <v>18</v>
      </c>
      <c r="K1588" s="2">
        <f t="shared" si="168"/>
        <v>240000</v>
      </c>
      <c r="L1588" s="9">
        <f>Table_1[[#This Row],[Unit Price]]*Table_1[[#This Row],[Quantity]]</f>
        <v>3000000</v>
      </c>
      <c r="M1588" s="8">
        <f>Table_1[[#This Row],[Cost Price]]*Table_1[[#This Row],[Quantity]]</f>
        <v>2400000</v>
      </c>
      <c r="N1588">
        <f>Table_1[[#This Row],[Revenue]]-Table_1[[#This Row],[COGS]]</f>
        <v>600000</v>
      </c>
      <c r="O1588" s="11">
        <f t="shared" si="169"/>
        <v>4656740000</v>
      </c>
      <c r="P1588">
        <f t="shared" si="170"/>
        <v>3725392000</v>
      </c>
      <c r="Q1588">
        <f t="shared" si="171"/>
        <v>931348000</v>
      </c>
      <c r="R1588" s="7">
        <f t="shared" si="172"/>
        <v>2098</v>
      </c>
      <c r="S1588" s="7">
        <f t="shared" si="173"/>
        <v>2</v>
      </c>
      <c r="T1588" s="7">
        <f t="shared" si="174"/>
        <v>2098</v>
      </c>
    </row>
    <row r="1589" spans="1:20" ht="14.25" customHeight="1" x14ac:dyDescent="0.35">
      <c r="A1589" s="2" t="s">
        <v>74</v>
      </c>
      <c r="B1589" s="2" t="s">
        <v>20</v>
      </c>
      <c r="C1589" s="2" t="s">
        <v>13</v>
      </c>
      <c r="D1589" s="2" t="s">
        <v>26</v>
      </c>
      <c r="E1589" s="2" t="s">
        <v>22</v>
      </c>
      <c r="F1589" s="2" t="s">
        <v>35</v>
      </c>
      <c r="G1589" s="2" t="s">
        <v>36</v>
      </c>
      <c r="H1589" s="2">
        <v>300000</v>
      </c>
      <c r="I1589" s="2">
        <v>2</v>
      </c>
      <c r="J1589" s="2" t="s">
        <v>43</v>
      </c>
      <c r="K1589" s="2">
        <f t="shared" si="168"/>
        <v>240000</v>
      </c>
      <c r="L1589" s="9">
        <f>Table_1[[#This Row],[Unit Price]]*Table_1[[#This Row],[Quantity]]</f>
        <v>600000</v>
      </c>
      <c r="M1589" s="8">
        <f>Table_1[[#This Row],[Cost Price]]*Table_1[[#This Row],[Quantity]]</f>
        <v>480000</v>
      </c>
      <c r="N1589">
        <f>Table_1[[#This Row],[Revenue]]-Table_1[[#This Row],[COGS]]</f>
        <v>120000</v>
      </c>
      <c r="O1589" s="11">
        <f t="shared" si="169"/>
        <v>4656740000</v>
      </c>
      <c r="P1589">
        <f t="shared" si="170"/>
        <v>3725392000</v>
      </c>
      <c r="Q1589">
        <f t="shared" si="171"/>
        <v>931348000</v>
      </c>
      <c r="R1589" s="7">
        <f t="shared" si="172"/>
        <v>2098</v>
      </c>
      <c r="S1589" s="7">
        <f t="shared" si="173"/>
        <v>2</v>
      </c>
      <c r="T1589" s="7">
        <f t="shared" si="174"/>
        <v>2098</v>
      </c>
    </row>
    <row r="1590" spans="1:20" ht="14.25" customHeight="1" x14ac:dyDescent="0.35">
      <c r="A1590" s="2" t="s">
        <v>111</v>
      </c>
      <c r="B1590" s="2" t="s">
        <v>20</v>
      </c>
      <c r="C1590" s="2" t="s">
        <v>38</v>
      </c>
      <c r="D1590" s="2" t="s">
        <v>14</v>
      </c>
      <c r="E1590" s="2" t="s">
        <v>22</v>
      </c>
      <c r="F1590" s="2" t="s">
        <v>39</v>
      </c>
      <c r="G1590" s="2" t="s">
        <v>24</v>
      </c>
      <c r="H1590" s="2">
        <v>180000</v>
      </c>
      <c r="I1590" s="2">
        <v>2</v>
      </c>
      <c r="J1590" s="2" t="s">
        <v>43</v>
      </c>
      <c r="K1590" s="2">
        <f t="shared" si="168"/>
        <v>144000</v>
      </c>
      <c r="L1590" s="9">
        <f>Table_1[[#This Row],[Unit Price]]*Table_1[[#This Row],[Quantity]]</f>
        <v>360000</v>
      </c>
      <c r="M1590" s="8">
        <f>Table_1[[#This Row],[Cost Price]]*Table_1[[#This Row],[Quantity]]</f>
        <v>288000</v>
      </c>
      <c r="N1590">
        <f>Table_1[[#This Row],[Revenue]]-Table_1[[#This Row],[COGS]]</f>
        <v>72000</v>
      </c>
      <c r="O1590" s="11">
        <f t="shared" si="169"/>
        <v>4656740000</v>
      </c>
      <c r="P1590">
        <f t="shared" si="170"/>
        <v>3725392000</v>
      </c>
      <c r="Q1590">
        <f t="shared" si="171"/>
        <v>931348000</v>
      </c>
      <c r="R1590" s="7">
        <f t="shared" si="172"/>
        <v>2098</v>
      </c>
      <c r="S1590" s="7">
        <f t="shared" si="173"/>
        <v>1</v>
      </c>
      <c r="T1590" s="7">
        <f t="shared" si="174"/>
        <v>2098</v>
      </c>
    </row>
    <row r="1591" spans="1:20" ht="14.25" customHeight="1" x14ac:dyDescent="0.35">
      <c r="A1591" s="2" t="s">
        <v>116</v>
      </c>
      <c r="B1591" s="2" t="s">
        <v>12</v>
      </c>
      <c r="C1591" s="2" t="s">
        <v>38</v>
      </c>
      <c r="D1591" s="2" t="s">
        <v>26</v>
      </c>
      <c r="E1591" s="2" t="s">
        <v>22</v>
      </c>
      <c r="F1591" s="2" t="s">
        <v>41</v>
      </c>
      <c r="G1591" s="2" t="s">
        <v>17</v>
      </c>
      <c r="H1591" s="2">
        <v>320000</v>
      </c>
      <c r="I1591" s="2">
        <v>10</v>
      </c>
      <c r="J1591" s="2" t="s">
        <v>54</v>
      </c>
      <c r="K1591" s="2">
        <f t="shared" si="168"/>
        <v>256000</v>
      </c>
      <c r="L1591" s="9">
        <f>Table_1[[#This Row],[Unit Price]]*Table_1[[#This Row],[Quantity]]</f>
        <v>3200000</v>
      </c>
      <c r="M1591" s="8">
        <f>Table_1[[#This Row],[Cost Price]]*Table_1[[#This Row],[Quantity]]</f>
        <v>2560000</v>
      </c>
      <c r="N1591">
        <f>Table_1[[#This Row],[Revenue]]-Table_1[[#This Row],[COGS]]</f>
        <v>640000</v>
      </c>
      <c r="O1591" s="11">
        <f t="shared" si="169"/>
        <v>4656740000</v>
      </c>
      <c r="P1591">
        <f t="shared" si="170"/>
        <v>3725392000</v>
      </c>
      <c r="Q1591">
        <f t="shared" si="171"/>
        <v>931348000</v>
      </c>
      <c r="R1591" s="7">
        <f t="shared" si="172"/>
        <v>2098</v>
      </c>
      <c r="S1591" s="7">
        <f t="shared" si="173"/>
        <v>3</v>
      </c>
      <c r="T1591" s="7">
        <f t="shared" si="174"/>
        <v>2098</v>
      </c>
    </row>
    <row r="1592" spans="1:20" ht="14.25" customHeight="1" x14ac:dyDescent="0.35">
      <c r="A1592" s="2" t="s">
        <v>148</v>
      </c>
      <c r="B1592" s="2" t="s">
        <v>34</v>
      </c>
      <c r="C1592" s="2" t="s">
        <v>13</v>
      </c>
      <c r="D1592" s="2" t="s">
        <v>26</v>
      </c>
      <c r="E1592" s="2" t="s">
        <v>22</v>
      </c>
      <c r="F1592" s="2" t="s">
        <v>41</v>
      </c>
      <c r="G1592" s="2" t="s">
        <v>17</v>
      </c>
      <c r="H1592" s="2">
        <v>320000</v>
      </c>
      <c r="I1592" s="2">
        <v>1</v>
      </c>
      <c r="J1592" s="2" t="s">
        <v>50</v>
      </c>
      <c r="K1592" s="2">
        <f t="shared" si="168"/>
        <v>256000</v>
      </c>
      <c r="L1592" s="9">
        <f>Table_1[[#This Row],[Unit Price]]*Table_1[[#This Row],[Quantity]]</f>
        <v>320000</v>
      </c>
      <c r="M1592" s="8">
        <f>Table_1[[#This Row],[Cost Price]]*Table_1[[#This Row],[Quantity]]</f>
        <v>256000</v>
      </c>
      <c r="N1592">
        <f>Table_1[[#This Row],[Revenue]]-Table_1[[#This Row],[COGS]]</f>
        <v>64000</v>
      </c>
      <c r="O1592" s="11">
        <f t="shared" si="169"/>
        <v>4656740000</v>
      </c>
      <c r="P1592">
        <f t="shared" si="170"/>
        <v>3725392000</v>
      </c>
      <c r="Q1592">
        <f t="shared" si="171"/>
        <v>931348000</v>
      </c>
      <c r="R1592" s="7">
        <f t="shared" si="172"/>
        <v>2098</v>
      </c>
      <c r="S1592" s="7">
        <f t="shared" si="173"/>
        <v>4</v>
      </c>
      <c r="T1592" s="7">
        <f t="shared" si="174"/>
        <v>2098</v>
      </c>
    </row>
    <row r="1593" spans="1:20" ht="14.25" customHeight="1" x14ac:dyDescent="0.35">
      <c r="A1593" s="2" t="s">
        <v>66</v>
      </c>
      <c r="B1593" s="2" t="s">
        <v>34</v>
      </c>
      <c r="C1593" s="2" t="s">
        <v>38</v>
      </c>
      <c r="D1593" s="2" t="s">
        <v>14</v>
      </c>
      <c r="E1593" s="2" t="s">
        <v>22</v>
      </c>
      <c r="F1593" s="2" t="s">
        <v>47</v>
      </c>
      <c r="G1593" s="2" t="s">
        <v>36</v>
      </c>
      <c r="H1593" s="2">
        <v>150000</v>
      </c>
      <c r="I1593" s="2">
        <v>6</v>
      </c>
      <c r="J1593" s="2" t="s">
        <v>43</v>
      </c>
      <c r="K1593" s="2">
        <f t="shared" si="168"/>
        <v>120000</v>
      </c>
      <c r="L1593" s="9">
        <f>Table_1[[#This Row],[Unit Price]]*Table_1[[#This Row],[Quantity]]</f>
        <v>900000</v>
      </c>
      <c r="M1593" s="8">
        <f>Table_1[[#This Row],[Cost Price]]*Table_1[[#This Row],[Quantity]]</f>
        <v>720000</v>
      </c>
      <c r="N1593">
        <f>Table_1[[#This Row],[Revenue]]-Table_1[[#This Row],[COGS]]</f>
        <v>180000</v>
      </c>
      <c r="O1593" s="11">
        <f t="shared" si="169"/>
        <v>4656740000</v>
      </c>
      <c r="P1593">
        <f t="shared" si="170"/>
        <v>3725392000</v>
      </c>
      <c r="Q1593">
        <f t="shared" si="171"/>
        <v>931348000</v>
      </c>
      <c r="R1593" s="7">
        <f t="shared" si="172"/>
        <v>2098</v>
      </c>
      <c r="S1593" s="7">
        <f t="shared" si="173"/>
        <v>3</v>
      </c>
      <c r="T1593" s="7">
        <f t="shared" si="174"/>
        <v>2098</v>
      </c>
    </row>
    <row r="1594" spans="1:20" ht="14.25" customHeight="1" x14ac:dyDescent="0.35">
      <c r="A1594" s="2" t="s">
        <v>93</v>
      </c>
      <c r="B1594" s="2" t="s">
        <v>34</v>
      </c>
      <c r="C1594" s="2" t="s">
        <v>21</v>
      </c>
      <c r="D1594" s="2" t="s">
        <v>26</v>
      </c>
      <c r="E1594" s="2" t="s">
        <v>22</v>
      </c>
      <c r="F1594" s="2" t="s">
        <v>16</v>
      </c>
      <c r="G1594" s="2" t="s">
        <v>17</v>
      </c>
      <c r="H1594" s="2">
        <v>85000</v>
      </c>
      <c r="I1594" s="2">
        <v>9</v>
      </c>
      <c r="J1594" s="2" t="s">
        <v>43</v>
      </c>
      <c r="K1594" s="2">
        <f t="shared" si="168"/>
        <v>68000</v>
      </c>
      <c r="L1594" s="9">
        <f>Table_1[[#This Row],[Unit Price]]*Table_1[[#This Row],[Quantity]]</f>
        <v>765000</v>
      </c>
      <c r="M1594" s="8">
        <f>Table_1[[#This Row],[Cost Price]]*Table_1[[#This Row],[Quantity]]</f>
        <v>612000</v>
      </c>
      <c r="N1594">
        <f>Table_1[[#This Row],[Revenue]]-Table_1[[#This Row],[COGS]]</f>
        <v>153000</v>
      </c>
      <c r="O1594" s="11">
        <f t="shared" si="169"/>
        <v>4656740000</v>
      </c>
      <c r="P1594">
        <f t="shared" si="170"/>
        <v>3725392000</v>
      </c>
      <c r="Q1594">
        <f t="shared" si="171"/>
        <v>931348000</v>
      </c>
      <c r="R1594" s="7">
        <f t="shared" si="172"/>
        <v>2098</v>
      </c>
      <c r="S1594" s="7">
        <f t="shared" si="173"/>
        <v>4</v>
      </c>
      <c r="T1594" s="7">
        <f t="shared" si="174"/>
        <v>2098</v>
      </c>
    </row>
    <row r="1595" spans="1:20" ht="14.25" customHeight="1" x14ac:dyDescent="0.35">
      <c r="A1595" s="2" t="s">
        <v>75</v>
      </c>
      <c r="B1595" s="2" t="s">
        <v>12</v>
      </c>
      <c r="C1595" s="2" t="s">
        <v>13</v>
      </c>
      <c r="D1595" s="2" t="s">
        <v>14</v>
      </c>
      <c r="E1595" s="2" t="s">
        <v>15</v>
      </c>
      <c r="F1595" s="2" t="s">
        <v>52</v>
      </c>
      <c r="G1595" s="2" t="s">
        <v>36</v>
      </c>
      <c r="H1595" s="2">
        <v>420000</v>
      </c>
      <c r="I1595" s="2">
        <v>7</v>
      </c>
      <c r="J1595" s="2" t="s">
        <v>18</v>
      </c>
      <c r="K1595" s="2">
        <f t="shared" si="168"/>
        <v>336000</v>
      </c>
      <c r="L1595" s="9">
        <f>Table_1[[#This Row],[Unit Price]]*Table_1[[#This Row],[Quantity]]</f>
        <v>2940000</v>
      </c>
      <c r="M1595" s="8">
        <f>Table_1[[#This Row],[Cost Price]]*Table_1[[#This Row],[Quantity]]</f>
        <v>2352000</v>
      </c>
      <c r="N1595">
        <f>Table_1[[#This Row],[Revenue]]-Table_1[[#This Row],[COGS]]</f>
        <v>588000</v>
      </c>
      <c r="O1595" s="11">
        <f t="shared" si="169"/>
        <v>4656740000</v>
      </c>
      <c r="P1595">
        <f t="shared" si="170"/>
        <v>3725392000</v>
      </c>
      <c r="Q1595">
        <f t="shared" si="171"/>
        <v>931348000</v>
      </c>
      <c r="R1595" s="7">
        <f t="shared" si="172"/>
        <v>2098</v>
      </c>
      <c r="S1595" s="7">
        <f t="shared" si="173"/>
        <v>2</v>
      </c>
      <c r="T1595" s="7">
        <f t="shared" si="174"/>
        <v>2098</v>
      </c>
    </row>
    <row r="1596" spans="1:20" ht="14.25" customHeight="1" x14ac:dyDescent="0.35">
      <c r="A1596" s="2" t="s">
        <v>82</v>
      </c>
      <c r="B1596" s="2" t="s">
        <v>20</v>
      </c>
      <c r="C1596" s="2" t="s">
        <v>13</v>
      </c>
      <c r="D1596" s="2" t="s">
        <v>14</v>
      </c>
      <c r="E1596" s="2" t="s">
        <v>15</v>
      </c>
      <c r="F1596" s="2" t="s">
        <v>23</v>
      </c>
      <c r="G1596" s="2" t="s">
        <v>24</v>
      </c>
      <c r="H1596" s="2">
        <v>30000</v>
      </c>
      <c r="I1596" s="2">
        <v>3</v>
      </c>
      <c r="J1596" s="2" t="s">
        <v>43</v>
      </c>
      <c r="K1596" s="2">
        <f t="shared" si="168"/>
        <v>24000</v>
      </c>
      <c r="L1596" s="9">
        <f>Table_1[[#This Row],[Unit Price]]*Table_1[[#This Row],[Quantity]]</f>
        <v>90000</v>
      </c>
      <c r="M1596" s="8">
        <f>Table_1[[#This Row],[Cost Price]]*Table_1[[#This Row],[Quantity]]</f>
        <v>72000</v>
      </c>
      <c r="N1596">
        <f>Table_1[[#This Row],[Revenue]]-Table_1[[#This Row],[COGS]]</f>
        <v>18000</v>
      </c>
      <c r="O1596" s="11">
        <f t="shared" si="169"/>
        <v>4656740000</v>
      </c>
      <c r="P1596">
        <f t="shared" si="170"/>
        <v>3725392000</v>
      </c>
      <c r="Q1596">
        <f t="shared" si="171"/>
        <v>931348000</v>
      </c>
      <c r="R1596" s="7">
        <f t="shared" si="172"/>
        <v>2098</v>
      </c>
      <c r="S1596" s="7">
        <f t="shared" si="173"/>
        <v>1</v>
      </c>
      <c r="T1596" s="7">
        <f t="shared" si="174"/>
        <v>2098</v>
      </c>
    </row>
    <row r="1597" spans="1:20" ht="14.25" customHeight="1" x14ac:dyDescent="0.35">
      <c r="A1597" s="2" t="s">
        <v>106</v>
      </c>
      <c r="B1597" s="2" t="s">
        <v>20</v>
      </c>
      <c r="C1597" s="2" t="s">
        <v>21</v>
      </c>
      <c r="D1597" s="2" t="s">
        <v>26</v>
      </c>
      <c r="E1597" s="2" t="s">
        <v>22</v>
      </c>
      <c r="F1597" s="2" t="s">
        <v>23</v>
      </c>
      <c r="G1597" s="2" t="s">
        <v>24</v>
      </c>
      <c r="H1597" s="2">
        <v>30000</v>
      </c>
      <c r="I1597" s="2">
        <v>9</v>
      </c>
      <c r="J1597" s="2" t="s">
        <v>18</v>
      </c>
      <c r="K1597" s="2">
        <f t="shared" si="168"/>
        <v>24000</v>
      </c>
      <c r="L1597" s="9">
        <f>Table_1[[#This Row],[Unit Price]]*Table_1[[#This Row],[Quantity]]</f>
        <v>270000</v>
      </c>
      <c r="M1597" s="8">
        <f>Table_1[[#This Row],[Cost Price]]*Table_1[[#This Row],[Quantity]]</f>
        <v>216000</v>
      </c>
      <c r="N1597">
        <f>Table_1[[#This Row],[Revenue]]-Table_1[[#This Row],[COGS]]</f>
        <v>54000</v>
      </c>
      <c r="O1597" s="11">
        <f t="shared" si="169"/>
        <v>4656740000</v>
      </c>
      <c r="P1597">
        <f t="shared" si="170"/>
        <v>3725392000</v>
      </c>
      <c r="Q1597">
        <f t="shared" si="171"/>
        <v>931348000</v>
      </c>
      <c r="R1597" s="7">
        <f t="shared" si="172"/>
        <v>2098</v>
      </c>
      <c r="S1597" s="7">
        <f t="shared" si="173"/>
        <v>4</v>
      </c>
      <c r="T1597" s="7">
        <f t="shared" si="174"/>
        <v>2098</v>
      </c>
    </row>
    <row r="1598" spans="1:20" ht="14.25" customHeight="1" x14ac:dyDescent="0.35">
      <c r="A1598" s="2" t="s">
        <v>11</v>
      </c>
      <c r="B1598" s="2" t="s">
        <v>29</v>
      </c>
      <c r="C1598" s="2" t="s">
        <v>13</v>
      </c>
      <c r="D1598" s="2" t="s">
        <v>26</v>
      </c>
      <c r="E1598" s="2" t="s">
        <v>22</v>
      </c>
      <c r="F1598" s="2" t="s">
        <v>31</v>
      </c>
      <c r="G1598" s="2" t="s">
        <v>24</v>
      </c>
      <c r="H1598" s="2">
        <v>60000</v>
      </c>
      <c r="I1598" s="2">
        <v>1</v>
      </c>
      <c r="J1598" s="2" t="s">
        <v>50</v>
      </c>
      <c r="K1598" s="2">
        <f t="shared" si="168"/>
        <v>48000</v>
      </c>
      <c r="L1598" s="9">
        <f>Table_1[[#This Row],[Unit Price]]*Table_1[[#This Row],[Quantity]]</f>
        <v>60000</v>
      </c>
      <c r="M1598" s="8">
        <f>Table_1[[#This Row],[Cost Price]]*Table_1[[#This Row],[Quantity]]</f>
        <v>48000</v>
      </c>
      <c r="N1598">
        <f>Table_1[[#This Row],[Revenue]]-Table_1[[#This Row],[COGS]]</f>
        <v>12000</v>
      </c>
      <c r="O1598" s="11">
        <f t="shared" si="169"/>
        <v>4656740000</v>
      </c>
      <c r="P1598">
        <f t="shared" si="170"/>
        <v>3725392000</v>
      </c>
      <c r="Q1598">
        <f t="shared" si="171"/>
        <v>931348000</v>
      </c>
      <c r="R1598" s="7">
        <f t="shared" si="172"/>
        <v>2098</v>
      </c>
      <c r="S1598" s="7">
        <f t="shared" si="173"/>
        <v>1</v>
      </c>
      <c r="T1598" s="7">
        <f t="shared" si="174"/>
        <v>2098</v>
      </c>
    </row>
    <row r="1599" spans="1:20" ht="14.25" customHeight="1" x14ac:dyDescent="0.35">
      <c r="A1599" s="2" t="s">
        <v>144</v>
      </c>
      <c r="B1599" s="2" t="s">
        <v>34</v>
      </c>
      <c r="C1599" s="2" t="s">
        <v>13</v>
      </c>
      <c r="D1599" s="2" t="s">
        <v>26</v>
      </c>
      <c r="E1599" s="2" t="s">
        <v>15</v>
      </c>
      <c r="F1599" s="2" t="s">
        <v>56</v>
      </c>
      <c r="G1599" s="2" t="s">
        <v>36</v>
      </c>
      <c r="H1599" s="2">
        <v>250000</v>
      </c>
      <c r="I1599" s="2">
        <v>1</v>
      </c>
      <c r="J1599" s="2" t="s">
        <v>54</v>
      </c>
      <c r="K1599" s="2">
        <f t="shared" si="168"/>
        <v>200000</v>
      </c>
      <c r="L1599" s="9">
        <f>Table_1[[#This Row],[Unit Price]]*Table_1[[#This Row],[Quantity]]</f>
        <v>250000</v>
      </c>
      <c r="M1599" s="8">
        <f>Table_1[[#This Row],[Cost Price]]*Table_1[[#This Row],[Quantity]]</f>
        <v>200000</v>
      </c>
      <c r="N1599">
        <f>Table_1[[#This Row],[Revenue]]-Table_1[[#This Row],[COGS]]</f>
        <v>50000</v>
      </c>
      <c r="O1599" s="11">
        <f t="shared" si="169"/>
        <v>4656740000</v>
      </c>
      <c r="P1599">
        <f t="shared" si="170"/>
        <v>3725392000</v>
      </c>
      <c r="Q1599">
        <f t="shared" si="171"/>
        <v>931348000</v>
      </c>
      <c r="R1599" s="7">
        <f t="shared" si="172"/>
        <v>2098</v>
      </c>
      <c r="S1599" s="7">
        <f t="shared" si="173"/>
        <v>2</v>
      </c>
      <c r="T1599" s="7">
        <f t="shared" si="174"/>
        <v>2098</v>
      </c>
    </row>
    <row r="1600" spans="1:20" ht="14.25" customHeight="1" x14ac:dyDescent="0.35">
      <c r="A1600" s="2" t="s">
        <v>141</v>
      </c>
      <c r="B1600" s="2" t="s">
        <v>34</v>
      </c>
      <c r="C1600" s="2" t="s">
        <v>21</v>
      </c>
      <c r="D1600" s="2" t="s">
        <v>26</v>
      </c>
      <c r="E1600" s="2" t="s">
        <v>15</v>
      </c>
      <c r="F1600" s="2" t="s">
        <v>47</v>
      </c>
      <c r="G1600" s="2" t="s">
        <v>36</v>
      </c>
      <c r="H1600" s="2">
        <v>150000</v>
      </c>
      <c r="I1600" s="2">
        <v>9</v>
      </c>
      <c r="J1600" s="2" t="s">
        <v>18</v>
      </c>
      <c r="K1600" s="2">
        <f t="shared" si="168"/>
        <v>120000</v>
      </c>
      <c r="L1600" s="9">
        <f>Table_1[[#This Row],[Unit Price]]*Table_1[[#This Row],[Quantity]]</f>
        <v>1350000</v>
      </c>
      <c r="M1600" s="8">
        <f>Table_1[[#This Row],[Cost Price]]*Table_1[[#This Row],[Quantity]]</f>
        <v>1080000</v>
      </c>
      <c r="N1600">
        <f>Table_1[[#This Row],[Revenue]]-Table_1[[#This Row],[COGS]]</f>
        <v>270000</v>
      </c>
      <c r="O1600" s="11">
        <f t="shared" si="169"/>
        <v>4656740000</v>
      </c>
      <c r="P1600">
        <f t="shared" si="170"/>
        <v>3725392000</v>
      </c>
      <c r="Q1600">
        <f t="shared" si="171"/>
        <v>931348000</v>
      </c>
      <c r="R1600" s="7">
        <f t="shared" si="172"/>
        <v>2098</v>
      </c>
      <c r="S1600" s="7">
        <f t="shared" si="173"/>
        <v>2</v>
      </c>
      <c r="T1600" s="7">
        <f t="shared" si="174"/>
        <v>2098</v>
      </c>
    </row>
    <row r="1601" spans="1:20" ht="14.25" customHeight="1" x14ac:dyDescent="0.35">
      <c r="A1601" s="2" t="s">
        <v>153</v>
      </c>
      <c r="B1601" s="2" t="s">
        <v>12</v>
      </c>
      <c r="C1601" s="2" t="s">
        <v>30</v>
      </c>
      <c r="D1601" s="2" t="s">
        <v>26</v>
      </c>
      <c r="E1601" s="2" t="s">
        <v>15</v>
      </c>
      <c r="F1601" s="2" t="s">
        <v>47</v>
      </c>
      <c r="G1601" s="2" t="s">
        <v>36</v>
      </c>
      <c r="H1601" s="2">
        <v>150000</v>
      </c>
      <c r="I1601" s="2">
        <v>8</v>
      </c>
      <c r="J1601" s="2" t="s">
        <v>27</v>
      </c>
      <c r="K1601" s="2">
        <f t="shared" si="168"/>
        <v>120000</v>
      </c>
      <c r="L1601" s="9">
        <f>Table_1[[#This Row],[Unit Price]]*Table_1[[#This Row],[Quantity]]</f>
        <v>1200000</v>
      </c>
      <c r="M1601" s="8">
        <f>Table_1[[#This Row],[Cost Price]]*Table_1[[#This Row],[Quantity]]</f>
        <v>960000</v>
      </c>
      <c r="N1601">
        <f>Table_1[[#This Row],[Revenue]]-Table_1[[#This Row],[COGS]]</f>
        <v>240000</v>
      </c>
      <c r="O1601" s="11">
        <f t="shared" si="169"/>
        <v>4656740000</v>
      </c>
      <c r="P1601">
        <f t="shared" si="170"/>
        <v>3725392000</v>
      </c>
      <c r="Q1601">
        <f t="shared" si="171"/>
        <v>931348000</v>
      </c>
      <c r="R1601" s="7">
        <f t="shared" si="172"/>
        <v>2098</v>
      </c>
      <c r="S1601" s="7">
        <f t="shared" si="173"/>
        <v>4</v>
      </c>
      <c r="T1601" s="7">
        <f t="shared" si="174"/>
        <v>2098</v>
      </c>
    </row>
    <row r="1602" spans="1:20" ht="14.25" customHeight="1" x14ac:dyDescent="0.35">
      <c r="A1602" s="2" t="s">
        <v>96</v>
      </c>
      <c r="B1602" s="2" t="s">
        <v>29</v>
      </c>
      <c r="C1602" s="2" t="s">
        <v>13</v>
      </c>
      <c r="D1602" s="2" t="s">
        <v>14</v>
      </c>
      <c r="E1602" s="2" t="s">
        <v>22</v>
      </c>
      <c r="F1602" s="2" t="s">
        <v>31</v>
      </c>
      <c r="G1602" s="2" t="s">
        <v>24</v>
      </c>
      <c r="H1602" s="2">
        <v>60000</v>
      </c>
      <c r="I1602" s="2">
        <v>4</v>
      </c>
      <c r="J1602" s="2" t="s">
        <v>27</v>
      </c>
      <c r="K1602" s="2">
        <f t="shared" ref="K1602:K1665" si="175">H1602-H1602*0.2</f>
        <v>48000</v>
      </c>
      <c r="L1602" s="9">
        <f>Table_1[[#This Row],[Unit Price]]*Table_1[[#This Row],[Quantity]]</f>
        <v>240000</v>
      </c>
      <c r="M1602" s="8">
        <f>Table_1[[#This Row],[Cost Price]]*Table_1[[#This Row],[Quantity]]</f>
        <v>192000</v>
      </c>
      <c r="N1602">
        <f>Table_1[[#This Row],[Revenue]]-Table_1[[#This Row],[COGS]]</f>
        <v>48000</v>
      </c>
      <c r="O1602" s="11">
        <f t="shared" ref="O1602:O1665" si="176">SUM(L$2:L$1048576)</f>
        <v>4656740000</v>
      </c>
      <c r="P1602">
        <f t="shared" ref="P1602:P1665" si="177">SUM(M:M)</f>
        <v>3725392000</v>
      </c>
      <c r="Q1602">
        <f t="shared" ref="Q1602:Q1665" si="178">SUM(N:N)</f>
        <v>931348000</v>
      </c>
      <c r="R1602" s="7">
        <f t="shared" ref="R1602:R1665" si="179">COUNTA(A$2:A$1048576)</f>
        <v>2098</v>
      </c>
      <c r="S1602" s="7">
        <f t="shared" ref="S1602:S1665" si="180">MONTH(A1602:A3090)</f>
        <v>2</v>
      </c>
      <c r="T1602" s="7">
        <f t="shared" ref="T1602:T1665" si="181">COUNTA(A:A)-1</f>
        <v>2098</v>
      </c>
    </row>
    <row r="1603" spans="1:20" ht="14.25" customHeight="1" x14ac:dyDescent="0.35">
      <c r="A1603" s="2" t="s">
        <v>60</v>
      </c>
      <c r="B1603" s="2" t="s">
        <v>12</v>
      </c>
      <c r="C1603" s="2" t="s">
        <v>38</v>
      </c>
      <c r="D1603" s="2" t="s">
        <v>14</v>
      </c>
      <c r="E1603" s="2" t="s">
        <v>22</v>
      </c>
      <c r="F1603" s="2" t="s">
        <v>23</v>
      </c>
      <c r="G1603" s="2" t="s">
        <v>24</v>
      </c>
      <c r="H1603" s="2">
        <v>30000</v>
      </c>
      <c r="I1603" s="2">
        <v>3</v>
      </c>
      <c r="J1603" s="2" t="s">
        <v>43</v>
      </c>
      <c r="K1603" s="2">
        <f t="shared" si="175"/>
        <v>24000</v>
      </c>
      <c r="L1603" s="9">
        <f>Table_1[[#This Row],[Unit Price]]*Table_1[[#This Row],[Quantity]]</f>
        <v>90000</v>
      </c>
      <c r="M1603" s="8">
        <f>Table_1[[#This Row],[Cost Price]]*Table_1[[#This Row],[Quantity]]</f>
        <v>72000</v>
      </c>
      <c r="N1603">
        <f>Table_1[[#This Row],[Revenue]]-Table_1[[#This Row],[COGS]]</f>
        <v>18000</v>
      </c>
      <c r="O1603" s="11">
        <f t="shared" si="176"/>
        <v>4656740000</v>
      </c>
      <c r="P1603">
        <f t="shared" si="177"/>
        <v>3725392000</v>
      </c>
      <c r="Q1603">
        <f t="shared" si="178"/>
        <v>931348000</v>
      </c>
      <c r="R1603" s="7">
        <f t="shared" si="179"/>
        <v>2098</v>
      </c>
      <c r="S1603" s="7">
        <f t="shared" si="180"/>
        <v>3</v>
      </c>
      <c r="T1603" s="7">
        <f t="shared" si="181"/>
        <v>2098</v>
      </c>
    </row>
    <row r="1604" spans="1:20" ht="14.25" customHeight="1" x14ac:dyDescent="0.35">
      <c r="A1604" s="2" t="s">
        <v>84</v>
      </c>
      <c r="B1604" s="2" t="s">
        <v>12</v>
      </c>
      <c r="C1604" s="2" t="s">
        <v>13</v>
      </c>
      <c r="D1604" s="2" t="s">
        <v>14</v>
      </c>
      <c r="E1604" s="2" t="s">
        <v>22</v>
      </c>
      <c r="F1604" s="2" t="s">
        <v>41</v>
      </c>
      <c r="G1604" s="2" t="s">
        <v>17</v>
      </c>
      <c r="H1604" s="2">
        <v>320000</v>
      </c>
      <c r="I1604" s="2">
        <v>4</v>
      </c>
      <c r="J1604" s="2" t="s">
        <v>43</v>
      </c>
      <c r="K1604" s="2">
        <f t="shared" si="175"/>
        <v>256000</v>
      </c>
      <c r="L1604" s="9">
        <f>Table_1[[#This Row],[Unit Price]]*Table_1[[#This Row],[Quantity]]</f>
        <v>1280000</v>
      </c>
      <c r="M1604" s="8">
        <f>Table_1[[#This Row],[Cost Price]]*Table_1[[#This Row],[Quantity]]</f>
        <v>1024000</v>
      </c>
      <c r="N1604">
        <f>Table_1[[#This Row],[Revenue]]-Table_1[[#This Row],[COGS]]</f>
        <v>256000</v>
      </c>
      <c r="O1604" s="11">
        <f t="shared" si="176"/>
        <v>4656740000</v>
      </c>
      <c r="P1604">
        <f t="shared" si="177"/>
        <v>3725392000</v>
      </c>
      <c r="Q1604">
        <f t="shared" si="178"/>
        <v>931348000</v>
      </c>
      <c r="R1604" s="7">
        <f t="shared" si="179"/>
        <v>2098</v>
      </c>
      <c r="S1604" s="7">
        <f t="shared" si="180"/>
        <v>4</v>
      </c>
      <c r="T1604" s="7">
        <f t="shared" si="181"/>
        <v>2098</v>
      </c>
    </row>
    <row r="1605" spans="1:20" ht="14.25" customHeight="1" x14ac:dyDescent="0.35">
      <c r="A1605" s="2" t="s">
        <v>60</v>
      </c>
      <c r="B1605" s="2" t="s">
        <v>34</v>
      </c>
      <c r="C1605" s="2" t="s">
        <v>30</v>
      </c>
      <c r="D1605" s="2" t="s">
        <v>26</v>
      </c>
      <c r="E1605" s="2" t="s">
        <v>15</v>
      </c>
      <c r="F1605" s="2" t="s">
        <v>39</v>
      </c>
      <c r="G1605" s="2" t="s">
        <v>24</v>
      </c>
      <c r="H1605" s="2">
        <v>180000</v>
      </c>
      <c r="I1605" s="2">
        <v>8</v>
      </c>
      <c r="J1605" s="2" t="s">
        <v>32</v>
      </c>
      <c r="K1605" s="2">
        <f t="shared" si="175"/>
        <v>144000</v>
      </c>
      <c r="L1605" s="9">
        <f>Table_1[[#This Row],[Unit Price]]*Table_1[[#This Row],[Quantity]]</f>
        <v>1440000</v>
      </c>
      <c r="M1605" s="8">
        <f>Table_1[[#This Row],[Cost Price]]*Table_1[[#This Row],[Quantity]]</f>
        <v>1152000</v>
      </c>
      <c r="N1605">
        <f>Table_1[[#This Row],[Revenue]]-Table_1[[#This Row],[COGS]]</f>
        <v>288000</v>
      </c>
      <c r="O1605" s="11">
        <f t="shared" si="176"/>
        <v>4656740000</v>
      </c>
      <c r="P1605">
        <f t="shared" si="177"/>
        <v>3725392000</v>
      </c>
      <c r="Q1605">
        <f t="shared" si="178"/>
        <v>931348000</v>
      </c>
      <c r="R1605" s="7">
        <f t="shared" si="179"/>
        <v>2098</v>
      </c>
      <c r="S1605" s="7">
        <f t="shared" si="180"/>
        <v>3</v>
      </c>
      <c r="T1605" s="7">
        <f t="shared" si="181"/>
        <v>2098</v>
      </c>
    </row>
    <row r="1606" spans="1:20" ht="14.25" customHeight="1" x14ac:dyDescent="0.35">
      <c r="A1606" s="2" t="s">
        <v>106</v>
      </c>
      <c r="B1606" s="2" t="s">
        <v>20</v>
      </c>
      <c r="C1606" s="2" t="s">
        <v>38</v>
      </c>
      <c r="D1606" s="2" t="s">
        <v>14</v>
      </c>
      <c r="E1606" s="2" t="s">
        <v>22</v>
      </c>
      <c r="F1606" s="2" t="s">
        <v>16</v>
      </c>
      <c r="G1606" s="2" t="s">
        <v>17</v>
      </c>
      <c r="H1606" s="2">
        <v>85000</v>
      </c>
      <c r="I1606" s="2">
        <v>4</v>
      </c>
      <c r="J1606" s="2" t="s">
        <v>27</v>
      </c>
      <c r="K1606" s="2">
        <f t="shared" si="175"/>
        <v>68000</v>
      </c>
      <c r="L1606" s="9">
        <f>Table_1[[#This Row],[Unit Price]]*Table_1[[#This Row],[Quantity]]</f>
        <v>340000</v>
      </c>
      <c r="M1606" s="8">
        <f>Table_1[[#This Row],[Cost Price]]*Table_1[[#This Row],[Quantity]]</f>
        <v>272000</v>
      </c>
      <c r="N1606">
        <f>Table_1[[#This Row],[Revenue]]-Table_1[[#This Row],[COGS]]</f>
        <v>68000</v>
      </c>
      <c r="O1606" s="11">
        <f t="shared" si="176"/>
        <v>4656740000</v>
      </c>
      <c r="P1606">
        <f t="shared" si="177"/>
        <v>3725392000</v>
      </c>
      <c r="Q1606">
        <f t="shared" si="178"/>
        <v>931348000</v>
      </c>
      <c r="R1606" s="7">
        <f t="shared" si="179"/>
        <v>2098</v>
      </c>
      <c r="S1606" s="7">
        <f t="shared" si="180"/>
        <v>4</v>
      </c>
      <c r="T1606" s="7">
        <f t="shared" si="181"/>
        <v>2098</v>
      </c>
    </row>
    <row r="1607" spans="1:20" ht="14.25" customHeight="1" x14ac:dyDescent="0.35">
      <c r="A1607" s="2" t="s">
        <v>154</v>
      </c>
      <c r="B1607" s="2" t="s">
        <v>34</v>
      </c>
      <c r="C1607" s="2" t="s">
        <v>21</v>
      </c>
      <c r="D1607" s="2" t="s">
        <v>26</v>
      </c>
      <c r="E1607" s="2" t="s">
        <v>22</v>
      </c>
      <c r="F1607" s="2" t="s">
        <v>58</v>
      </c>
      <c r="G1607" s="2" t="s">
        <v>24</v>
      </c>
      <c r="H1607" s="2">
        <v>220000</v>
      </c>
      <c r="I1607" s="2">
        <v>10</v>
      </c>
      <c r="J1607" s="2" t="s">
        <v>18</v>
      </c>
      <c r="K1607" s="2">
        <f t="shared" si="175"/>
        <v>176000</v>
      </c>
      <c r="L1607" s="9">
        <f>Table_1[[#This Row],[Unit Price]]*Table_1[[#This Row],[Quantity]]</f>
        <v>2200000</v>
      </c>
      <c r="M1607" s="8">
        <f>Table_1[[#This Row],[Cost Price]]*Table_1[[#This Row],[Quantity]]</f>
        <v>1760000</v>
      </c>
      <c r="N1607">
        <f>Table_1[[#This Row],[Revenue]]-Table_1[[#This Row],[COGS]]</f>
        <v>440000</v>
      </c>
      <c r="O1607" s="11">
        <f t="shared" si="176"/>
        <v>4656740000</v>
      </c>
      <c r="P1607">
        <f t="shared" si="177"/>
        <v>3725392000</v>
      </c>
      <c r="Q1607">
        <f t="shared" si="178"/>
        <v>931348000</v>
      </c>
      <c r="R1607" s="7">
        <f t="shared" si="179"/>
        <v>2098</v>
      </c>
      <c r="S1607" s="7">
        <f t="shared" si="180"/>
        <v>2</v>
      </c>
      <c r="T1607" s="7">
        <f t="shared" si="181"/>
        <v>2098</v>
      </c>
    </row>
    <row r="1608" spans="1:20" ht="14.25" customHeight="1" x14ac:dyDescent="0.35">
      <c r="A1608" s="2" t="s">
        <v>82</v>
      </c>
      <c r="B1608" s="2" t="s">
        <v>29</v>
      </c>
      <c r="C1608" s="2" t="s">
        <v>13</v>
      </c>
      <c r="D1608" s="2" t="s">
        <v>26</v>
      </c>
      <c r="E1608" s="2" t="s">
        <v>22</v>
      </c>
      <c r="F1608" s="2" t="s">
        <v>16</v>
      </c>
      <c r="G1608" s="2" t="s">
        <v>17</v>
      </c>
      <c r="H1608" s="2">
        <v>85000</v>
      </c>
      <c r="I1608" s="2">
        <v>5</v>
      </c>
      <c r="J1608" s="2" t="s">
        <v>43</v>
      </c>
      <c r="K1608" s="2">
        <f t="shared" si="175"/>
        <v>68000</v>
      </c>
      <c r="L1608" s="9">
        <f>Table_1[[#This Row],[Unit Price]]*Table_1[[#This Row],[Quantity]]</f>
        <v>425000</v>
      </c>
      <c r="M1608" s="8">
        <f>Table_1[[#This Row],[Cost Price]]*Table_1[[#This Row],[Quantity]]</f>
        <v>340000</v>
      </c>
      <c r="N1608">
        <f>Table_1[[#This Row],[Revenue]]-Table_1[[#This Row],[COGS]]</f>
        <v>85000</v>
      </c>
      <c r="O1608" s="11">
        <f t="shared" si="176"/>
        <v>4656740000</v>
      </c>
      <c r="P1608">
        <f t="shared" si="177"/>
        <v>3725392000</v>
      </c>
      <c r="Q1608">
        <f t="shared" si="178"/>
        <v>931348000</v>
      </c>
      <c r="R1608" s="7">
        <f t="shared" si="179"/>
        <v>2098</v>
      </c>
      <c r="S1608" s="7">
        <f t="shared" si="180"/>
        <v>1</v>
      </c>
      <c r="T1608" s="7">
        <f t="shared" si="181"/>
        <v>2098</v>
      </c>
    </row>
    <row r="1609" spans="1:20" ht="14.25" customHeight="1" x14ac:dyDescent="0.35">
      <c r="A1609" s="2" t="s">
        <v>83</v>
      </c>
      <c r="B1609" s="2" t="s">
        <v>12</v>
      </c>
      <c r="C1609" s="2" t="s">
        <v>21</v>
      </c>
      <c r="D1609" s="2" t="s">
        <v>14</v>
      </c>
      <c r="E1609" s="2" t="s">
        <v>22</v>
      </c>
      <c r="F1609" s="2" t="s">
        <v>35</v>
      </c>
      <c r="G1609" s="2" t="s">
        <v>36</v>
      </c>
      <c r="H1609" s="2">
        <v>300000</v>
      </c>
      <c r="I1609" s="2">
        <v>2</v>
      </c>
      <c r="J1609" s="2" t="s">
        <v>50</v>
      </c>
      <c r="K1609" s="2">
        <f t="shared" si="175"/>
        <v>240000</v>
      </c>
      <c r="L1609" s="9">
        <f>Table_1[[#This Row],[Unit Price]]*Table_1[[#This Row],[Quantity]]</f>
        <v>600000</v>
      </c>
      <c r="M1609" s="8">
        <f>Table_1[[#This Row],[Cost Price]]*Table_1[[#This Row],[Quantity]]</f>
        <v>480000</v>
      </c>
      <c r="N1609">
        <f>Table_1[[#This Row],[Revenue]]-Table_1[[#This Row],[COGS]]</f>
        <v>120000</v>
      </c>
      <c r="O1609" s="11">
        <f t="shared" si="176"/>
        <v>4656740000</v>
      </c>
      <c r="P1609">
        <f t="shared" si="177"/>
        <v>3725392000</v>
      </c>
      <c r="Q1609">
        <f t="shared" si="178"/>
        <v>931348000</v>
      </c>
      <c r="R1609" s="7">
        <f t="shared" si="179"/>
        <v>2098</v>
      </c>
      <c r="S1609" s="7">
        <f t="shared" si="180"/>
        <v>1</v>
      </c>
      <c r="T1609" s="7">
        <f t="shared" si="181"/>
        <v>2098</v>
      </c>
    </row>
    <row r="1610" spans="1:20" ht="14.25" customHeight="1" x14ac:dyDescent="0.35">
      <c r="A1610" s="2" t="s">
        <v>105</v>
      </c>
      <c r="B1610" s="2" t="s">
        <v>20</v>
      </c>
      <c r="C1610" s="2" t="s">
        <v>38</v>
      </c>
      <c r="D1610" s="2" t="s">
        <v>26</v>
      </c>
      <c r="E1610" s="2" t="s">
        <v>15</v>
      </c>
      <c r="F1610" s="2" t="s">
        <v>39</v>
      </c>
      <c r="G1610" s="2" t="s">
        <v>24</v>
      </c>
      <c r="H1610" s="2">
        <v>180000</v>
      </c>
      <c r="I1610" s="2">
        <v>1</v>
      </c>
      <c r="J1610" s="2" t="s">
        <v>43</v>
      </c>
      <c r="K1610" s="2">
        <f t="shared" si="175"/>
        <v>144000</v>
      </c>
      <c r="L1610" s="9">
        <f>Table_1[[#This Row],[Unit Price]]*Table_1[[#This Row],[Quantity]]</f>
        <v>180000</v>
      </c>
      <c r="M1610" s="8">
        <f>Table_1[[#This Row],[Cost Price]]*Table_1[[#This Row],[Quantity]]</f>
        <v>144000</v>
      </c>
      <c r="N1610">
        <f>Table_1[[#This Row],[Revenue]]-Table_1[[#This Row],[COGS]]</f>
        <v>36000</v>
      </c>
      <c r="O1610" s="11">
        <f t="shared" si="176"/>
        <v>4656740000</v>
      </c>
      <c r="P1610">
        <f t="shared" si="177"/>
        <v>3725392000</v>
      </c>
      <c r="Q1610">
        <f t="shared" si="178"/>
        <v>931348000</v>
      </c>
      <c r="R1610" s="7">
        <f t="shared" si="179"/>
        <v>2098</v>
      </c>
      <c r="S1610" s="7">
        <f t="shared" si="180"/>
        <v>3</v>
      </c>
      <c r="T1610" s="7">
        <f t="shared" si="181"/>
        <v>2098</v>
      </c>
    </row>
    <row r="1611" spans="1:20" ht="14.25" customHeight="1" x14ac:dyDescent="0.35">
      <c r="A1611" s="2" t="s">
        <v>46</v>
      </c>
      <c r="B1611" s="2" t="s">
        <v>29</v>
      </c>
      <c r="C1611" s="2" t="s">
        <v>38</v>
      </c>
      <c r="D1611" s="2" t="s">
        <v>14</v>
      </c>
      <c r="E1611" s="2" t="s">
        <v>15</v>
      </c>
      <c r="F1611" s="2" t="s">
        <v>47</v>
      </c>
      <c r="G1611" s="2" t="s">
        <v>36</v>
      </c>
      <c r="H1611" s="2">
        <v>150000</v>
      </c>
      <c r="I1611" s="2">
        <v>3</v>
      </c>
      <c r="J1611" s="2" t="s">
        <v>43</v>
      </c>
      <c r="K1611" s="2">
        <f t="shared" si="175"/>
        <v>120000</v>
      </c>
      <c r="L1611" s="9">
        <f>Table_1[[#This Row],[Unit Price]]*Table_1[[#This Row],[Quantity]]</f>
        <v>450000</v>
      </c>
      <c r="M1611" s="8">
        <f>Table_1[[#This Row],[Cost Price]]*Table_1[[#This Row],[Quantity]]</f>
        <v>360000</v>
      </c>
      <c r="N1611">
        <f>Table_1[[#This Row],[Revenue]]-Table_1[[#This Row],[COGS]]</f>
        <v>90000</v>
      </c>
      <c r="O1611" s="11">
        <f t="shared" si="176"/>
        <v>4656740000</v>
      </c>
      <c r="P1611">
        <f t="shared" si="177"/>
        <v>3725392000</v>
      </c>
      <c r="Q1611">
        <f t="shared" si="178"/>
        <v>931348000</v>
      </c>
      <c r="R1611" s="7">
        <f t="shared" si="179"/>
        <v>2098</v>
      </c>
      <c r="S1611" s="7">
        <f t="shared" si="180"/>
        <v>1</v>
      </c>
      <c r="T1611" s="7">
        <f t="shared" si="181"/>
        <v>2098</v>
      </c>
    </row>
    <row r="1612" spans="1:20" ht="14.25" customHeight="1" x14ac:dyDescent="0.35">
      <c r="A1612" s="2" t="s">
        <v>152</v>
      </c>
      <c r="B1612" s="2" t="s">
        <v>29</v>
      </c>
      <c r="C1612" s="2" t="s">
        <v>30</v>
      </c>
      <c r="D1612" s="2" t="s">
        <v>26</v>
      </c>
      <c r="E1612" s="2" t="s">
        <v>22</v>
      </c>
      <c r="F1612" s="2" t="s">
        <v>39</v>
      </c>
      <c r="G1612" s="2" t="s">
        <v>24</v>
      </c>
      <c r="H1612" s="2">
        <v>180000</v>
      </c>
      <c r="I1612" s="2">
        <v>3</v>
      </c>
      <c r="J1612" s="2" t="s">
        <v>32</v>
      </c>
      <c r="K1612" s="2">
        <f t="shared" si="175"/>
        <v>144000</v>
      </c>
      <c r="L1612" s="9">
        <f>Table_1[[#This Row],[Unit Price]]*Table_1[[#This Row],[Quantity]]</f>
        <v>540000</v>
      </c>
      <c r="M1612" s="8">
        <f>Table_1[[#This Row],[Cost Price]]*Table_1[[#This Row],[Quantity]]</f>
        <v>432000</v>
      </c>
      <c r="N1612">
        <f>Table_1[[#This Row],[Revenue]]-Table_1[[#This Row],[COGS]]</f>
        <v>108000</v>
      </c>
      <c r="O1612" s="11">
        <f t="shared" si="176"/>
        <v>4656740000</v>
      </c>
      <c r="P1612">
        <f t="shared" si="177"/>
        <v>3725392000</v>
      </c>
      <c r="Q1612">
        <f t="shared" si="178"/>
        <v>931348000</v>
      </c>
      <c r="R1612" s="7">
        <f t="shared" si="179"/>
        <v>2098</v>
      </c>
      <c r="S1612" s="7">
        <f t="shared" si="180"/>
        <v>4</v>
      </c>
      <c r="T1612" s="7">
        <f t="shared" si="181"/>
        <v>2098</v>
      </c>
    </row>
    <row r="1613" spans="1:20" ht="14.25" customHeight="1" x14ac:dyDescent="0.35">
      <c r="A1613" s="2" t="s">
        <v>65</v>
      </c>
      <c r="B1613" s="2" t="s">
        <v>34</v>
      </c>
      <c r="C1613" s="2" t="s">
        <v>30</v>
      </c>
      <c r="D1613" s="2" t="s">
        <v>14</v>
      </c>
      <c r="E1613" s="2" t="s">
        <v>15</v>
      </c>
      <c r="F1613" s="2" t="s">
        <v>47</v>
      </c>
      <c r="G1613" s="2" t="s">
        <v>36</v>
      </c>
      <c r="H1613" s="2">
        <v>150000</v>
      </c>
      <c r="I1613" s="2">
        <v>5</v>
      </c>
      <c r="J1613" s="2" t="s">
        <v>27</v>
      </c>
      <c r="K1613" s="2">
        <f t="shared" si="175"/>
        <v>120000</v>
      </c>
      <c r="L1613" s="9">
        <f>Table_1[[#This Row],[Unit Price]]*Table_1[[#This Row],[Quantity]]</f>
        <v>750000</v>
      </c>
      <c r="M1613" s="8">
        <f>Table_1[[#This Row],[Cost Price]]*Table_1[[#This Row],[Quantity]]</f>
        <v>600000</v>
      </c>
      <c r="N1613">
        <f>Table_1[[#This Row],[Revenue]]-Table_1[[#This Row],[COGS]]</f>
        <v>150000</v>
      </c>
      <c r="O1613" s="11">
        <f t="shared" si="176"/>
        <v>4656740000</v>
      </c>
      <c r="P1613">
        <f t="shared" si="177"/>
        <v>3725392000</v>
      </c>
      <c r="Q1613">
        <f t="shared" si="178"/>
        <v>931348000</v>
      </c>
      <c r="R1613" s="7">
        <f t="shared" si="179"/>
        <v>2098</v>
      </c>
      <c r="S1613" s="7">
        <f t="shared" si="180"/>
        <v>2</v>
      </c>
      <c r="T1613" s="7">
        <f t="shared" si="181"/>
        <v>2098</v>
      </c>
    </row>
    <row r="1614" spans="1:20" ht="14.25" customHeight="1" x14ac:dyDescent="0.35">
      <c r="A1614" s="2" t="s">
        <v>76</v>
      </c>
      <c r="B1614" s="2" t="s">
        <v>20</v>
      </c>
      <c r="C1614" s="2" t="s">
        <v>38</v>
      </c>
      <c r="D1614" s="2" t="s">
        <v>26</v>
      </c>
      <c r="E1614" s="2" t="s">
        <v>15</v>
      </c>
      <c r="F1614" s="2" t="s">
        <v>31</v>
      </c>
      <c r="G1614" s="2" t="s">
        <v>24</v>
      </c>
      <c r="H1614" s="2">
        <v>60000</v>
      </c>
      <c r="I1614" s="2">
        <v>8</v>
      </c>
      <c r="J1614" s="2" t="s">
        <v>27</v>
      </c>
      <c r="K1614" s="2">
        <f t="shared" si="175"/>
        <v>48000</v>
      </c>
      <c r="L1614" s="9">
        <f>Table_1[[#This Row],[Unit Price]]*Table_1[[#This Row],[Quantity]]</f>
        <v>480000</v>
      </c>
      <c r="M1614" s="8">
        <f>Table_1[[#This Row],[Cost Price]]*Table_1[[#This Row],[Quantity]]</f>
        <v>384000</v>
      </c>
      <c r="N1614">
        <f>Table_1[[#This Row],[Revenue]]-Table_1[[#This Row],[COGS]]</f>
        <v>96000</v>
      </c>
      <c r="O1614" s="11">
        <f t="shared" si="176"/>
        <v>4656740000</v>
      </c>
      <c r="P1614">
        <f t="shared" si="177"/>
        <v>3725392000</v>
      </c>
      <c r="Q1614">
        <f t="shared" si="178"/>
        <v>931348000</v>
      </c>
      <c r="R1614" s="7">
        <f t="shared" si="179"/>
        <v>2098</v>
      </c>
      <c r="S1614" s="7">
        <f t="shared" si="180"/>
        <v>2</v>
      </c>
      <c r="T1614" s="7">
        <f t="shared" si="181"/>
        <v>2098</v>
      </c>
    </row>
    <row r="1615" spans="1:20" ht="14.25" customHeight="1" x14ac:dyDescent="0.35">
      <c r="A1615" s="2" t="s">
        <v>162</v>
      </c>
      <c r="B1615" s="2" t="s">
        <v>20</v>
      </c>
      <c r="C1615" s="2" t="s">
        <v>13</v>
      </c>
      <c r="D1615" s="2" t="s">
        <v>14</v>
      </c>
      <c r="E1615" s="2" t="s">
        <v>22</v>
      </c>
      <c r="F1615" s="2" t="s">
        <v>56</v>
      </c>
      <c r="G1615" s="2" t="s">
        <v>36</v>
      </c>
      <c r="H1615" s="2">
        <v>250000</v>
      </c>
      <c r="I1615" s="2">
        <v>5</v>
      </c>
      <c r="J1615" s="2" t="s">
        <v>27</v>
      </c>
      <c r="K1615" s="2">
        <f t="shared" si="175"/>
        <v>200000</v>
      </c>
      <c r="L1615" s="9">
        <f>Table_1[[#This Row],[Unit Price]]*Table_1[[#This Row],[Quantity]]</f>
        <v>1250000</v>
      </c>
      <c r="M1615" s="8">
        <f>Table_1[[#This Row],[Cost Price]]*Table_1[[#This Row],[Quantity]]</f>
        <v>1000000</v>
      </c>
      <c r="N1615">
        <f>Table_1[[#This Row],[Revenue]]-Table_1[[#This Row],[COGS]]</f>
        <v>250000</v>
      </c>
      <c r="O1615" s="11">
        <f t="shared" si="176"/>
        <v>4656740000</v>
      </c>
      <c r="P1615">
        <f t="shared" si="177"/>
        <v>3725392000</v>
      </c>
      <c r="Q1615">
        <f t="shared" si="178"/>
        <v>931348000</v>
      </c>
      <c r="R1615" s="7">
        <f t="shared" si="179"/>
        <v>2098</v>
      </c>
      <c r="S1615" s="7">
        <f t="shared" si="180"/>
        <v>3</v>
      </c>
      <c r="T1615" s="7">
        <f t="shared" si="181"/>
        <v>2098</v>
      </c>
    </row>
    <row r="1616" spans="1:20" ht="14.25" customHeight="1" x14ac:dyDescent="0.35">
      <c r="A1616" s="2" t="s">
        <v>28</v>
      </c>
      <c r="B1616" s="2" t="s">
        <v>20</v>
      </c>
      <c r="C1616" s="2" t="s">
        <v>30</v>
      </c>
      <c r="D1616" s="2" t="s">
        <v>14</v>
      </c>
      <c r="E1616" s="2" t="s">
        <v>15</v>
      </c>
      <c r="F1616" s="2" t="s">
        <v>39</v>
      </c>
      <c r="G1616" s="2" t="s">
        <v>24</v>
      </c>
      <c r="H1616" s="2">
        <v>180000</v>
      </c>
      <c r="I1616" s="2">
        <v>3</v>
      </c>
      <c r="J1616" s="2" t="s">
        <v>18</v>
      </c>
      <c r="K1616" s="2">
        <f t="shared" si="175"/>
        <v>144000</v>
      </c>
      <c r="L1616" s="9">
        <f>Table_1[[#This Row],[Unit Price]]*Table_1[[#This Row],[Quantity]]</f>
        <v>540000</v>
      </c>
      <c r="M1616" s="8">
        <f>Table_1[[#This Row],[Cost Price]]*Table_1[[#This Row],[Quantity]]</f>
        <v>432000</v>
      </c>
      <c r="N1616">
        <f>Table_1[[#This Row],[Revenue]]-Table_1[[#This Row],[COGS]]</f>
        <v>108000</v>
      </c>
      <c r="O1616" s="11">
        <f t="shared" si="176"/>
        <v>4656740000</v>
      </c>
      <c r="P1616">
        <f t="shared" si="177"/>
        <v>3725392000</v>
      </c>
      <c r="Q1616">
        <f t="shared" si="178"/>
        <v>931348000</v>
      </c>
      <c r="R1616" s="7">
        <f t="shared" si="179"/>
        <v>2098</v>
      </c>
      <c r="S1616" s="7">
        <f t="shared" si="180"/>
        <v>4</v>
      </c>
      <c r="T1616" s="7">
        <f t="shared" si="181"/>
        <v>2098</v>
      </c>
    </row>
    <row r="1617" spans="1:20" ht="14.25" customHeight="1" x14ac:dyDescent="0.35">
      <c r="A1617" s="2" t="s">
        <v>51</v>
      </c>
      <c r="B1617" s="2" t="s">
        <v>34</v>
      </c>
      <c r="C1617" s="2" t="s">
        <v>13</v>
      </c>
      <c r="D1617" s="2" t="s">
        <v>26</v>
      </c>
      <c r="E1617" s="2" t="s">
        <v>15</v>
      </c>
      <c r="F1617" s="2" t="s">
        <v>41</v>
      </c>
      <c r="G1617" s="2" t="s">
        <v>17</v>
      </c>
      <c r="H1617" s="2">
        <v>320000</v>
      </c>
      <c r="I1617" s="2">
        <v>9</v>
      </c>
      <c r="J1617" s="2" t="s">
        <v>18</v>
      </c>
      <c r="K1617" s="2">
        <f t="shared" si="175"/>
        <v>256000</v>
      </c>
      <c r="L1617" s="9">
        <f>Table_1[[#This Row],[Unit Price]]*Table_1[[#This Row],[Quantity]]</f>
        <v>2880000</v>
      </c>
      <c r="M1617" s="8">
        <f>Table_1[[#This Row],[Cost Price]]*Table_1[[#This Row],[Quantity]]</f>
        <v>2304000</v>
      </c>
      <c r="N1617">
        <f>Table_1[[#This Row],[Revenue]]-Table_1[[#This Row],[COGS]]</f>
        <v>576000</v>
      </c>
      <c r="O1617" s="11">
        <f t="shared" si="176"/>
        <v>4656740000</v>
      </c>
      <c r="P1617">
        <f t="shared" si="177"/>
        <v>3725392000</v>
      </c>
      <c r="Q1617">
        <f t="shared" si="178"/>
        <v>931348000</v>
      </c>
      <c r="R1617" s="7">
        <f t="shared" si="179"/>
        <v>2098</v>
      </c>
      <c r="S1617" s="7">
        <f t="shared" si="180"/>
        <v>3</v>
      </c>
      <c r="T1617" s="7">
        <f t="shared" si="181"/>
        <v>2098</v>
      </c>
    </row>
    <row r="1618" spans="1:20" ht="14.25" customHeight="1" x14ac:dyDescent="0.35">
      <c r="A1618" s="2" t="s">
        <v>96</v>
      </c>
      <c r="B1618" s="2" t="s">
        <v>12</v>
      </c>
      <c r="C1618" s="2" t="s">
        <v>13</v>
      </c>
      <c r="D1618" s="2" t="s">
        <v>26</v>
      </c>
      <c r="E1618" s="2" t="s">
        <v>22</v>
      </c>
      <c r="F1618" s="2" t="s">
        <v>16</v>
      </c>
      <c r="G1618" s="2" t="s">
        <v>17</v>
      </c>
      <c r="H1618" s="2">
        <v>85000</v>
      </c>
      <c r="I1618" s="2">
        <v>5</v>
      </c>
      <c r="J1618" s="2" t="s">
        <v>32</v>
      </c>
      <c r="K1618" s="2">
        <f t="shared" si="175"/>
        <v>68000</v>
      </c>
      <c r="L1618" s="9">
        <f>Table_1[[#This Row],[Unit Price]]*Table_1[[#This Row],[Quantity]]</f>
        <v>425000</v>
      </c>
      <c r="M1618" s="8">
        <f>Table_1[[#This Row],[Cost Price]]*Table_1[[#This Row],[Quantity]]</f>
        <v>340000</v>
      </c>
      <c r="N1618">
        <f>Table_1[[#This Row],[Revenue]]-Table_1[[#This Row],[COGS]]</f>
        <v>85000</v>
      </c>
      <c r="O1618" s="11">
        <f t="shared" si="176"/>
        <v>4656740000</v>
      </c>
      <c r="P1618">
        <f t="shared" si="177"/>
        <v>3725392000</v>
      </c>
      <c r="Q1618">
        <f t="shared" si="178"/>
        <v>931348000</v>
      </c>
      <c r="R1618" s="7">
        <f t="shared" si="179"/>
        <v>2098</v>
      </c>
      <c r="S1618" s="7">
        <f t="shared" si="180"/>
        <v>2</v>
      </c>
      <c r="T1618" s="7">
        <f t="shared" si="181"/>
        <v>2098</v>
      </c>
    </row>
    <row r="1619" spans="1:20" ht="14.25" customHeight="1" x14ac:dyDescent="0.35">
      <c r="A1619" s="2" t="s">
        <v>145</v>
      </c>
      <c r="B1619" s="2" t="s">
        <v>29</v>
      </c>
      <c r="C1619" s="2" t="s">
        <v>21</v>
      </c>
      <c r="D1619" s="2" t="s">
        <v>14</v>
      </c>
      <c r="E1619" s="2" t="s">
        <v>15</v>
      </c>
      <c r="F1619" s="2" t="s">
        <v>58</v>
      </c>
      <c r="G1619" s="2" t="s">
        <v>24</v>
      </c>
      <c r="H1619" s="2">
        <v>220000</v>
      </c>
      <c r="I1619" s="2">
        <v>1</v>
      </c>
      <c r="J1619" s="2" t="s">
        <v>50</v>
      </c>
      <c r="K1619" s="2">
        <f t="shared" si="175"/>
        <v>176000</v>
      </c>
      <c r="L1619" s="9">
        <f>Table_1[[#This Row],[Unit Price]]*Table_1[[#This Row],[Quantity]]</f>
        <v>220000</v>
      </c>
      <c r="M1619" s="8">
        <f>Table_1[[#This Row],[Cost Price]]*Table_1[[#This Row],[Quantity]]</f>
        <v>176000</v>
      </c>
      <c r="N1619">
        <f>Table_1[[#This Row],[Revenue]]-Table_1[[#This Row],[COGS]]</f>
        <v>44000</v>
      </c>
      <c r="O1619" s="11">
        <f t="shared" si="176"/>
        <v>4656740000</v>
      </c>
      <c r="P1619">
        <f t="shared" si="177"/>
        <v>3725392000</v>
      </c>
      <c r="Q1619">
        <f t="shared" si="178"/>
        <v>931348000</v>
      </c>
      <c r="R1619" s="7">
        <f t="shared" si="179"/>
        <v>2098</v>
      </c>
      <c r="S1619" s="7">
        <f t="shared" si="180"/>
        <v>1</v>
      </c>
      <c r="T1619" s="7">
        <f t="shared" si="181"/>
        <v>2098</v>
      </c>
    </row>
    <row r="1620" spans="1:20" ht="14.25" customHeight="1" x14ac:dyDescent="0.35">
      <c r="A1620" s="2" t="s">
        <v>136</v>
      </c>
      <c r="B1620" s="2" t="s">
        <v>20</v>
      </c>
      <c r="C1620" s="2" t="s">
        <v>21</v>
      </c>
      <c r="D1620" s="2" t="s">
        <v>14</v>
      </c>
      <c r="E1620" s="2" t="s">
        <v>22</v>
      </c>
      <c r="F1620" s="2" t="s">
        <v>39</v>
      </c>
      <c r="G1620" s="2" t="s">
        <v>24</v>
      </c>
      <c r="H1620" s="2">
        <v>180000</v>
      </c>
      <c r="I1620" s="2">
        <v>2</v>
      </c>
      <c r="J1620" s="2" t="s">
        <v>32</v>
      </c>
      <c r="K1620" s="2">
        <f t="shared" si="175"/>
        <v>144000</v>
      </c>
      <c r="L1620" s="9">
        <f>Table_1[[#This Row],[Unit Price]]*Table_1[[#This Row],[Quantity]]</f>
        <v>360000</v>
      </c>
      <c r="M1620" s="8">
        <f>Table_1[[#This Row],[Cost Price]]*Table_1[[#This Row],[Quantity]]</f>
        <v>288000</v>
      </c>
      <c r="N1620">
        <f>Table_1[[#This Row],[Revenue]]-Table_1[[#This Row],[COGS]]</f>
        <v>72000</v>
      </c>
      <c r="O1620" s="11">
        <f t="shared" si="176"/>
        <v>4656740000</v>
      </c>
      <c r="P1620">
        <f t="shared" si="177"/>
        <v>3725392000</v>
      </c>
      <c r="Q1620">
        <f t="shared" si="178"/>
        <v>931348000</v>
      </c>
      <c r="R1620" s="7">
        <f t="shared" si="179"/>
        <v>2098</v>
      </c>
      <c r="S1620" s="7">
        <f t="shared" si="180"/>
        <v>2</v>
      </c>
      <c r="T1620" s="7">
        <f t="shared" si="181"/>
        <v>2098</v>
      </c>
    </row>
    <row r="1621" spans="1:20" ht="14.25" customHeight="1" x14ac:dyDescent="0.35">
      <c r="A1621" s="2" t="s">
        <v>72</v>
      </c>
      <c r="B1621" s="2" t="s">
        <v>20</v>
      </c>
      <c r="C1621" s="2" t="s">
        <v>21</v>
      </c>
      <c r="D1621" s="2" t="s">
        <v>26</v>
      </c>
      <c r="E1621" s="2" t="s">
        <v>22</v>
      </c>
      <c r="F1621" s="2" t="s">
        <v>47</v>
      </c>
      <c r="G1621" s="2" t="s">
        <v>36</v>
      </c>
      <c r="H1621" s="2">
        <v>150000</v>
      </c>
      <c r="I1621" s="2">
        <v>1</v>
      </c>
      <c r="J1621" s="2" t="s">
        <v>43</v>
      </c>
      <c r="K1621" s="2">
        <f t="shared" si="175"/>
        <v>120000</v>
      </c>
      <c r="L1621" s="9">
        <f>Table_1[[#This Row],[Unit Price]]*Table_1[[#This Row],[Quantity]]</f>
        <v>150000</v>
      </c>
      <c r="M1621" s="8">
        <f>Table_1[[#This Row],[Cost Price]]*Table_1[[#This Row],[Quantity]]</f>
        <v>120000</v>
      </c>
      <c r="N1621">
        <f>Table_1[[#This Row],[Revenue]]-Table_1[[#This Row],[COGS]]</f>
        <v>30000</v>
      </c>
      <c r="O1621" s="11">
        <f t="shared" si="176"/>
        <v>4656740000</v>
      </c>
      <c r="P1621">
        <f t="shared" si="177"/>
        <v>3725392000</v>
      </c>
      <c r="Q1621">
        <f t="shared" si="178"/>
        <v>931348000</v>
      </c>
      <c r="R1621" s="7">
        <f t="shared" si="179"/>
        <v>2098</v>
      </c>
      <c r="S1621" s="7">
        <f t="shared" si="180"/>
        <v>3</v>
      </c>
      <c r="T1621" s="7">
        <f t="shared" si="181"/>
        <v>2098</v>
      </c>
    </row>
    <row r="1622" spans="1:20" ht="14.25" customHeight="1" x14ac:dyDescent="0.35">
      <c r="A1622" s="2" t="s">
        <v>90</v>
      </c>
      <c r="B1622" s="2" t="s">
        <v>12</v>
      </c>
      <c r="C1622" s="2" t="s">
        <v>30</v>
      </c>
      <c r="D1622" s="2" t="s">
        <v>14</v>
      </c>
      <c r="E1622" s="2" t="s">
        <v>22</v>
      </c>
      <c r="F1622" s="2" t="s">
        <v>39</v>
      </c>
      <c r="G1622" s="2" t="s">
        <v>24</v>
      </c>
      <c r="H1622" s="2">
        <v>180000</v>
      </c>
      <c r="I1622" s="2">
        <v>2</v>
      </c>
      <c r="J1622" s="2" t="s">
        <v>27</v>
      </c>
      <c r="K1622" s="2">
        <f t="shared" si="175"/>
        <v>144000</v>
      </c>
      <c r="L1622" s="9">
        <f>Table_1[[#This Row],[Unit Price]]*Table_1[[#This Row],[Quantity]]</f>
        <v>360000</v>
      </c>
      <c r="M1622" s="8">
        <f>Table_1[[#This Row],[Cost Price]]*Table_1[[#This Row],[Quantity]]</f>
        <v>288000</v>
      </c>
      <c r="N1622">
        <f>Table_1[[#This Row],[Revenue]]-Table_1[[#This Row],[COGS]]</f>
        <v>72000</v>
      </c>
      <c r="O1622" s="11">
        <f t="shared" si="176"/>
        <v>4656740000</v>
      </c>
      <c r="P1622">
        <f t="shared" si="177"/>
        <v>3725392000</v>
      </c>
      <c r="Q1622">
        <f t="shared" si="178"/>
        <v>931348000</v>
      </c>
      <c r="R1622" s="7">
        <f t="shared" si="179"/>
        <v>2098</v>
      </c>
      <c r="S1622" s="7">
        <f t="shared" si="180"/>
        <v>3</v>
      </c>
      <c r="T1622" s="7">
        <f t="shared" si="181"/>
        <v>2098</v>
      </c>
    </row>
    <row r="1623" spans="1:20" ht="14.25" customHeight="1" x14ac:dyDescent="0.35">
      <c r="A1623" s="2" t="s">
        <v>61</v>
      </c>
      <c r="B1623" s="2" t="s">
        <v>34</v>
      </c>
      <c r="C1623" s="2" t="s">
        <v>38</v>
      </c>
      <c r="D1623" s="2" t="s">
        <v>26</v>
      </c>
      <c r="E1623" s="2" t="s">
        <v>15</v>
      </c>
      <c r="F1623" s="2" t="s">
        <v>41</v>
      </c>
      <c r="G1623" s="2" t="s">
        <v>17</v>
      </c>
      <c r="H1623" s="2">
        <v>320000</v>
      </c>
      <c r="I1623" s="2">
        <v>4</v>
      </c>
      <c r="J1623" s="2" t="s">
        <v>54</v>
      </c>
      <c r="K1623" s="2">
        <f t="shared" si="175"/>
        <v>256000</v>
      </c>
      <c r="L1623" s="9">
        <f>Table_1[[#This Row],[Unit Price]]*Table_1[[#This Row],[Quantity]]</f>
        <v>1280000</v>
      </c>
      <c r="M1623" s="8">
        <f>Table_1[[#This Row],[Cost Price]]*Table_1[[#This Row],[Quantity]]</f>
        <v>1024000</v>
      </c>
      <c r="N1623">
        <f>Table_1[[#This Row],[Revenue]]-Table_1[[#This Row],[COGS]]</f>
        <v>256000</v>
      </c>
      <c r="O1623" s="11">
        <f t="shared" si="176"/>
        <v>4656740000</v>
      </c>
      <c r="P1623">
        <f t="shared" si="177"/>
        <v>3725392000</v>
      </c>
      <c r="Q1623">
        <f t="shared" si="178"/>
        <v>931348000</v>
      </c>
      <c r="R1623" s="7">
        <f t="shared" si="179"/>
        <v>2098</v>
      </c>
      <c r="S1623" s="7">
        <f t="shared" si="180"/>
        <v>5</v>
      </c>
      <c r="T1623" s="7">
        <f t="shared" si="181"/>
        <v>2098</v>
      </c>
    </row>
    <row r="1624" spans="1:20" ht="14.25" customHeight="1" x14ac:dyDescent="0.35">
      <c r="A1624" s="2" t="s">
        <v>111</v>
      </c>
      <c r="B1624" s="2" t="s">
        <v>34</v>
      </c>
      <c r="C1624" s="2" t="s">
        <v>38</v>
      </c>
      <c r="D1624" s="2" t="s">
        <v>14</v>
      </c>
      <c r="E1624" s="2" t="s">
        <v>22</v>
      </c>
      <c r="F1624" s="2" t="s">
        <v>47</v>
      </c>
      <c r="G1624" s="2" t="s">
        <v>36</v>
      </c>
      <c r="H1624" s="2">
        <v>150000</v>
      </c>
      <c r="I1624" s="2">
        <v>10</v>
      </c>
      <c r="J1624" s="2" t="s">
        <v>18</v>
      </c>
      <c r="K1624" s="2">
        <f t="shared" si="175"/>
        <v>120000</v>
      </c>
      <c r="L1624" s="9">
        <f>Table_1[[#This Row],[Unit Price]]*Table_1[[#This Row],[Quantity]]</f>
        <v>1500000</v>
      </c>
      <c r="M1624" s="8">
        <f>Table_1[[#This Row],[Cost Price]]*Table_1[[#This Row],[Quantity]]</f>
        <v>1200000</v>
      </c>
      <c r="N1624">
        <f>Table_1[[#This Row],[Revenue]]-Table_1[[#This Row],[COGS]]</f>
        <v>300000</v>
      </c>
      <c r="O1624" s="11">
        <f t="shared" si="176"/>
        <v>4656740000</v>
      </c>
      <c r="P1624">
        <f t="shared" si="177"/>
        <v>3725392000</v>
      </c>
      <c r="Q1624">
        <f t="shared" si="178"/>
        <v>931348000</v>
      </c>
      <c r="R1624" s="7">
        <f t="shared" si="179"/>
        <v>2098</v>
      </c>
      <c r="S1624" s="7">
        <f t="shared" si="180"/>
        <v>1</v>
      </c>
      <c r="T1624" s="7">
        <f t="shared" si="181"/>
        <v>2098</v>
      </c>
    </row>
    <row r="1625" spans="1:20" ht="14.25" customHeight="1" x14ac:dyDescent="0.35">
      <c r="A1625" s="2" t="s">
        <v>139</v>
      </c>
      <c r="B1625" s="2" t="s">
        <v>29</v>
      </c>
      <c r="C1625" s="2" t="s">
        <v>30</v>
      </c>
      <c r="D1625" s="2" t="s">
        <v>26</v>
      </c>
      <c r="E1625" s="2" t="s">
        <v>22</v>
      </c>
      <c r="F1625" s="2" t="s">
        <v>23</v>
      </c>
      <c r="G1625" s="2" t="s">
        <v>24</v>
      </c>
      <c r="H1625" s="2">
        <v>30000</v>
      </c>
      <c r="I1625" s="2">
        <v>3</v>
      </c>
      <c r="J1625" s="2" t="s">
        <v>43</v>
      </c>
      <c r="K1625" s="2">
        <f t="shared" si="175"/>
        <v>24000</v>
      </c>
      <c r="L1625" s="9">
        <f>Table_1[[#This Row],[Unit Price]]*Table_1[[#This Row],[Quantity]]</f>
        <v>90000</v>
      </c>
      <c r="M1625" s="8">
        <f>Table_1[[#This Row],[Cost Price]]*Table_1[[#This Row],[Quantity]]</f>
        <v>72000</v>
      </c>
      <c r="N1625">
        <f>Table_1[[#This Row],[Revenue]]-Table_1[[#This Row],[COGS]]</f>
        <v>18000</v>
      </c>
      <c r="O1625" s="11">
        <f t="shared" si="176"/>
        <v>4656740000</v>
      </c>
      <c r="P1625">
        <f t="shared" si="177"/>
        <v>3725392000</v>
      </c>
      <c r="Q1625">
        <f t="shared" si="178"/>
        <v>931348000</v>
      </c>
      <c r="R1625" s="7">
        <f t="shared" si="179"/>
        <v>2098</v>
      </c>
      <c r="S1625" s="7">
        <f t="shared" si="180"/>
        <v>2</v>
      </c>
      <c r="T1625" s="7">
        <f t="shared" si="181"/>
        <v>2098</v>
      </c>
    </row>
    <row r="1626" spans="1:20" ht="14.25" customHeight="1" x14ac:dyDescent="0.35">
      <c r="A1626" s="2" t="s">
        <v>44</v>
      </c>
      <c r="B1626" s="2" t="s">
        <v>29</v>
      </c>
      <c r="C1626" s="2" t="s">
        <v>30</v>
      </c>
      <c r="D1626" s="2" t="s">
        <v>14</v>
      </c>
      <c r="E1626" s="2" t="s">
        <v>22</v>
      </c>
      <c r="F1626" s="2" t="s">
        <v>16</v>
      </c>
      <c r="G1626" s="2" t="s">
        <v>17</v>
      </c>
      <c r="H1626" s="2">
        <v>85000</v>
      </c>
      <c r="I1626" s="2">
        <v>4</v>
      </c>
      <c r="J1626" s="2" t="s">
        <v>43</v>
      </c>
      <c r="K1626" s="2">
        <f t="shared" si="175"/>
        <v>68000</v>
      </c>
      <c r="L1626" s="9">
        <f>Table_1[[#This Row],[Unit Price]]*Table_1[[#This Row],[Quantity]]</f>
        <v>340000</v>
      </c>
      <c r="M1626" s="8">
        <f>Table_1[[#This Row],[Cost Price]]*Table_1[[#This Row],[Quantity]]</f>
        <v>272000</v>
      </c>
      <c r="N1626">
        <f>Table_1[[#This Row],[Revenue]]-Table_1[[#This Row],[COGS]]</f>
        <v>68000</v>
      </c>
      <c r="O1626" s="11">
        <f t="shared" si="176"/>
        <v>4656740000</v>
      </c>
      <c r="P1626">
        <f t="shared" si="177"/>
        <v>3725392000</v>
      </c>
      <c r="Q1626">
        <f t="shared" si="178"/>
        <v>931348000</v>
      </c>
      <c r="R1626" s="7">
        <f t="shared" si="179"/>
        <v>2098</v>
      </c>
      <c r="S1626" s="7">
        <f t="shared" si="180"/>
        <v>3</v>
      </c>
      <c r="T1626" s="7">
        <f t="shared" si="181"/>
        <v>2098</v>
      </c>
    </row>
    <row r="1627" spans="1:20" ht="14.25" customHeight="1" x14ac:dyDescent="0.35">
      <c r="A1627" s="2" t="s">
        <v>49</v>
      </c>
      <c r="B1627" s="2" t="s">
        <v>12</v>
      </c>
      <c r="C1627" s="2" t="s">
        <v>38</v>
      </c>
      <c r="D1627" s="2" t="s">
        <v>14</v>
      </c>
      <c r="E1627" s="2" t="s">
        <v>22</v>
      </c>
      <c r="F1627" s="2" t="s">
        <v>39</v>
      </c>
      <c r="G1627" s="2" t="s">
        <v>24</v>
      </c>
      <c r="H1627" s="2">
        <v>180000</v>
      </c>
      <c r="I1627" s="2">
        <v>10</v>
      </c>
      <c r="J1627" s="2" t="s">
        <v>43</v>
      </c>
      <c r="K1627" s="2">
        <f t="shared" si="175"/>
        <v>144000</v>
      </c>
      <c r="L1627" s="9">
        <f>Table_1[[#This Row],[Unit Price]]*Table_1[[#This Row],[Quantity]]</f>
        <v>1800000</v>
      </c>
      <c r="M1627" s="8">
        <f>Table_1[[#This Row],[Cost Price]]*Table_1[[#This Row],[Quantity]]</f>
        <v>1440000</v>
      </c>
      <c r="N1627">
        <f>Table_1[[#This Row],[Revenue]]-Table_1[[#This Row],[COGS]]</f>
        <v>360000</v>
      </c>
      <c r="O1627" s="11">
        <f t="shared" si="176"/>
        <v>4656740000</v>
      </c>
      <c r="P1627">
        <f t="shared" si="177"/>
        <v>3725392000</v>
      </c>
      <c r="Q1627">
        <f t="shared" si="178"/>
        <v>931348000</v>
      </c>
      <c r="R1627" s="7">
        <f t="shared" si="179"/>
        <v>2098</v>
      </c>
      <c r="S1627" s="7">
        <f t="shared" si="180"/>
        <v>4</v>
      </c>
      <c r="T1627" s="7">
        <f t="shared" si="181"/>
        <v>2098</v>
      </c>
    </row>
    <row r="1628" spans="1:20" ht="14.25" customHeight="1" x14ac:dyDescent="0.35">
      <c r="A1628" s="2" t="s">
        <v>149</v>
      </c>
      <c r="B1628" s="2" t="s">
        <v>12</v>
      </c>
      <c r="C1628" s="2" t="s">
        <v>21</v>
      </c>
      <c r="D1628" s="2" t="s">
        <v>26</v>
      </c>
      <c r="E1628" s="2" t="s">
        <v>22</v>
      </c>
      <c r="F1628" s="2" t="s">
        <v>41</v>
      </c>
      <c r="G1628" s="2" t="s">
        <v>17</v>
      </c>
      <c r="H1628" s="2">
        <v>320000</v>
      </c>
      <c r="I1628" s="2">
        <v>9</v>
      </c>
      <c r="J1628" s="2" t="s">
        <v>50</v>
      </c>
      <c r="K1628" s="2">
        <f t="shared" si="175"/>
        <v>256000</v>
      </c>
      <c r="L1628" s="9">
        <f>Table_1[[#This Row],[Unit Price]]*Table_1[[#This Row],[Quantity]]</f>
        <v>2880000</v>
      </c>
      <c r="M1628" s="8">
        <f>Table_1[[#This Row],[Cost Price]]*Table_1[[#This Row],[Quantity]]</f>
        <v>2304000</v>
      </c>
      <c r="N1628">
        <f>Table_1[[#This Row],[Revenue]]-Table_1[[#This Row],[COGS]]</f>
        <v>576000</v>
      </c>
      <c r="O1628" s="11">
        <f t="shared" si="176"/>
        <v>4656740000</v>
      </c>
      <c r="P1628">
        <f t="shared" si="177"/>
        <v>3725392000</v>
      </c>
      <c r="Q1628">
        <f t="shared" si="178"/>
        <v>931348000</v>
      </c>
      <c r="R1628" s="7">
        <f t="shared" si="179"/>
        <v>2098</v>
      </c>
      <c r="S1628" s="7">
        <f t="shared" si="180"/>
        <v>3</v>
      </c>
      <c r="T1628" s="7">
        <f t="shared" si="181"/>
        <v>2098</v>
      </c>
    </row>
    <row r="1629" spans="1:20" ht="14.25" customHeight="1" x14ac:dyDescent="0.35">
      <c r="A1629" s="2" t="s">
        <v>63</v>
      </c>
      <c r="B1629" s="2" t="s">
        <v>29</v>
      </c>
      <c r="C1629" s="2" t="s">
        <v>21</v>
      </c>
      <c r="D1629" s="2" t="s">
        <v>26</v>
      </c>
      <c r="E1629" s="2" t="s">
        <v>15</v>
      </c>
      <c r="F1629" s="2" t="s">
        <v>47</v>
      </c>
      <c r="G1629" s="2" t="s">
        <v>36</v>
      </c>
      <c r="H1629" s="2">
        <v>150000</v>
      </c>
      <c r="I1629" s="2">
        <v>3</v>
      </c>
      <c r="J1629" s="2" t="s">
        <v>54</v>
      </c>
      <c r="K1629" s="2">
        <f t="shared" si="175"/>
        <v>120000</v>
      </c>
      <c r="L1629" s="9">
        <f>Table_1[[#This Row],[Unit Price]]*Table_1[[#This Row],[Quantity]]</f>
        <v>450000</v>
      </c>
      <c r="M1629" s="8">
        <f>Table_1[[#This Row],[Cost Price]]*Table_1[[#This Row],[Quantity]]</f>
        <v>360000</v>
      </c>
      <c r="N1629">
        <f>Table_1[[#This Row],[Revenue]]-Table_1[[#This Row],[COGS]]</f>
        <v>90000</v>
      </c>
      <c r="O1629" s="11">
        <f t="shared" si="176"/>
        <v>4656740000</v>
      </c>
      <c r="P1629">
        <f t="shared" si="177"/>
        <v>3725392000</v>
      </c>
      <c r="Q1629">
        <f t="shared" si="178"/>
        <v>931348000</v>
      </c>
      <c r="R1629" s="7">
        <f t="shared" si="179"/>
        <v>2098</v>
      </c>
      <c r="S1629" s="7">
        <f t="shared" si="180"/>
        <v>4</v>
      </c>
      <c r="T1629" s="7">
        <f t="shared" si="181"/>
        <v>2098</v>
      </c>
    </row>
    <row r="1630" spans="1:20" ht="14.25" customHeight="1" x14ac:dyDescent="0.35">
      <c r="A1630" s="2" t="s">
        <v>148</v>
      </c>
      <c r="B1630" s="2" t="s">
        <v>34</v>
      </c>
      <c r="C1630" s="2" t="s">
        <v>21</v>
      </c>
      <c r="D1630" s="2" t="s">
        <v>14</v>
      </c>
      <c r="E1630" s="2" t="s">
        <v>15</v>
      </c>
      <c r="F1630" s="2" t="s">
        <v>58</v>
      </c>
      <c r="G1630" s="2" t="s">
        <v>24</v>
      </c>
      <c r="H1630" s="2">
        <v>220000</v>
      </c>
      <c r="I1630" s="2">
        <v>5</v>
      </c>
      <c r="J1630" s="2" t="s">
        <v>54</v>
      </c>
      <c r="K1630" s="2">
        <f t="shared" si="175"/>
        <v>176000</v>
      </c>
      <c r="L1630" s="9">
        <f>Table_1[[#This Row],[Unit Price]]*Table_1[[#This Row],[Quantity]]</f>
        <v>1100000</v>
      </c>
      <c r="M1630" s="8">
        <f>Table_1[[#This Row],[Cost Price]]*Table_1[[#This Row],[Quantity]]</f>
        <v>880000</v>
      </c>
      <c r="N1630">
        <f>Table_1[[#This Row],[Revenue]]-Table_1[[#This Row],[COGS]]</f>
        <v>220000</v>
      </c>
      <c r="O1630" s="11">
        <f t="shared" si="176"/>
        <v>4656740000</v>
      </c>
      <c r="P1630">
        <f t="shared" si="177"/>
        <v>3725392000</v>
      </c>
      <c r="Q1630">
        <f t="shared" si="178"/>
        <v>931348000</v>
      </c>
      <c r="R1630" s="7">
        <f t="shared" si="179"/>
        <v>2098</v>
      </c>
      <c r="S1630" s="7">
        <f t="shared" si="180"/>
        <v>4</v>
      </c>
      <c r="T1630" s="7">
        <f t="shared" si="181"/>
        <v>2098</v>
      </c>
    </row>
    <row r="1631" spans="1:20" ht="14.25" customHeight="1" x14ac:dyDescent="0.35">
      <c r="A1631" s="2" t="s">
        <v>161</v>
      </c>
      <c r="B1631" s="2" t="s">
        <v>34</v>
      </c>
      <c r="C1631" s="2" t="s">
        <v>38</v>
      </c>
      <c r="D1631" s="2" t="s">
        <v>26</v>
      </c>
      <c r="E1631" s="2" t="s">
        <v>22</v>
      </c>
      <c r="F1631" s="2" t="s">
        <v>35</v>
      </c>
      <c r="G1631" s="2" t="s">
        <v>36</v>
      </c>
      <c r="H1631" s="2">
        <v>300000</v>
      </c>
      <c r="I1631" s="2">
        <v>2</v>
      </c>
      <c r="J1631" s="2" t="s">
        <v>18</v>
      </c>
      <c r="K1631" s="2">
        <f t="shared" si="175"/>
        <v>240000</v>
      </c>
      <c r="L1631" s="9">
        <f>Table_1[[#This Row],[Unit Price]]*Table_1[[#This Row],[Quantity]]</f>
        <v>600000</v>
      </c>
      <c r="M1631" s="8">
        <f>Table_1[[#This Row],[Cost Price]]*Table_1[[#This Row],[Quantity]]</f>
        <v>480000</v>
      </c>
      <c r="N1631">
        <f>Table_1[[#This Row],[Revenue]]-Table_1[[#This Row],[COGS]]</f>
        <v>120000</v>
      </c>
      <c r="O1631" s="11">
        <f t="shared" si="176"/>
        <v>4656740000</v>
      </c>
      <c r="P1631">
        <f t="shared" si="177"/>
        <v>3725392000</v>
      </c>
      <c r="Q1631">
        <f t="shared" si="178"/>
        <v>931348000</v>
      </c>
      <c r="R1631" s="7">
        <f t="shared" si="179"/>
        <v>2098</v>
      </c>
      <c r="S1631" s="7">
        <f t="shared" si="180"/>
        <v>1</v>
      </c>
      <c r="T1631" s="7">
        <f t="shared" si="181"/>
        <v>2098</v>
      </c>
    </row>
    <row r="1632" spans="1:20" ht="14.25" customHeight="1" x14ac:dyDescent="0.35">
      <c r="A1632" s="2" t="s">
        <v>102</v>
      </c>
      <c r="B1632" s="2" t="s">
        <v>20</v>
      </c>
      <c r="C1632" s="2" t="s">
        <v>13</v>
      </c>
      <c r="D1632" s="2" t="s">
        <v>26</v>
      </c>
      <c r="E1632" s="2" t="s">
        <v>15</v>
      </c>
      <c r="F1632" s="2" t="s">
        <v>35</v>
      </c>
      <c r="G1632" s="2" t="s">
        <v>36</v>
      </c>
      <c r="H1632" s="2">
        <v>300000</v>
      </c>
      <c r="I1632" s="2">
        <v>6</v>
      </c>
      <c r="J1632" s="2" t="s">
        <v>54</v>
      </c>
      <c r="K1632" s="2">
        <f t="shared" si="175"/>
        <v>240000</v>
      </c>
      <c r="L1632" s="9">
        <f>Table_1[[#This Row],[Unit Price]]*Table_1[[#This Row],[Quantity]]</f>
        <v>1800000</v>
      </c>
      <c r="M1632" s="8">
        <f>Table_1[[#This Row],[Cost Price]]*Table_1[[#This Row],[Quantity]]</f>
        <v>1440000</v>
      </c>
      <c r="N1632">
        <f>Table_1[[#This Row],[Revenue]]-Table_1[[#This Row],[COGS]]</f>
        <v>360000</v>
      </c>
      <c r="O1632" s="11">
        <f t="shared" si="176"/>
        <v>4656740000</v>
      </c>
      <c r="P1632">
        <f t="shared" si="177"/>
        <v>3725392000</v>
      </c>
      <c r="Q1632">
        <f t="shared" si="178"/>
        <v>931348000</v>
      </c>
      <c r="R1632" s="7">
        <f t="shared" si="179"/>
        <v>2098</v>
      </c>
      <c r="S1632" s="7">
        <f t="shared" si="180"/>
        <v>1</v>
      </c>
      <c r="T1632" s="7">
        <f t="shared" si="181"/>
        <v>2098</v>
      </c>
    </row>
    <row r="1633" spans="1:20" ht="14.25" customHeight="1" x14ac:dyDescent="0.35">
      <c r="A1633" s="2" t="s">
        <v>72</v>
      </c>
      <c r="B1633" s="2" t="s">
        <v>34</v>
      </c>
      <c r="C1633" s="2" t="s">
        <v>38</v>
      </c>
      <c r="D1633" s="2" t="s">
        <v>26</v>
      </c>
      <c r="E1633" s="2" t="s">
        <v>15</v>
      </c>
      <c r="F1633" s="2" t="s">
        <v>39</v>
      </c>
      <c r="G1633" s="2" t="s">
        <v>24</v>
      </c>
      <c r="H1633" s="2">
        <v>180000</v>
      </c>
      <c r="I1633" s="2">
        <v>7</v>
      </c>
      <c r="J1633" s="2" t="s">
        <v>54</v>
      </c>
      <c r="K1633" s="2">
        <f t="shared" si="175"/>
        <v>144000</v>
      </c>
      <c r="L1633" s="9">
        <f>Table_1[[#This Row],[Unit Price]]*Table_1[[#This Row],[Quantity]]</f>
        <v>1260000</v>
      </c>
      <c r="M1633" s="8">
        <f>Table_1[[#This Row],[Cost Price]]*Table_1[[#This Row],[Quantity]]</f>
        <v>1008000</v>
      </c>
      <c r="N1633">
        <f>Table_1[[#This Row],[Revenue]]-Table_1[[#This Row],[COGS]]</f>
        <v>252000</v>
      </c>
      <c r="O1633" s="11">
        <f t="shared" si="176"/>
        <v>4656740000</v>
      </c>
      <c r="P1633">
        <f t="shared" si="177"/>
        <v>3725392000</v>
      </c>
      <c r="Q1633">
        <f t="shared" si="178"/>
        <v>931348000</v>
      </c>
      <c r="R1633" s="7">
        <f t="shared" si="179"/>
        <v>2098</v>
      </c>
      <c r="S1633" s="7">
        <f t="shared" si="180"/>
        <v>3</v>
      </c>
      <c r="T1633" s="7">
        <f t="shared" si="181"/>
        <v>2098</v>
      </c>
    </row>
    <row r="1634" spans="1:20" ht="14.25" customHeight="1" x14ac:dyDescent="0.35">
      <c r="A1634" s="2" t="s">
        <v>105</v>
      </c>
      <c r="B1634" s="2" t="s">
        <v>12</v>
      </c>
      <c r="C1634" s="2" t="s">
        <v>30</v>
      </c>
      <c r="D1634" s="2" t="s">
        <v>26</v>
      </c>
      <c r="E1634" s="2" t="s">
        <v>22</v>
      </c>
      <c r="F1634" s="2" t="s">
        <v>41</v>
      </c>
      <c r="G1634" s="2" t="s">
        <v>17</v>
      </c>
      <c r="H1634" s="2">
        <v>320000</v>
      </c>
      <c r="I1634" s="2">
        <v>6</v>
      </c>
      <c r="J1634" s="2" t="s">
        <v>18</v>
      </c>
      <c r="K1634" s="2">
        <f t="shared" si="175"/>
        <v>256000</v>
      </c>
      <c r="L1634" s="9">
        <f>Table_1[[#This Row],[Unit Price]]*Table_1[[#This Row],[Quantity]]</f>
        <v>1920000</v>
      </c>
      <c r="M1634" s="8">
        <f>Table_1[[#This Row],[Cost Price]]*Table_1[[#This Row],[Quantity]]</f>
        <v>1536000</v>
      </c>
      <c r="N1634">
        <f>Table_1[[#This Row],[Revenue]]-Table_1[[#This Row],[COGS]]</f>
        <v>384000</v>
      </c>
      <c r="O1634" s="11">
        <f t="shared" si="176"/>
        <v>4656740000</v>
      </c>
      <c r="P1634">
        <f t="shared" si="177"/>
        <v>3725392000</v>
      </c>
      <c r="Q1634">
        <f t="shared" si="178"/>
        <v>931348000</v>
      </c>
      <c r="R1634" s="7">
        <f t="shared" si="179"/>
        <v>2098</v>
      </c>
      <c r="S1634" s="7">
        <f t="shared" si="180"/>
        <v>3</v>
      </c>
      <c r="T1634" s="7">
        <f t="shared" si="181"/>
        <v>2098</v>
      </c>
    </row>
    <row r="1635" spans="1:20" ht="14.25" customHeight="1" x14ac:dyDescent="0.35">
      <c r="A1635" s="2" t="s">
        <v>72</v>
      </c>
      <c r="B1635" s="2" t="s">
        <v>34</v>
      </c>
      <c r="C1635" s="2" t="s">
        <v>21</v>
      </c>
      <c r="D1635" s="2" t="s">
        <v>14</v>
      </c>
      <c r="E1635" s="2" t="s">
        <v>22</v>
      </c>
      <c r="F1635" s="2" t="s">
        <v>56</v>
      </c>
      <c r="G1635" s="2" t="s">
        <v>36</v>
      </c>
      <c r="H1635" s="2">
        <v>250000</v>
      </c>
      <c r="I1635" s="2">
        <v>5</v>
      </c>
      <c r="J1635" s="2" t="s">
        <v>43</v>
      </c>
      <c r="K1635" s="2">
        <f t="shared" si="175"/>
        <v>200000</v>
      </c>
      <c r="L1635" s="9">
        <f>Table_1[[#This Row],[Unit Price]]*Table_1[[#This Row],[Quantity]]</f>
        <v>1250000</v>
      </c>
      <c r="M1635" s="8">
        <f>Table_1[[#This Row],[Cost Price]]*Table_1[[#This Row],[Quantity]]</f>
        <v>1000000</v>
      </c>
      <c r="N1635">
        <f>Table_1[[#This Row],[Revenue]]-Table_1[[#This Row],[COGS]]</f>
        <v>250000</v>
      </c>
      <c r="O1635" s="11">
        <f t="shared" si="176"/>
        <v>4656740000</v>
      </c>
      <c r="P1635">
        <f t="shared" si="177"/>
        <v>3725392000</v>
      </c>
      <c r="Q1635">
        <f t="shared" si="178"/>
        <v>931348000</v>
      </c>
      <c r="R1635" s="7">
        <f t="shared" si="179"/>
        <v>2098</v>
      </c>
      <c r="S1635" s="7">
        <f t="shared" si="180"/>
        <v>3</v>
      </c>
      <c r="T1635" s="7">
        <f t="shared" si="181"/>
        <v>2098</v>
      </c>
    </row>
    <row r="1636" spans="1:20" ht="14.25" customHeight="1" x14ac:dyDescent="0.35">
      <c r="A1636" s="2" t="s">
        <v>124</v>
      </c>
      <c r="B1636" s="2" t="s">
        <v>12</v>
      </c>
      <c r="C1636" s="2" t="s">
        <v>21</v>
      </c>
      <c r="D1636" s="2" t="s">
        <v>14</v>
      </c>
      <c r="E1636" s="2" t="s">
        <v>15</v>
      </c>
      <c r="F1636" s="2" t="s">
        <v>35</v>
      </c>
      <c r="G1636" s="2" t="s">
        <v>36</v>
      </c>
      <c r="H1636" s="2">
        <v>300000</v>
      </c>
      <c r="I1636" s="2">
        <v>3</v>
      </c>
      <c r="J1636" s="2" t="s">
        <v>54</v>
      </c>
      <c r="K1636" s="2">
        <f t="shared" si="175"/>
        <v>240000</v>
      </c>
      <c r="L1636" s="9">
        <f>Table_1[[#This Row],[Unit Price]]*Table_1[[#This Row],[Quantity]]</f>
        <v>900000</v>
      </c>
      <c r="M1636" s="8">
        <f>Table_1[[#This Row],[Cost Price]]*Table_1[[#This Row],[Quantity]]</f>
        <v>720000</v>
      </c>
      <c r="N1636">
        <f>Table_1[[#This Row],[Revenue]]-Table_1[[#This Row],[COGS]]</f>
        <v>180000</v>
      </c>
      <c r="O1636" s="11">
        <f t="shared" si="176"/>
        <v>4656740000</v>
      </c>
      <c r="P1636">
        <f t="shared" si="177"/>
        <v>3725392000</v>
      </c>
      <c r="Q1636">
        <f t="shared" si="178"/>
        <v>931348000</v>
      </c>
      <c r="R1636" s="7">
        <f t="shared" si="179"/>
        <v>2098</v>
      </c>
      <c r="S1636" s="7">
        <f t="shared" si="180"/>
        <v>1</v>
      </c>
      <c r="T1636" s="7">
        <f t="shared" si="181"/>
        <v>2098</v>
      </c>
    </row>
    <row r="1637" spans="1:20" ht="14.25" customHeight="1" x14ac:dyDescent="0.35">
      <c r="A1637" s="2" t="s">
        <v>11</v>
      </c>
      <c r="B1637" s="2" t="s">
        <v>12</v>
      </c>
      <c r="C1637" s="2" t="s">
        <v>38</v>
      </c>
      <c r="D1637" s="2" t="s">
        <v>14</v>
      </c>
      <c r="E1637" s="2" t="s">
        <v>22</v>
      </c>
      <c r="F1637" s="2" t="s">
        <v>39</v>
      </c>
      <c r="G1637" s="2" t="s">
        <v>24</v>
      </c>
      <c r="H1637" s="2">
        <v>180000</v>
      </c>
      <c r="I1637" s="2">
        <v>8</v>
      </c>
      <c r="J1637" s="2" t="s">
        <v>54</v>
      </c>
      <c r="K1637" s="2">
        <f t="shared" si="175"/>
        <v>144000</v>
      </c>
      <c r="L1637" s="9">
        <f>Table_1[[#This Row],[Unit Price]]*Table_1[[#This Row],[Quantity]]</f>
        <v>1440000</v>
      </c>
      <c r="M1637" s="8">
        <f>Table_1[[#This Row],[Cost Price]]*Table_1[[#This Row],[Quantity]]</f>
        <v>1152000</v>
      </c>
      <c r="N1637">
        <f>Table_1[[#This Row],[Revenue]]-Table_1[[#This Row],[COGS]]</f>
        <v>288000</v>
      </c>
      <c r="O1637" s="11">
        <f t="shared" si="176"/>
        <v>4656740000</v>
      </c>
      <c r="P1637">
        <f t="shared" si="177"/>
        <v>3725392000</v>
      </c>
      <c r="Q1637">
        <f t="shared" si="178"/>
        <v>931348000</v>
      </c>
      <c r="R1637" s="7">
        <f t="shared" si="179"/>
        <v>2098</v>
      </c>
      <c r="S1637" s="7">
        <f t="shared" si="180"/>
        <v>1</v>
      </c>
      <c r="T1637" s="7">
        <f t="shared" si="181"/>
        <v>2098</v>
      </c>
    </row>
    <row r="1638" spans="1:20" ht="14.25" customHeight="1" x14ac:dyDescent="0.35">
      <c r="A1638" s="2" t="s">
        <v>126</v>
      </c>
      <c r="B1638" s="2" t="s">
        <v>20</v>
      </c>
      <c r="C1638" s="2" t="s">
        <v>38</v>
      </c>
      <c r="D1638" s="2" t="s">
        <v>14</v>
      </c>
      <c r="E1638" s="2" t="s">
        <v>22</v>
      </c>
      <c r="F1638" s="2" t="s">
        <v>41</v>
      </c>
      <c r="G1638" s="2" t="s">
        <v>17</v>
      </c>
      <c r="H1638" s="2">
        <v>320000</v>
      </c>
      <c r="I1638" s="2">
        <v>5</v>
      </c>
      <c r="J1638" s="2" t="s">
        <v>27</v>
      </c>
      <c r="K1638" s="2">
        <f t="shared" si="175"/>
        <v>256000</v>
      </c>
      <c r="L1638" s="9">
        <f>Table_1[[#This Row],[Unit Price]]*Table_1[[#This Row],[Quantity]]</f>
        <v>1600000</v>
      </c>
      <c r="M1638" s="8">
        <f>Table_1[[#This Row],[Cost Price]]*Table_1[[#This Row],[Quantity]]</f>
        <v>1280000</v>
      </c>
      <c r="N1638">
        <f>Table_1[[#This Row],[Revenue]]-Table_1[[#This Row],[COGS]]</f>
        <v>320000</v>
      </c>
      <c r="O1638" s="11">
        <f t="shared" si="176"/>
        <v>4656740000</v>
      </c>
      <c r="P1638">
        <f t="shared" si="177"/>
        <v>3725392000</v>
      </c>
      <c r="Q1638">
        <f t="shared" si="178"/>
        <v>931348000</v>
      </c>
      <c r="R1638" s="7">
        <f t="shared" si="179"/>
        <v>2098</v>
      </c>
      <c r="S1638" s="7">
        <f t="shared" si="180"/>
        <v>3</v>
      </c>
      <c r="T1638" s="7">
        <f t="shared" si="181"/>
        <v>2098</v>
      </c>
    </row>
    <row r="1639" spans="1:20" ht="14.25" customHeight="1" x14ac:dyDescent="0.35">
      <c r="A1639" s="2" t="s">
        <v>37</v>
      </c>
      <c r="B1639" s="2" t="s">
        <v>12</v>
      </c>
      <c r="C1639" s="2" t="s">
        <v>38</v>
      </c>
      <c r="D1639" s="2" t="s">
        <v>14</v>
      </c>
      <c r="E1639" s="2" t="s">
        <v>15</v>
      </c>
      <c r="F1639" s="2" t="s">
        <v>56</v>
      </c>
      <c r="G1639" s="2" t="s">
        <v>36</v>
      </c>
      <c r="H1639" s="2">
        <v>250000</v>
      </c>
      <c r="I1639" s="2">
        <v>7</v>
      </c>
      <c r="J1639" s="2" t="s">
        <v>27</v>
      </c>
      <c r="K1639" s="2">
        <f t="shared" si="175"/>
        <v>200000</v>
      </c>
      <c r="L1639" s="9">
        <f>Table_1[[#This Row],[Unit Price]]*Table_1[[#This Row],[Quantity]]</f>
        <v>1750000</v>
      </c>
      <c r="M1639" s="8">
        <f>Table_1[[#This Row],[Cost Price]]*Table_1[[#This Row],[Quantity]]</f>
        <v>1400000</v>
      </c>
      <c r="N1639">
        <f>Table_1[[#This Row],[Revenue]]-Table_1[[#This Row],[COGS]]</f>
        <v>350000</v>
      </c>
      <c r="O1639" s="11">
        <f t="shared" si="176"/>
        <v>4656740000</v>
      </c>
      <c r="P1639">
        <f t="shared" si="177"/>
        <v>3725392000</v>
      </c>
      <c r="Q1639">
        <f t="shared" si="178"/>
        <v>931348000</v>
      </c>
      <c r="R1639" s="7">
        <f t="shared" si="179"/>
        <v>2098</v>
      </c>
      <c r="S1639" s="7">
        <f t="shared" si="180"/>
        <v>3</v>
      </c>
      <c r="T1639" s="7">
        <f t="shared" si="181"/>
        <v>2098</v>
      </c>
    </row>
    <row r="1640" spans="1:20" ht="14.25" customHeight="1" x14ac:dyDescent="0.35">
      <c r="A1640" s="2" t="s">
        <v>120</v>
      </c>
      <c r="B1640" s="2" t="s">
        <v>12</v>
      </c>
      <c r="C1640" s="2" t="s">
        <v>21</v>
      </c>
      <c r="D1640" s="2" t="s">
        <v>14</v>
      </c>
      <c r="E1640" s="2" t="s">
        <v>22</v>
      </c>
      <c r="F1640" s="2" t="s">
        <v>35</v>
      </c>
      <c r="G1640" s="2" t="s">
        <v>36</v>
      </c>
      <c r="H1640" s="2">
        <v>300000</v>
      </c>
      <c r="I1640" s="2">
        <v>8</v>
      </c>
      <c r="J1640" s="2" t="s">
        <v>18</v>
      </c>
      <c r="K1640" s="2">
        <f t="shared" si="175"/>
        <v>240000</v>
      </c>
      <c r="L1640" s="9">
        <f>Table_1[[#This Row],[Unit Price]]*Table_1[[#This Row],[Quantity]]</f>
        <v>2400000</v>
      </c>
      <c r="M1640" s="8">
        <f>Table_1[[#This Row],[Cost Price]]*Table_1[[#This Row],[Quantity]]</f>
        <v>1920000</v>
      </c>
      <c r="N1640">
        <f>Table_1[[#This Row],[Revenue]]-Table_1[[#This Row],[COGS]]</f>
        <v>480000</v>
      </c>
      <c r="O1640" s="11">
        <f t="shared" si="176"/>
        <v>4656740000</v>
      </c>
      <c r="P1640">
        <f t="shared" si="177"/>
        <v>3725392000</v>
      </c>
      <c r="Q1640">
        <f t="shared" si="178"/>
        <v>931348000</v>
      </c>
      <c r="R1640" s="7">
        <f t="shared" si="179"/>
        <v>2098</v>
      </c>
      <c r="S1640" s="7">
        <f t="shared" si="180"/>
        <v>3</v>
      </c>
      <c r="T1640" s="7">
        <f t="shared" si="181"/>
        <v>2098</v>
      </c>
    </row>
    <row r="1641" spans="1:20" ht="14.25" customHeight="1" x14ac:dyDescent="0.35">
      <c r="A1641" s="2" t="s">
        <v>83</v>
      </c>
      <c r="B1641" s="2" t="s">
        <v>12</v>
      </c>
      <c r="C1641" s="2" t="s">
        <v>21</v>
      </c>
      <c r="D1641" s="2" t="s">
        <v>26</v>
      </c>
      <c r="E1641" s="2" t="s">
        <v>15</v>
      </c>
      <c r="F1641" s="2" t="s">
        <v>52</v>
      </c>
      <c r="G1641" s="2" t="s">
        <v>36</v>
      </c>
      <c r="H1641" s="2">
        <v>420000</v>
      </c>
      <c r="I1641" s="2">
        <v>4</v>
      </c>
      <c r="J1641" s="2" t="s">
        <v>54</v>
      </c>
      <c r="K1641" s="2">
        <f t="shared" si="175"/>
        <v>336000</v>
      </c>
      <c r="L1641" s="9">
        <f>Table_1[[#This Row],[Unit Price]]*Table_1[[#This Row],[Quantity]]</f>
        <v>1680000</v>
      </c>
      <c r="M1641" s="8">
        <f>Table_1[[#This Row],[Cost Price]]*Table_1[[#This Row],[Quantity]]</f>
        <v>1344000</v>
      </c>
      <c r="N1641">
        <f>Table_1[[#This Row],[Revenue]]-Table_1[[#This Row],[COGS]]</f>
        <v>336000</v>
      </c>
      <c r="O1641" s="11">
        <f t="shared" si="176"/>
        <v>4656740000</v>
      </c>
      <c r="P1641">
        <f t="shared" si="177"/>
        <v>3725392000</v>
      </c>
      <c r="Q1641">
        <f t="shared" si="178"/>
        <v>931348000</v>
      </c>
      <c r="R1641" s="7">
        <f t="shared" si="179"/>
        <v>2098</v>
      </c>
      <c r="S1641" s="7">
        <f t="shared" si="180"/>
        <v>1</v>
      </c>
      <c r="T1641" s="7">
        <f t="shared" si="181"/>
        <v>2098</v>
      </c>
    </row>
    <row r="1642" spans="1:20" ht="14.25" customHeight="1" x14ac:dyDescent="0.35">
      <c r="A1642" s="2" t="s">
        <v>136</v>
      </c>
      <c r="B1642" s="2" t="s">
        <v>12</v>
      </c>
      <c r="C1642" s="2" t="s">
        <v>13</v>
      </c>
      <c r="D1642" s="2" t="s">
        <v>26</v>
      </c>
      <c r="E1642" s="2" t="s">
        <v>22</v>
      </c>
      <c r="F1642" s="2" t="s">
        <v>56</v>
      </c>
      <c r="G1642" s="2" t="s">
        <v>36</v>
      </c>
      <c r="H1642" s="2">
        <v>250000</v>
      </c>
      <c r="I1642" s="2">
        <v>6</v>
      </c>
      <c r="J1642" s="2" t="s">
        <v>32</v>
      </c>
      <c r="K1642" s="2">
        <f t="shared" si="175"/>
        <v>200000</v>
      </c>
      <c r="L1642" s="9">
        <f>Table_1[[#This Row],[Unit Price]]*Table_1[[#This Row],[Quantity]]</f>
        <v>1500000</v>
      </c>
      <c r="M1642" s="8">
        <f>Table_1[[#This Row],[Cost Price]]*Table_1[[#This Row],[Quantity]]</f>
        <v>1200000</v>
      </c>
      <c r="N1642">
        <f>Table_1[[#This Row],[Revenue]]-Table_1[[#This Row],[COGS]]</f>
        <v>300000</v>
      </c>
      <c r="O1642" s="11">
        <f t="shared" si="176"/>
        <v>4656740000</v>
      </c>
      <c r="P1642">
        <f t="shared" si="177"/>
        <v>3725392000</v>
      </c>
      <c r="Q1642">
        <f t="shared" si="178"/>
        <v>931348000</v>
      </c>
      <c r="R1642" s="7">
        <f t="shared" si="179"/>
        <v>2098</v>
      </c>
      <c r="S1642" s="7">
        <f t="shared" si="180"/>
        <v>2</v>
      </c>
      <c r="T1642" s="7">
        <f t="shared" si="181"/>
        <v>2098</v>
      </c>
    </row>
    <row r="1643" spans="1:20" ht="14.25" customHeight="1" x14ac:dyDescent="0.35">
      <c r="A1643" s="2" t="s">
        <v>80</v>
      </c>
      <c r="B1643" s="2" t="s">
        <v>20</v>
      </c>
      <c r="C1643" s="2" t="s">
        <v>38</v>
      </c>
      <c r="D1643" s="2" t="s">
        <v>14</v>
      </c>
      <c r="E1643" s="2" t="s">
        <v>15</v>
      </c>
      <c r="F1643" s="2" t="s">
        <v>47</v>
      </c>
      <c r="G1643" s="2" t="s">
        <v>36</v>
      </c>
      <c r="H1643" s="2">
        <v>150000</v>
      </c>
      <c r="I1643" s="2">
        <v>3</v>
      </c>
      <c r="J1643" s="2" t="s">
        <v>32</v>
      </c>
      <c r="K1643" s="2">
        <f t="shared" si="175"/>
        <v>120000</v>
      </c>
      <c r="L1643" s="9">
        <f>Table_1[[#This Row],[Unit Price]]*Table_1[[#This Row],[Quantity]]</f>
        <v>450000</v>
      </c>
      <c r="M1643" s="8">
        <f>Table_1[[#This Row],[Cost Price]]*Table_1[[#This Row],[Quantity]]</f>
        <v>360000</v>
      </c>
      <c r="N1643">
        <f>Table_1[[#This Row],[Revenue]]-Table_1[[#This Row],[COGS]]</f>
        <v>90000</v>
      </c>
      <c r="O1643" s="11">
        <f t="shared" si="176"/>
        <v>4656740000</v>
      </c>
      <c r="P1643">
        <f t="shared" si="177"/>
        <v>3725392000</v>
      </c>
      <c r="Q1643">
        <f t="shared" si="178"/>
        <v>931348000</v>
      </c>
      <c r="R1643" s="7">
        <f t="shared" si="179"/>
        <v>2098</v>
      </c>
      <c r="S1643" s="7">
        <f t="shared" si="180"/>
        <v>2</v>
      </c>
      <c r="T1643" s="7">
        <f t="shared" si="181"/>
        <v>2098</v>
      </c>
    </row>
    <row r="1644" spans="1:20" ht="14.25" customHeight="1" x14ac:dyDescent="0.35">
      <c r="A1644" s="2" t="s">
        <v>136</v>
      </c>
      <c r="B1644" s="2" t="s">
        <v>34</v>
      </c>
      <c r="C1644" s="2" t="s">
        <v>13</v>
      </c>
      <c r="D1644" s="2" t="s">
        <v>26</v>
      </c>
      <c r="E1644" s="2" t="s">
        <v>22</v>
      </c>
      <c r="F1644" s="2" t="s">
        <v>35</v>
      </c>
      <c r="G1644" s="2" t="s">
        <v>36</v>
      </c>
      <c r="H1644" s="2">
        <v>300000</v>
      </c>
      <c r="I1644" s="2">
        <v>6</v>
      </c>
      <c r="J1644" s="2" t="s">
        <v>50</v>
      </c>
      <c r="K1644" s="2">
        <f t="shared" si="175"/>
        <v>240000</v>
      </c>
      <c r="L1644" s="9">
        <f>Table_1[[#This Row],[Unit Price]]*Table_1[[#This Row],[Quantity]]</f>
        <v>1800000</v>
      </c>
      <c r="M1644" s="8">
        <f>Table_1[[#This Row],[Cost Price]]*Table_1[[#This Row],[Quantity]]</f>
        <v>1440000</v>
      </c>
      <c r="N1644">
        <f>Table_1[[#This Row],[Revenue]]-Table_1[[#This Row],[COGS]]</f>
        <v>360000</v>
      </c>
      <c r="O1644" s="11">
        <f t="shared" si="176"/>
        <v>4656740000</v>
      </c>
      <c r="P1644">
        <f t="shared" si="177"/>
        <v>3725392000</v>
      </c>
      <c r="Q1644">
        <f t="shared" si="178"/>
        <v>931348000</v>
      </c>
      <c r="R1644" s="7">
        <f t="shared" si="179"/>
        <v>2098</v>
      </c>
      <c r="S1644" s="7">
        <f t="shared" si="180"/>
        <v>2</v>
      </c>
      <c r="T1644" s="7">
        <f t="shared" si="181"/>
        <v>2098</v>
      </c>
    </row>
    <row r="1645" spans="1:20" ht="14.25" customHeight="1" x14ac:dyDescent="0.35">
      <c r="A1645" s="2" t="s">
        <v>46</v>
      </c>
      <c r="B1645" s="2" t="s">
        <v>29</v>
      </c>
      <c r="C1645" s="2" t="s">
        <v>13</v>
      </c>
      <c r="D1645" s="2" t="s">
        <v>14</v>
      </c>
      <c r="E1645" s="2" t="s">
        <v>22</v>
      </c>
      <c r="F1645" s="2" t="s">
        <v>39</v>
      </c>
      <c r="G1645" s="2" t="s">
        <v>24</v>
      </c>
      <c r="H1645" s="2">
        <v>180000</v>
      </c>
      <c r="I1645" s="2">
        <v>2</v>
      </c>
      <c r="J1645" s="2" t="s">
        <v>32</v>
      </c>
      <c r="K1645" s="2">
        <f t="shared" si="175"/>
        <v>144000</v>
      </c>
      <c r="L1645" s="9">
        <f>Table_1[[#This Row],[Unit Price]]*Table_1[[#This Row],[Quantity]]</f>
        <v>360000</v>
      </c>
      <c r="M1645" s="8">
        <f>Table_1[[#This Row],[Cost Price]]*Table_1[[#This Row],[Quantity]]</f>
        <v>288000</v>
      </c>
      <c r="N1645">
        <f>Table_1[[#This Row],[Revenue]]-Table_1[[#This Row],[COGS]]</f>
        <v>72000</v>
      </c>
      <c r="O1645" s="11">
        <f t="shared" si="176"/>
        <v>4656740000</v>
      </c>
      <c r="P1645">
        <f t="shared" si="177"/>
        <v>3725392000</v>
      </c>
      <c r="Q1645">
        <f t="shared" si="178"/>
        <v>931348000</v>
      </c>
      <c r="R1645" s="7">
        <f t="shared" si="179"/>
        <v>2098</v>
      </c>
      <c r="S1645" s="7">
        <f t="shared" si="180"/>
        <v>1</v>
      </c>
      <c r="T1645" s="7">
        <f t="shared" si="181"/>
        <v>2098</v>
      </c>
    </row>
    <row r="1646" spans="1:20" ht="14.25" customHeight="1" x14ac:dyDescent="0.35">
      <c r="A1646" s="2" t="s">
        <v>76</v>
      </c>
      <c r="B1646" s="2" t="s">
        <v>20</v>
      </c>
      <c r="C1646" s="2" t="s">
        <v>21</v>
      </c>
      <c r="D1646" s="2" t="s">
        <v>26</v>
      </c>
      <c r="E1646" s="2" t="s">
        <v>22</v>
      </c>
      <c r="F1646" s="2" t="s">
        <v>47</v>
      </c>
      <c r="G1646" s="2" t="s">
        <v>36</v>
      </c>
      <c r="H1646" s="2">
        <v>150000</v>
      </c>
      <c r="I1646" s="2">
        <v>6</v>
      </c>
      <c r="J1646" s="2" t="s">
        <v>27</v>
      </c>
      <c r="K1646" s="2">
        <f t="shared" si="175"/>
        <v>120000</v>
      </c>
      <c r="L1646" s="9">
        <f>Table_1[[#This Row],[Unit Price]]*Table_1[[#This Row],[Quantity]]</f>
        <v>900000</v>
      </c>
      <c r="M1646" s="8">
        <f>Table_1[[#This Row],[Cost Price]]*Table_1[[#This Row],[Quantity]]</f>
        <v>720000</v>
      </c>
      <c r="N1646">
        <f>Table_1[[#This Row],[Revenue]]-Table_1[[#This Row],[COGS]]</f>
        <v>180000</v>
      </c>
      <c r="O1646" s="11">
        <f t="shared" si="176"/>
        <v>4656740000</v>
      </c>
      <c r="P1646">
        <f t="shared" si="177"/>
        <v>3725392000</v>
      </c>
      <c r="Q1646">
        <f t="shared" si="178"/>
        <v>931348000</v>
      </c>
      <c r="R1646" s="7">
        <f t="shared" si="179"/>
        <v>2098</v>
      </c>
      <c r="S1646" s="7">
        <f t="shared" si="180"/>
        <v>2</v>
      </c>
      <c r="T1646" s="7">
        <f t="shared" si="181"/>
        <v>2098</v>
      </c>
    </row>
    <row r="1647" spans="1:20" ht="14.25" customHeight="1" x14ac:dyDescent="0.35">
      <c r="A1647" s="2" t="s">
        <v>94</v>
      </c>
      <c r="B1647" s="2" t="s">
        <v>29</v>
      </c>
      <c r="C1647" s="2" t="s">
        <v>30</v>
      </c>
      <c r="D1647" s="2" t="s">
        <v>14</v>
      </c>
      <c r="E1647" s="2" t="s">
        <v>22</v>
      </c>
      <c r="F1647" s="2" t="s">
        <v>31</v>
      </c>
      <c r="G1647" s="2" t="s">
        <v>24</v>
      </c>
      <c r="H1647" s="2">
        <v>60000</v>
      </c>
      <c r="I1647" s="2">
        <v>8</v>
      </c>
      <c r="J1647" s="2" t="s">
        <v>50</v>
      </c>
      <c r="K1647" s="2">
        <f t="shared" si="175"/>
        <v>48000</v>
      </c>
      <c r="L1647" s="9">
        <f>Table_1[[#This Row],[Unit Price]]*Table_1[[#This Row],[Quantity]]</f>
        <v>480000</v>
      </c>
      <c r="M1647" s="8">
        <f>Table_1[[#This Row],[Cost Price]]*Table_1[[#This Row],[Quantity]]</f>
        <v>384000</v>
      </c>
      <c r="N1647">
        <f>Table_1[[#This Row],[Revenue]]-Table_1[[#This Row],[COGS]]</f>
        <v>96000</v>
      </c>
      <c r="O1647" s="11">
        <f t="shared" si="176"/>
        <v>4656740000</v>
      </c>
      <c r="P1647">
        <f t="shared" si="177"/>
        <v>3725392000</v>
      </c>
      <c r="Q1647">
        <f t="shared" si="178"/>
        <v>931348000</v>
      </c>
      <c r="R1647" s="7">
        <f t="shared" si="179"/>
        <v>2098</v>
      </c>
      <c r="S1647" s="7">
        <f t="shared" si="180"/>
        <v>3</v>
      </c>
      <c r="T1647" s="7">
        <f t="shared" si="181"/>
        <v>2098</v>
      </c>
    </row>
    <row r="1648" spans="1:20" ht="14.25" customHeight="1" x14ac:dyDescent="0.35">
      <c r="A1648" s="2" t="s">
        <v>87</v>
      </c>
      <c r="B1648" s="2" t="s">
        <v>12</v>
      </c>
      <c r="C1648" s="2" t="s">
        <v>21</v>
      </c>
      <c r="D1648" s="2" t="s">
        <v>14</v>
      </c>
      <c r="E1648" s="2" t="s">
        <v>22</v>
      </c>
      <c r="F1648" s="2" t="s">
        <v>58</v>
      </c>
      <c r="G1648" s="2" t="s">
        <v>24</v>
      </c>
      <c r="H1648" s="2">
        <v>220000</v>
      </c>
      <c r="I1648" s="2">
        <v>9</v>
      </c>
      <c r="J1648" s="2" t="s">
        <v>32</v>
      </c>
      <c r="K1648" s="2">
        <f t="shared" si="175"/>
        <v>176000</v>
      </c>
      <c r="L1648" s="9">
        <f>Table_1[[#This Row],[Unit Price]]*Table_1[[#This Row],[Quantity]]</f>
        <v>1980000</v>
      </c>
      <c r="M1648" s="8">
        <f>Table_1[[#This Row],[Cost Price]]*Table_1[[#This Row],[Quantity]]</f>
        <v>1584000</v>
      </c>
      <c r="N1648">
        <f>Table_1[[#This Row],[Revenue]]-Table_1[[#This Row],[COGS]]</f>
        <v>396000</v>
      </c>
      <c r="O1648" s="11">
        <f t="shared" si="176"/>
        <v>4656740000</v>
      </c>
      <c r="P1648">
        <f t="shared" si="177"/>
        <v>3725392000</v>
      </c>
      <c r="Q1648">
        <f t="shared" si="178"/>
        <v>931348000</v>
      </c>
      <c r="R1648" s="7">
        <f t="shared" si="179"/>
        <v>2098</v>
      </c>
      <c r="S1648" s="7">
        <f t="shared" si="180"/>
        <v>3</v>
      </c>
      <c r="T1648" s="7">
        <f t="shared" si="181"/>
        <v>2098</v>
      </c>
    </row>
    <row r="1649" spans="1:20" ht="14.25" customHeight="1" x14ac:dyDescent="0.35">
      <c r="A1649" s="2" t="s">
        <v>113</v>
      </c>
      <c r="B1649" s="2" t="s">
        <v>34</v>
      </c>
      <c r="C1649" s="2" t="s">
        <v>38</v>
      </c>
      <c r="D1649" s="2" t="s">
        <v>26</v>
      </c>
      <c r="E1649" s="2" t="s">
        <v>15</v>
      </c>
      <c r="F1649" s="2" t="s">
        <v>35</v>
      </c>
      <c r="G1649" s="2" t="s">
        <v>36</v>
      </c>
      <c r="H1649" s="2">
        <v>300000</v>
      </c>
      <c r="I1649" s="2">
        <v>9</v>
      </c>
      <c r="J1649" s="2" t="s">
        <v>43</v>
      </c>
      <c r="K1649" s="2">
        <f t="shared" si="175"/>
        <v>240000</v>
      </c>
      <c r="L1649" s="9">
        <f>Table_1[[#This Row],[Unit Price]]*Table_1[[#This Row],[Quantity]]</f>
        <v>2700000</v>
      </c>
      <c r="M1649" s="8">
        <f>Table_1[[#This Row],[Cost Price]]*Table_1[[#This Row],[Quantity]]</f>
        <v>2160000</v>
      </c>
      <c r="N1649">
        <f>Table_1[[#This Row],[Revenue]]-Table_1[[#This Row],[COGS]]</f>
        <v>540000</v>
      </c>
      <c r="O1649" s="11">
        <f t="shared" si="176"/>
        <v>4656740000</v>
      </c>
      <c r="P1649">
        <f t="shared" si="177"/>
        <v>3725392000</v>
      </c>
      <c r="Q1649">
        <f t="shared" si="178"/>
        <v>931348000</v>
      </c>
      <c r="R1649" s="7">
        <f t="shared" si="179"/>
        <v>2098</v>
      </c>
      <c r="S1649" s="7">
        <f t="shared" si="180"/>
        <v>3</v>
      </c>
      <c r="T1649" s="7">
        <f t="shared" si="181"/>
        <v>2098</v>
      </c>
    </row>
    <row r="1650" spans="1:20" ht="14.25" customHeight="1" x14ac:dyDescent="0.35">
      <c r="A1650" s="2" t="s">
        <v>143</v>
      </c>
      <c r="B1650" s="2" t="s">
        <v>12</v>
      </c>
      <c r="C1650" s="2" t="s">
        <v>38</v>
      </c>
      <c r="D1650" s="2" t="s">
        <v>14</v>
      </c>
      <c r="E1650" s="2" t="s">
        <v>15</v>
      </c>
      <c r="F1650" s="2" t="s">
        <v>52</v>
      </c>
      <c r="G1650" s="2" t="s">
        <v>36</v>
      </c>
      <c r="H1650" s="2">
        <v>420000</v>
      </c>
      <c r="I1650" s="2">
        <v>1</v>
      </c>
      <c r="J1650" s="2" t="s">
        <v>50</v>
      </c>
      <c r="K1650" s="2">
        <f t="shared" si="175"/>
        <v>336000</v>
      </c>
      <c r="L1650" s="9">
        <f>Table_1[[#This Row],[Unit Price]]*Table_1[[#This Row],[Quantity]]</f>
        <v>420000</v>
      </c>
      <c r="M1650" s="8">
        <f>Table_1[[#This Row],[Cost Price]]*Table_1[[#This Row],[Quantity]]</f>
        <v>336000</v>
      </c>
      <c r="N1650">
        <f>Table_1[[#This Row],[Revenue]]-Table_1[[#This Row],[COGS]]</f>
        <v>84000</v>
      </c>
      <c r="O1650" s="11">
        <f t="shared" si="176"/>
        <v>4656740000</v>
      </c>
      <c r="P1650">
        <f t="shared" si="177"/>
        <v>3725392000</v>
      </c>
      <c r="Q1650">
        <f t="shared" si="178"/>
        <v>931348000</v>
      </c>
      <c r="R1650" s="7">
        <f t="shared" si="179"/>
        <v>2098</v>
      </c>
      <c r="S1650" s="7">
        <f t="shared" si="180"/>
        <v>1</v>
      </c>
      <c r="T1650" s="7">
        <f t="shared" si="181"/>
        <v>2098</v>
      </c>
    </row>
    <row r="1651" spans="1:20" ht="14.25" customHeight="1" x14ac:dyDescent="0.35">
      <c r="A1651" s="2" t="s">
        <v>90</v>
      </c>
      <c r="B1651" s="2" t="s">
        <v>29</v>
      </c>
      <c r="C1651" s="2" t="s">
        <v>38</v>
      </c>
      <c r="D1651" s="2" t="s">
        <v>14</v>
      </c>
      <c r="E1651" s="2" t="s">
        <v>22</v>
      </c>
      <c r="F1651" s="2" t="s">
        <v>58</v>
      </c>
      <c r="G1651" s="2" t="s">
        <v>24</v>
      </c>
      <c r="H1651" s="2">
        <v>220000</v>
      </c>
      <c r="I1651" s="2">
        <v>6</v>
      </c>
      <c r="J1651" s="2" t="s">
        <v>43</v>
      </c>
      <c r="K1651" s="2">
        <f t="shared" si="175"/>
        <v>176000</v>
      </c>
      <c r="L1651" s="9">
        <f>Table_1[[#This Row],[Unit Price]]*Table_1[[#This Row],[Quantity]]</f>
        <v>1320000</v>
      </c>
      <c r="M1651" s="8">
        <f>Table_1[[#This Row],[Cost Price]]*Table_1[[#This Row],[Quantity]]</f>
        <v>1056000</v>
      </c>
      <c r="N1651">
        <f>Table_1[[#This Row],[Revenue]]-Table_1[[#This Row],[COGS]]</f>
        <v>264000</v>
      </c>
      <c r="O1651" s="11">
        <f t="shared" si="176"/>
        <v>4656740000</v>
      </c>
      <c r="P1651">
        <f t="shared" si="177"/>
        <v>3725392000</v>
      </c>
      <c r="Q1651">
        <f t="shared" si="178"/>
        <v>931348000</v>
      </c>
      <c r="R1651" s="7">
        <f t="shared" si="179"/>
        <v>2098</v>
      </c>
      <c r="S1651" s="7">
        <f t="shared" si="180"/>
        <v>3</v>
      </c>
      <c r="T1651" s="7">
        <f t="shared" si="181"/>
        <v>2098</v>
      </c>
    </row>
    <row r="1652" spans="1:20" ht="14.25" customHeight="1" x14ac:dyDescent="0.35">
      <c r="A1652" s="2" t="s">
        <v>72</v>
      </c>
      <c r="B1652" s="2" t="s">
        <v>12</v>
      </c>
      <c r="C1652" s="2" t="s">
        <v>21</v>
      </c>
      <c r="D1652" s="2" t="s">
        <v>14</v>
      </c>
      <c r="E1652" s="2" t="s">
        <v>22</v>
      </c>
      <c r="F1652" s="2" t="s">
        <v>23</v>
      </c>
      <c r="G1652" s="2" t="s">
        <v>24</v>
      </c>
      <c r="H1652" s="2">
        <v>30000</v>
      </c>
      <c r="I1652" s="2">
        <v>5</v>
      </c>
      <c r="J1652" s="2" t="s">
        <v>32</v>
      </c>
      <c r="K1652" s="2">
        <f t="shared" si="175"/>
        <v>24000</v>
      </c>
      <c r="L1652" s="9">
        <f>Table_1[[#This Row],[Unit Price]]*Table_1[[#This Row],[Quantity]]</f>
        <v>150000</v>
      </c>
      <c r="M1652" s="8">
        <f>Table_1[[#This Row],[Cost Price]]*Table_1[[#This Row],[Quantity]]</f>
        <v>120000</v>
      </c>
      <c r="N1652">
        <f>Table_1[[#This Row],[Revenue]]-Table_1[[#This Row],[COGS]]</f>
        <v>30000</v>
      </c>
      <c r="O1652" s="11">
        <f t="shared" si="176"/>
        <v>4656740000</v>
      </c>
      <c r="P1652">
        <f t="shared" si="177"/>
        <v>3725392000</v>
      </c>
      <c r="Q1652">
        <f t="shared" si="178"/>
        <v>931348000</v>
      </c>
      <c r="R1652" s="7">
        <f t="shared" si="179"/>
        <v>2098</v>
      </c>
      <c r="S1652" s="7">
        <f t="shared" si="180"/>
        <v>3</v>
      </c>
      <c r="T1652" s="7">
        <f t="shared" si="181"/>
        <v>2098</v>
      </c>
    </row>
    <row r="1653" spans="1:20" ht="14.25" customHeight="1" x14ac:dyDescent="0.35">
      <c r="A1653" s="2" t="s">
        <v>158</v>
      </c>
      <c r="B1653" s="2" t="s">
        <v>34</v>
      </c>
      <c r="C1653" s="2" t="s">
        <v>30</v>
      </c>
      <c r="D1653" s="2" t="s">
        <v>26</v>
      </c>
      <c r="E1653" s="2" t="s">
        <v>15</v>
      </c>
      <c r="F1653" s="2" t="s">
        <v>23</v>
      </c>
      <c r="G1653" s="2" t="s">
        <v>24</v>
      </c>
      <c r="H1653" s="2">
        <v>30000</v>
      </c>
      <c r="I1653" s="2">
        <v>9</v>
      </c>
      <c r="J1653" s="2" t="s">
        <v>32</v>
      </c>
      <c r="K1653" s="2">
        <f t="shared" si="175"/>
        <v>24000</v>
      </c>
      <c r="L1653" s="9">
        <f>Table_1[[#This Row],[Unit Price]]*Table_1[[#This Row],[Quantity]]</f>
        <v>270000</v>
      </c>
      <c r="M1653" s="8">
        <f>Table_1[[#This Row],[Cost Price]]*Table_1[[#This Row],[Quantity]]</f>
        <v>216000</v>
      </c>
      <c r="N1653">
        <f>Table_1[[#This Row],[Revenue]]-Table_1[[#This Row],[COGS]]</f>
        <v>54000</v>
      </c>
      <c r="O1653" s="11">
        <f t="shared" si="176"/>
        <v>4656740000</v>
      </c>
      <c r="P1653">
        <f t="shared" si="177"/>
        <v>3725392000</v>
      </c>
      <c r="Q1653">
        <f t="shared" si="178"/>
        <v>931348000</v>
      </c>
      <c r="R1653" s="7">
        <f t="shared" si="179"/>
        <v>2098</v>
      </c>
      <c r="S1653" s="7">
        <f t="shared" si="180"/>
        <v>3</v>
      </c>
      <c r="T1653" s="7">
        <f t="shared" si="181"/>
        <v>2098</v>
      </c>
    </row>
    <row r="1654" spans="1:20" ht="14.25" customHeight="1" x14ac:dyDescent="0.35">
      <c r="A1654" s="2" t="s">
        <v>76</v>
      </c>
      <c r="B1654" s="2" t="s">
        <v>29</v>
      </c>
      <c r="C1654" s="2" t="s">
        <v>13</v>
      </c>
      <c r="D1654" s="2" t="s">
        <v>14</v>
      </c>
      <c r="E1654" s="2" t="s">
        <v>15</v>
      </c>
      <c r="F1654" s="2" t="s">
        <v>56</v>
      </c>
      <c r="G1654" s="2" t="s">
        <v>36</v>
      </c>
      <c r="H1654" s="2">
        <v>250000</v>
      </c>
      <c r="I1654" s="2">
        <v>1</v>
      </c>
      <c r="J1654" s="2" t="s">
        <v>43</v>
      </c>
      <c r="K1654" s="2">
        <f t="shared" si="175"/>
        <v>200000</v>
      </c>
      <c r="L1654" s="9">
        <f>Table_1[[#This Row],[Unit Price]]*Table_1[[#This Row],[Quantity]]</f>
        <v>250000</v>
      </c>
      <c r="M1654" s="8">
        <f>Table_1[[#This Row],[Cost Price]]*Table_1[[#This Row],[Quantity]]</f>
        <v>200000</v>
      </c>
      <c r="N1654">
        <f>Table_1[[#This Row],[Revenue]]-Table_1[[#This Row],[COGS]]</f>
        <v>50000</v>
      </c>
      <c r="O1654" s="11">
        <f t="shared" si="176"/>
        <v>4656740000</v>
      </c>
      <c r="P1654">
        <f t="shared" si="177"/>
        <v>3725392000</v>
      </c>
      <c r="Q1654">
        <f t="shared" si="178"/>
        <v>931348000</v>
      </c>
      <c r="R1654" s="7">
        <f t="shared" si="179"/>
        <v>2098</v>
      </c>
      <c r="S1654" s="7">
        <f t="shared" si="180"/>
        <v>2</v>
      </c>
      <c r="T1654" s="7">
        <f t="shared" si="181"/>
        <v>2098</v>
      </c>
    </row>
    <row r="1655" spans="1:20" ht="14.25" customHeight="1" x14ac:dyDescent="0.35">
      <c r="A1655" s="2" t="s">
        <v>66</v>
      </c>
      <c r="B1655" s="2" t="s">
        <v>29</v>
      </c>
      <c r="C1655" s="2" t="s">
        <v>38</v>
      </c>
      <c r="D1655" s="2" t="s">
        <v>14</v>
      </c>
      <c r="E1655" s="2" t="s">
        <v>15</v>
      </c>
      <c r="F1655" s="2" t="s">
        <v>58</v>
      </c>
      <c r="G1655" s="2" t="s">
        <v>24</v>
      </c>
      <c r="H1655" s="2">
        <v>220000</v>
      </c>
      <c r="I1655" s="2">
        <v>8</v>
      </c>
      <c r="J1655" s="2" t="s">
        <v>27</v>
      </c>
      <c r="K1655" s="2">
        <f t="shared" si="175"/>
        <v>176000</v>
      </c>
      <c r="L1655" s="9">
        <f>Table_1[[#This Row],[Unit Price]]*Table_1[[#This Row],[Quantity]]</f>
        <v>1760000</v>
      </c>
      <c r="M1655" s="8">
        <f>Table_1[[#This Row],[Cost Price]]*Table_1[[#This Row],[Quantity]]</f>
        <v>1408000</v>
      </c>
      <c r="N1655">
        <f>Table_1[[#This Row],[Revenue]]-Table_1[[#This Row],[COGS]]</f>
        <v>352000</v>
      </c>
      <c r="O1655" s="11">
        <f t="shared" si="176"/>
        <v>4656740000</v>
      </c>
      <c r="P1655">
        <f t="shared" si="177"/>
        <v>3725392000</v>
      </c>
      <c r="Q1655">
        <f t="shared" si="178"/>
        <v>931348000</v>
      </c>
      <c r="R1655" s="7">
        <f t="shared" si="179"/>
        <v>2098</v>
      </c>
      <c r="S1655" s="7">
        <f t="shared" si="180"/>
        <v>3</v>
      </c>
      <c r="T1655" s="7">
        <f t="shared" si="181"/>
        <v>2098</v>
      </c>
    </row>
    <row r="1656" spans="1:20" ht="14.25" customHeight="1" x14ac:dyDescent="0.35">
      <c r="A1656" s="2" t="s">
        <v>139</v>
      </c>
      <c r="B1656" s="2" t="s">
        <v>20</v>
      </c>
      <c r="C1656" s="2" t="s">
        <v>21</v>
      </c>
      <c r="D1656" s="2" t="s">
        <v>14</v>
      </c>
      <c r="E1656" s="2" t="s">
        <v>15</v>
      </c>
      <c r="F1656" s="2" t="s">
        <v>52</v>
      </c>
      <c r="G1656" s="2" t="s">
        <v>36</v>
      </c>
      <c r="H1656" s="2">
        <v>420000</v>
      </c>
      <c r="I1656" s="2">
        <v>8</v>
      </c>
      <c r="J1656" s="2" t="s">
        <v>54</v>
      </c>
      <c r="K1656" s="2">
        <f t="shared" si="175"/>
        <v>336000</v>
      </c>
      <c r="L1656" s="9">
        <f>Table_1[[#This Row],[Unit Price]]*Table_1[[#This Row],[Quantity]]</f>
        <v>3360000</v>
      </c>
      <c r="M1656" s="8">
        <f>Table_1[[#This Row],[Cost Price]]*Table_1[[#This Row],[Quantity]]</f>
        <v>2688000</v>
      </c>
      <c r="N1656">
        <f>Table_1[[#This Row],[Revenue]]-Table_1[[#This Row],[COGS]]</f>
        <v>672000</v>
      </c>
      <c r="O1656" s="11">
        <f t="shared" si="176"/>
        <v>4656740000</v>
      </c>
      <c r="P1656">
        <f t="shared" si="177"/>
        <v>3725392000</v>
      </c>
      <c r="Q1656">
        <f t="shared" si="178"/>
        <v>931348000</v>
      </c>
      <c r="R1656" s="7">
        <f t="shared" si="179"/>
        <v>2098</v>
      </c>
      <c r="S1656" s="7">
        <f t="shared" si="180"/>
        <v>2</v>
      </c>
      <c r="T1656" s="7">
        <f t="shared" si="181"/>
        <v>2098</v>
      </c>
    </row>
    <row r="1657" spans="1:20" ht="14.25" customHeight="1" x14ac:dyDescent="0.35">
      <c r="A1657" s="2" t="s">
        <v>156</v>
      </c>
      <c r="B1657" s="2" t="s">
        <v>34</v>
      </c>
      <c r="C1657" s="2" t="s">
        <v>30</v>
      </c>
      <c r="D1657" s="2" t="s">
        <v>14</v>
      </c>
      <c r="E1657" s="2" t="s">
        <v>15</v>
      </c>
      <c r="F1657" s="2" t="s">
        <v>35</v>
      </c>
      <c r="G1657" s="2" t="s">
        <v>36</v>
      </c>
      <c r="H1657" s="2">
        <v>300000</v>
      </c>
      <c r="I1657" s="2">
        <v>10</v>
      </c>
      <c r="J1657" s="2" t="s">
        <v>43</v>
      </c>
      <c r="K1657" s="2">
        <f t="shared" si="175"/>
        <v>240000</v>
      </c>
      <c r="L1657" s="9">
        <f>Table_1[[#This Row],[Unit Price]]*Table_1[[#This Row],[Quantity]]</f>
        <v>3000000</v>
      </c>
      <c r="M1657" s="8">
        <f>Table_1[[#This Row],[Cost Price]]*Table_1[[#This Row],[Quantity]]</f>
        <v>2400000</v>
      </c>
      <c r="N1657">
        <f>Table_1[[#This Row],[Revenue]]-Table_1[[#This Row],[COGS]]</f>
        <v>600000</v>
      </c>
      <c r="O1657" s="11">
        <f t="shared" si="176"/>
        <v>4656740000</v>
      </c>
      <c r="P1657">
        <f t="shared" si="177"/>
        <v>3725392000</v>
      </c>
      <c r="Q1657">
        <f t="shared" si="178"/>
        <v>931348000</v>
      </c>
      <c r="R1657" s="7">
        <f t="shared" si="179"/>
        <v>2098</v>
      </c>
      <c r="S1657" s="7">
        <f t="shared" si="180"/>
        <v>3</v>
      </c>
      <c r="T1657" s="7">
        <f t="shared" si="181"/>
        <v>2098</v>
      </c>
    </row>
    <row r="1658" spans="1:20" ht="14.25" customHeight="1" x14ac:dyDescent="0.35">
      <c r="A1658" s="2" t="s">
        <v>123</v>
      </c>
      <c r="B1658" s="2" t="s">
        <v>34</v>
      </c>
      <c r="C1658" s="2" t="s">
        <v>38</v>
      </c>
      <c r="D1658" s="2" t="s">
        <v>14</v>
      </c>
      <c r="E1658" s="2" t="s">
        <v>15</v>
      </c>
      <c r="F1658" s="2" t="s">
        <v>47</v>
      </c>
      <c r="G1658" s="2" t="s">
        <v>36</v>
      </c>
      <c r="H1658" s="2">
        <v>150000</v>
      </c>
      <c r="I1658" s="2">
        <v>1</v>
      </c>
      <c r="J1658" s="2" t="s">
        <v>43</v>
      </c>
      <c r="K1658" s="2">
        <f t="shared" si="175"/>
        <v>120000</v>
      </c>
      <c r="L1658" s="9">
        <f>Table_1[[#This Row],[Unit Price]]*Table_1[[#This Row],[Quantity]]</f>
        <v>150000</v>
      </c>
      <c r="M1658" s="8">
        <f>Table_1[[#This Row],[Cost Price]]*Table_1[[#This Row],[Quantity]]</f>
        <v>120000</v>
      </c>
      <c r="N1658">
        <f>Table_1[[#This Row],[Revenue]]-Table_1[[#This Row],[COGS]]</f>
        <v>30000</v>
      </c>
      <c r="O1658" s="11">
        <f t="shared" si="176"/>
        <v>4656740000</v>
      </c>
      <c r="P1658">
        <f t="shared" si="177"/>
        <v>3725392000</v>
      </c>
      <c r="Q1658">
        <f t="shared" si="178"/>
        <v>931348000</v>
      </c>
      <c r="R1658" s="7">
        <f t="shared" si="179"/>
        <v>2098</v>
      </c>
      <c r="S1658" s="7">
        <f t="shared" si="180"/>
        <v>4</v>
      </c>
      <c r="T1658" s="7">
        <f t="shared" si="181"/>
        <v>2098</v>
      </c>
    </row>
    <row r="1659" spans="1:20" ht="14.25" customHeight="1" x14ac:dyDescent="0.35">
      <c r="A1659" s="2" t="s">
        <v>124</v>
      </c>
      <c r="B1659" s="2" t="s">
        <v>34</v>
      </c>
      <c r="C1659" s="2" t="s">
        <v>38</v>
      </c>
      <c r="D1659" s="2" t="s">
        <v>14</v>
      </c>
      <c r="E1659" s="2" t="s">
        <v>22</v>
      </c>
      <c r="F1659" s="2" t="s">
        <v>58</v>
      </c>
      <c r="G1659" s="2" t="s">
        <v>24</v>
      </c>
      <c r="H1659" s="2">
        <v>220000</v>
      </c>
      <c r="I1659" s="2">
        <v>6</v>
      </c>
      <c r="J1659" s="2" t="s">
        <v>32</v>
      </c>
      <c r="K1659" s="2">
        <f t="shared" si="175"/>
        <v>176000</v>
      </c>
      <c r="L1659" s="9">
        <f>Table_1[[#This Row],[Unit Price]]*Table_1[[#This Row],[Quantity]]</f>
        <v>1320000</v>
      </c>
      <c r="M1659" s="8">
        <f>Table_1[[#This Row],[Cost Price]]*Table_1[[#This Row],[Quantity]]</f>
        <v>1056000</v>
      </c>
      <c r="N1659">
        <f>Table_1[[#This Row],[Revenue]]-Table_1[[#This Row],[COGS]]</f>
        <v>264000</v>
      </c>
      <c r="O1659" s="11">
        <f t="shared" si="176"/>
        <v>4656740000</v>
      </c>
      <c r="P1659">
        <f t="shared" si="177"/>
        <v>3725392000</v>
      </c>
      <c r="Q1659">
        <f t="shared" si="178"/>
        <v>931348000</v>
      </c>
      <c r="R1659" s="7">
        <f t="shared" si="179"/>
        <v>2098</v>
      </c>
      <c r="S1659" s="7">
        <f t="shared" si="180"/>
        <v>1</v>
      </c>
      <c r="T1659" s="7">
        <f t="shared" si="181"/>
        <v>2098</v>
      </c>
    </row>
    <row r="1660" spans="1:20" ht="14.25" customHeight="1" x14ac:dyDescent="0.35">
      <c r="A1660" s="2" t="s">
        <v>85</v>
      </c>
      <c r="B1660" s="2" t="s">
        <v>34</v>
      </c>
      <c r="C1660" s="2" t="s">
        <v>21</v>
      </c>
      <c r="D1660" s="2" t="s">
        <v>26</v>
      </c>
      <c r="E1660" s="2" t="s">
        <v>15</v>
      </c>
      <c r="F1660" s="2" t="s">
        <v>39</v>
      </c>
      <c r="G1660" s="2" t="s">
        <v>24</v>
      </c>
      <c r="H1660" s="2">
        <v>180000</v>
      </c>
      <c r="I1660" s="2">
        <v>3</v>
      </c>
      <c r="J1660" s="2" t="s">
        <v>54</v>
      </c>
      <c r="K1660" s="2">
        <f t="shared" si="175"/>
        <v>144000</v>
      </c>
      <c r="L1660" s="9">
        <f>Table_1[[#This Row],[Unit Price]]*Table_1[[#This Row],[Quantity]]</f>
        <v>540000</v>
      </c>
      <c r="M1660" s="8">
        <f>Table_1[[#This Row],[Cost Price]]*Table_1[[#This Row],[Quantity]]</f>
        <v>432000</v>
      </c>
      <c r="N1660">
        <f>Table_1[[#This Row],[Revenue]]-Table_1[[#This Row],[COGS]]</f>
        <v>108000</v>
      </c>
      <c r="O1660" s="11">
        <f t="shared" si="176"/>
        <v>4656740000</v>
      </c>
      <c r="P1660">
        <f t="shared" si="177"/>
        <v>3725392000</v>
      </c>
      <c r="Q1660">
        <f t="shared" si="178"/>
        <v>931348000</v>
      </c>
      <c r="R1660" s="7">
        <f t="shared" si="179"/>
        <v>2098</v>
      </c>
      <c r="S1660" s="7">
        <f t="shared" si="180"/>
        <v>1</v>
      </c>
      <c r="T1660" s="7">
        <f t="shared" si="181"/>
        <v>2098</v>
      </c>
    </row>
    <row r="1661" spans="1:20" ht="14.25" customHeight="1" x14ac:dyDescent="0.35">
      <c r="A1661" s="2" t="s">
        <v>48</v>
      </c>
      <c r="B1661" s="2" t="s">
        <v>34</v>
      </c>
      <c r="C1661" s="2" t="s">
        <v>13</v>
      </c>
      <c r="D1661" s="2" t="s">
        <v>14</v>
      </c>
      <c r="E1661" s="2" t="s">
        <v>22</v>
      </c>
      <c r="F1661" s="2" t="s">
        <v>31</v>
      </c>
      <c r="G1661" s="2" t="s">
        <v>24</v>
      </c>
      <c r="H1661" s="2">
        <v>60000</v>
      </c>
      <c r="I1661" s="2">
        <v>10</v>
      </c>
      <c r="J1661" s="2" t="s">
        <v>43</v>
      </c>
      <c r="K1661" s="2">
        <f t="shared" si="175"/>
        <v>48000</v>
      </c>
      <c r="L1661" s="9">
        <f>Table_1[[#This Row],[Unit Price]]*Table_1[[#This Row],[Quantity]]</f>
        <v>600000</v>
      </c>
      <c r="M1661" s="8">
        <f>Table_1[[#This Row],[Cost Price]]*Table_1[[#This Row],[Quantity]]</f>
        <v>480000</v>
      </c>
      <c r="N1661">
        <f>Table_1[[#This Row],[Revenue]]-Table_1[[#This Row],[COGS]]</f>
        <v>120000</v>
      </c>
      <c r="O1661" s="11">
        <f t="shared" si="176"/>
        <v>4656740000</v>
      </c>
      <c r="P1661">
        <f t="shared" si="177"/>
        <v>3725392000</v>
      </c>
      <c r="Q1661">
        <f t="shared" si="178"/>
        <v>931348000</v>
      </c>
      <c r="R1661" s="7">
        <f t="shared" si="179"/>
        <v>2098</v>
      </c>
      <c r="S1661" s="7">
        <f t="shared" si="180"/>
        <v>1</v>
      </c>
      <c r="T1661" s="7">
        <f t="shared" si="181"/>
        <v>2098</v>
      </c>
    </row>
    <row r="1662" spans="1:20" ht="14.25" customHeight="1" x14ac:dyDescent="0.35">
      <c r="A1662" s="2" t="s">
        <v>91</v>
      </c>
      <c r="B1662" s="2" t="s">
        <v>29</v>
      </c>
      <c r="C1662" s="2" t="s">
        <v>13</v>
      </c>
      <c r="D1662" s="2" t="s">
        <v>26</v>
      </c>
      <c r="E1662" s="2" t="s">
        <v>15</v>
      </c>
      <c r="F1662" s="2" t="s">
        <v>58</v>
      </c>
      <c r="G1662" s="2" t="s">
        <v>24</v>
      </c>
      <c r="H1662" s="2">
        <v>220000</v>
      </c>
      <c r="I1662" s="2">
        <v>1</v>
      </c>
      <c r="J1662" s="2" t="s">
        <v>50</v>
      </c>
      <c r="K1662" s="2">
        <f t="shared" si="175"/>
        <v>176000</v>
      </c>
      <c r="L1662" s="9">
        <f>Table_1[[#This Row],[Unit Price]]*Table_1[[#This Row],[Quantity]]</f>
        <v>220000</v>
      </c>
      <c r="M1662" s="8">
        <f>Table_1[[#This Row],[Cost Price]]*Table_1[[#This Row],[Quantity]]</f>
        <v>176000</v>
      </c>
      <c r="N1662">
        <f>Table_1[[#This Row],[Revenue]]-Table_1[[#This Row],[COGS]]</f>
        <v>44000</v>
      </c>
      <c r="O1662" s="11">
        <f t="shared" si="176"/>
        <v>4656740000</v>
      </c>
      <c r="P1662">
        <f t="shared" si="177"/>
        <v>3725392000</v>
      </c>
      <c r="Q1662">
        <f t="shared" si="178"/>
        <v>931348000</v>
      </c>
      <c r="R1662" s="7">
        <f t="shared" si="179"/>
        <v>2098</v>
      </c>
      <c r="S1662" s="7">
        <f t="shared" si="180"/>
        <v>4</v>
      </c>
      <c r="T1662" s="7">
        <f t="shared" si="181"/>
        <v>2098</v>
      </c>
    </row>
    <row r="1663" spans="1:20" ht="14.25" customHeight="1" x14ac:dyDescent="0.35">
      <c r="A1663" s="2" t="s">
        <v>101</v>
      </c>
      <c r="B1663" s="2" t="s">
        <v>34</v>
      </c>
      <c r="C1663" s="2" t="s">
        <v>30</v>
      </c>
      <c r="D1663" s="2" t="s">
        <v>14</v>
      </c>
      <c r="E1663" s="2" t="s">
        <v>22</v>
      </c>
      <c r="F1663" s="2" t="s">
        <v>56</v>
      </c>
      <c r="G1663" s="2" t="s">
        <v>36</v>
      </c>
      <c r="H1663" s="2">
        <v>250000</v>
      </c>
      <c r="I1663" s="2">
        <v>5</v>
      </c>
      <c r="J1663" s="2" t="s">
        <v>32</v>
      </c>
      <c r="K1663" s="2">
        <f t="shared" si="175"/>
        <v>200000</v>
      </c>
      <c r="L1663" s="9">
        <f>Table_1[[#This Row],[Unit Price]]*Table_1[[#This Row],[Quantity]]</f>
        <v>1250000</v>
      </c>
      <c r="M1663" s="8">
        <f>Table_1[[#This Row],[Cost Price]]*Table_1[[#This Row],[Quantity]]</f>
        <v>1000000</v>
      </c>
      <c r="N1663">
        <f>Table_1[[#This Row],[Revenue]]-Table_1[[#This Row],[COGS]]</f>
        <v>250000</v>
      </c>
      <c r="O1663" s="11">
        <f t="shared" si="176"/>
        <v>4656740000</v>
      </c>
      <c r="P1663">
        <f t="shared" si="177"/>
        <v>3725392000</v>
      </c>
      <c r="Q1663">
        <f t="shared" si="178"/>
        <v>931348000</v>
      </c>
      <c r="R1663" s="7">
        <f t="shared" si="179"/>
        <v>2098</v>
      </c>
      <c r="S1663" s="7">
        <f t="shared" si="180"/>
        <v>4</v>
      </c>
      <c r="T1663" s="7">
        <f t="shared" si="181"/>
        <v>2098</v>
      </c>
    </row>
    <row r="1664" spans="1:20" ht="14.25" customHeight="1" x14ac:dyDescent="0.35">
      <c r="A1664" s="2" t="s">
        <v>128</v>
      </c>
      <c r="B1664" s="2" t="s">
        <v>29</v>
      </c>
      <c r="C1664" s="2" t="s">
        <v>21</v>
      </c>
      <c r="D1664" s="2" t="s">
        <v>26</v>
      </c>
      <c r="E1664" s="2" t="s">
        <v>22</v>
      </c>
      <c r="F1664" s="2" t="s">
        <v>56</v>
      </c>
      <c r="G1664" s="2" t="s">
        <v>36</v>
      </c>
      <c r="H1664" s="2">
        <v>250000</v>
      </c>
      <c r="I1664" s="2">
        <v>8</v>
      </c>
      <c r="J1664" s="2" t="s">
        <v>43</v>
      </c>
      <c r="K1664" s="2">
        <f t="shared" si="175"/>
        <v>200000</v>
      </c>
      <c r="L1664" s="9">
        <f>Table_1[[#This Row],[Unit Price]]*Table_1[[#This Row],[Quantity]]</f>
        <v>2000000</v>
      </c>
      <c r="M1664" s="8">
        <f>Table_1[[#This Row],[Cost Price]]*Table_1[[#This Row],[Quantity]]</f>
        <v>1600000</v>
      </c>
      <c r="N1664">
        <f>Table_1[[#This Row],[Revenue]]-Table_1[[#This Row],[COGS]]</f>
        <v>400000</v>
      </c>
      <c r="O1664" s="11">
        <f t="shared" si="176"/>
        <v>4656740000</v>
      </c>
      <c r="P1664">
        <f t="shared" si="177"/>
        <v>3725392000</v>
      </c>
      <c r="Q1664">
        <f t="shared" si="178"/>
        <v>931348000</v>
      </c>
      <c r="R1664" s="7">
        <f t="shared" si="179"/>
        <v>2098</v>
      </c>
      <c r="S1664" s="7">
        <f t="shared" si="180"/>
        <v>4</v>
      </c>
      <c r="T1664" s="7">
        <f t="shared" si="181"/>
        <v>2098</v>
      </c>
    </row>
    <row r="1665" spans="1:20" ht="14.25" customHeight="1" x14ac:dyDescent="0.35">
      <c r="A1665" s="2" t="s">
        <v>115</v>
      </c>
      <c r="B1665" s="2" t="s">
        <v>12</v>
      </c>
      <c r="C1665" s="2" t="s">
        <v>38</v>
      </c>
      <c r="D1665" s="2" t="s">
        <v>26</v>
      </c>
      <c r="E1665" s="2" t="s">
        <v>15</v>
      </c>
      <c r="F1665" s="2" t="s">
        <v>47</v>
      </c>
      <c r="G1665" s="2" t="s">
        <v>36</v>
      </c>
      <c r="H1665" s="2">
        <v>150000</v>
      </c>
      <c r="I1665" s="2">
        <v>4</v>
      </c>
      <c r="J1665" s="2" t="s">
        <v>27</v>
      </c>
      <c r="K1665" s="2">
        <f t="shared" si="175"/>
        <v>120000</v>
      </c>
      <c r="L1665" s="9">
        <f>Table_1[[#This Row],[Unit Price]]*Table_1[[#This Row],[Quantity]]</f>
        <v>600000</v>
      </c>
      <c r="M1665" s="8">
        <f>Table_1[[#This Row],[Cost Price]]*Table_1[[#This Row],[Quantity]]</f>
        <v>480000</v>
      </c>
      <c r="N1665">
        <f>Table_1[[#This Row],[Revenue]]-Table_1[[#This Row],[COGS]]</f>
        <v>120000</v>
      </c>
      <c r="O1665" s="11">
        <f t="shared" si="176"/>
        <v>4656740000</v>
      </c>
      <c r="P1665">
        <f t="shared" si="177"/>
        <v>3725392000</v>
      </c>
      <c r="Q1665">
        <f t="shared" si="178"/>
        <v>931348000</v>
      </c>
      <c r="R1665" s="7">
        <f t="shared" si="179"/>
        <v>2098</v>
      </c>
      <c r="S1665" s="7">
        <f t="shared" si="180"/>
        <v>1</v>
      </c>
      <c r="T1665" s="7">
        <f t="shared" si="181"/>
        <v>2098</v>
      </c>
    </row>
    <row r="1666" spans="1:20" ht="14.25" customHeight="1" x14ac:dyDescent="0.35">
      <c r="A1666" s="2" t="s">
        <v>138</v>
      </c>
      <c r="B1666" s="2" t="s">
        <v>29</v>
      </c>
      <c r="C1666" s="2" t="s">
        <v>21</v>
      </c>
      <c r="D1666" s="2" t="s">
        <v>14</v>
      </c>
      <c r="E1666" s="2" t="s">
        <v>15</v>
      </c>
      <c r="F1666" s="2" t="s">
        <v>58</v>
      </c>
      <c r="G1666" s="2" t="s">
        <v>24</v>
      </c>
      <c r="H1666" s="2">
        <v>220000</v>
      </c>
      <c r="I1666" s="2">
        <v>3</v>
      </c>
      <c r="J1666" s="2" t="s">
        <v>50</v>
      </c>
      <c r="K1666" s="2">
        <f t="shared" ref="K1666:K1729" si="182">H1666-H1666*0.2</f>
        <v>176000</v>
      </c>
      <c r="L1666" s="9">
        <f>Table_1[[#This Row],[Unit Price]]*Table_1[[#This Row],[Quantity]]</f>
        <v>660000</v>
      </c>
      <c r="M1666" s="8">
        <f>Table_1[[#This Row],[Cost Price]]*Table_1[[#This Row],[Quantity]]</f>
        <v>528000</v>
      </c>
      <c r="N1666">
        <f>Table_1[[#This Row],[Revenue]]-Table_1[[#This Row],[COGS]]</f>
        <v>132000</v>
      </c>
      <c r="O1666" s="11">
        <f t="shared" ref="O1666:O1729" si="183">SUM(L$2:L$1048576)</f>
        <v>4656740000</v>
      </c>
      <c r="P1666">
        <f t="shared" ref="P1666:P1729" si="184">SUM(M:M)</f>
        <v>3725392000</v>
      </c>
      <c r="Q1666">
        <f t="shared" ref="Q1666:Q1729" si="185">SUM(N:N)</f>
        <v>931348000</v>
      </c>
      <c r="R1666" s="7">
        <f t="shared" ref="R1666:R1729" si="186">COUNTA(A$2:A$1048576)</f>
        <v>2098</v>
      </c>
      <c r="S1666" s="7">
        <f t="shared" ref="S1666:S1729" si="187">MONTH(A1666:A3154)</f>
        <v>3</v>
      </c>
      <c r="T1666" s="7">
        <f t="shared" ref="T1666:T1729" si="188">COUNTA(A:A)-1</f>
        <v>2098</v>
      </c>
    </row>
    <row r="1667" spans="1:20" ht="14.25" customHeight="1" x14ac:dyDescent="0.35">
      <c r="A1667" s="2" t="s">
        <v>48</v>
      </c>
      <c r="B1667" s="2" t="s">
        <v>29</v>
      </c>
      <c r="C1667" s="2" t="s">
        <v>30</v>
      </c>
      <c r="D1667" s="2" t="s">
        <v>14</v>
      </c>
      <c r="E1667" s="2" t="s">
        <v>15</v>
      </c>
      <c r="F1667" s="2" t="s">
        <v>39</v>
      </c>
      <c r="G1667" s="2" t="s">
        <v>24</v>
      </c>
      <c r="H1667" s="2">
        <v>180000</v>
      </c>
      <c r="I1667" s="2">
        <v>7</v>
      </c>
      <c r="J1667" s="2" t="s">
        <v>50</v>
      </c>
      <c r="K1667" s="2">
        <f t="shared" si="182"/>
        <v>144000</v>
      </c>
      <c r="L1667" s="9">
        <f>Table_1[[#This Row],[Unit Price]]*Table_1[[#This Row],[Quantity]]</f>
        <v>1260000</v>
      </c>
      <c r="M1667" s="8">
        <f>Table_1[[#This Row],[Cost Price]]*Table_1[[#This Row],[Quantity]]</f>
        <v>1008000</v>
      </c>
      <c r="N1667">
        <f>Table_1[[#This Row],[Revenue]]-Table_1[[#This Row],[COGS]]</f>
        <v>252000</v>
      </c>
      <c r="O1667" s="11">
        <f t="shared" si="183"/>
        <v>4656740000</v>
      </c>
      <c r="P1667">
        <f t="shared" si="184"/>
        <v>3725392000</v>
      </c>
      <c r="Q1667">
        <f t="shared" si="185"/>
        <v>931348000</v>
      </c>
      <c r="R1667" s="7">
        <f t="shared" si="186"/>
        <v>2098</v>
      </c>
      <c r="S1667" s="7">
        <f t="shared" si="187"/>
        <v>1</v>
      </c>
      <c r="T1667" s="7">
        <f t="shared" si="188"/>
        <v>2098</v>
      </c>
    </row>
    <row r="1668" spans="1:20" ht="14.25" customHeight="1" x14ac:dyDescent="0.35">
      <c r="A1668" s="2" t="s">
        <v>160</v>
      </c>
      <c r="B1668" s="2" t="s">
        <v>29</v>
      </c>
      <c r="C1668" s="2" t="s">
        <v>21</v>
      </c>
      <c r="D1668" s="2" t="s">
        <v>26</v>
      </c>
      <c r="E1668" s="2" t="s">
        <v>22</v>
      </c>
      <c r="F1668" s="2" t="s">
        <v>47</v>
      </c>
      <c r="G1668" s="2" t="s">
        <v>36</v>
      </c>
      <c r="H1668" s="2">
        <v>150000</v>
      </c>
      <c r="I1668" s="2">
        <v>4</v>
      </c>
      <c r="J1668" s="2" t="s">
        <v>43</v>
      </c>
      <c r="K1668" s="2">
        <f t="shared" si="182"/>
        <v>120000</v>
      </c>
      <c r="L1668" s="9">
        <f>Table_1[[#This Row],[Unit Price]]*Table_1[[#This Row],[Quantity]]</f>
        <v>600000</v>
      </c>
      <c r="M1668" s="8">
        <f>Table_1[[#This Row],[Cost Price]]*Table_1[[#This Row],[Quantity]]</f>
        <v>480000</v>
      </c>
      <c r="N1668">
        <f>Table_1[[#This Row],[Revenue]]-Table_1[[#This Row],[COGS]]</f>
        <v>120000</v>
      </c>
      <c r="O1668" s="11">
        <f t="shared" si="183"/>
        <v>4656740000</v>
      </c>
      <c r="P1668">
        <f t="shared" si="184"/>
        <v>3725392000</v>
      </c>
      <c r="Q1668">
        <f t="shared" si="185"/>
        <v>931348000</v>
      </c>
      <c r="R1668" s="7">
        <f t="shared" si="186"/>
        <v>2098</v>
      </c>
      <c r="S1668" s="7">
        <f t="shared" si="187"/>
        <v>1</v>
      </c>
      <c r="T1668" s="7">
        <f t="shared" si="188"/>
        <v>2098</v>
      </c>
    </row>
    <row r="1669" spans="1:20" ht="14.25" customHeight="1" x14ac:dyDescent="0.35">
      <c r="A1669" s="2" t="s">
        <v>109</v>
      </c>
      <c r="B1669" s="2" t="s">
        <v>20</v>
      </c>
      <c r="C1669" s="2" t="s">
        <v>30</v>
      </c>
      <c r="D1669" s="2" t="s">
        <v>26</v>
      </c>
      <c r="E1669" s="2" t="s">
        <v>15</v>
      </c>
      <c r="F1669" s="2" t="s">
        <v>47</v>
      </c>
      <c r="G1669" s="2" t="s">
        <v>36</v>
      </c>
      <c r="H1669" s="2">
        <v>150000</v>
      </c>
      <c r="I1669" s="2">
        <v>10</v>
      </c>
      <c r="J1669" s="2" t="s">
        <v>27</v>
      </c>
      <c r="K1669" s="2">
        <f t="shared" si="182"/>
        <v>120000</v>
      </c>
      <c r="L1669" s="9">
        <f>Table_1[[#This Row],[Unit Price]]*Table_1[[#This Row],[Quantity]]</f>
        <v>1500000</v>
      </c>
      <c r="M1669" s="8">
        <f>Table_1[[#This Row],[Cost Price]]*Table_1[[#This Row],[Quantity]]</f>
        <v>1200000</v>
      </c>
      <c r="N1669">
        <f>Table_1[[#This Row],[Revenue]]-Table_1[[#This Row],[COGS]]</f>
        <v>300000</v>
      </c>
      <c r="O1669" s="11">
        <f t="shared" si="183"/>
        <v>4656740000</v>
      </c>
      <c r="P1669">
        <f t="shared" si="184"/>
        <v>3725392000</v>
      </c>
      <c r="Q1669">
        <f t="shared" si="185"/>
        <v>931348000</v>
      </c>
      <c r="R1669" s="7">
        <f t="shared" si="186"/>
        <v>2098</v>
      </c>
      <c r="S1669" s="7">
        <f t="shared" si="187"/>
        <v>2</v>
      </c>
      <c r="T1669" s="7">
        <f t="shared" si="188"/>
        <v>2098</v>
      </c>
    </row>
    <row r="1670" spans="1:20" ht="14.25" customHeight="1" x14ac:dyDescent="0.35">
      <c r="A1670" s="2" t="s">
        <v>64</v>
      </c>
      <c r="B1670" s="2" t="s">
        <v>12</v>
      </c>
      <c r="C1670" s="2" t="s">
        <v>21</v>
      </c>
      <c r="D1670" s="2" t="s">
        <v>14</v>
      </c>
      <c r="E1670" s="2" t="s">
        <v>15</v>
      </c>
      <c r="F1670" s="2" t="s">
        <v>47</v>
      </c>
      <c r="G1670" s="2" t="s">
        <v>36</v>
      </c>
      <c r="H1670" s="2">
        <v>150000</v>
      </c>
      <c r="I1670" s="2">
        <v>1</v>
      </c>
      <c r="J1670" s="2" t="s">
        <v>54</v>
      </c>
      <c r="K1670" s="2">
        <f t="shared" si="182"/>
        <v>120000</v>
      </c>
      <c r="L1670" s="9">
        <f>Table_1[[#This Row],[Unit Price]]*Table_1[[#This Row],[Quantity]]</f>
        <v>150000</v>
      </c>
      <c r="M1670" s="8">
        <f>Table_1[[#This Row],[Cost Price]]*Table_1[[#This Row],[Quantity]]</f>
        <v>120000</v>
      </c>
      <c r="N1670">
        <f>Table_1[[#This Row],[Revenue]]-Table_1[[#This Row],[COGS]]</f>
        <v>30000</v>
      </c>
      <c r="O1670" s="11">
        <f t="shared" si="183"/>
        <v>4656740000</v>
      </c>
      <c r="P1670">
        <f t="shared" si="184"/>
        <v>3725392000</v>
      </c>
      <c r="Q1670">
        <f t="shared" si="185"/>
        <v>931348000</v>
      </c>
      <c r="R1670" s="7">
        <f t="shared" si="186"/>
        <v>2098</v>
      </c>
      <c r="S1670" s="7">
        <f t="shared" si="187"/>
        <v>2</v>
      </c>
      <c r="T1670" s="7">
        <f t="shared" si="188"/>
        <v>2098</v>
      </c>
    </row>
    <row r="1671" spans="1:20" ht="14.25" customHeight="1" x14ac:dyDescent="0.35">
      <c r="A1671" s="2" t="s">
        <v>109</v>
      </c>
      <c r="B1671" s="2" t="s">
        <v>34</v>
      </c>
      <c r="C1671" s="2" t="s">
        <v>30</v>
      </c>
      <c r="D1671" s="2" t="s">
        <v>26</v>
      </c>
      <c r="E1671" s="2" t="s">
        <v>22</v>
      </c>
      <c r="F1671" s="2" t="s">
        <v>47</v>
      </c>
      <c r="G1671" s="2" t="s">
        <v>36</v>
      </c>
      <c r="H1671" s="2">
        <v>150000</v>
      </c>
      <c r="I1671" s="2">
        <v>4</v>
      </c>
      <c r="J1671" s="2" t="s">
        <v>27</v>
      </c>
      <c r="K1671" s="2">
        <f t="shared" si="182"/>
        <v>120000</v>
      </c>
      <c r="L1671" s="9">
        <f>Table_1[[#This Row],[Unit Price]]*Table_1[[#This Row],[Quantity]]</f>
        <v>600000</v>
      </c>
      <c r="M1671" s="8">
        <f>Table_1[[#This Row],[Cost Price]]*Table_1[[#This Row],[Quantity]]</f>
        <v>480000</v>
      </c>
      <c r="N1671">
        <f>Table_1[[#This Row],[Revenue]]-Table_1[[#This Row],[COGS]]</f>
        <v>120000</v>
      </c>
      <c r="O1671" s="11">
        <f t="shared" si="183"/>
        <v>4656740000</v>
      </c>
      <c r="P1671">
        <f t="shared" si="184"/>
        <v>3725392000</v>
      </c>
      <c r="Q1671">
        <f t="shared" si="185"/>
        <v>931348000</v>
      </c>
      <c r="R1671" s="7">
        <f t="shared" si="186"/>
        <v>2098</v>
      </c>
      <c r="S1671" s="7">
        <f t="shared" si="187"/>
        <v>2</v>
      </c>
      <c r="T1671" s="7">
        <f t="shared" si="188"/>
        <v>2098</v>
      </c>
    </row>
    <row r="1672" spans="1:20" ht="14.25" customHeight="1" x14ac:dyDescent="0.35">
      <c r="A1672" s="2" t="s">
        <v>45</v>
      </c>
      <c r="B1672" s="2" t="s">
        <v>12</v>
      </c>
      <c r="C1672" s="2" t="s">
        <v>30</v>
      </c>
      <c r="D1672" s="2" t="s">
        <v>26</v>
      </c>
      <c r="E1672" s="2" t="s">
        <v>15</v>
      </c>
      <c r="F1672" s="2" t="s">
        <v>31</v>
      </c>
      <c r="G1672" s="2" t="s">
        <v>24</v>
      </c>
      <c r="H1672" s="2">
        <v>60000</v>
      </c>
      <c r="I1672" s="2">
        <v>5</v>
      </c>
      <c r="J1672" s="2" t="s">
        <v>50</v>
      </c>
      <c r="K1672" s="2">
        <f t="shared" si="182"/>
        <v>48000</v>
      </c>
      <c r="L1672" s="9">
        <f>Table_1[[#This Row],[Unit Price]]*Table_1[[#This Row],[Quantity]]</f>
        <v>300000</v>
      </c>
      <c r="M1672" s="8">
        <f>Table_1[[#This Row],[Cost Price]]*Table_1[[#This Row],[Quantity]]</f>
        <v>240000</v>
      </c>
      <c r="N1672">
        <f>Table_1[[#This Row],[Revenue]]-Table_1[[#This Row],[COGS]]</f>
        <v>60000</v>
      </c>
      <c r="O1672" s="11">
        <f t="shared" si="183"/>
        <v>4656740000</v>
      </c>
      <c r="P1672">
        <f t="shared" si="184"/>
        <v>3725392000</v>
      </c>
      <c r="Q1672">
        <f t="shared" si="185"/>
        <v>931348000</v>
      </c>
      <c r="R1672" s="7">
        <f t="shared" si="186"/>
        <v>2098</v>
      </c>
      <c r="S1672" s="7">
        <f t="shared" si="187"/>
        <v>3</v>
      </c>
      <c r="T1672" s="7">
        <f t="shared" si="188"/>
        <v>2098</v>
      </c>
    </row>
    <row r="1673" spans="1:20" ht="14.25" customHeight="1" x14ac:dyDescent="0.35">
      <c r="A1673" s="2" t="s">
        <v>154</v>
      </c>
      <c r="B1673" s="2" t="s">
        <v>29</v>
      </c>
      <c r="C1673" s="2" t="s">
        <v>38</v>
      </c>
      <c r="D1673" s="2" t="s">
        <v>14</v>
      </c>
      <c r="E1673" s="2" t="s">
        <v>22</v>
      </c>
      <c r="F1673" s="2" t="s">
        <v>58</v>
      </c>
      <c r="G1673" s="2" t="s">
        <v>24</v>
      </c>
      <c r="H1673" s="2">
        <v>220000</v>
      </c>
      <c r="I1673" s="2">
        <v>7</v>
      </c>
      <c r="J1673" s="2" t="s">
        <v>18</v>
      </c>
      <c r="K1673" s="2">
        <f t="shared" si="182"/>
        <v>176000</v>
      </c>
      <c r="L1673" s="9">
        <f>Table_1[[#This Row],[Unit Price]]*Table_1[[#This Row],[Quantity]]</f>
        <v>1540000</v>
      </c>
      <c r="M1673" s="8">
        <f>Table_1[[#This Row],[Cost Price]]*Table_1[[#This Row],[Quantity]]</f>
        <v>1232000</v>
      </c>
      <c r="N1673">
        <f>Table_1[[#This Row],[Revenue]]-Table_1[[#This Row],[COGS]]</f>
        <v>308000</v>
      </c>
      <c r="O1673" s="11">
        <f t="shared" si="183"/>
        <v>4656740000</v>
      </c>
      <c r="P1673">
        <f t="shared" si="184"/>
        <v>3725392000</v>
      </c>
      <c r="Q1673">
        <f t="shared" si="185"/>
        <v>931348000</v>
      </c>
      <c r="R1673" s="7">
        <f t="shared" si="186"/>
        <v>2098</v>
      </c>
      <c r="S1673" s="7">
        <f t="shared" si="187"/>
        <v>2</v>
      </c>
      <c r="T1673" s="7">
        <f t="shared" si="188"/>
        <v>2098</v>
      </c>
    </row>
    <row r="1674" spans="1:20" ht="14.25" customHeight="1" x14ac:dyDescent="0.35">
      <c r="A1674" s="2" t="s">
        <v>145</v>
      </c>
      <c r="B1674" s="2" t="s">
        <v>34</v>
      </c>
      <c r="C1674" s="2" t="s">
        <v>21</v>
      </c>
      <c r="D1674" s="2" t="s">
        <v>14</v>
      </c>
      <c r="E1674" s="2" t="s">
        <v>22</v>
      </c>
      <c r="F1674" s="2" t="s">
        <v>47</v>
      </c>
      <c r="G1674" s="2" t="s">
        <v>36</v>
      </c>
      <c r="H1674" s="2">
        <v>150000</v>
      </c>
      <c r="I1674" s="2">
        <v>4</v>
      </c>
      <c r="J1674" s="2" t="s">
        <v>54</v>
      </c>
      <c r="K1674" s="2">
        <f t="shared" si="182"/>
        <v>120000</v>
      </c>
      <c r="L1674" s="9">
        <f>Table_1[[#This Row],[Unit Price]]*Table_1[[#This Row],[Quantity]]</f>
        <v>600000</v>
      </c>
      <c r="M1674" s="8">
        <f>Table_1[[#This Row],[Cost Price]]*Table_1[[#This Row],[Quantity]]</f>
        <v>480000</v>
      </c>
      <c r="N1674">
        <f>Table_1[[#This Row],[Revenue]]-Table_1[[#This Row],[COGS]]</f>
        <v>120000</v>
      </c>
      <c r="O1674" s="11">
        <f t="shared" si="183"/>
        <v>4656740000</v>
      </c>
      <c r="P1674">
        <f t="shared" si="184"/>
        <v>3725392000</v>
      </c>
      <c r="Q1674">
        <f t="shared" si="185"/>
        <v>931348000</v>
      </c>
      <c r="R1674" s="7">
        <f t="shared" si="186"/>
        <v>2098</v>
      </c>
      <c r="S1674" s="7">
        <f t="shared" si="187"/>
        <v>1</v>
      </c>
      <c r="T1674" s="7">
        <f t="shared" si="188"/>
        <v>2098</v>
      </c>
    </row>
    <row r="1675" spans="1:20" ht="14.25" customHeight="1" x14ac:dyDescent="0.35">
      <c r="A1675" s="2" t="s">
        <v>101</v>
      </c>
      <c r="B1675" s="2" t="s">
        <v>20</v>
      </c>
      <c r="C1675" s="2" t="s">
        <v>30</v>
      </c>
      <c r="D1675" s="2" t="s">
        <v>26</v>
      </c>
      <c r="E1675" s="2" t="s">
        <v>15</v>
      </c>
      <c r="F1675" s="2" t="s">
        <v>41</v>
      </c>
      <c r="G1675" s="2" t="s">
        <v>17</v>
      </c>
      <c r="H1675" s="2">
        <v>320000</v>
      </c>
      <c r="I1675" s="2">
        <v>6</v>
      </c>
      <c r="J1675" s="2" t="s">
        <v>18</v>
      </c>
      <c r="K1675" s="2">
        <f t="shared" si="182"/>
        <v>256000</v>
      </c>
      <c r="L1675" s="9">
        <f>Table_1[[#This Row],[Unit Price]]*Table_1[[#This Row],[Quantity]]</f>
        <v>1920000</v>
      </c>
      <c r="M1675" s="8">
        <f>Table_1[[#This Row],[Cost Price]]*Table_1[[#This Row],[Quantity]]</f>
        <v>1536000</v>
      </c>
      <c r="N1675">
        <f>Table_1[[#This Row],[Revenue]]-Table_1[[#This Row],[COGS]]</f>
        <v>384000</v>
      </c>
      <c r="O1675" s="11">
        <f t="shared" si="183"/>
        <v>4656740000</v>
      </c>
      <c r="P1675">
        <f t="shared" si="184"/>
        <v>3725392000</v>
      </c>
      <c r="Q1675">
        <f t="shared" si="185"/>
        <v>931348000</v>
      </c>
      <c r="R1675" s="7">
        <f t="shared" si="186"/>
        <v>2098</v>
      </c>
      <c r="S1675" s="7">
        <f t="shared" si="187"/>
        <v>4</v>
      </c>
      <c r="T1675" s="7">
        <f t="shared" si="188"/>
        <v>2098</v>
      </c>
    </row>
    <row r="1676" spans="1:20" ht="14.25" customHeight="1" x14ac:dyDescent="0.35">
      <c r="A1676" s="2" t="s">
        <v>81</v>
      </c>
      <c r="B1676" s="2" t="s">
        <v>29</v>
      </c>
      <c r="C1676" s="2" t="s">
        <v>13</v>
      </c>
      <c r="D1676" s="2" t="s">
        <v>14</v>
      </c>
      <c r="E1676" s="2" t="s">
        <v>22</v>
      </c>
      <c r="F1676" s="2" t="s">
        <v>41</v>
      </c>
      <c r="G1676" s="2" t="s">
        <v>17</v>
      </c>
      <c r="H1676" s="2">
        <v>320000</v>
      </c>
      <c r="I1676" s="2">
        <v>6</v>
      </c>
      <c r="J1676" s="2" t="s">
        <v>50</v>
      </c>
      <c r="K1676" s="2">
        <f t="shared" si="182"/>
        <v>256000</v>
      </c>
      <c r="L1676" s="9">
        <f>Table_1[[#This Row],[Unit Price]]*Table_1[[#This Row],[Quantity]]</f>
        <v>1920000</v>
      </c>
      <c r="M1676" s="8">
        <f>Table_1[[#This Row],[Cost Price]]*Table_1[[#This Row],[Quantity]]</f>
        <v>1536000</v>
      </c>
      <c r="N1676">
        <f>Table_1[[#This Row],[Revenue]]-Table_1[[#This Row],[COGS]]</f>
        <v>384000</v>
      </c>
      <c r="O1676" s="11">
        <f t="shared" si="183"/>
        <v>4656740000</v>
      </c>
      <c r="P1676">
        <f t="shared" si="184"/>
        <v>3725392000</v>
      </c>
      <c r="Q1676">
        <f t="shared" si="185"/>
        <v>931348000</v>
      </c>
      <c r="R1676" s="7">
        <f t="shared" si="186"/>
        <v>2098</v>
      </c>
      <c r="S1676" s="7">
        <f t="shared" si="187"/>
        <v>3</v>
      </c>
      <c r="T1676" s="7">
        <f t="shared" si="188"/>
        <v>2098</v>
      </c>
    </row>
    <row r="1677" spans="1:20" ht="14.25" customHeight="1" x14ac:dyDescent="0.35">
      <c r="A1677" s="2" t="s">
        <v>25</v>
      </c>
      <c r="B1677" s="2" t="s">
        <v>12</v>
      </c>
      <c r="C1677" s="2" t="s">
        <v>13</v>
      </c>
      <c r="D1677" s="2" t="s">
        <v>26</v>
      </c>
      <c r="E1677" s="2" t="s">
        <v>22</v>
      </c>
      <c r="F1677" s="2" t="s">
        <v>31</v>
      </c>
      <c r="G1677" s="2" t="s">
        <v>24</v>
      </c>
      <c r="H1677" s="2">
        <v>60000</v>
      </c>
      <c r="I1677" s="2">
        <v>4</v>
      </c>
      <c r="J1677" s="2" t="s">
        <v>50</v>
      </c>
      <c r="K1677" s="2">
        <f t="shared" si="182"/>
        <v>48000</v>
      </c>
      <c r="L1677" s="9">
        <f>Table_1[[#This Row],[Unit Price]]*Table_1[[#This Row],[Quantity]]</f>
        <v>240000</v>
      </c>
      <c r="M1677" s="8">
        <f>Table_1[[#This Row],[Cost Price]]*Table_1[[#This Row],[Quantity]]</f>
        <v>192000</v>
      </c>
      <c r="N1677">
        <f>Table_1[[#This Row],[Revenue]]-Table_1[[#This Row],[COGS]]</f>
        <v>48000</v>
      </c>
      <c r="O1677" s="11">
        <f t="shared" si="183"/>
        <v>4656740000</v>
      </c>
      <c r="P1677">
        <f t="shared" si="184"/>
        <v>3725392000</v>
      </c>
      <c r="Q1677">
        <f t="shared" si="185"/>
        <v>931348000</v>
      </c>
      <c r="R1677" s="7">
        <f t="shared" si="186"/>
        <v>2098</v>
      </c>
      <c r="S1677" s="7">
        <f t="shared" si="187"/>
        <v>2</v>
      </c>
      <c r="T1677" s="7">
        <f t="shared" si="188"/>
        <v>2098</v>
      </c>
    </row>
    <row r="1678" spans="1:20" ht="14.25" customHeight="1" x14ac:dyDescent="0.35">
      <c r="A1678" s="2" t="s">
        <v>122</v>
      </c>
      <c r="B1678" s="2" t="s">
        <v>34</v>
      </c>
      <c r="C1678" s="2" t="s">
        <v>21</v>
      </c>
      <c r="D1678" s="2" t="s">
        <v>14</v>
      </c>
      <c r="E1678" s="2" t="s">
        <v>15</v>
      </c>
      <c r="F1678" s="2" t="s">
        <v>16</v>
      </c>
      <c r="G1678" s="2" t="s">
        <v>17</v>
      </c>
      <c r="H1678" s="2">
        <v>85000</v>
      </c>
      <c r="I1678" s="2">
        <v>8</v>
      </c>
      <c r="J1678" s="2" t="s">
        <v>27</v>
      </c>
      <c r="K1678" s="2">
        <f t="shared" si="182"/>
        <v>68000</v>
      </c>
      <c r="L1678" s="9">
        <f>Table_1[[#This Row],[Unit Price]]*Table_1[[#This Row],[Quantity]]</f>
        <v>680000</v>
      </c>
      <c r="M1678" s="8">
        <f>Table_1[[#This Row],[Cost Price]]*Table_1[[#This Row],[Quantity]]</f>
        <v>544000</v>
      </c>
      <c r="N1678">
        <f>Table_1[[#This Row],[Revenue]]-Table_1[[#This Row],[COGS]]</f>
        <v>136000</v>
      </c>
      <c r="O1678" s="11">
        <f t="shared" si="183"/>
        <v>4656740000</v>
      </c>
      <c r="P1678">
        <f t="shared" si="184"/>
        <v>3725392000</v>
      </c>
      <c r="Q1678">
        <f t="shared" si="185"/>
        <v>931348000</v>
      </c>
      <c r="R1678" s="7">
        <f t="shared" si="186"/>
        <v>2098</v>
      </c>
      <c r="S1678" s="7">
        <f t="shared" si="187"/>
        <v>4</v>
      </c>
      <c r="T1678" s="7">
        <f t="shared" si="188"/>
        <v>2098</v>
      </c>
    </row>
    <row r="1679" spans="1:20" ht="14.25" customHeight="1" x14ac:dyDescent="0.35">
      <c r="A1679" s="2" t="s">
        <v>159</v>
      </c>
      <c r="B1679" s="2" t="s">
        <v>29</v>
      </c>
      <c r="C1679" s="2" t="s">
        <v>30</v>
      </c>
      <c r="D1679" s="2" t="s">
        <v>26</v>
      </c>
      <c r="E1679" s="2" t="s">
        <v>15</v>
      </c>
      <c r="F1679" s="2" t="s">
        <v>16</v>
      </c>
      <c r="G1679" s="2" t="s">
        <v>17</v>
      </c>
      <c r="H1679" s="2">
        <v>85000</v>
      </c>
      <c r="I1679" s="2">
        <v>2</v>
      </c>
      <c r="J1679" s="2" t="s">
        <v>54</v>
      </c>
      <c r="K1679" s="2">
        <f t="shared" si="182"/>
        <v>68000</v>
      </c>
      <c r="L1679" s="9">
        <f>Table_1[[#This Row],[Unit Price]]*Table_1[[#This Row],[Quantity]]</f>
        <v>170000</v>
      </c>
      <c r="M1679" s="8">
        <f>Table_1[[#This Row],[Cost Price]]*Table_1[[#This Row],[Quantity]]</f>
        <v>136000</v>
      </c>
      <c r="N1679">
        <f>Table_1[[#This Row],[Revenue]]-Table_1[[#This Row],[COGS]]</f>
        <v>34000</v>
      </c>
      <c r="O1679" s="11">
        <f t="shared" si="183"/>
        <v>4656740000</v>
      </c>
      <c r="P1679">
        <f t="shared" si="184"/>
        <v>3725392000</v>
      </c>
      <c r="Q1679">
        <f t="shared" si="185"/>
        <v>931348000</v>
      </c>
      <c r="R1679" s="7">
        <f t="shared" si="186"/>
        <v>2098</v>
      </c>
      <c r="S1679" s="7">
        <f t="shared" si="187"/>
        <v>2</v>
      </c>
      <c r="T1679" s="7">
        <f t="shared" si="188"/>
        <v>2098</v>
      </c>
    </row>
    <row r="1680" spans="1:20" ht="14.25" customHeight="1" x14ac:dyDescent="0.35">
      <c r="A1680" s="2" t="s">
        <v>65</v>
      </c>
      <c r="B1680" s="2" t="s">
        <v>34</v>
      </c>
      <c r="C1680" s="2" t="s">
        <v>30</v>
      </c>
      <c r="D1680" s="2" t="s">
        <v>26</v>
      </c>
      <c r="E1680" s="2" t="s">
        <v>22</v>
      </c>
      <c r="F1680" s="2" t="s">
        <v>16</v>
      </c>
      <c r="G1680" s="2" t="s">
        <v>17</v>
      </c>
      <c r="H1680" s="2">
        <v>85000</v>
      </c>
      <c r="I1680" s="2">
        <v>9</v>
      </c>
      <c r="J1680" s="2" t="s">
        <v>18</v>
      </c>
      <c r="K1680" s="2">
        <f t="shared" si="182"/>
        <v>68000</v>
      </c>
      <c r="L1680" s="9">
        <f>Table_1[[#This Row],[Unit Price]]*Table_1[[#This Row],[Quantity]]</f>
        <v>765000</v>
      </c>
      <c r="M1680" s="8">
        <f>Table_1[[#This Row],[Cost Price]]*Table_1[[#This Row],[Quantity]]</f>
        <v>612000</v>
      </c>
      <c r="N1680">
        <f>Table_1[[#This Row],[Revenue]]-Table_1[[#This Row],[COGS]]</f>
        <v>153000</v>
      </c>
      <c r="O1680" s="11">
        <f t="shared" si="183"/>
        <v>4656740000</v>
      </c>
      <c r="P1680">
        <f t="shared" si="184"/>
        <v>3725392000</v>
      </c>
      <c r="Q1680">
        <f t="shared" si="185"/>
        <v>931348000</v>
      </c>
      <c r="R1680" s="7">
        <f t="shared" si="186"/>
        <v>2098</v>
      </c>
      <c r="S1680" s="7">
        <f t="shared" si="187"/>
        <v>2</v>
      </c>
      <c r="T1680" s="7">
        <f t="shared" si="188"/>
        <v>2098</v>
      </c>
    </row>
    <row r="1681" spans="1:20" ht="14.25" customHeight="1" x14ac:dyDescent="0.35">
      <c r="A1681" s="2" t="s">
        <v>114</v>
      </c>
      <c r="B1681" s="2" t="s">
        <v>29</v>
      </c>
      <c r="C1681" s="2" t="s">
        <v>30</v>
      </c>
      <c r="D1681" s="2" t="s">
        <v>14</v>
      </c>
      <c r="E1681" s="2" t="s">
        <v>22</v>
      </c>
      <c r="F1681" s="2" t="s">
        <v>52</v>
      </c>
      <c r="G1681" s="2" t="s">
        <v>36</v>
      </c>
      <c r="H1681" s="2">
        <v>420000</v>
      </c>
      <c r="I1681" s="2">
        <v>3</v>
      </c>
      <c r="J1681" s="2" t="s">
        <v>43</v>
      </c>
      <c r="K1681" s="2">
        <f t="shared" si="182"/>
        <v>336000</v>
      </c>
      <c r="L1681" s="9">
        <f>Table_1[[#This Row],[Unit Price]]*Table_1[[#This Row],[Quantity]]</f>
        <v>1260000</v>
      </c>
      <c r="M1681" s="8">
        <f>Table_1[[#This Row],[Cost Price]]*Table_1[[#This Row],[Quantity]]</f>
        <v>1008000</v>
      </c>
      <c r="N1681">
        <f>Table_1[[#This Row],[Revenue]]-Table_1[[#This Row],[COGS]]</f>
        <v>252000</v>
      </c>
      <c r="O1681" s="11">
        <f t="shared" si="183"/>
        <v>4656740000</v>
      </c>
      <c r="P1681">
        <f t="shared" si="184"/>
        <v>3725392000</v>
      </c>
      <c r="Q1681">
        <f t="shared" si="185"/>
        <v>931348000</v>
      </c>
      <c r="R1681" s="7">
        <f t="shared" si="186"/>
        <v>2098</v>
      </c>
      <c r="S1681" s="7">
        <f t="shared" si="187"/>
        <v>3</v>
      </c>
      <c r="T1681" s="7">
        <f t="shared" si="188"/>
        <v>2098</v>
      </c>
    </row>
    <row r="1682" spans="1:20" ht="14.25" customHeight="1" x14ac:dyDescent="0.35">
      <c r="A1682" s="2" t="s">
        <v>126</v>
      </c>
      <c r="B1682" s="2" t="s">
        <v>34</v>
      </c>
      <c r="C1682" s="2" t="s">
        <v>21</v>
      </c>
      <c r="D1682" s="2" t="s">
        <v>14</v>
      </c>
      <c r="E1682" s="2" t="s">
        <v>15</v>
      </c>
      <c r="F1682" s="2" t="s">
        <v>35</v>
      </c>
      <c r="G1682" s="2" t="s">
        <v>36</v>
      </c>
      <c r="H1682" s="2">
        <v>300000</v>
      </c>
      <c r="I1682" s="2">
        <v>5</v>
      </c>
      <c r="J1682" s="2" t="s">
        <v>43</v>
      </c>
      <c r="K1682" s="2">
        <f t="shared" si="182"/>
        <v>240000</v>
      </c>
      <c r="L1682" s="9">
        <f>Table_1[[#This Row],[Unit Price]]*Table_1[[#This Row],[Quantity]]</f>
        <v>1500000</v>
      </c>
      <c r="M1682" s="8">
        <f>Table_1[[#This Row],[Cost Price]]*Table_1[[#This Row],[Quantity]]</f>
        <v>1200000</v>
      </c>
      <c r="N1682">
        <f>Table_1[[#This Row],[Revenue]]-Table_1[[#This Row],[COGS]]</f>
        <v>300000</v>
      </c>
      <c r="O1682" s="11">
        <f t="shared" si="183"/>
        <v>4656740000</v>
      </c>
      <c r="P1682">
        <f t="shared" si="184"/>
        <v>3725392000</v>
      </c>
      <c r="Q1682">
        <f t="shared" si="185"/>
        <v>931348000</v>
      </c>
      <c r="R1682" s="7">
        <f t="shared" si="186"/>
        <v>2098</v>
      </c>
      <c r="S1682" s="7">
        <f t="shared" si="187"/>
        <v>3</v>
      </c>
      <c r="T1682" s="7">
        <f t="shared" si="188"/>
        <v>2098</v>
      </c>
    </row>
    <row r="1683" spans="1:20" ht="14.25" customHeight="1" x14ac:dyDescent="0.35">
      <c r="A1683" s="2" t="s">
        <v>87</v>
      </c>
      <c r="B1683" s="2" t="s">
        <v>20</v>
      </c>
      <c r="C1683" s="2" t="s">
        <v>30</v>
      </c>
      <c r="D1683" s="2" t="s">
        <v>26</v>
      </c>
      <c r="E1683" s="2" t="s">
        <v>22</v>
      </c>
      <c r="F1683" s="2" t="s">
        <v>23</v>
      </c>
      <c r="G1683" s="2" t="s">
        <v>24</v>
      </c>
      <c r="H1683" s="2">
        <v>30000</v>
      </c>
      <c r="I1683" s="2">
        <v>1</v>
      </c>
      <c r="J1683" s="2" t="s">
        <v>18</v>
      </c>
      <c r="K1683" s="2">
        <f t="shared" si="182"/>
        <v>24000</v>
      </c>
      <c r="L1683" s="9">
        <f>Table_1[[#This Row],[Unit Price]]*Table_1[[#This Row],[Quantity]]</f>
        <v>30000</v>
      </c>
      <c r="M1683" s="8">
        <f>Table_1[[#This Row],[Cost Price]]*Table_1[[#This Row],[Quantity]]</f>
        <v>24000</v>
      </c>
      <c r="N1683">
        <f>Table_1[[#This Row],[Revenue]]-Table_1[[#This Row],[COGS]]</f>
        <v>6000</v>
      </c>
      <c r="O1683" s="11">
        <f t="shared" si="183"/>
        <v>4656740000</v>
      </c>
      <c r="P1683">
        <f t="shared" si="184"/>
        <v>3725392000</v>
      </c>
      <c r="Q1683">
        <f t="shared" si="185"/>
        <v>931348000</v>
      </c>
      <c r="R1683" s="7">
        <f t="shared" si="186"/>
        <v>2098</v>
      </c>
      <c r="S1683" s="7">
        <f t="shared" si="187"/>
        <v>3</v>
      </c>
      <c r="T1683" s="7">
        <f t="shared" si="188"/>
        <v>2098</v>
      </c>
    </row>
    <row r="1684" spans="1:20" ht="14.25" customHeight="1" x14ac:dyDescent="0.35">
      <c r="A1684" s="2" t="s">
        <v>124</v>
      </c>
      <c r="B1684" s="2" t="s">
        <v>12</v>
      </c>
      <c r="C1684" s="2" t="s">
        <v>38</v>
      </c>
      <c r="D1684" s="2" t="s">
        <v>26</v>
      </c>
      <c r="E1684" s="2" t="s">
        <v>22</v>
      </c>
      <c r="F1684" s="2" t="s">
        <v>58</v>
      </c>
      <c r="G1684" s="2" t="s">
        <v>24</v>
      </c>
      <c r="H1684" s="2">
        <v>220000</v>
      </c>
      <c r="I1684" s="2">
        <v>8</v>
      </c>
      <c r="J1684" s="2" t="s">
        <v>50</v>
      </c>
      <c r="K1684" s="2">
        <f t="shared" si="182"/>
        <v>176000</v>
      </c>
      <c r="L1684" s="9">
        <f>Table_1[[#This Row],[Unit Price]]*Table_1[[#This Row],[Quantity]]</f>
        <v>1760000</v>
      </c>
      <c r="M1684" s="8">
        <f>Table_1[[#This Row],[Cost Price]]*Table_1[[#This Row],[Quantity]]</f>
        <v>1408000</v>
      </c>
      <c r="N1684">
        <f>Table_1[[#This Row],[Revenue]]-Table_1[[#This Row],[COGS]]</f>
        <v>352000</v>
      </c>
      <c r="O1684" s="11">
        <f t="shared" si="183"/>
        <v>4656740000</v>
      </c>
      <c r="P1684">
        <f t="shared" si="184"/>
        <v>3725392000</v>
      </c>
      <c r="Q1684">
        <f t="shared" si="185"/>
        <v>931348000</v>
      </c>
      <c r="R1684" s="7">
        <f t="shared" si="186"/>
        <v>2098</v>
      </c>
      <c r="S1684" s="7">
        <f t="shared" si="187"/>
        <v>1</v>
      </c>
      <c r="T1684" s="7">
        <f t="shared" si="188"/>
        <v>2098</v>
      </c>
    </row>
    <row r="1685" spans="1:20" ht="14.25" customHeight="1" x14ac:dyDescent="0.35">
      <c r="A1685" s="2" t="s">
        <v>37</v>
      </c>
      <c r="B1685" s="2" t="s">
        <v>34</v>
      </c>
      <c r="C1685" s="2" t="s">
        <v>13</v>
      </c>
      <c r="D1685" s="2" t="s">
        <v>26</v>
      </c>
      <c r="E1685" s="2" t="s">
        <v>15</v>
      </c>
      <c r="F1685" s="2" t="s">
        <v>41</v>
      </c>
      <c r="G1685" s="2" t="s">
        <v>17</v>
      </c>
      <c r="H1685" s="2">
        <v>320000</v>
      </c>
      <c r="I1685" s="2">
        <v>5</v>
      </c>
      <c r="J1685" s="2" t="s">
        <v>18</v>
      </c>
      <c r="K1685" s="2">
        <f t="shared" si="182"/>
        <v>256000</v>
      </c>
      <c r="L1685" s="9">
        <f>Table_1[[#This Row],[Unit Price]]*Table_1[[#This Row],[Quantity]]</f>
        <v>1600000</v>
      </c>
      <c r="M1685" s="8">
        <f>Table_1[[#This Row],[Cost Price]]*Table_1[[#This Row],[Quantity]]</f>
        <v>1280000</v>
      </c>
      <c r="N1685">
        <f>Table_1[[#This Row],[Revenue]]-Table_1[[#This Row],[COGS]]</f>
        <v>320000</v>
      </c>
      <c r="O1685" s="11">
        <f t="shared" si="183"/>
        <v>4656740000</v>
      </c>
      <c r="P1685">
        <f t="shared" si="184"/>
        <v>3725392000</v>
      </c>
      <c r="Q1685">
        <f t="shared" si="185"/>
        <v>931348000</v>
      </c>
      <c r="R1685" s="7">
        <f t="shared" si="186"/>
        <v>2098</v>
      </c>
      <c r="S1685" s="7">
        <f t="shared" si="187"/>
        <v>3</v>
      </c>
      <c r="T1685" s="7">
        <f t="shared" si="188"/>
        <v>2098</v>
      </c>
    </row>
    <row r="1686" spans="1:20" ht="14.25" customHeight="1" x14ac:dyDescent="0.35">
      <c r="A1686" s="2" t="s">
        <v>89</v>
      </c>
      <c r="B1686" s="2" t="s">
        <v>20</v>
      </c>
      <c r="C1686" s="2" t="s">
        <v>21</v>
      </c>
      <c r="D1686" s="2" t="s">
        <v>26</v>
      </c>
      <c r="E1686" s="2" t="s">
        <v>15</v>
      </c>
      <c r="F1686" s="2" t="s">
        <v>35</v>
      </c>
      <c r="G1686" s="2" t="s">
        <v>36</v>
      </c>
      <c r="H1686" s="2">
        <v>300000</v>
      </c>
      <c r="I1686" s="2">
        <v>10</v>
      </c>
      <c r="J1686" s="2" t="s">
        <v>43</v>
      </c>
      <c r="K1686" s="2">
        <f t="shared" si="182"/>
        <v>240000</v>
      </c>
      <c r="L1686" s="9">
        <f>Table_1[[#This Row],[Unit Price]]*Table_1[[#This Row],[Quantity]]</f>
        <v>3000000</v>
      </c>
      <c r="M1686" s="8">
        <f>Table_1[[#This Row],[Cost Price]]*Table_1[[#This Row],[Quantity]]</f>
        <v>2400000</v>
      </c>
      <c r="N1686">
        <f>Table_1[[#This Row],[Revenue]]-Table_1[[#This Row],[COGS]]</f>
        <v>600000</v>
      </c>
      <c r="O1686" s="11">
        <f t="shared" si="183"/>
        <v>4656740000</v>
      </c>
      <c r="P1686">
        <f t="shared" si="184"/>
        <v>3725392000</v>
      </c>
      <c r="Q1686">
        <f t="shared" si="185"/>
        <v>931348000</v>
      </c>
      <c r="R1686" s="7">
        <f t="shared" si="186"/>
        <v>2098</v>
      </c>
      <c r="S1686" s="7">
        <f t="shared" si="187"/>
        <v>3</v>
      </c>
      <c r="T1686" s="7">
        <f t="shared" si="188"/>
        <v>2098</v>
      </c>
    </row>
    <row r="1687" spans="1:20" ht="14.25" customHeight="1" x14ac:dyDescent="0.35">
      <c r="A1687" s="2" t="s">
        <v>66</v>
      </c>
      <c r="B1687" s="2" t="s">
        <v>34</v>
      </c>
      <c r="C1687" s="2" t="s">
        <v>13</v>
      </c>
      <c r="D1687" s="2" t="s">
        <v>14</v>
      </c>
      <c r="E1687" s="2" t="s">
        <v>22</v>
      </c>
      <c r="F1687" s="2" t="s">
        <v>58</v>
      </c>
      <c r="G1687" s="2" t="s">
        <v>24</v>
      </c>
      <c r="H1687" s="2">
        <v>220000</v>
      </c>
      <c r="I1687" s="2">
        <v>1</v>
      </c>
      <c r="J1687" s="2" t="s">
        <v>18</v>
      </c>
      <c r="K1687" s="2">
        <f t="shared" si="182"/>
        <v>176000</v>
      </c>
      <c r="L1687" s="9">
        <f>Table_1[[#This Row],[Unit Price]]*Table_1[[#This Row],[Quantity]]</f>
        <v>220000</v>
      </c>
      <c r="M1687" s="8">
        <f>Table_1[[#This Row],[Cost Price]]*Table_1[[#This Row],[Quantity]]</f>
        <v>176000</v>
      </c>
      <c r="N1687">
        <f>Table_1[[#This Row],[Revenue]]-Table_1[[#This Row],[COGS]]</f>
        <v>44000</v>
      </c>
      <c r="O1687" s="11">
        <f t="shared" si="183"/>
        <v>4656740000</v>
      </c>
      <c r="P1687">
        <f t="shared" si="184"/>
        <v>3725392000</v>
      </c>
      <c r="Q1687">
        <f t="shared" si="185"/>
        <v>931348000</v>
      </c>
      <c r="R1687" s="7">
        <f t="shared" si="186"/>
        <v>2098</v>
      </c>
      <c r="S1687" s="7">
        <f t="shared" si="187"/>
        <v>3</v>
      </c>
      <c r="T1687" s="7">
        <f t="shared" si="188"/>
        <v>2098</v>
      </c>
    </row>
    <row r="1688" spans="1:20" ht="14.25" customHeight="1" x14ac:dyDescent="0.35">
      <c r="A1688" s="2" t="s">
        <v>155</v>
      </c>
      <c r="B1688" s="2" t="s">
        <v>29</v>
      </c>
      <c r="C1688" s="2" t="s">
        <v>30</v>
      </c>
      <c r="D1688" s="2" t="s">
        <v>26</v>
      </c>
      <c r="E1688" s="2" t="s">
        <v>15</v>
      </c>
      <c r="F1688" s="2" t="s">
        <v>23</v>
      </c>
      <c r="G1688" s="2" t="s">
        <v>24</v>
      </c>
      <c r="H1688" s="2">
        <v>30000</v>
      </c>
      <c r="I1688" s="2">
        <v>6</v>
      </c>
      <c r="J1688" s="2" t="s">
        <v>27</v>
      </c>
      <c r="K1688" s="2">
        <f t="shared" si="182"/>
        <v>24000</v>
      </c>
      <c r="L1688" s="9">
        <f>Table_1[[#This Row],[Unit Price]]*Table_1[[#This Row],[Quantity]]</f>
        <v>180000</v>
      </c>
      <c r="M1688" s="8">
        <f>Table_1[[#This Row],[Cost Price]]*Table_1[[#This Row],[Quantity]]</f>
        <v>144000</v>
      </c>
      <c r="N1688">
        <f>Table_1[[#This Row],[Revenue]]-Table_1[[#This Row],[COGS]]</f>
        <v>36000</v>
      </c>
      <c r="O1688" s="11">
        <f t="shared" si="183"/>
        <v>4656740000</v>
      </c>
      <c r="P1688">
        <f t="shared" si="184"/>
        <v>3725392000</v>
      </c>
      <c r="Q1688">
        <f t="shared" si="185"/>
        <v>931348000</v>
      </c>
      <c r="R1688" s="7">
        <f t="shared" si="186"/>
        <v>2098</v>
      </c>
      <c r="S1688" s="7">
        <f t="shared" si="187"/>
        <v>1</v>
      </c>
      <c r="T1688" s="7">
        <f t="shared" si="188"/>
        <v>2098</v>
      </c>
    </row>
    <row r="1689" spans="1:20" ht="14.25" customHeight="1" x14ac:dyDescent="0.35">
      <c r="A1689" s="2" t="s">
        <v>97</v>
      </c>
      <c r="B1689" s="2" t="s">
        <v>34</v>
      </c>
      <c r="C1689" s="2" t="s">
        <v>21</v>
      </c>
      <c r="D1689" s="2" t="s">
        <v>14</v>
      </c>
      <c r="E1689" s="2" t="s">
        <v>15</v>
      </c>
      <c r="F1689" s="2" t="s">
        <v>52</v>
      </c>
      <c r="G1689" s="2" t="s">
        <v>36</v>
      </c>
      <c r="H1689" s="2">
        <v>420000</v>
      </c>
      <c r="I1689" s="2">
        <v>1</v>
      </c>
      <c r="J1689" s="2" t="s">
        <v>54</v>
      </c>
      <c r="K1689" s="2">
        <f t="shared" si="182"/>
        <v>336000</v>
      </c>
      <c r="L1689" s="9">
        <f>Table_1[[#This Row],[Unit Price]]*Table_1[[#This Row],[Quantity]]</f>
        <v>420000</v>
      </c>
      <c r="M1689" s="8">
        <f>Table_1[[#This Row],[Cost Price]]*Table_1[[#This Row],[Quantity]]</f>
        <v>336000</v>
      </c>
      <c r="N1689">
        <f>Table_1[[#This Row],[Revenue]]-Table_1[[#This Row],[COGS]]</f>
        <v>84000</v>
      </c>
      <c r="O1689" s="11">
        <f t="shared" si="183"/>
        <v>4656740000</v>
      </c>
      <c r="P1689">
        <f t="shared" si="184"/>
        <v>3725392000</v>
      </c>
      <c r="Q1689">
        <f t="shared" si="185"/>
        <v>931348000</v>
      </c>
      <c r="R1689" s="7">
        <f t="shared" si="186"/>
        <v>2098</v>
      </c>
      <c r="S1689" s="7">
        <f t="shared" si="187"/>
        <v>2</v>
      </c>
      <c r="T1689" s="7">
        <f t="shared" si="188"/>
        <v>2098</v>
      </c>
    </row>
    <row r="1690" spans="1:20" ht="14.25" customHeight="1" x14ac:dyDescent="0.35">
      <c r="A1690" s="2" t="s">
        <v>160</v>
      </c>
      <c r="B1690" s="2" t="s">
        <v>29</v>
      </c>
      <c r="C1690" s="2" t="s">
        <v>38</v>
      </c>
      <c r="D1690" s="2" t="s">
        <v>26</v>
      </c>
      <c r="E1690" s="2" t="s">
        <v>22</v>
      </c>
      <c r="F1690" s="2" t="s">
        <v>52</v>
      </c>
      <c r="G1690" s="2" t="s">
        <v>36</v>
      </c>
      <c r="H1690" s="2">
        <v>420000</v>
      </c>
      <c r="I1690" s="2">
        <v>6</v>
      </c>
      <c r="J1690" s="2" t="s">
        <v>50</v>
      </c>
      <c r="K1690" s="2">
        <f t="shared" si="182"/>
        <v>336000</v>
      </c>
      <c r="L1690" s="9">
        <f>Table_1[[#This Row],[Unit Price]]*Table_1[[#This Row],[Quantity]]</f>
        <v>2520000</v>
      </c>
      <c r="M1690" s="8">
        <f>Table_1[[#This Row],[Cost Price]]*Table_1[[#This Row],[Quantity]]</f>
        <v>2016000</v>
      </c>
      <c r="N1690">
        <f>Table_1[[#This Row],[Revenue]]-Table_1[[#This Row],[COGS]]</f>
        <v>504000</v>
      </c>
      <c r="O1690" s="11">
        <f t="shared" si="183"/>
        <v>4656740000</v>
      </c>
      <c r="P1690">
        <f t="shared" si="184"/>
        <v>3725392000</v>
      </c>
      <c r="Q1690">
        <f t="shared" si="185"/>
        <v>931348000</v>
      </c>
      <c r="R1690" s="7">
        <f t="shared" si="186"/>
        <v>2098</v>
      </c>
      <c r="S1690" s="7">
        <f t="shared" si="187"/>
        <v>1</v>
      </c>
      <c r="T1690" s="7">
        <f t="shared" si="188"/>
        <v>2098</v>
      </c>
    </row>
    <row r="1691" spans="1:20" ht="14.25" customHeight="1" x14ac:dyDescent="0.35">
      <c r="A1691" s="2" t="s">
        <v>138</v>
      </c>
      <c r="B1691" s="2" t="s">
        <v>29</v>
      </c>
      <c r="C1691" s="2" t="s">
        <v>38</v>
      </c>
      <c r="D1691" s="2" t="s">
        <v>14</v>
      </c>
      <c r="E1691" s="2" t="s">
        <v>22</v>
      </c>
      <c r="F1691" s="2" t="s">
        <v>16</v>
      </c>
      <c r="G1691" s="2" t="s">
        <v>17</v>
      </c>
      <c r="H1691" s="2">
        <v>85000</v>
      </c>
      <c r="I1691" s="2">
        <v>7</v>
      </c>
      <c r="J1691" s="2" t="s">
        <v>43</v>
      </c>
      <c r="K1691" s="2">
        <f t="shared" si="182"/>
        <v>68000</v>
      </c>
      <c r="L1691" s="9">
        <f>Table_1[[#This Row],[Unit Price]]*Table_1[[#This Row],[Quantity]]</f>
        <v>595000</v>
      </c>
      <c r="M1691" s="8">
        <f>Table_1[[#This Row],[Cost Price]]*Table_1[[#This Row],[Quantity]]</f>
        <v>476000</v>
      </c>
      <c r="N1691">
        <f>Table_1[[#This Row],[Revenue]]-Table_1[[#This Row],[COGS]]</f>
        <v>119000</v>
      </c>
      <c r="O1691" s="11">
        <f t="shared" si="183"/>
        <v>4656740000</v>
      </c>
      <c r="P1691">
        <f t="shared" si="184"/>
        <v>3725392000</v>
      </c>
      <c r="Q1691">
        <f t="shared" si="185"/>
        <v>931348000</v>
      </c>
      <c r="R1691" s="7">
        <f t="shared" si="186"/>
        <v>2098</v>
      </c>
      <c r="S1691" s="7">
        <f t="shared" si="187"/>
        <v>3</v>
      </c>
      <c r="T1691" s="7">
        <f t="shared" si="188"/>
        <v>2098</v>
      </c>
    </row>
    <row r="1692" spans="1:20" ht="14.25" customHeight="1" x14ac:dyDescent="0.35">
      <c r="A1692" s="2" t="s">
        <v>79</v>
      </c>
      <c r="B1692" s="2" t="s">
        <v>29</v>
      </c>
      <c r="C1692" s="2" t="s">
        <v>21</v>
      </c>
      <c r="D1692" s="2" t="s">
        <v>26</v>
      </c>
      <c r="E1692" s="2" t="s">
        <v>22</v>
      </c>
      <c r="F1692" s="2" t="s">
        <v>47</v>
      </c>
      <c r="G1692" s="2" t="s">
        <v>36</v>
      </c>
      <c r="H1692" s="2">
        <v>150000</v>
      </c>
      <c r="I1692" s="2">
        <v>7</v>
      </c>
      <c r="J1692" s="2" t="s">
        <v>54</v>
      </c>
      <c r="K1692" s="2">
        <f t="shared" si="182"/>
        <v>120000</v>
      </c>
      <c r="L1692" s="9">
        <f>Table_1[[#This Row],[Unit Price]]*Table_1[[#This Row],[Quantity]]</f>
        <v>1050000</v>
      </c>
      <c r="M1692" s="8">
        <f>Table_1[[#This Row],[Cost Price]]*Table_1[[#This Row],[Quantity]]</f>
        <v>840000</v>
      </c>
      <c r="N1692">
        <f>Table_1[[#This Row],[Revenue]]-Table_1[[#This Row],[COGS]]</f>
        <v>210000</v>
      </c>
      <c r="O1692" s="11">
        <f t="shared" si="183"/>
        <v>4656740000</v>
      </c>
      <c r="P1692">
        <f t="shared" si="184"/>
        <v>3725392000</v>
      </c>
      <c r="Q1692">
        <f t="shared" si="185"/>
        <v>931348000</v>
      </c>
      <c r="R1692" s="7">
        <f t="shared" si="186"/>
        <v>2098</v>
      </c>
      <c r="S1692" s="7">
        <f t="shared" si="187"/>
        <v>1</v>
      </c>
      <c r="T1692" s="7">
        <f t="shared" si="188"/>
        <v>2098</v>
      </c>
    </row>
    <row r="1693" spans="1:20" ht="14.25" customHeight="1" x14ac:dyDescent="0.35">
      <c r="A1693" s="2" t="s">
        <v>145</v>
      </c>
      <c r="B1693" s="2" t="s">
        <v>12</v>
      </c>
      <c r="C1693" s="2" t="s">
        <v>21</v>
      </c>
      <c r="D1693" s="2" t="s">
        <v>14</v>
      </c>
      <c r="E1693" s="2" t="s">
        <v>22</v>
      </c>
      <c r="F1693" s="2" t="s">
        <v>47</v>
      </c>
      <c r="G1693" s="2" t="s">
        <v>36</v>
      </c>
      <c r="H1693" s="2">
        <v>150000</v>
      </c>
      <c r="I1693" s="2">
        <v>10</v>
      </c>
      <c r="J1693" s="2" t="s">
        <v>18</v>
      </c>
      <c r="K1693" s="2">
        <f t="shared" si="182"/>
        <v>120000</v>
      </c>
      <c r="L1693" s="9">
        <f>Table_1[[#This Row],[Unit Price]]*Table_1[[#This Row],[Quantity]]</f>
        <v>1500000</v>
      </c>
      <c r="M1693" s="8">
        <f>Table_1[[#This Row],[Cost Price]]*Table_1[[#This Row],[Quantity]]</f>
        <v>1200000</v>
      </c>
      <c r="N1693">
        <f>Table_1[[#This Row],[Revenue]]-Table_1[[#This Row],[COGS]]</f>
        <v>300000</v>
      </c>
      <c r="O1693" s="11">
        <f t="shared" si="183"/>
        <v>4656740000</v>
      </c>
      <c r="P1693">
        <f t="shared" si="184"/>
        <v>3725392000</v>
      </c>
      <c r="Q1693">
        <f t="shared" si="185"/>
        <v>931348000</v>
      </c>
      <c r="R1693" s="7">
        <f t="shared" si="186"/>
        <v>2098</v>
      </c>
      <c r="S1693" s="7">
        <f t="shared" si="187"/>
        <v>1</v>
      </c>
      <c r="T1693" s="7">
        <f t="shared" si="188"/>
        <v>2098</v>
      </c>
    </row>
    <row r="1694" spans="1:20" ht="14.25" customHeight="1" x14ac:dyDescent="0.35">
      <c r="A1694" s="2" t="s">
        <v>89</v>
      </c>
      <c r="B1694" s="2" t="s">
        <v>20</v>
      </c>
      <c r="C1694" s="2" t="s">
        <v>13</v>
      </c>
      <c r="D1694" s="2" t="s">
        <v>14</v>
      </c>
      <c r="E1694" s="2" t="s">
        <v>22</v>
      </c>
      <c r="F1694" s="2" t="s">
        <v>23</v>
      </c>
      <c r="G1694" s="2" t="s">
        <v>24</v>
      </c>
      <c r="H1694" s="2">
        <v>30000</v>
      </c>
      <c r="I1694" s="2">
        <v>9</v>
      </c>
      <c r="J1694" s="2" t="s">
        <v>18</v>
      </c>
      <c r="K1694" s="2">
        <f t="shared" si="182"/>
        <v>24000</v>
      </c>
      <c r="L1694" s="9">
        <f>Table_1[[#This Row],[Unit Price]]*Table_1[[#This Row],[Quantity]]</f>
        <v>270000</v>
      </c>
      <c r="M1694" s="8">
        <f>Table_1[[#This Row],[Cost Price]]*Table_1[[#This Row],[Quantity]]</f>
        <v>216000</v>
      </c>
      <c r="N1694">
        <f>Table_1[[#This Row],[Revenue]]-Table_1[[#This Row],[COGS]]</f>
        <v>54000</v>
      </c>
      <c r="O1694" s="11">
        <f t="shared" si="183"/>
        <v>4656740000</v>
      </c>
      <c r="P1694">
        <f t="shared" si="184"/>
        <v>3725392000</v>
      </c>
      <c r="Q1694">
        <f t="shared" si="185"/>
        <v>931348000</v>
      </c>
      <c r="R1694" s="7">
        <f t="shared" si="186"/>
        <v>2098</v>
      </c>
      <c r="S1694" s="7">
        <f t="shared" si="187"/>
        <v>3</v>
      </c>
      <c r="T1694" s="7">
        <f t="shared" si="188"/>
        <v>2098</v>
      </c>
    </row>
    <row r="1695" spans="1:20" ht="14.25" customHeight="1" x14ac:dyDescent="0.35">
      <c r="A1695" s="2" t="s">
        <v>142</v>
      </c>
      <c r="B1695" s="2" t="s">
        <v>29</v>
      </c>
      <c r="C1695" s="2" t="s">
        <v>30</v>
      </c>
      <c r="D1695" s="2" t="s">
        <v>26</v>
      </c>
      <c r="E1695" s="2" t="s">
        <v>15</v>
      </c>
      <c r="F1695" s="2" t="s">
        <v>41</v>
      </c>
      <c r="G1695" s="2" t="s">
        <v>17</v>
      </c>
      <c r="H1695" s="2">
        <v>320000</v>
      </c>
      <c r="I1695" s="2">
        <v>8</v>
      </c>
      <c r="J1695" s="2" t="s">
        <v>50</v>
      </c>
      <c r="K1695" s="2">
        <f t="shared" si="182"/>
        <v>256000</v>
      </c>
      <c r="L1695" s="9">
        <f>Table_1[[#This Row],[Unit Price]]*Table_1[[#This Row],[Quantity]]</f>
        <v>2560000</v>
      </c>
      <c r="M1695" s="8">
        <f>Table_1[[#This Row],[Cost Price]]*Table_1[[#This Row],[Quantity]]</f>
        <v>2048000</v>
      </c>
      <c r="N1695">
        <f>Table_1[[#This Row],[Revenue]]-Table_1[[#This Row],[COGS]]</f>
        <v>512000</v>
      </c>
      <c r="O1695" s="11">
        <f t="shared" si="183"/>
        <v>4656740000</v>
      </c>
      <c r="P1695">
        <f t="shared" si="184"/>
        <v>3725392000</v>
      </c>
      <c r="Q1695">
        <f t="shared" si="185"/>
        <v>931348000</v>
      </c>
      <c r="R1695" s="7">
        <f t="shared" si="186"/>
        <v>2098</v>
      </c>
      <c r="S1695" s="7">
        <f t="shared" si="187"/>
        <v>4</v>
      </c>
      <c r="T1695" s="7">
        <f t="shared" si="188"/>
        <v>2098</v>
      </c>
    </row>
    <row r="1696" spans="1:20" ht="14.25" customHeight="1" x14ac:dyDescent="0.35">
      <c r="A1696" s="2" t="s">
        <v>60</v>
      </c>
      <c r="B1696" s="2" t="s">
        <v>20</v>
      </c>
      <c r="C1696" s="2" t="s">
        <v>38</v>
      </c>
      <c r="D1696" s="2" t="s">
        <v>14</v>
      </c>
      <c r="E1696" s="2" t="s">
        <v>22</v>
      </c>
      <c r="F1696" s="2" t="s">
        <v>23</v>
      </c>
      <c r="G1696" s="2" t="s">
        <v>24</v>
      </c>
      <c r="H1696" s="2">
        <v>30000</v>
      </c>
      <c r="I1696" s="2">
        <v>9</v>
      </c>
      <c r="J1696" s="2" t="s">
        <v>32</v>
      </c>
      <c r="K1696" s="2">
        <f t="shared" si="182"/>
        <v>24000</v>
      </c>
      <c r="L1696" s="9">
        <f>Table_1[[#This Row],[Unit Price]]*Table_1[[#This Row],[Quantity]]</f>
        <v>270000</v>
      </c>
      <c r="M1696" s="8">
        <f>Table_1[[#This Row],[Cost Price]]*Table_1[[#This Row],[Quantity]]</f>
        <v>216000</v>
      </c>
      <c r="N1696">
        <f>Table_1[[#This Row],[Revenue]]-Table_1[[#This Row],[COGS]]</f>
        <v>54000</v>
      </c>
      <c r="O1696" s="11">
        <f t="shared" si="183"/>
        <v>4656740000</v>
      </c>
      <c r="P1696">
        <f t="shared" si="184"/>
        <v>3725392000</v>
      </c>
      <c r="Q1696">
        <f t="shared" si="185"/>
        <v>931348000</v>
      </c>
      <c r="R1696" s="7">
        <f t="shared" si="186"/>
        <v>2098</v>
      </c>
      <c r="S1696" s="7">
        <f t="shared" si="187"/>
        <v>3</v>
      </c>
      <c r="T1696" s="7">
        <f t="shared" si="188"/>
        <v>2098</v>
      </c>
    </row>
    <row r="1697" spans="1:20" ht="14.25" customHeight="1" x14ac:dyDescent="0.35">
      <c r="A1697" s="2" t="s">
        <v>128</v>
      </c>
      <c r="B1697" s="2" t="s">
        <v>20</v>
      </c>
      <c r="C1697" s="2" t="s">
        <v>30</v>
      </c>
      <c r="D1697" s="2" t="s">
        <v>26</v>
      </c>
      <c r="E1697" s="2" t="s">
        <v>15</v>
      </c>
      <c r="F1697" s="2" t="s">
        <v>56</v>
      </c>
      <c r="G1697" s="2" t="s">
        <v>36</v>
      </c>
      <c r="H1697" s="2">
        <v>250000</v>
      </c>
      <c r="I1697" s="2">
        <v>3</v>
      </c>
      <c r="J1697" s="2" t="s">
        <v>27</v>
      </c>
      <c r="K1697" s="2">
        <f t="shared" si="182"/>
        <v>200000</v>
      </c>
      <c r="L1697" s="9">
        <f>Table_1[[#This Row],[Unit Price]]*Table_1[[#This Row],[Quantity]]</f>
        <v>750000</v>
      </c>
      <c r="M1697" s="8">
        <f>Table_1[[#This Row],[Cost Price]]*Table_1[[#This Row],[Quantity]]</f>
        <v>600000</v>
      </c>
      <c r="N1697">
        <f>Table_1[[#This Row],[Revenue]]-Table_1[[#This Row],[COGS]]</f>
        <v>150000</v>
      </c>
      <c r="O1697" s="11">
        <f t="shared" si="183"/>
        <v>4656740000</v>
      </c>
      <c r="P1697">
        <f t="shared" si="184"/>
        <v>3725392000</v>
      </c>
      <c r="Q1697">
        <f t="shared" si="185"/>
        <v>931348000</v>
      </c>
      <c r="R1697" s="7">
        <f t="shared" si="186"/>
        <v>2098</v>
      </c>
      <c r="S1697" s="7">
        <f t="shared" si="187"/>
        <v>4</v>
      </c>
      <c r="T1697" s="7">
        <f t="shared" si="188"/>
        <v>2098</v>
      </c>
    </row>
    <row r="1698" spans="1:20" ht="14.25" customHeight="1" x14ac:dyDescent="0.35">
      <c r="A1698" s="2" t="s">
        <v>131</v>
      </c>
      <c r="B1698" s="2" t="s">
        <v>20</v>
      </c>
      <c r="C1698" s="2" t="s">
        <v>21</v>
      </c>
      <c r="D1698" s="2" t="s">
        <v>26</v>
      </c>
      <c r="E1698" s="2" t="s">
        <v>15</v>
      </c>
      <c r="F1698" s="2" t="s">
        <v>31</v>
      </c>
      <c r="G1698" s="2" t="s">
        <v>24</v>
      </c>
      <c r="H1698" s="2">
        <v>60000</v>
      </c>
      <c r="I1698" s="2">
        <v>2</v>
      </c>
      <c r="J1698" s="2" t="s">
        <v>27</v>
      </c>
      <c r="K1698" s="2">
        <f t="shared" si="182"/>
        <v>48000</v>
      </c>
      <c r="L1698" s="9">
        <f>Table_1[[#This Row],[Unit Price]]*Table_1[[#This Row],[Quantity]]</f>
        <v>120000</v>
      </c>
      <c r="M1698" s="8">
        <f>Table_1[[#This Row],[Cost Price]]*Table_1[[#This Row],[Quantity]]</f>
        <v>96000</v>
      </c>
      <c r="N1698">
        <f>Table_1[[#This Row],[Revenue]]-Table_1[[#This Row],[COGS]]</f>
        <v>24000</v>
      </c>
      <c r="O1698" s="11">
        <f t="shared" si="183"/>
        <v>4656740000</v>
      </c>
      <c r="P1698">
        <f t="shared" si="184"/>
        <v>3725392000</v>
      </c>
      <c r="Q1698">
        <f t="shared" si="185"/>
        <v>931348000</v>
      </c>
      <c r="R1698" s="7">
        <f t="shared" si="186"/>
        <v>2098</v>
      </c>
      <c r="S1698" s="7">
        <f t="shared" si="187"/>
        <v>1</v>
      </c>
      <c r="T1698" s="7">
        <f t="shared" si="188"/>
        <v>2098</v>
      </c>
    </row>
    <row r="1699" spans="1:20" ht="14.25" customHeight="1" x14ac:dyDescent="0.35">
      <c r="A1699" s="2" t="s">
        <v>90</v>
      </c>
      <c r="B1699" s="2" t="s">
        <v>12</v>
      </c>
      <c r="C1699" s="2" t="s">
        <v>38</v>
      </c>
      <c r="D1699" s="2" t="s">
        <v>14</v>
      </c>
      <c r="E1699" s="2" t="s">
        <v>22</v>
      </c>
      <c r="F1699" s="2" t="s">
        <v>41</v>
      </c>
      <c r="G1699" s="2" t="s">
        <v>17</v>
      </c>
      <c r="H1699" s="2">
        <v>320000</v>
      </c>
      <c r="I1699" s="2">
        <v>3</v>
      </c>
      <c r="J1699" s="2" t="s">
        <v>32</v>
      </c>
      <c r="K1699" s="2">
        <f t="shared" si="182"/>
        <v>256000</v>
      </c>
      <c r="L1699" s="9">
        <f>Table_1[[#This Row],[Unit Price]]*Table_1[[#This Row],[Quantity]]</f>
        <v>960000</v>
      </c>
      <c r="M1699" s="8">
        <f>Table_1[[#This Row],[Cost Price]]*Table_1[[#This Row],[Quantity]]</f>
        <v>768000</v>
      </c>
      <c r="N1699">
        <f>Table_1[[#This Row],[Revenue]]-Table_1[[#This Row],[COGS]]</f>
        <v>192000</v>
      </c>
      <c r="O1699" s="11">
        <f t="shared" si="183"/>
        <v>4656740000</v>
      </c>
      <c r="P1699">
        <f t="shared" si="184"/>
        <v>3725392000</v>
      </c>
      <c r="Q1699">
        <f t="shared" si="185"/>
        <v>931348000</v>
      </c>
      <c r="R1699" s="7">
        <f t="shared" si="186"/>
        <v>2098</v>
      </c>
      <c r="S1699" s="7">
        <f t="shared" si="187"/>
        <v>3</v>
      </c>
      <c r="T1699" s="7">
        <f t="shared" si="188"/>
        <v>2098</v>
      </c>
    </row>
    <row r="1700" spans="1:20" ht="14.25" customHeight="1" x14ac:dyDescent="0.35">
      <c r="A1700" s="2" t="s">
        <v>138</v>
      </c>
      <c r="B1700" s="2" t="s">
        <v>20</v>
      </c>
      <c r="C1700" s="2" t="s">
        <v>30</v>
      </c>
      <c r="D1700" s="2" t="s">
        <v>14</v>
      </c>
      <c r="E1700" s="2" t="s">
        <v>15</v>
      </c>
      <c r="F1700" s="2" t="s">
        <v>35</v>
      </c>
      <c r="G1700" s="2" t="s">
        <v>36</v>
      </c>
      <c r="H1700" s="2">
        <v>300000</v>
      </c>
      <c r="I1700" s="2">
        <v>9</v>
      </c>
      <c r="J1700" s="2" t="s">
        <v>27</v>
      </c>
      <c r="K1700" s="2">
        <f t="shared" si="182"/>
        <v>240000</v>
      </c>
      <c r="L1700" s="9">
        <f>Table_1[[#This Row],[Unit Price]]*Table_1[[#This Row],[Quantity]]</f>
        <v>2700000</v>
      </c>
      <c r="M1700" s="8">
        <f>Table_1[[#This Row],[Cost Price]]*Table_1[[#This Row],[Quantity]]</f>
        <v>2160000</v>
      </c>
      <c r="N1700">
        <f>Table_1[[#This Row],[Revenue]]-Table_1[[#This Row],[COGS]]</f>
        <v>540000</v>
      </c>
      <c r="O1700" s="11">
        <f t="shared" si="183"/>
        <v>4656740000</v>
      </c>
      <c r="P1700">
        <f t="shared" si="184"/>
        <v>3725392000</v>
      </c>
      <c r="Q1700">
        <f t="shared" si="185"/>
        <v>931348000</v>
      </c>
      <c r="R1700" s="7">
        <f t="shared" si="186"/>
        <v>2098</v>
      </c>
      <c r="S1700" s="7">
        <f t="shared" si="187"/>
        <v>3</v>
      </c>
      <c r="T1700" s="7">
        <f t="shared" si="188"/>
        <v>2098</v>
      </c>
    </row>
    <row r="1701" spans="1:20" ht="14.25" customHeight="1" x14ac:dyDescent="0.35">
      <c r="A1701" s="2" t="s">
        <v>95</v>
      </c>
      <c r="B1701" s="2" t="s">
        <v>20</v>
      </c>
      <c r="C1701" s="2" t="s">
        <v>38</v>
      </c>
      <c r="D1701" s="2" t="s">
        <v>14</v>
      </c>
      <c r="E1701" s="2" t="s">
        <v>15</v>
      </c>
      <c r="F1701" s="2" t="s">
        <v>52</v>
      </c>
      <c r="G1701" s="2" t="s">
        <v>36</v>
      </c>
      <c r="H1701" s="2">
        <v>420000</v>
      </c>
      <c r="I1701" s="2">
        <v>4</v>
      </c>
      <c r="J1701" s="2" t="s">
        <v>54</v>
      </c>
      <c r="K1701" s="2">
        <f t="shared" si="182"/>
        <v>336000</v>
      </c>
      <c r="L1701" s="9">
        <f>Table_1[[#This Row],[Unit Price]]*Table_1[[#This Row],[Quantity]]</f>
        <v>1680000</v>
      </c>
      <c r="M1701" s="8">
        <f>Table_1[[#This Row],[Cost Price]]*Table_1[[#This Row],[Quantity]]</f>
        <v>1344000</v>
      </c>
      <c r="N1701">
        <f>Table_1[[#This Row],[Revenue]]-Table_1[[#This Row],[COGS]]</f>
        <v>336000</v>
      </c>
      <c r="O1701" s="11">
        <f t="shared" si="183"/>
        <v>4656740000</v>
      </c>
      <c r="P1701">
        <f t="shared" si="184"/>
        <v>3725392000</v>
      </c>
      <c r="Q1701">
        <f t="shared" si="185"/>
        <v>931348000</v>
      </c>
      <c r="R1701" s="7">
        <f t="shared" si="186"/>
        <v>2098</v>
      </c>
      <c r="S1701" s="7">
        <f t="shared" si="187"/>
        <v>1</v>
      </c>
      <c r="T1701" s="7">
        <f t="shared" si="188"/>
        <v>2098</v>
      </c>
    </row>
    <row r="1702" spans="1:20" ht="14.25" customHeight="1" x14ac:dyDescent="0.35">
      <c r="A1702" s="2" t="s">
        <v>67</v>
      </c>
      <c r="B1702" s="2" t="s">
        <v>12</v>
      </c>
      <c r="C1702" s="2" t="s">
        <v>13</v>
      </c>
      <c r="D1702" s="2" t="s">
        <v>14</v>
      </c>
      <c r="E1702" s="2" t="s">
        <v>22</v>
      </c>
      <c r="F1702" s="2" t="s">
        <v>41</v>
      </c>
      <c r="G1702" s="2" t="s">
        <v>17</v>
      </c>
      <c r="H1702" s="2">
        <v>320000</v>
      </c>
      <c r="I1702" s="2">
        <v>6</v>
      </c>
      <c r="J1702" s="2" t="s">
        <v>43</v>
      </c>
      <c r="K1702" s="2">
        <f t="shared" si="182"/>
        <v>256000</v>
      </c>
      <c r="L1702" s="9">
        <f>Table_1[[#This Row],[Unit Price]]*Table_1[[#This Row],[Quantity]]</f>
        <v>1920000</v>
      </c>
      <c r="M1702" s="8">
        <f>Table_1[[#This Row],[Cost Price]]*Table_1[[#This Row],[Quantity]]</f>
        <v>1536000</v>
      </c>
      <c r="N1702">
        <f>Table_1[[#This Row],[Revenue]]-Table_1[[#This Row],[COGS]]</f>
        <v>384000</v>
      </c>
      <c r="O1702" s="11">
        <f t="shared" si="183"/>
        <v>4656740000</v>
      </c>
      <c r="P1702">
        <f t="shared" si="184"/>
        <v>3725392000</v>
      </c>
      <c r="Q1702">
        <f t="shared" si="185"/>
        <v>931348000</v>
      </c>
      <c r="R1702" s="7">
        <f t="shared" si="186"/>
        <v>2098</v>
      </c>
      <c r="S1702" s="7">
        <f t="shared" si="187"/>
        <v>3</v>
      </c>
      <c r="T1702" s="7">
        <f t="shared" si="188"/>
        <v>2098</v>
      </c>
    </row>
    <row r="1703" spans="1:20" ht="14.25" customHeight="1" x14ac:dyDescent="0.35">
      <c r="A1703" s="2" t="s">
        <v>106</v>
      </c>
      <c r="B1703" s="2" t="s">
        <v>12</v>
      </c>
      <c r="C1703" s="2" t="s">
        <v>38</v>
      </c>
      <c r="D1703" s="2" t="s">
        <v>14</v>
      </c>
      <c r="E1703" s="2" t="s">
        <v>22</v>
      </c>
      <c r="F1703" s="2" t="s">
        <v>58</v>
      </c>
      <c r="G1703" s="2" t="s">
        <v>24</v>
      </c>
      <c r="H1703" s="2">
        <v>220000</v>
      </c>
      <c r="I1703" s="2">
        <v>4</v>
      </c>
      <c r="J1703" s="2" t="s">
        <v>54</v>
      </c>
      <c r="K1703" s="2">
        <f t="shared" si="182"/>
        <v>176000</v>
      </c>
      <c r="L1703" s="9">
        <f>Table_1[[#This Row],[Unit Price]]*Table_1[[#This Row],[Quantity]]</f>
        <v>880000</v>
      </c>
      <c r="M1703" s="8">
        <f>Table_1[[#This Row],[Cost Price]]*Table_1[[#This Row],[Quantity]]</f>
        <v>704000</v>
      </c>
      <c r="N1703">
        <f>Table_1[[#This Row],[Revenue]]-Table_1[[#This Row],[COGS]]</f>
        <v>176000</v>
      </c>
      <c r="O1703" s="11">
        <f t="shared" si="183"/>
        <v>4656740000</v>
      </c>
      <c r="P1703">
        <f t="shared" si="184"/>
        <v>3725392000</v>
      </c>
      <c r="Q1703">
        <f t="shared" si="185"/>
        <v>931348000</v>
      </c>
      <c r="R1703" s="7">
        <f t="shared" si="186"/>
        <v>2098</v>
      </c>
      <c r="S1703" s="7">
        <f t="shared" si="187"/>
        <v>4</v>
      </c>
      <c r="T1703" s="7">
        <f t="shared" si="188"/>
        <v>2098</v>
      </c>
    </row>
    <row r="1704" spans="1:20" ht="14.25" customHeight="1" x14ac:dyDescent="0.35">
      <c r="A1704" s="2" t="s">
        <v>122</v>
      </c>
      <c r="B1704" s="2" t="s">
        <v>29</v>
      </c>
      <c r="C1704" s="2" t="s">
        <v>38</v>
      </c>
      <c r="D1704" s="2" t="s">
        <v>14</v>
      </c>
      <c r="E1704" s="2" t="s">
        <v>22</v>
      </c>
      <c r="F1704" s="2" t="s">
        <v>16</v>
      </c>
      <c r="G1704" s="2" t="s">
        <v>17</v>
      </c>
      <c r="H1704" s="2">
        <v>85000</v>
      </c>
      <c r="I1704" s="2">
        <v>8</v>
      </c>
      <c r="J1704" s="2" t="s">
        <v>27</v>
      </c>
      <c r="K1704" s="2">
        <f t="shared" si="182"/>
        <v>68000</v>
      </c>
      <c r="L1704" s="9">
        <f>Table_1[[#This Row],[Unit Price]]*Table_1[[#This Row],[Quantity]]</f>
        <v>680000</v>
      </c>
      <c r="M1704" s="8">
        <f>Table_1[[#This Row],[Cost Price]]*Table_1[[#This Row],[Quantity]]</f>
        <v>544000</v>
      </c>
      <c r="N1704">
        <f>Table_1[[#This Row],[Revenue]]-Table_1[[#This Row],[COGS]]</f>
        <v>136000</v>
      </c>
      <c r="O1704" s="11">
        <f t="shared" si="183"/>
        <v>4656740000</v>
      </c>
      <c r="P1704">
        <f t="shared" si="184"/>
        <v>3725392000</v>
      </c>
      <c r="Q1704">
        <f t="shared" si="185"/>
        <v>931348000</v>
      </c>
      <c r="R1704" s="7">
        <f t="shared" si="186"/>
        <v>2098</v>
      </c>
      <c r="S1704" s="7">
        <f t="shared" si="187"/>
        <v>4</v>
      </c>
      <c r="T1704" s="7">
        <f t="shared" si="188"/>
        <v>2098</v>
      </c>
    </row>
    <row r="1705" spans="1:20" ht="14.25" customHeight="1" x14ac:dyDescent="0.35">
      <c r="A1705" s="2" t="s">
        <v>123</v>
      </c>
      <c r="B1705" s="2" t="s">
        <v>12</v>
      </c>
      <c r="C1705" s="2" t="s">
        <v>13</v>
      </c>
      <c r="D1705" s="2" t="s">
        <v>14</v>
      </c>
      <c r="E1705" s="2" t="s">
        <v>22</v>
      </c>
      <c r="F1705" s="2" t="s">
        <v>52</v>
      </c>
      <c r="G1705" s="2" t="s">
        <v>36</v>
      </c>
      <c r="H1705" s="2">
        <v>420000</v>
      </c>
      <c r="I1705" s="2">
        <v>7</v>
      </c>
      <c r="J1705" s="2" t="s">
        <v>32</v>
      </c>
      <c r="K1705" s="2">
        <f t="shared" si="182"/>
        <v>336000</v>
      </c>
      <c r="L1705" s="9">
        <f>Table_1[[#This Row],[Unit Price]]*Table_1[[#This Row],[Quantity]]</f>
        <v>2940000</v>
      </c>
      <c r="M1705" s="8">
        <f>Table_1[[#This Row],[Cost Price]]*Table_1[[#This Row],[Quantity]]</f>
        <v>2352000</v>
      </c>
      <c r="N1705">
        <f>Table_1[[#This Row],[Revenue]]-Table_1[[#This Row],[COGS]]</f>
        <v>588000</v>
      </c>
      <c r="O1705" s="11">
        <f t="shared" si="183"/>
        <v>4656740000</v>
      </c>
      <c r="P1705">
        <f t="shared" si="184"/>
        <v>3725392000</v>
      </c>
      <c r="Q1705">
        <f t="shared" si="185"/>
        <v>931348000</v>
      </c>
      <c r="R1705" s="7">
        <f t="shared" si="186"/>
        <v>2098</v>
      </c>
      <c r="S1705" s="7">
        <f t="shared" si="187"/>
        <v>4</v>
      </c>
      <c r="T1705" s="7">
        <f t="shared" si="188"/>
        <v>2098</v>
      </c>
    </row>
    <row r="1706" spans="1:20" ht="14.25" customHeight="1" x14ac:dyDescent="0.35">
      <c r="A1706" s="2" t="s">
        <v>118</v>
      </c>
      <c r="B1706" s="2" t="s">
        <v>20</v>
      </c>
      <c r="C1706" s="2" t="s">
        <v>38</v>
      </c>
      <c r="D1706" s="2" t="s">
        <v>26</v>
      </c>
      <c r="E1706" s="2" t="s">
        <v>22</v>
      </c>
      <c r="F1706" s="2" t="s">
        <v>58</v>
      </c>
      <c r="G1706" s="2" t="s">
        <v>24</v>
      </c>
      <c r="H1706" s="2">
        <v>220000</v>
      </c>
      <c r="I1706" s="2">
        <v>2</v>
      </c>
      <c r="J1706" s="2" t="s">
        <v>18</v>
      </c>
      <c r="K1706" s="2">
        <f t="shared" si="182"/>
        <v>176000</v>
      </c>
      <c r="L1706" s="9">
        <f>Table_1[[#This Row],[Unit Price]]*Table_1[[#This Row],[Quantity]]</f>
        <v>440000</v>
      </c>
      <c r="M1706" s="8">
        <f>Table_1[[#This Row],[Cost Price]]*Table_1[[#This Row],[Quantity]]</f>
        <v>352000</v>
      </c>
      <c r="N1706">
        <f>Table_1[[#This Row],[Revenue]]-Table_1[[#This Row],[COGS]]</f>
        <v>88000</v>
      </c>
      <c r="O1706" s="11">
        <f t="shared" si="183"/>
        <v>4656740000</v>
      </c>
      <c r="P1706">
        <f t="shared" si="184"/>
        <v>3725392000</v>
      </c>
      <c r="Q1706">
        <f t="shared" si="185"/>
        <v>931348000</v>
      </c>
      <c r="R1706" s="7">
        <f t="shared" si="186"/>
        <v>2098</v>
      </c>
      <c r="S1706" s="7">
        <f t="shared" si="187"/>
        <v>1</v>
      </c>
      <c r="T1706" s="7">
        <f t="shared" si="188"/>
        <v>2098</v>
      </c>
    </row>
    <row r="1707" spans="1:20" ht="14.25" customHeight="1" x14ac:dyDescent="0.35">
      <c r="A1707" s="2" t="s">
        <v>59</v>
      </c>
      <c r="B1707" s="2" t="s">
        <v>34</v>
      </c>
      <c r="C1707" s="2" t="s">
        <v>30</v>
      </c>
      <c r="D1707" s="2" t="s">
        <v>14</v>
      </c>
      <c r="E1707" s="2" t="s">
        <v>15</v>
      </c>
      <c r="F1707" s="2" t="s">
        <v>47</v>
      </c>
      <c r="G1707" s="2" t="s">
        <v>36</v>
      </c>
      <c r="H1707" s="2">
        <v>150000</v>
      </c>
      <c r="I1707" s="2">
        <v>1</v>
      </c>
      <c r="J1707" s="2" t="s">
        <v>43</v>
      </c>
      <c r="K1707" s="2">
        <f t="shared" si="182"/>
        <v>120000</v>
      </c>
      <c r="L1707" s="9">
        <f>Table_1[[#This Row],[Unit Price]]*Table_1[[#This Row],[Quantity]]</f>
        <v>150000</v>
      </c>
      <c r="M1707" s="8">
        <f>Table_1[[#This Row],[Cost Price]]*Table_1[[#This Row],[Quantity]]</f>
        <v>120000</v>
      </c>
      <c r="N1707">
        <f>Table_1[[#This Row],[Revenue]]-Table_1[[#This Row],[COGS]]</f>
        <v>30000</v>
      </c>
      <c r="O1707" s="11">
        <f t="shared" si="183"/>
        <v>4656740000</v>
      </c>
      <c r="P1707">
        <f t="shared" si="184"/>
        <v>3725392000</v>
      </c>
      <c r="Q1707">
        <f t="shared" si="185"/>
        <v>931348000</v>
      </c>
      <c r="R1707" s="7">
        <f t="shared" si="186"/>
        <v>2098</v>
      </c>
      <c r="S1707" s="7">
        <f t="shared" si="187"/>
        <v>2</v>
      </c>
      <c r="T1707" s="7">
        <f t="shared" si="188"/>
        <v>2098</v>
      </c>
    </row>
    <row r="1708" spans="1:20" ht="14.25" customHeight="1" x14ac:dyDescent="0.35">
      <c r="A1708" s="2" t="s">
        <v>121</v>
      </c>
      <c r="B1708" s="2" t="s">
        <v>34</v>
      </c>
      <c r="C1708" s="2" t="s">
        <v>13</v>
      </c>
      <c r="D1708" s="2" t="s">
        <v>26</v>
      </c>
      <c r="E1708" s="2" t="s">
        <v>22</v>
      </c>
      <c r="F1708" s="2" t="s">
        <v>52</v>
      </c>
      <c r="G1708" s="2" t="s">
        <v>36</v>
      </c>
      <c r="H1708" s="2">
        <v>420000</v>
      </c>
      <c r="I1708" s="2">
        <v>4</v>
      </c>
      <c r="J1708" s="2" t="s">
        <v>50</v>
      </c>
      <c r="K1708" s="2">
        <f t="shared" si="182"/>
        <v>336000</v>
      </c>
      <c r="L1708" s="9">
        <f>Table_1[[#This Row],[Unit Price]]*Table_1[[#This Row],[Quantity]]</f>
        <v>1680000</v>
      </c>
      <c r="M1708" s="8">
        <f>Table_1[[#This Row],[Cost Price]]*Table_1[[#This Row],[Quantity]]</f>
        <v>1344000</v>
      </c>
      <c r="N1708">
        <f>Table_1[[#This Row],[Revenue]]-Table_1[[#This Row],[COGS]]</f>
        <v>336000</v>
      </c>
      <c r="O1708" s="11">
        <f t="shared" si="183"/>
        <v>4656740000</v>
      </c>
      <c r="P1708">
        <f t="shared" si="184"/>
        <v>3725392000</v>
      </c>
      <c r="Q1708">
        <f t="shared" si="185"/>
        <v>931348000</v>
      </c>
      <c r="R1708" s="7">
        <f t="shared" si="186"/>
        <v>2098</v>
      </c>
      <c r="S1708" s="7">
        <f t="shared" si="187"/>
        <v>2</v>
      </c>
      <c r="T1708" s="7">
        <f t="shared" si="188"/>
        <v>2098</v>
      </c>
    </row>
    <row r="1709" spans="1:20" ht="14.25" customHeight="1" x14ac:dyDescent="0.35">
      <c r="A1709" s="2" t="s">
        <v>102</v>
      </c>
      <c r="B1709" s="2" t="s">
        <v>29</v>
      </c>
      <c r="C1709" s="2" t="s">
        <v>21</v>
      </c>
      <c r="D1709" s="2" t="s">
        <v>26</v>
      </c>
      <c r="E1709" s="2" t="s">
        <v>15</v>
      </c>
      <c r="F1709" s="2" t="s">
        <v>35</v>
      </c>
      <c r="G1709" s="2" t="s">
        <v>36</v>
      </c>
      <c r="H1709" s="2">
        <v>300000</v>
      </c>
      <c r="I1709" s="2">
        <v>1</v>
      </c>
      <c r="J1709" s="2" t="s">
        <v>32</v>
      </c>
      <c r="K1709" s="2">
        <f t="shared" si="182"/>
        <v>240000</v>
      </c>
      <c r="L1709" s="9">
        <f>Table_1[[#This Row],[Unit Price]]*Table_1[[#This Row],[Quantity]]</f>
        <v>300000</v>
      </c>
      <c r="M1709" s="8">
        <f>Table_1[[#This Row],[Cost Price]]*Table_1[[#This Row],[Quantity]]</f>
        <v>240000</v>
      </c>
      <c r="N1709">
        <f>Table_1[[#This Row],[Revenue]]-Table_1[[#This Row],[COGS]]</f>
        <v>60000</v>
      </c>
      <c r="O1709" s="11">
        <f t="shared" si="183"/>
        <v>4656740000</v>
      </c>
      <c r="P1709">
        <f t="shared" si="184"/>
        <v>3725392000</v>
      </c>
      <c r="Q1709">
        <f t="shared" si="185"/>
        <v>931348000</v>
      </c>
      <c r="R1709" s="7">
        <f t="shared" si="186"/>
        <v>2098</v>
      </c>
      <c r="S1709" s="7">
        <f t="shared" si="187"/>
        <v>1</v>
      </c>
      <c r="T1709" s="7">
        <f t="shared" si="188"/>
        <v>2098</v>
      </c>
    </row>
    <row r="1710" spans="1:20" ht="14.25" customHeight="1" x14ac:dyDescent="0.35">
      <c r="A1710" s="2" t="s">
        <v>92</v>
      </c>
      <c r="B1710" s="2" t="s">
        <v>12</v>
      </c>
      <c r="C1710" s="2" t="s">
        <v>21</v>
      </c>
      <c r="D1710" s="2" t="s">
        <v>14</v>
      </c>
      <c r="E1710" s="2" t="s">
        <v>22</v>
      </c>
      <c r="F1710" s="2" t="s">
        <v>35</v>
      </c>
      <c r="G1710" s="2" t="s">
        <v>36</v>
      </c>
      <c r="H1710" s="2">
        <v>300000</v>
      </c>
      <c r="I1710" s="2">
        <v>9</v>
      </c>
      <c r="J1710" s="2" t="s">
        <v>27</v>
      </c>
      <c r="K1710" s="2">
        <f t="shared" si="182"/>
        <v>240000</v>
      </c>
      <c r="L1710" s="9">
        <f>Table_1[[#This Row],[Unit Price]]*Table_1[[#This Row],[Quantity]]</f>
        <v>2700000</v>
      </c>
      <c r="M1710" s="8">
        <f>Table_1[[#This Row],[Cost Price]]*Table_1[[#This Row],[Quantity]]</f>
        <v>2160000</v>
      </c>
      <c r="N1710">
        <f>Table_1[[#This Row],[Revenue]]-Table_1[[#This Row],[COGS]]</f>
        <v>540000</v>
      </c>
      <c r="O1710" s="11">
        <f t="shared" si="183"/>
        <v>4656740000</v>
      </c>
      <c r="P1710">
        <f t="shared" si="184"/>
        <v>3725392000</v>
      </c>
      <c r="Q1710">
        <f t="shared" si="185"/>
        <v>931348000</v>
      </c>
      <c r="R1710" s="7">
        <f t="shared" si="186"/>
        <v>2098</v>
      </c>
      <c r="S1710" s="7">
        <f t="shared" si="187"/>
        <v>2</v>
      </c>
      <c r="T1710" s="7">
        <f t="shared" si="188"/>
        <v>2098</v>
      </c>
    </row>
    <row r="1711" spans="1:20" ht="14.25" customHeight="1" x14ac:dyDescent="0.35">
      <c r="A1711" s="2" t="s">
        <v>96</v>
      </c>
      <c r="B1711" s="2" t="s">
        <v>29</v>
      </c>
      <c r="C1711" s="2" t="s">
        <v>38</v>
      </c>
      <c r="D1711" s="2" t="s">
        <v>14</v>
      </c>
      <c r="E1711" s="2" t="s">
        <v>15</v>
      </c>
      <c r="F1711" s="2" t="s">
        <v>56</v>
      </c>
      <c r="G1711" s="2" t="s">
        <v>36</v>
      </c>
      <c r="H1711" s="2">
        <v>250000</v>
      </c>
      <c r="I1711" s="2">
        <v>6</v>
      </c>
      <c r="J1711" s="2" t="s">
        <v>27</v>
      </c>
      <c r="K1711" s="2">
        <f t="shared" si="182"/>
        <v>200000</v>
      </c>
      <c r="L1711" s="9">
        <f>Table_1[[#This Row],[Unit Price]]*Table_1[[#This Row],[Quantity]]</f>
        <v>1500000</v>
      </c>
      <c r="M1711" s="8">
        <f>Table_1[[#This Row],[Cost Price]]*Table_1[[#This Row],[Quantity]]</f>
        <v>1200000</v>
      </c>
      <c r="N1711">
        <f>Table_1[[#This Row],[Revenue]]-Table_1[[#This Row],[COGS]]</f>
        <v>300000</v>
      </c>
      <c r="O1711" s="11">
        <f t="shared" si="183"/>
        <v>4656740000</v>
      </c>
      <c r="P1711">
        <f t="shared" si="184"/>
        <v>3725392000</v>
      </c>
      <c r="Q1711">
        <f t="shared" si="185"/>
        <v>931348000</v>
      </c>
      <c r="R1711" s="7">
        <f t="shared" si="186"/>
        <v>2098</v>
      </c>
      <c r="S1711" s="7">
        <f t="shared" si="187"/>
        <v>2</v>
      </c>
      <c r="T1711" s="7">
        <f t="shared" si="188"/>
        <v>2098</v>
      </c>
    </row>
    <row r="1712" spans="1:20" ht="14.25" customHeight="1" x14ac:dyDescent="0.35">
      <c r="A1712" s="2" t="s">
        <v>154</v>
      </c>
      <c r="B1712" s="2" t="s">
        <v>34</v>
      </c>
      <c r="C1712" s="2" t="s">
        <v>30</v>
      </c>
      <c r="D1712" s="2" t="s">
        <v>14</v>
      </c>
      <c r="E1712" s="2" t="s">
        <v>22</v>
      </c>
      <c r="F1712" s="2" t="s">
        <v>23</v>
      </c>
      <c r="G1712" s="2" t="s">
        <v>24</v>
      </c>
      <c r="H1712" s="2">
        <v>30000</v>
      </c>
      <c r="I1712" s="2">
        <v>7</v>
      </c>
      <c r="J1712" s="2" t="s">
        <v>32</v>
      </c>
      <c r="K1712" s="2">
        <f t="shared" si="182"/>
        <v>24000</v>
      </c>
      <c r="L1712" s="9">
        <f>Table_1[[#This Row],[Unit Price]]*Table_1[[#This Row],[Quantity]]</f>
        <v>210000</v>
      </c>
      <c r="M1712" s="8">
        <f>Table_1[[#This Row],[Cost Price]]*Table_1[[#This Row],[Quantity]]</f>
        <v>168000</v>
      </c>
      <c r="N1712">
        <f>Table_1[[#This Row],[Revenue]]-Table_1[[#This Row],[COGS]]</f>
        <v>42000</v>
      </c>
      <c r="O1712" s="11">
        <f t="shared" si="183"/>
        <v>4656740000</v>
      </c>
      <c r="P1712">
        <f t="shared" si="184"/>
        <v>3725392000</v>
      </c>
      <c r="Q1712">
        <f t="shared" si="185"/>
        <v>931348000</v>
      </c>
      <c r="R1712" s="7">
        <f t="shared" si="186"/>
        <v>2098</v>
      </c>
      <c r="S1712" s="7">
        <f t="shared" si="187"/>
        <v>2</v>
      </c>
      <c r="T1712" s="7">
        <f t="shared" si="188"/>
        <v>2098</v>
      </c>
    </row>
    <row r="1713" spans="1:20" ht="14.25" customHeight="1" x14ac:dyDescent="0.35">
      <c r="A1713" s="2" t="s">
        <v>69</v>
      </c>
      <c r="B1713" s="2" t="s">
        <v>29</v>
      </c>
      <c r="C1713" s="2" t="s">
        <v>13</v>
      </c>
      <c r="D1713" s="2" t="s">
        <v>26</v>
      </c>
      <c r="E1713" s="2" t="s">
        <v>15</v>
      </c>
      <c r="F1713" s="2" t="s">
        <v>16</v>
      </c>
      <c r="G1713" s="2" t="s">
        <v>17</v>
      </c>
      <c r="H1713" s="2">
        <v>85000</v>
      </c>
      <c r="I1713" s="2">
        <v>7</v>
      </c>
      <c r="J1713" s="2" t="s">
        <v>54</v>
      </c>
      <c r="K1713" s="2">
        <f t="shared" si="182"/>
        <v>68000</v>
      </c>
      <c r="L1713" s="9">
        <f>Table_1[[#This Row],[Unit Price]]*Table_1[[#This Row],[Quantity]]</f>
        <v>595000</v>
      </c>
      <c r="M1713" s="8">
        <f>Table_1[[#This Row],[Cost Price]]*Table_1[[#This Row],[Quantity]]</f>
        <v>476000</v>
      </c>
      <c r="N1713">
        <f>Table_1[[#This Row],[Revenue]]-Table_1[[#This Row],[COGS]]</f>
        <v>119000</v>
      </c>
      <c r="O1713" s="11">
        <f t="shared" si="183"/>
        <v>4656740000</v>
      </c>
      <c r="P1713">
        <f t="shared" si="184"/>
        <v>3725392000</v>
      </c>
      <c r="Q1713">
        <f t="shared" si="185"/>
        <v>931348000</v>
      </c>
      <c r="R1713" s="7">
        <f t="shared" si="186"/>
        <v>2098</v>
      </c>
      <c r="S1713" s="7">
        <f t="shared" si="187"/>
        <v>1</v>
      </c>
      <c r="T1713" s="7">
        <f t="shared" si="188"/>
        <v>2098</v>
      </c>
    </row>
    <row r="1714" spans="1:20" ht="14.25" customHeight="1" x14ac:dyDescent="0.35">
      <c r="A1714" s="2" t="s">
        <v>44</v>
      </c>
      <c r="B1714" s="2" t="s">
        <v>12</v>
      </c>
      <c r="C1714" s="2" t="s">
        <v>38</v>
      </c>
      <c r="D1714" s="2" t="s">
        <v>26</v>
      </c>
      <c r="E1714" s="2" t="s">
        <v>15</v>
      </c>
      <c r="F1714" s="2" t="s">
        <v>16</v>
      </c>
      <c r="G1714" s="2" t="s">
        <v>17</v>
      </c>
      <c r="H1714" s="2">
        <v>85000</v>
      </c>
      <c r="I1714" s="2">
        <v>7</v>
      </c>
      <c r="J1714" s="2" t="s">
        <v>54</v>
      </c>
      <c r="K1714" s="2">
        <f t="shared" si="182"/>
        <v>68000</v>
      </c>
      <c r="L1714" s="9">
        <f>Table_1[[#This Row],[Unit Price]]*Table_1[[#This Row],[Quantity]]</f>
        <v>595000</v>
      </c>
      <c r="M1714" s="8">
        <f>Table_1[[#This Row],[Cost Price]]*Table_1[[#This Row],[Quantity]]</f>
        <v>476000</v>
      </c>
      <c r="N1714">
        <f>Table_1[[#This Row],[Revenue]]-Table_1[[#This Row],[COGS]]</f>
        <v>119000</v>
      </c>
      <c r="O1714" s="11">
        <f t="shared" si="183"/>
        <v>4656740000</v>
      </c>
      <c r="P1714">
        <f t="shared" si="184"/>
        <v>3725392000</v>
      </c>
      <c r="Q1714">
        <f t="shared" si="185"/>
        <v>931348000</v>
      </c>
      <c r="R1714" s="7">
        <f t="shared" si="186"/>
        <v>2098</v>
      </c>
      <c r="S1714" s="7">
        <f t="shared" si="187"/>
        <v>3</v>
      </c>
      <c r="T1714" s="7">
        <f t="shared" si="188"/>
        <v>2098</v>
      </c>
    </row>
    <row r="1715" spans="1:20" ht="14.25" customHeight="1" x14ac:dyDescent="0.35">
      <c r="A1715" s="2" t="s">
        <v>82</v>
      </c>
      <c r="B1715" s="2" t="s">
        <v>29</v>
      </c>
      <c r="C1715" s="2" t="s">
        <v>30</v>
      </c>
      <c r="D1715" s="2" t="s">
        <v>14</v>
      </c>
      <c r="E1715" s="2" t="s">
        <v>15</v>
      </c>
      <c r="F1715" s="2" t="s">
        <v>23</v>
      </c>
      <c r="G1715" s="2" t="s">
        <v>24</v>
      </c>
      <c r="H1715" s="2">
        <v>30000</v>
      </c>
      <c r="I1715" s="2">
        <v>4</v>
      </c>
      <c r="J1715" s="2" t="s">
        <v>18</v>
      </c>
      <c r="K1715" s="2">
        <f t="shared" si="182"/>
        <v>24000</v>
      </c>
      <c r="L1715" s="9">
        <f>Table_1[[#This Row],[Unit Price]]*Table_1[[#This Row],[Quantity]]</f>
        <v>120000</v>
      </c>
      <c r="M1715" s="8">
        <f>Table_1[[#This Row],[Cost Price]]*Table_1[[#This Row],[Quantity]]</f>
        <v>96000</v>
      </c>
      <c r="N1715">
        <f>Table_1[[#This Row],[Revenue]]-Table_1[[#This Row],[COGS]]</f>
        <v>24000</v>
      </c>
      <c r="O1715" s="11">
        <f t="shared" si="183"/>
        <v>4656740000</v>
      </c>
      <c r="P1715">
        <f t="shared" si="184"/>
        <v>3725392000</v>
      </c>
      <c r="Q1715">
        <f t="shared" si="185"/>
        <v>931348000</v>
      </c>
      <c r="R1715" s="7">
        <f t="shared" si="186"/>
        <v>2098</v>
      </c>
      <c r="S1715" s="7">
        <f t="shared" si="187"/>
        <v>1</v>
      </c>
      <c r="T1715" s="7">
        <f t="shared" si="188"/>
        <v>2098</v>
      </c>
    </row>
    <row r="1716" spans="1:20" ht="14.25" customHeight="1" x14ac:dyDescent="0.35">
      <c r="A1716" s="2" t="s">
        <v>146</v>
      </c>
      <c r="B1716" s="2" t="s">
        <v>12</v>
      </c>
      <c r="C1716" s="2" t="s">
        <v>30</v>
      </c>
      <c r="D1716" s="2" t="s">
        <v>14</v>
      </c>
      <c r="E1716" s="2" t="s">
        <v>15</v>
      </c>
      <c r="F1716" s="2" t="s">
        <v>47</v>
      </c>
      <c r="G1716" s="2" t="s">
        <v>36</v>
      </c>
      <c r="H1716" s="2">
        <v>150000</v>
      </c>
      <c r="I1716" s="2">
        <v>9</v>
      </c>
      <c r="J1716" s="2" t="s">
        <v>27</v>
      </c>
      <c r="K1716" s="2">
        <f t="shared" si="182"/>
        <v>120000</v>
      </c>
      <c r="L1716" s="9">
        <f>Table_1[[#This Row],[Unit Price]]*Table_1[[#This Row],[Quantity]]</f>
        <v>1350000</v>
      </c>
      <c r="M1716" s="8">
        <f>Table_1[[#This Row],[Cost Price]]*Table_1[[#This Row],[Quantity]]</f>
        <v>1080000</v>
      </c>
      <c r="N1716">
        <f>Table_1[[#This Row],[Revenue]]-Table_1[[#This Row],[COGS]]</f>
        <v>270000</v>
      </c>
      <c r="O1716" s="11">
        <f t="shared" si="183"/>
        <v>4656740000</v>
      </c>
      <c r="P1716">
        <f t="shared" si="184"/>
        <v>3725392000</v>
      </c>
      <c r="Q1716">
        <f t="shared" si="185"/>
        <v>931348000</v>
      </c>
      <c r="R1716" s="7">
        <f t="shared" si="186"/>
        <v>2098</v>
      </c>
      <c r="S1716" s="7">
        <f t="shared" si="187"/>
        <v>3</v>
      </c>
      <c r="T1716" s="7">
        <f t="shared" si="188"/>
        <v>2098</v>
      </c>
    </row>
    <row r="1717" spans="1:20" ht="14.25" customHeight="1" x14ac:dyDescent="0.35">
      <c r="A1717" s="2" t="s">
        <v>142</v>
      </c>
      <c r="B1717" s="2" t="s">
        <v>34</v>
      </c>
      <c r="C1717" s="2" t="s">
        <v>13</v>
      </c>
      <c r="D1717" s="2" t="s">
        <v>26</v>
      </c>
      <c r="E1717" s="2" t="s">
        <v>22</v>
      </c>
      <c r="F1717" s="2" t="s">
        <v>58</v>
      </c>
      <c r="G1717" s="2" t="s">
        <v>24</v>
      </c>
      <c r="H1717" s="2">
        <v>220000</v>
      </c>
      <c r="I1717" s="2">
        <v>9</v>
      </c>
      <c r="J1717" s="2" t="s">
        <v>54</v>
      </c>
      <c r="K1717" s="2">
        <f t="shared" si="182"/>
        <v>176000</v>
      </c>
      <c r="L1717" s="9">
        <f>Table_1[[#This Row],[Unit Price]]*Table_1[[#This Row],[Quantity]]</f>
        <v>1980000</v>
      </c>
      <c r="M1717" s="8">
        <f>Table_1[[#This Row],[Cost Price]]*Table_1[[#This Row],[Quantity]]</f>
        <v>1584000</v>
      </c>
      <c r="N1717">
        <f>Table_1[[#This Row],[Revenue]]-Table_1[[#This Row],[COGS]]</f>
        <v>396000</v>
      </c>
      <c r="O1717" s="11">
        <f t="shared" si="183"/>
        <v>4656740000</v>
      </c>
      <c r="P1717">
        <f t="shared" si="184"/>
        <v>3725392000</v>
      </c>
      <c r="Q1717">
        <f t="shared" si="185"/>
        <v>931348000</v>
      </c>
      <c r="R1717" s="7">
        <f t="shared" si="186"/>
        <v>2098</v>
      </c>
      <c r="S1717" s="7">
        <f t="shared" si="187"/>
        <v>4</v>
      </c>
      <c r="T1717" s="7">
        <f t="shared" si="188"/>
        <v>2098</v>
      </c>
    </row>
    <row r="1718" spans="1:20" ht="14.25" customHeight="1" x14ac:dyDescent="0.35">
      <c r="A1718" s="2" t="s">
        <v>85</v>
      </c>
      <c r="B1718" s="2" t="s">
        <v>20</v>
      </c>
      <c r="C1718" s="2" t="s">
        <v>30</v>
      </c>
      <c r="D1718" s="2" t="s">
        <v>26</v>
      </c>
      <c r="E1718" s="2" t="s">
        <v>15</v>
      </c>
      <c r="F1718" s="2" t="s">
        <v>23</v>
      </c>
      <c r="G1718" s="2" t="s">
        <v>24</v>
      </c>
      <c r="H1718" s="2">
        <v>30000</v>
      </c>
      <c r="I1718" s="2">
        <v>8</v>
      </c>
      <c r="J1718" s="2" t="s">
        <v>50</v>
      </c>
      <c r="K1718" s="2">
        <f t="shared" si="182"/>
        <v>24000</v>
      </c>
      <c r="L1718" s="9">
        <f>Table_1[[#This Row],[Unit Price]]*Table_1[[#This Row],[Quantity]]</f>
        <v>240000</v>
      </c>
      <c r="M1718" s="8">
        <f>Table_1[[#This Row],[Cost Price]]*Table_1[[#This Row],[Quantity]]</f>
        <v>192000</v>
      </c>
      <c r="N1718">
        <f>Table_1[[#This Row],[Revenue]]-Table_1[[#This Row],[COGS]]</f>
        <v>48000</v>
      </c>
      <c r="O1718" s="11">
        <f t="shared" si="183"/>
        <v>4656740000</v>
      </c>
      <c r="P1718">
        <f t="shared" si="184"/>
        <v>3725392000</v>
      </c>
      <c r="Q1718">
        <f t="shared" si="185"/>
        <v>931348000</v>
      </c>
      <c r="R1718" s="7">
        <f t="shared" si="186"/>
        <v>2098</v>
      </c>
      <c r="S1718" s="7">
        <f t="shared" si="187"/>
        <v>1</v>
      </c>
      <c r="T1718" s="7">
        <f t="shared" si="188"/>
        <v>2098</v>
      </c>
    </row>
    <row r="1719" spans="1:20" ht="14.25" customHeight="1" x14ac:dyDescent="0.35">
      <c r="A1719" s="2" t="s">
        <v>145</v>
      </c>
      <c r="B1719" s="2" t="s">
        <v>20</v>
      </c>
      <c r="C1719" s="2" t="s">
        <v>30</v>
      </c>
      <c r="D1719" s="2" t="s">
        <v>14</v>
      </c>
      <c r="E1719" s="2" t="s">
        <v>15</v>
      </c>
      <c r="F1719" s="2" t="s">
        <v>16</v>
      </c>
      <c r="G1719" s="2" t="s">
        <v>17</v>
      </c>
      <c r="H1719" s="2">
        <v>85000</v>
      </c>
      <c r="I1719" s="2">
        <v>2</v>
      </c>
      <c r="J1719" s="2" t="s">
        <v>27</v>
      </c>
      <c r="K1719" s="2">
        <f t="shared" si="182"/>
        <v>68000</v>
      </c>
      <c r="L1719" s="9">
        <f>Table_1[[#This Row],[Unit Price]]*Table_1[[#This Row],[Quantity]]</f>
        <v>170000</v>
      </c>
      <c r="M1719" s="8">
        <f>Table_1[[#This Row],[Cost Price]]*Table_1[[#This Row],[Quantity]]</f>
        <v>136000</v>
      </c>
      <c r="N1719">
        <f>Table_1[[#This Row],[Revenue]]-Table_1[[#This Row],[COGS]]</f>
        <v>34000</v>
      </c>
      <c r="O1719" s="11">
        <f t="shared" si="183"/>
        <v>4656740000</v>
      </c>
      <c r="P1719">
        <f t="shared" si="184"/>
        <v>3725392000</v>
      </c>
      <c r="Q1719">
        <f t="shared" si="185"/>
        <v>931348000</v>
      </c>
      <c r="R1719" s="7">
        <f t="shared" si="186"/>
        <v>2098</v>
      </c>
      <c r="S1719" s="7">
        <f t="shared" si="187"/>
        <v>1</v>
      </c>
      <c r="T1719" s="7">
        <f t="shared" si="188"/>
        <v>2098</v>
      </c>
    </row>
    <row r="1720" spans="1:20" ht="14.25" customHeight="1" x14ac:dyDescent="0.35">
      <c r="A1720" s="2" t="s">
        <v>94</v>
      </c>
      <c r="B1720" s="2" t="s">
        <v>29</v>
      </c>
      <c r="C1720" s="2" t="s">
        <v>21</v>
      </c>
      <c r="D1720" s="2" t="s">
        <v>26</v>
      </c>
      <c r="E1720" s="2" t="s">
        <v>15</v>
      </c>
      <c r="F1720" s="2" t="s">
        <v>39</v>
      </c>
      <c r="G1720" s="2" t="s">
        <v>24</v>
      </c>
      <c r="H1720" s="2">
        <v>180000</v>
      </c>
      <c r="I1720" s="2">
        <v>9</v>
      </c>
      <c r="J1720" s="2" t="s">
        <v>27</v>
      </c>
      <c r="K1720" s="2">
        <f t="shared" si="182"/>
        <v>144000</v>
      </c>
      <c r="L1720" s="9">
        <f>Table_1[[#This Row],[Unit Price]]*Table_1[[#This Row],[Quantity]]</f>
        <v>1620000</v>
      </c>
      <c r="M1720" s="8">
        <f>Table_1[[#This Row],[Cost Price]]*Table_1[[#This Row],[Quantity]]</f>
        <v>1296000</v>
      </c>
      <c r="N1720">
        <f>Table_1[[#This Row],[Revenue]]-Table_1[[#This Row],[COGS]]</f>
        <v>324000</v>
      </c>
      <c r="O1720" s="11">
        <f t="shared" si="183"/>
        <v>4656740000</v>
      </c>
      <c r="P1720">
        <f t="shared" si="184"/>
        <v>3725392000</v>
      </c>
      <c r="Q1720">
        <f t="shared" si="185"/>
        <v>931348000</v>
      </c>
      <c r="R1720" s="7">
        <f t="shared" si="186"/>
        <v>2098</v>
      </c>
      <c r="S1720" s="7">
        <f t="shared" si="187"/>
        <v>3</v>
      </c>
      <c r="T1720" s="7">
        <f t="shared" si="188"/>
        <v>2098</v>
      </c>
    </row>
    <row r="1721" spans="1:20" ht="14.25" customHeight="1" x14ac:dyDescent="0.35">
      <c r="A1721" s="2" t="s">
        <v>80</v>
      </c>
      <c r="B1721" s="2" t="s">
        <v>20</v>
      </c>
      <c r="C1721" s="2" t="s">
        <v>30</v>
      </c>
      <c r="D1721" s="2" t="s">
        <v>14</v>
      </c>
      <c r="E1721" s="2" t="s">
        <v>15</v>
      </c>
      <c r="F1721" s="2" t="s">
        <v>47</v>
      </c>
      <c r="G1721" s="2" t="s">
        <v>36</v>
      </c>
      <c r="H1721" s="2">
        <v>150000</v>
      </c>
      <c r="I1721" s="2">
        <v>8</v>
      </c>
      <c r="J1721" s="2" t="s">
        <v>54</v>
      </c>
      <c r="K1721" s="2">
        <f t="shared" si="182"/>
        <v>120000</v>
      </c>
      <c r="L1721" s="9">
        <f>Table_1[[#This Row],[Unit Price]]*Table_1[[#This Row],[Quantity]]</f>
        <v>1200000</v>
      </c>
      <c r="M1721" s="8">
        <f>Table_1[[#This Row],[Cost Price]]*Table_1[[#This Row],[Quantity]]</f>
        <v>960000</v>
      </c>
      <c r="N1721">
        <f>Table_1[[#This Row],[Revenue]]-Table_1[[#This Row],[COGS]]</f>
        <v>240000</v>
      </c>
      <c r="O1721" s="11">
        <f t="shared" si="183"/>
        <v>4656740000</v>
      </c>
      <c r="P1721">
        <f t="shared" si="184"/>
        <v>3725392000</v>
      </c>
      <c r="Q1721">
        <f t="shared" si="185"/>
        <v>931348000</v>
      </c>
      <c r="R1721" s="7">
        <f t="shared" si="186"/>
        <v>2098</v>
      </c>
      <c r="S1721" s="7">
        <f t="shared" si="187"/>
        <v>2</v>
      </c>
      <c r="T1721" s="7">
        <f t="shared" si="188"/>
        <v>2098</v>
      </c>
    </row>
    <row r="1722" spans="1:20" ht="14.25" customHeight="1" x14ac:dyDescent="0.35">
      <c r="A1722" s="2" t="s">
        <v>77</v>
      </c>
      <c r="B1722" s="2" t="s">
        <v>34</v>
      </c>
      <c r="C1722" s="2" t="s">
        <v>13</v>
      </c>
      <c r="D1722" s="2" t="s">
        <v>14</v>
      </c>
      <c r="E1722" s="2" t="s">
        <v>15</v>
      </c>
      <c r="F1722" s="2" t="s">
        <v>31</v>
      </c>
      <c r="G1722" s="2" t="s">
        <v>24</v>
      </c>
      <c r="H1722" s="2">
        <v>60000</v>
      </c>
      <c r="I1722" s="2">
        <v>8</v>
      </c>
      <c r="J1722" s="2" t="s">
        <v>50</v>
      </c>
      <c r="K1722" s="2">
        <f t="shared" si="182"/>
        <v>48000</v>
      </c>
      <c r="L1722" s="9">
        <f>Table_1[[#This Row],[Unit Price]]*Table_1[[#This Row],[Quantity]]</f>
        <v>480000</v>
      </c>
      <c r="M1722" s="8">
        <f>Table_1[[#This Row],[Cost Price]]*Table_1[[#This Row],[Quantity]]</f>
        <v>384000</v>
      </c>
      <c r="N1722">
        <f>Table_1[[#This Row],[Revenue]]-Table_1[[#This Row],[COGS]]</f>
        <v>96000</v>
      </c>
      <c r="O1722" s="11">
        <f t="shared" si="183"/>
        <v>4656740000</v>
      </c>
      <c r="P1722">
        <f t="shared" si="184"/>
        <v>3725392000</v>
      </c>
      <c r="Q1722">
        <f t="shared" si="185"/>
        <v>931348000</v>
      </c>
      <c r="R1722" s="7">
        <f t="shared" si="186"/>
        <v>2098</v>
      </c>
      <c r="S1722" s="7">
        <f t="shared" si="187"/>
        <v>1</v>
      </c>
      <c r="T1722" s="7">
        <f t="shared" si="188"/>
        <v>2098</v>
      </c>
    </row>
    <row r="1723" spans="1:20" ht="14.25" customHeight="1" x14ac:dyDescent="0.35">
      <c r="A1723" s="2" t="s">
        <v>145</v>
      </c>
      <c r="B1723" s="2" t="s">
        <v>12</v>
      </c>
      <c r="C1723" s="2" t="s">
        <v>13</v>
      </c>
      <c r="D1723" s="2" t="s">
        <v>14</v>
      </c>
      <c r="E1723" s="2" t="s">
        <v>22</v>
      </c>
      <c r="F1723" s="2" t="s">
        <v>35</v>
      </c>
      <c r="G1723" s="2" t="s">
        <v>36</v>
      </c>
      <c r="H1723" s="2">
        <v>300000</v>
      </c>
      <c r="I1723" s="2">
        <v>5</v>
      </c>
      <c r="J1723" s="2" t="s">
        <v>32</v>
      </c>
      <c r="K1723" s="2">
        <f t="shared" si="182"/>
        <v>240000</v>
      </c>
      <c r="L1723" s="9">
        <f>Table_1[[#This Row],[Unit Price]]*Table_1[[#This Row],[Quantity]]</f>
        <v>1500000</v>
      </c>
      <c r="M1723" s="8">
        <f>Table_1[[#This Row],[Cost Price]]*Table_1[[#This Row],[Quantity]]</f>
        <v>1200000</v>
      </c>
      <c r="N1723">
        <f>Table_1[[#This Row],[Revenue]]-Table_1[[#This Row],[COGS]]</f>
        <v>300000</v>
      </c>
      <c r="O1723" s="11">
        <f t="shared" si="183"/>
        <v>4656740000</v>
      </c>
      <c r="P1723">
        <f t="shared" si="184"/>
        <v>3725392000</v>
      </c>
      <c r="Q1723">
        <f t="shared" si="185"/>
        <v>931348000</v>
      </c>
      <c r="R1723" s="7">
        <f t="shared" si="186"/>
        <v>2098</v>
      </c>
      <c r="S1723" s="7">
        <f t="shared" si="187"/>
        <v>1</v>
      </c>
      <c r="T1723" s="7">
        <f t="shared" si="188"/>
        <v>2098</v>
      </c>
    </row>
    <row r="1724" spans="1:20" ht="14.25" customHeight="1" x14ac:dyDescent="0.35">
      <c r="A1724" s="2" t="s">
        <v>141</v>
      </c>
      <c r="B1724" s="2" t="s">
        <v>34</v>
      </c>
      <c r="C1724" s="2" t="s">
        <v>21</v>
      </c>
      <c r="D1724" s="2" t="s">
        <v>14</v>
      </c>
      <c r="E1724" s="2" t="s">
        <v>15</v>
      </c>
      <c r="F1724" s="2" t="s">
        <v>23</v>
      </c>
      <c r="G1724" s="2" t="s">
        <v>24</v>
      </c>
      <c r="H1724" s="2">
        <v>30000</v>
      </c>
      <c r="I1724" s="2">
        <v>8</v>
      </c>
      <c r="J1724" s="2" t="s">
        <v>43</v>
      </c>
      <c r="K1724" s="2">
        <f t="shared" si="182"/>
        <v>24000</v>
      </c>
      <c r="L1724" s="9">
        <f>Table_1[[#This Row],[Unit Price]]*Table_1[[#This Row],[Quantity]]</f>
        <v>240000</v>
      </c>
      <c r="M1724" s="8">
        <f>Table_1[[#This Row],[Cost Price]]*Table_1[[#This Row],[Quantity]]</f>
        <v>192000</v>
      </c>
      <c r="N1724">
        <f>Table_1[[#This Row],[Revenue]]-Table_1[[#This Row],[COGS]]</f>
        <v>48000</v>
      </c>
      <c r="O1724" s="11">
        <f t="shared" si="183"/>
        <v>4656740000</v>
      </c>
      <c r="P1724">
        <f t="shared" si="184"/>
        <v>3725392000</v>
      </c>
      <c r="Q1724">
        <f t="shared" si="185"/>
        <v>931348000</v>
      </c>
      <c r="R1724" s="7">
        <f t="shared" si="186"/>
        <v>2098</v>
      </c>
      <c r="S1724" s="7">
        <f t="shared" si="187"/>
        <v>2</v>
      </c>
      <c r="T1724" s="7">
        <f t="shared" si="188"/>
        <v>2098</v>
      </c>
    </row>
    <row r="1725" spans="1:20" ht="14.25" customHeight="1" x14ac:dyDescent="0.35">
      <c r="A1725" s="2" t="s">
        <v>89</v>
      </c>
      <c r="B1725" s="2" t="s">
        <v>34</v>
      </c>
      <c r="C1725" s="2" t="s">
        <v>13</v>
      </c>
      <c r="D1725" s="2" t="s">
        <v>26</v>
      </c>
      <c r="E1725" s="2" t="s">
        <v>22</v>
      </c>
      <c r="F1725" s="2" t="s">
        <v>52</v>
      </c>
      <c r="G1725" s="2" t="s">
        <v>36</v>
      </c>
      <c r="H1725" s="2">
        <v>420000</v>
      </c>
      <c r="I1725" s="2">
        <v>3</v>
      </c>
      <c r="J1725" s="2" t="s">
        <v>27</v>
      </c>
      <c r="K1725" s="2">
        <f t="shared" si="182"/>
        <v>336000</v>
      </c>
      <c r="L1725" s="9">
        <f>Table_1[[#This Row],[Unit Price]]*Table_1[[#This Row],[Quantity]]</f>
        <v>1260000</v>
      </c>
      <c r="M1725" s="8">
        <f>Table_1[[#This Row],[Cost Price]]*Table_1[[#This Row],[Quantity]]</f>
        <v>1008000</v>
      </c>
      <c r="N1725">
        <f>Table_1[[#This Row],[Revenue]]-Table_1[[#This Row],[COGS]]</f>
        <v>252000</v>
      </c>
      <c r="O1725" s="11">
        <f t="shared" si="183"/>
        <v>4656740000</v>
      </c>
      <c r="P1725">
        <f t="shared" si="184"/>
        <v>3725392000</v>
      </c>
      <c r="Q1725">
        <f t="shared" si="185"/>
        <v>931348000</v>
      </c>
      <c r="R1725" s="7">
        <f t="shared" si="186"/>
        <v>2098</v>
      </c>
      <c r="S1725" s="7">
        <f t="shared" si="187"/>
        <v>3</v>
      </c>
      <c r="T1725" s="7">
        <f t="shared" si="188"/>
        <v>2098</v>
      </c>
    </row>
    <row r="1726" spans="1:20" ht="14.25" customHeight="1" x14ac:dyDescent="0.35">
      <c r="A1726" s="2" t="s">
        <v>70</v>
      </c>
      <c r="B1726" s="2" t="s">
        <v>12</v>
      </c>
      <c r="C1726" s="2" t="s">
        <v>13</v>
      </c>
      <c r="D1726" s="2" t="s">
        <v>26</v>
      </c>
      <c r="E1726" s="2" t="s">
        <v>15</v>
      </c>
      <c r="F1726" s="2" t="s">
        <v>52</v>
      </c>
      <c r="G1726" s="2" t="s">
        <v>36</v>
      </c>
      <c r="H1726" s="2">
        <v>420000</v>
      </c>
      <c r="I1726" s="2">
        <v>7</v>
      </c>
      <c r="J1726" s="2" t="s">
        <v>54</v>
      </c>
      <c r="K1726" s="2">
        <f t="shared" si="182"/>
        <v>336000</v>
      </c>
      <c r="L1726" s="9">
        <f>Table_1[[#This Row],[Unit Price]]*Table_1[[#This Row],[Quantity]]</f>
        <v>2940000</v>
      </c>
      <c r="M1726" s="8">
        <f>Table_1[[#This Row],[Cost Price]]*Table_1[[#This Row],[Quantity]]</f>
        <v>2352000</v>
      </c>
      <c r="N1726">
        <f>Table_1[[#This Row],[Revenue]]-Table_1[[#This Row],[COGS]]</f>
        <v>588000</v>
      </c>
      <c r="O1726" s="11">
        <f t="shared" si="183"/>
        <v>4656740000</v>
      </c>
      <c r="P1726">
        <f t="shared" si="184"/>
        <v>3725392000</v>
      </c>
      <c r="Q1726">
        <f t="shared" si="185"/>
        <v>931348000</v>
      </c>
      <c r="R1726" s="7">
        <f t="shared" si="186"/>
        <v>2098</v>
      </c>
      <c r="S1726" s="7">
        <f t="shared" si="187"/>
        <v>2</v>
      </c>
      <c r="T1726" s="7">
        <f t="shared" si="188"/>
        <v>2098</v>
      </c>
    </row>
    <row r="1727" spans="1:20" ht="14.25" customHeight="1" x14ac:dyDescent="0.35">
      <c r="A1727" s="2" t="s">
        <v>66</v>
      </c>
      <c r="B1727" s="2" t="s">
        <v>20</v>
      </c>
      <c r="C1727" s="2" t="s">
        <v>21</v>
      </c>
      <c r="D1727" s="2" t="s">
        <v>26</v>
      </c>
      <c r="E1727" s="2" t="s">
        <v>15</v>
      </c>
      <c r="F1727" s="2" t="s">
        <v>16</v>
      </c>
      <c r="G1727" s="2" t="s">
        <v>17</v>
      </c>
      <c r="H1727" s="2">
        <v>85000</v>
      </c>
      <c r="I1727" s="2">
        <v>9</v>
      </c>
      <c r="J1727" s="2" t="s">
        <v>54</v>
      </c>
      <c r="K1727" s="2">
        <f t="shared" si="182"/>
        <v>68000</v>
      </c>
      <c r="L1727" s="9">
        <f>Table_1[[#This Row],[Unit Price]]*Table_1[[#This Row],[Quantity]]</f>
        <v>765000</v>
      </c>
      <c r="M1727" s="8">
        <f>Table_1[[#This Row],[Cost Price]]*Table_1[[#This Row],[Quantity]]</f>
        <v>612000</v>
      </c>
      <c r="N1727">
        <f>Table_1[[#This Row],[Revenue]]-Table_1[[#This Row],[COGS]]</f>
        <v>153000</v>
      </c>
      <c r="O1727" s="11">
        <f t="shared" si="183"/>
        <v>4656740000</v>
      </c>
      <c r="P1727">
        <f t="shared" si="184"/>
        <v>3725392000</v>
      </c>
      <c r="Q1727">
        <f t="shared" si="185"/>
        <v>931348000</v>
      </c>
      <c r="R1727" s="7">
        <f t="shared" si="186"/>
        <v>2098</v>
      </c>
      <c r="S1727" s="7">
        <f t="shared" si="187"/>
        <v>3</v>
      </c>
      <c r="T1727" s="7">
        <f t="shared" si="188"/>
        <v>2098</v>
      </c>
    </row>
    <row r="1728" spans="1:20" ht="14.25" customHeight="1" x14ac:dyDescent="0.35">
      <c r="A1728" s="2" t="s">
        <v>45</v>
      </c>
      <c r="B1728" s="2" t="s">
        <v>20</v>
      </c>
      <c r="C1728" s="2" t="s">
        <v>21</v>
      </c>
      <c r="D1728" s="2" t="s">
        <v>26</v>
      </c>
      <c r="E1728" s="2" t="s">
        <v>15</v>
      </c>
      <c r="F1728" s="2" t="s">
        <v>35</v>
      </c>
      <c r="G1728" s="2" t="s">
        <v>36</v>
      </c>
      <c r="H1728" s="2">
        <v>300000</v>
      </c>
      <c r="I1728" s="2">
        <v>8</v>
      </c>
      <c r="J1728" s="2" t="s">
        <v>32</v>
      </c>
      <c r="K1728" s="2">
        <f t="shared" si="182"/>
        <v>240000</v>
      </c>
      <c r="L1728" s="9">
        <f>Table_1[[#This Row],[Unit Price]]*Table_1[[#This Row],[Quantity]]</f>
        <v>2400000</v>
      </c>
      <c r="M1728" s="8">
        <f>Table_1[[#This Row],[Cost Price]]*Table_1[[#This Row],[Quantity]]</f>
        <v>1920000</v>
      </c>
      <c r="N1728">
        <f>Table_1[[#This Row],[Revenue]]-Table_1[[#This Row],[COGS]]</f>
        <v>480000</v>
      </c>
      <c r="O1728" s="11">
        <f t="shared" si="183"/>
        <v>4656740000</v>
      </c>
      <c r="P1728">
        <f t="shared" si="184"/>
        <v>3725392000</v>
      </c>
      <c r="Q1728">
        <f t="shared" si="185"/>
        <v>931348000</v>
      </c>
      <c r="R1728" s="7">
        <f t="shared" si="186"/>
        <v>2098</v>
      </c>
      <c r="S1728" s="7">
        <f t="shared" si="187"/>
        <v>3</v>
      </c>
      <c r="T1728" s="7">
        <f t="shared" si="188"/>
        <v>2098</v>
      </c>
    </row>
    <row r="1729" spans="1:20" ht="14.25" customHeight="1" x14ac:dyDescent="0.35">
      <c r="A1729" s="2" t="s">
        <v>99</v>
      </c>
      <c r="B1729" s="2" t="s">
        <v>34</v>
      </c>
      <c r="C1729" s="2" t="s">
        <v>38</v>
      </c>
      <c r="D1729" s="2" t="s">
        <v>14</v>
      </c>
      <c r="E1729" s="2" t="s">
        <v>22</v>
      </c>
      <c r="F1729" s="2" t="s">
        <v>52</v>
      </c>
      <c r="G1729" s="2" t="s">
        <v>36</v>
      </c>
      <c r="H1729" s="2">
        <v>420000</v>
      </c>
      <c r="I1729" s="2">
        <v>6</v>
      </c>
      <c r="J1729" s="2" t="s">
        <v>18</v>
      </c>
      <c r="K1729" s="2">
        <f t="shared" si="182"/>
        <v>336000</v>
      </c>
      <c r="L1729" s="9">
        <f>Table_1[[#This Row],[Unit Price]]*Table_1[[#This Row],[Quantity]]</f>
        <v>2520000</v>
      </c>
      <c r="M1729" s="8">
        <f>Table_1[[#This Row],[Cost Price]]*Table_1[[#This Row],[Quantity]]</f>
        <v>2016000</v>
      </c>
      <c r="N1729">
        <f>Table_1[[#This Row],[Revenue]]-Table_1[[#This Row],[COGS]]</f>
        <v>504000</v>
      </c>
      <c r="O1729" s="11">
        <f t="shared" si="183"/>
        <v>4656740000</v>
      </c>
      <c r="P1729">
        <f t="shared" si="184"/>
        <v>3725392000</v>
      </c>
      <c r="Q1729">
        <f t="shared" si="185"/>
        <v>931348000</v>
      </c>
      <c r="R1729" s="7">
        <f t="shared" si="186"/>
        <v>2098</v>
      </c>
      <c r="S1729" s="7">
        <f t="shared" si="187"/>
        <v>4</v>
      </c>
      <c r="T1729" s="7">
        <f t="shared" si="188"/>
        <v>2098</v>
      </c>
    </row>
    <row r="1730" spans="1:20" ht="14.25" customHeight="1" x14ac:dyDescent="0.35">
      <c r="A1730" s="2" t="s">
        <v>122</v>
      </c>
      <c r="B1730" s="2" t="s">
        <v>29</v>
      </c>
      <c r="C1730" s="2" t="s">
        <v>38</v>
      </c>
      <c r="D1730" s="2" t="s">
        <v>26</v>
      </c>
      <c r="E1730" s="2" t="s">
        <v>15</v>
      </c>
      <c r="F1730" s="2" t="s">
        <v>47</v>
      </c>
      <c r="G1730" s="2" t="s">
        <v>36</v>
      </c>
      <c r="H1730" s="2">
        <v>150000</v>
      </c>
      <c r="I1730" s="2">
        <v>9</v>
      </c>
      <c r="J1730" s="2" t="s">
        <v>43</v>
      </c>
      <c r="K1730" s="2">
        <f t="shared" ref="K1730:K1793" si="189">H1730-H1730*0.2</f>
        <v>120000</v>
      </c>
      <c r="L1730" s="9">
        <f>Table_1[[#This Row],[Unit Price]]*Table_1[[#This Row],[Quantity]]</f>
        <v>1350000</v>
      </c>
      <c r="M1730" s="8">
        <f>Table_1[[#This Row],[Cost Price]]*Table_1[[#This Row],[Quantity]]</f>
        <v>1080000</v>
      </c>
      <c r="N1730">
        <f>Table_1[[#This Row],[Revenue]]-Table_1[[#This Row],[COGS]]</f>
        <v>270000</v>
      </c>
      <c r="O1730" s="11">
        <f t="shared" ref="O1730:O1793" si="190">SUM(L$2:L$1048576)</f>
        <v>4656740000</v>
      </c>
      <c r="P1730">
        <f t="shared" ref="P1730:P1793" si="191">SUM(M:M)</f>
        <v>3725392000</v>
      </c>
      <c r="Q1730">
        <f t="shared" ref="Q1730:Q1793" si="192">SUM(N:N)</f>
        <v>931348000</v>
      </c>
      <c r="R1730" s="7">
        <f t="shared" ref="R1730:R1793" si="193">COUNTA(A$2:A$1048576)</f>
        <v>2098</v>
      </c>
      <c r="S1730" s="7">
        <f t="shared" ref="S1730:S1793" si="194">MONTH(A1730:A3218)</f>
        <v>4</v>
      </c>
      <c r="T1730" s="7">
        <f t="shared" ref="T1730:T1793" si="195">COUNTA(A:A)-1</f>
        <v>2098</v>
      </c>
    </row>
    <row r="1731" spans="1:20" ht="14.25" customHeight="1" x14ac:dyDescent="0.35">
      <c r="A1731" s="2" t="s">
        <v>151</v>
      </c>
      <c r="B1731" s="2" t="s">
        <v>20</v>
      </c>
      <c r="C1731" s="2" t="s">
        <v>30</v>
      </c>
      <c r="D1731" s="2" t="s">
        <v>14</v>
      </c>
      <c r="E1731" s="2" t="s">
        <v>22</v>
      </c>
      <c r="F1731" s="2" t="s">
        <v>23</v>
      </c>
      <c r="G1731" s="2" t="s">
        <v>24</v>
      </c>
      <c r="H1731" s="2">
        <v>30000</v>
      </c>
      <c r="I1731" s="2">
        <v>3</v>
      </c>
      <c r="J1731" s="2" t="s">
        <v>32</v>
      </c>
      <c r="K1731" s="2">
        <f t="shared" si="189"/>
        <v>24000</v>
      </c>
      <c r="L1731" s="9">
        <f>Table_1[[#This Row],[Unit Price]]*Table_1[[#This Row],[Quantity]]</f>
        <v>90000</v>
      </c>
      <c r="M1731" s="8">
        <f>Table_1[[#This Row],[Cost Price]]*Table_1[[#This Row],[Quantity]]</f>
        <v>72000</v>
      </c>
      <c r="N1731">
        <f>Table_1[[#This Row],[Revenue]]-Table_1[[#This Row],[COGS]]</f>
        <v>18000</v>
      </c>
      <c r="O1731" s="11">
        <f t="shared" si="190"/>
        <v>4656740000</v>
      </c>
      <c r="P1731">
        <f t="shared" si="191"/>
        <v>3725392000</v>
      </c>
      <c r="Q1731">
        <f t="shared" si="192"/>
        <v>931348000</v>
      </c>
      <c r="R1731" s="7">
        <f t="shared" si="193"/>
        <v>2098</v>
      </c>
      <c r="S1731" s="7">
        <f t="shared" si="194"/>
        <v>1</v>
      </c>
      <c r="T1731" s="7">
        <f t="shared" si="195"/>
        <v>2098</v>
      </c>
    </row>
    <row r="1732" spans="1:20" ht="14.25" customHeight="1" x14ac:dyDescent="0.35">
      <c r="A1732" s="2" t="s">
        <v>146</v>
      </c>
      <c r="B1732" s="2" t="s">
        <v>20</v>
      </c>
      <c r="C1732" s="2" t="s">
        <v>30</v>
      </c>
      <c r="D1732" s="2" t="s">
        <v>14</v>
      </c>
      <c r="E1732" s="2" t="s">
        <v>22</v>
      </c>
      <c r="F1732" s="2" t="s">
        <v>23</v>
      </c>
      <c r="G1732" s="2" t="s">
        <v>24</v>
      </c>
      <c r="H1732" s="2">
        <v>30000</v>
      </c>
      <c r="I1732" s="2">
        <v>4</v>
      </c>
      <c r="J1732" s="2" t="s">
        <v>50</v>
      </c>
      <c r="K1732" s="2">
        <f t="shared" si="189"/>
        <v>24000</v>
      </c>
      <c r="L1732" s="9">
        <f>Table_1[[#This Row],[Unit Price]]*Table_1[[#This Row],[Quantity]]</f>
        <v>120000</v>
      </c>
      <c r="M1732" s="8">
        <f>Table_1[[#This Row],[Cost Price]]*Table_1[[#This Row],[Quantity]]</f>
        <v>96000</v>
      </c>
      <c r="N1732">
        <f>Table_1[[#This Row],[Revenue]]-Table_1[[#This Row],[COGS]]</f>
        <v>24000</v>
      </c>
      <c r="O1732" s="11">
        <f t="shared" si="190"/>
        <v>4656740000</v>
      </c>
      <c r="P1732">
        <f t="shared" si="191"/>
        <v>3725392000</v>
      </c>
      <c r="Q1732">
        <f t="shared" si="192"/>
        <v>931348000</v>
      </c>
      <c r="R1732" s="7">
        <f t="shared" si="193"/>
        <v>2098</v>
      </c>
      <c r="S1732" s="7">
        <f t="shared" si="194"/>
        <v>3</v>
      </c>
      <c r="T1732" s="7">
        <f t="shared" si="195"/>
        <v>2098</v>
      </c>
    </row>
    <row r="1733" spans="1:20" ht="14.25" customHeight="1" x14ac:dyDescent="0.35">
      <c r="A1733" s="2" t="s">
        <v>90</v>
      </c>
      <c r="B1733" s="2" t="s">
        <v>34</v>
      </c>
      <c r="C1733" s="2" t="s">
        <v>21</v>
      </c>
      <c r="D1733" s="2" t="s">
        <v>26</v>
      </c>
      <c r="E1733" s="2" t="s">
        <v>15</v>
      </c>
      <c r="F1733" s="2" t="s">
        <v>31</v>
      </c>
      <c r="G1733" s="2" t="s">
        <v>24</v>
      </c>
      <c r="H1733" s="2">
        <v>60000</v>
      </c>
      <c r="I1733" s="2">
        <v>4</v>
      </c>
      <c r="J1733" s="2" t="s">
        <v>50</v>
      </c>
      <c r="K1733" s="2">
        <f t="shared" si="189"/>
        <v>48000</v>
      </c>
      <c r="L1733" s="9">
        <f>Table_1[[#This Row],[Unit Price]]*Table_1[[#This Row],[Quantity]]</f>
        <v>240000</v>
      </c>
      <c r="M1733" s="8">
        <f>Table_1[[#This Row],[Cost Price]]*Table_1[[#This Row],[Quantity]]</f>
        <v>192000</v>
      </c>
      <c r="N1733">
        <f>Table_1[[#This Row],[Revenue]]-Table_1[[#This Row],[COGS]]</f>
        <v>48000</v>
      </c>
      <c r="O1733" s="11">
        <f t="shared" si="190"/>
        <v>4656740000</v>
      </c>
      <c r="P1733">
        <f t="shared" si="191"/>
        <v>3725392000</v>
      </c>
      <c r="Q1733">
        <f t="shared" si="192"/>
        <v>931348000</v>
      </c>
      <c r="R1733" s="7">
        <f t="shared" si="193"/>
        <v>2098</v>
      </c>
      <c r="S1733" s="7">
        <f t="shared" si="194"/>
        <v>3</v>
      </c>
      <c r="T1733" s="7">
        <f t="shared" si="195"/>
        <v>2098</v>
      </c>
    </row>
    <row r="1734" spans="1:20" ht="14.25" customHeight="1" x14ac:dyDescent="0.35">
      <c r="A1734" s="2" t="s">
        <v>59</v>
      </c>
      <c r="B1734" s="2" t="s">
        <v>34</v>
      </c>
      <c r="C1734" s="2" t="s">
        <v>30</v>
      </c>
      <c r="D1734" s="2" t="s">
        <v>14</v>
      </c>
      <c r="E1734" s="2" t="s">
        <v>22</v>
      </c>
      <c r="F1734" s="2" t="s">
        <v>56</v>
      </c>
      <c r="G1734" s="2" t="s">
        <v>36</v>
      </c>
      <c r="H1734" s="2">
        <v>250000</v>
      </c>
      <c r="I1734" s="2">
        <v>8</v>
      </c>
      <c r="J1734" s="2" t="s">
        <v>18</v>
      </c>
      <c r="K1734" s="2">
        <f t="shared" si="189"/>
        <v>200000</v>
      </c>
      <c r="L1734" s="9">
        <f>Table_1[[#This Row],[Unit Price]]*Table_1[[#This Row],[Quantity]]</f>
        <v>2000000</v>
      </c>
      <c r="M1734" s="8">
        <f>Table_1[[#This Row],[Cost Price]]*Table_1[[#This Row],[Quantity]]</f>
        <v>1600000</v>
      </c>
      <c r="N1734">
        <f>Table_1[[#This Row],[Revenue]]-Table_1[[#This Row],[COGS]]</f>
        <v>400000</v>
      </c>
      <c r="O1734" s="11">
        <f t="shared" si="190"/>
        <v>4656740000</v>
      </c>
      <c r="P1734">
        <f t="shared" si="191"/>
        <v>3725392000</v>
      </c>
      <c r="Q1734">
        <f t="shared" si="192"/>
        <v>931348000</v>
      </c>
      <c r="R1734" s="7">
        <f t="shared" si="193"/>
        <v>2098</v>
      </c>
      <c r="S1734" s="7">
        <f t="shared" si="194"/>
        <v>2</v>
      </c>
      <c r="T1734" s="7">
        <f t="shared" si="195"/>
        <v>2098</v>
      </c>
    </row>
    <row r="1735" spans="1:20" ht="14.25" customHeight="1" x14ac:dyDescent="0.35">
      <c r="A1735" s="2" t="s">
        <v>158</v>
      </c>
      <c r="B1735" s="2" t="s">
        <v>34</v>
      </c>
      <c r="C1735" s="2" t="s">
        <v>38</v>
      </c>
      <c r="D1735" s="2" t="s">
        <v>26</v>
      </c>
      <c r="E1735" s="2" t="s">
        <v>15</v>
      </c>
      <c r="F1735" s="2" t="s">
        <v>23</v>
      </c>
      <c r="G1735" s="2" t="s">
        <v>24</v>
      </c>
      <c r="H1735" s="2">
        <v>30000</v>
      </c>
      <c r="I1735" s="2">
        <v>6</v>
      </c>
      <c r="J1735" s="2" t="s">
        <v>32</v>
      </c>
      <c r="K1735" s="2">
        <f t="shared" si="189"/>
        <v>24000</v>
      </c>
      <c r="L1735" s="9">
        <f>Table_1[[#This Row],[Unit Price]]*Table_1[[#This Row],[Quantity]]</f>
        <v>180000</v>
      </c>
      <c r="M1735" s="8">
        <f>Table_1[[#This Row],[Cost Price]]*Table_1[[#This Row],[Quantity]]</f>
        <v>144000</v>
      </c>
      <c r="N1735">
        <f>Table_1[[#This Row],[Revenue]]-Table_1[[#This Row],[COGS]]</f>
        <v>36000</v>
      </c>
      <c r="O1735" s="11">
        <f t="shared" si="190"/>
        <v>4656740000</v>
      </c>
      <c r="P1735">
        <f t="shared" si="191"/>
        <v>3725392000</v>
      </c>
      <c r="Q1735">
        <f t="shared" si="192"/>
        <v>931348000</v>
      </c>
      <c r="R1735" s="7">
        <f t="shared" si="193"/>
        <v>2098</v>
      </c>
      <c r="S1735" s="7">
        <f t="shared" si="194"/>
        <v>3</v>
      </c>
      <c r="T1735" s="7">
        <f t="shared" si="195"/>
        <v>2098</v>
      </c>
    </row>
    <row r="1736" spans="1:20" ht="14.25" customHeight="1" x14ac:dyDescent="0.35">
      <c r="A1736" s="2" t="s">
        <v>71</v>
      </c>
      <c r="B1736" s="2" t="s">
        <v>29</v>
      </c>
      <c r="C1736" s="2" t="s">
        <v>21</v>
      </c>
      <c r="D1736" s="2" t="s">
        <v>26</v>
      </c>
      <c r="E1736" s="2" t="s">
        <v>22</v>
      </c>
      <c r="F1736" s="2" t="s">
        <v>56</v>
      </c>
      <c r="G1736" s="2" t="s">
        <v>36</v>
      </c>
      <c r="H1736" s="2">
        <v>250000</v>
      </c>
      <c r="I1736" s="2">
        <v>1</v>
      </c>
      <c r="J1736" s="2" t="s">
        <v>27</v>
      </c>
      <c r="K1736" s="2">
        <f t="shared" si="189"/>
        <v>200000</v>
      </c>
      <c r="L1736" s="9">
        <f>Table_1[[#This Row],[Unit Price]]*Table_1[[#This Row],[Quantity]]</f>
        <v>250000</v>
      </c>
      <c r="M1736" s="8">
        <f>Table_1[[#This Row],[Cost Price]]*Table_1[[#This Row],[Quantity]]</f>
        <v>200000</v>
      </c>
      <c r="N1736">
        <f>Table_1[[#This Row],[Revenue]]-Table_1[[#This Row],[COGS]]</f>
        <v>50000</v>
      </c>
      <c r="O1736" s="11">
        <f t="shared" si="190"/>
        <v>4656740000</v>
      </c>
      <c r="P1736">
        <f t="shared" si="191"/>
        <v>3725392000</v>
      </c>
      <c r="Q1736">
        <f t="shared" si="192"/>
        <v>931348000</v>
      </c>
      <c r="R1736" s="7">
        <f t="shared" si="193"/>
        <v>2098</v>
      </c>
      <c r="S1736" s="7">
        <f t="shared" si="194"/>
        <v>2</v>
      </c>
      <c r="T1736" s="7">
        <f t="shared" si="195"/>
        <v>2098</v>
      </c>
    </row>
    <row r="1737" spans="1:20" ht="14.25" customHeight="1" x14ac:dyDescent="0.35">
      <c r="A1737" s="2" t="s">
        <v>88</v>
      </c>
      <c r="B1737" s="2" t="s">
        <v>12</v>
      </c>
      <c r="C1737" s="2" t="s">
        <v>13</v>
      </c>
      <c r="D1737" s="2" t="s">
        <v>14</v>
      </c>
      <c r="E1737" s="2" t="s">
        <v>15</v>
      </c>
      <c r="F1737" s="2" t="s">
        <v>16</v>
      </c>
      <c r="G1737" s="2" t="s">
        <v>17</v>
      </c>
      <c r="H1737" s="2">
        <v>85000</v>
      </c>
      <c r="I1737" s="2">
        <v>1</v>
      </c>
      <c r="J1737" s="2" t="s">
        <v>43</v>
      </c>
      <c r="K1737" s="2">
        <f t="shared" si="189"/>
        <v>68000</v>
      </c>
      <c r="L1737" s="9">
        <f>Table_1[[#This Row],[Unit Price]]*Table_1[[#This Row],[Quantity]]</f>
        <v>85000</v>
      </c>
      <c r="M1737" s="8">
        <f>Table_1[[#This Row],[Cost Price]]*Table_1[[#This Row],[Quantity]]</f>
        <v>68000</v>
      </c>
      <c r="N1737">
        <f>Table_1[[#This Row],[Revenue]]-Table_1[[#This Row],[COGS]]</f>
        <v>17000</v>
      </c>
      <c r="O1737" s="11">
        <f t="shared" si="190"/>
        <v>4656740000</v>
      </c>
      <c r="P1737">
        <f t="shared" si="191"/>
        <v>3725392000</v>
      </c>
      <c r="Q1737">
        <f t="shared" si="192"/>
        <v>931348000</v>
      </c>
      <c r="R1737" s="7">
        <f t="shared" si="193"/>
        <v>2098</v>
      </c>
      <c r="S1737" s="7">
        <f t="shared" si="194"/>
        <v>3</v>
      </c>
      <c r="T1737" s="7">
        <f t="shared" si="195"/>
        <v>2098</v>
      </c>
    </row>
    <row r="1738" spans="1:20" ht="14.25" customHeight="1" x14ac:dyDescent="0.35">
      <c r="A1738" s="2" t="s">
        <v>80</v>
      </c>
      <c r="B1738" s="2" t="s">
        <v>34</v>
      </c>
      <c r="C1738" s="2" t="s">
        <v>13</v>
      </c>
      <c r="D1738" s="2" t="s">
        <v>26</v>
      </c>
      <c r="E1738" s="2" t="s">
        <v>22</v>
      </c>
      <c r="F1738" s="2" t="s">
        <v>23</v>
      </c>
      <c r="G1738" s="2" t="s">
        <v>24</v>
      </c>
      <c r="H1738" s="2">
        <v>30000</v>
      </c>
      <c r="I1738" s="2">
        <v>9</v>
      </c>
      <c r="J1738" s="2" t="s">
        <v>18</v>
      </c>
      <c r="K1738" s="2">
        <f t="shared" si="189"/>
        <v>24000</v>
      </c>
      <c r="L1738" s="9">
        <f>Table_1[[#This Row],[Unit Price]]*Table_1[[#This Row],[Quantity]]</f>
        <v>270000</v>
      </c>
      <c r="M1738" s="8">
        <f>Table_1[[#This Row],[Cost Price]]*Table_1[[#This Row],[Quantity]]</f>
        <v>216000</v>
      </c>
      <c r="N1738">
        <f>Table_1[[#This Row],[Revenue]]-Table_1[[#This Row],[COGS]]</f>
        <v>54000</v>
      </c>
      <c r="O1738" s="11">
        <f t="shared" si="190"/>
        <v>4656740000</v>
      </c>
      <c r="P1738">
        <f t="shared" si="191"/>
        <v>3725392000</v>
      </c>
      <c r="Q1738">
        <f t="shared" si="192"/>
        <v>931348000</v>
      </c>
      <c r="R1738" s="7">
        <f t="shared" si="193"/>
        <v>2098</v>
      </c>
      <c r="S1738" s="7">
        <f t="shared" si="194"/>
        <v>2</v>
      </c>
      <c r="T1738" s="7">
        <f t="shared" si="195"/>
        <v>2098</v>
      </c>
    </row>
    <row r="1739" spans="1:20" ht="14.25" customHeight="1" x14ac:dyDescent="0.35">
      <c r="A1739" s="2" t="s">
        <v>93</v>
      </c>
      <c r="B1739" s="2" t="s">
        <v>29</v>
      </c>
      <c r="C1739" s="2" t="s">
        <v>38</v>
      </c>
      <c r="D1739" s="2" t="s">
        <v>26</v>
      </c>
      <c r="E1739" s="2" t="s">
        <v>22</v>
      </c>
      <c r="F1739" s="2" t="s">
        <v>23</v>
      </c>
      <c r="G1739" s="2" t="s">
        <v>24</v>
      </c>
      <c r="H1739" s="2">
        <v>30000</v>
      </c>
      <c r="I1739" s="2">
        <v>3</v>
      </c>
      <c r="J1739" s="2" t="s">
        <v>18</v>
      </c>
      <c r="K1739" s="2">
        <f t="shared" si="189"/>
        <v>24000</v>
      </c>
      <c r="L1739" s="9">
        <f>Table_1[[#This Row],[Unit Price]]*Table_1[[#This Row],[Quantity]]</f>
        <v>90000</v>
      </c>
      <c r="M1739" s="8">
        <f>Table_1[[#This Row],[Cost Price]]*Table_1[[#This Row],[Quantity]]</f>
        <v>72000</v>
      </c>
      <c r="N1739">
        <f>Table_1[[#This Row],[Revenue]]-Table_1[[#This Row],[COGS]]</f>
        <v>18000</v>
      </c>
      <c r="O1739" s="11">
        <f t="shared" si="190"/>
        <v>4656740000</v>
      </c>
      <c r="P1739">
        <f t="shared" si="191"/>
        <v>3725392000</v>
      </c>
      <c r="Q1739">
        <f t="shared" si="192"/>
        <v>931348000</v>
      </c>
      <c r="R1739" s="7">
        <f t="shared" si="193"/>
        <v>2098</v>
      </c>
      <c r="S1739" s="7">
        <f t="shared" si="194"/>
        <v>4</v>
      </c>
      <c r="T1739" s="7">
        <f t="shared" si="195"/>
        <v>2098</v>
      </c>
    </row>
    <row r="1740" spans="1:20" ht="14.25" customHeight="1" x14ac:dyDescent="0.35">
      <c r="A1740" s="2" t="s">
        <v>112</v>
      </c>
      <c r="B1740" s="2" t="s">
        <v>29</v>
      </c>
      <c r="C1740" s="2" t="s">
        <v>13</v>
      </c>
      <c r="D1740" s="2" t="s">
        <v>26</v>
      </c>
      <c r="E1740" s="2" t="s">
        <v>22</v>
      </c>
      <c r="F1740" s="2" t="s">
        <v>47</v>
      </c>
      <c r="G1740" s="2" t="s">
        <v>36</v>
      </c>
      <c r="H1740" s="2">
        <v>150000</v>
      </c>
      <c r="I1740" s="2">
        <v>8</v>
      </c>
      <c r="J1740" s="2" t="s">
        <v>32</v>
      </c>
      <c r="K1740" s="2">
        <f t="shared" si="189"/>
        <v>120000</v>
      </c>
      <c r="L1740" s="9">
        <f>Table_1[[#This Row],[Unit Price]]*Table_1[[#This Row],[Quantity]]</f>
        <v>1200000</v>
      </c>
      <c r="M1740" s="8">
        <f>Table_1[[#This Row],[Cost Price]]*Table_1[[#This Row],[Quantity]]</f>
        <v>960000</v>
      </c>
      <c r="N1740">
        <f>Table_1[[#This Row],[Revenue]]-Table_1[[#This Row],[COGS]]</f>
        <v>240000</v>
      </c>
      <c r="O1740" s="11">
        <f t="shared" si="190"/>
        <v>4656740000</v>
      </c>
      <c r="P1740">
        <f t="shared" si="191"/>
        <v>3725392000</v>
      </c>
      <c r="Q1740">
        <f t="shared" si="192"/>
        <v>931348000</v>
      </c>
      <c r="R1740" s="7">
        <f t="shared" si="193"/>
        <v>2098</v>
      </c>
      <c r="S1740" s="7">
        <f t="shared" si="194"/>
        <v>1</v>
      </c>
      <c r="T1740" s="7">
        <f t="shared" si="195"/>
        <v>2098</v>
      </c>
    </row>
    <row r="1741" spans="1:20" ht="14.25" customHeight="1" x14ac:dyDescent="0.35">
      <c r="A1741" s="2" t="s">
        <v>96</v>
      </c>
      <c r="B1741" s="2" t="s">
        <v>34</v>
      </c>
      <c r="C1741" s="2" t="s">
        <v>30</v>
      </c>
      <c r="D1741" s="2" t="s">
        <v>14</v>
      </c>
      <c r="E1741" s="2" t="s">
        <v>22</v>
      </c>
      <c r="F1741" s="2" t="s">
        <v>16</v>
      </c>
      <c r="G1741" s="2" t="s">
        <v>17</v>
      </c>
      <c r="H1741" s="2">
        <v>85000</v>
      </c>
      <c r="I1741" s="2">
        <v>4</v>
      </c>
      <c r="J1741" s="2" t="s">
        <v>27</v>
      </c>
      <c r="K1741" s="2">
        <f t="shared" si="189"/>
        <v>68000</v>
      </c>
      <c r="L1741" s="9">
        <f>Table_1[[#This Row],[Unit Price]]*Table_1[[#This Row],[Quantity]]</f>
        <v>340000</v>
      </c>
      <c r="M1741" s="8">
        <f>Table_1[[#This Row],[Cost Price]]*Table_1[[#This Row],[Quantity]]</f>
        <v>272000</v>
      </c>
      <c r="N1741">
        <f>Table_1[[#This Row],[Revenue]]-Table_1[[#This Row],[COGS]]</f>
        <v>68000</v>
      </c>
      <c r="O1741" s="11">
        <f t="shared" si="190"/>
        <v>4656740000</v>
      </c>
      <c r="P1741">
        <f t="shared" si="191"/>
        <v>3725392000</v>
      </c>
      <c r="Q1741">
        <f t="shared" si="192"/>
        <v>931348000</v>
      </c>
      <c r="R1741" s="7">
        <f t="shared" si="193"/>
        <v>2098</v>
      </c>
      <c r="S1741" s="7">
        <f t="shared" si="194"/>
        <v>2</v>
      </c>
      <c r="T1741" s="7">
        <f t="shared" si="195"/>
        <v>2098</v>
      </c>
    </row>
    <row r="1742" spans="1:20" ht="14.25" customHeight="1" x14ac:dyDescent="0.35">
      <c r="A1742" s="2" t="s">
        <v>53</v>
      </c>
      <c r="B1742" s="2" t="s">
        <v>12</v>
      </c>
      <c r="C1742" s="2" t="s">
        <v>30</v>
      </c>
      <c r="D1742" s="2" t="s">
        <v>26</v>
      </c>
      <c r="E1742" s="2" t="s">
        <v>22</v>
      </c>
      <c r="F1742" s="2" t="s">
        <v>41</v>
      </c>
      <c r="G1742" s="2" t="s">
        <v>17</v>
      </c>
      <c r="H1742" s="2">
        <v>320000</v>
      </c>
      <c r="I1742" s="2">
        <v>3</v>
      </c>
      <c r="J1742" s="2" t="s">
        <v>32</v>
      </c>
      <c r="K1742" s="2">
        <f t="shared" si="189"/>
        <v>256000</v>
      </c>
      <c r="L1742" s="9">
        <f>Table_1[[#This Row],[Unit Price]]*Table_1[[#This Row],[Quantity]]</f>
        <v>960000</v>
      </c>
      <c r="M1742" s="8">
        <f>Table_1[[#This Row],[Cost Price]]*Table_1[[#This Row],[Quantity]]</f>
        <v>768000</v>
      </c>
      <c r="N1742">
        <f>Table_1[[#This Row],[Revenue]]-Table_1[[#This Row],[COGS]]</f>
        <v>192000</v>
      </c>
      <c r="O1742" s="11">
        <f t="shared" si="190"/>
        <v>4656740000</v>
      </c>
      <c r="P1742">
        <f t="shared" si="191"/>
        <v>3725392000</v>
      </c>
      <c r="Q1742">
        <f t="shared" si="192"/>
        <v>931348000</v>
      </c>
      <c r="R1742" s="7">
        <f t="shared" si="193"/>
        <v>2098</v>
      </c>
      <c r="S1742" s="7">
        <f t="shared" si="194"/>
        <v>3</v>
      </c>
      <c r="T1742" s="7">
        <f t="shared" si="195"/>
        <v>2098</v>
      </c>
    </row>
    <row r="1743" spans="1:20" ht="14.25" customHeight="1" x14ac:dyDescent="0.35">
      <c r="A1743" s="2" t="s">
        <v>158</v>
      </c>
      <c r="B1743" s="2" t="s">
        <v>20</v>
      </c>
      <c r="C1743" s="2" t="s">
        <v>38</v>
      </c>
      <c r="D1743" s="2" t="s">
        <v>14</v>
      </c>
      <c r="E1743" s="2" t="s">
        <v>15</v>
      </c>
      <c r="F1743" s="2" t="s">
        <v>31</v>
      </c>
      <c r="G1743" s="2" t="s">
        <v>24</v>
      </c>
      <c r="H1743" s="2">
        <v>60000</v>
      </c>
      <c r="I1743" s="2">
        <v>7</v>
      </c>
      <c r="J1743" s="2" t="s">
        <v>27</v>
      </c>
      <c r="K1743" s="2">
        <f t="shared" si="189"/>
        <v>48000</v>
      </c>
      <c r="L1743" s="9">
        <f>Table_1[[#This Row],[Unit Price]]*Table_1[[#This Row],[Quantity]]</f>
        <v>420000</v>
      </c>
      <c r="M1743" s="8">
        <f>Table_1[[#This Row],[Cost Price]]*Table_1[[#This Row],[Quantity]]</f>
        <v>336000</v>
      </c>
      <c r="N1743">
        <f>Table_1[[#This Row],[Revenue]]-Table_1[[#This Row],[COGS]]</f>
        <v>84000</v>
      </c>
      <c r="O1743" s="11">
        <f t="shared" si="190"/>
        <v>4656740000</v>
      </c>
      <c r="P1743">
        <f t="shared" si="191"/>
        <v>3725392000</v>
      </c>
      <c r="Q1743">
        <f t="shared" si="192"/>
        <v>931348000</v>
      </c>
      <c r="R1743" s="7">
        <f t="shared" si="193"/>
        <v>2098</v>
      </c>
      <c r="S1743" s="7">
        <f t="shared" si="194"/>
        <v>3</v>
      </c>
      <c r="T1743" s="7">
        <f t="shared" si="195"/>
        <v>2098</v>
      </c>
    </row>
    <row r="1744" spans="1:20" ht="14.25" customHeight="1" x14ac:dyDescent="0.35">
      <c r="A1744" s="2" t="s">
        <v>116</v>
      </c>
      <c r="B1744" s="2" t="s">
        <v>20</v>
      </c>
      <c r="C1744" s="2" t="s">
        <v>38</v>
      </c>
      <c r="D1744" s="2" t="s">
        <v>26</v>
      </c>
      <c r="E1744" s="2" t="s">
        <v>22</v>
      </c>
      <c r="F1744" s="2" t="s">
        <v>35</v>
      </c>
      <c r="G1744" s="2" t="s">
        <v>36</v>
      </c>
      <c r="H1744" s="2">
        <v>300000</v>
      </c>
      <c r="I1744" s="2">
        <v>6</v>
      </c>
      <c r="J1744" s="2" t="s">
        <v>27</v>
      </c>
      <c r="K1744" s="2">
        <f t="shared" si="189"/>
        <v>240000</v>
      </c>
      <c r="L1744" s="9">
        <f>Table_1[[#This Row],[Unit Price]]*Table_1[[#This Row],[Quantity]]</f>
        <v>1800000</v>
      </c>
      <c r="M1744" s="8">
        <f>Table_1[[#This Row],[Cost Price]]*Table_1[[#This Row],[Quantity]]</f>
        <v>1440000</v>
      </c>
      <c r="N1744">
        <f>Table_1[[#This Row],[Revenue]]-Table_1[[#This Row],[COGS]]</f>
        <v>360000</v>
      </c>
      <c r="O1744" s="11">
        <f t="shared" si="190"/>
        <v>4656740000</v>
      </c>
      <c r="P1744">
        <f t="shared" si="191"/>
        <v>3725392000</v>
      </c>
      <c r="Q1744">
        <f t="shared" si="192"/>
        <v>931348000</v>
      </c>
      <c r="R1744" s="7">
        <f t="shared" si="193"/>
        <v>2098</v>
      </c>
      <c r="S1744" s="7">
        <f t="shared" si="194"/>
        <v>3</v>
      </c>
      <c r="T1744" s="7">
        <f t="shared" si="195"/>
        <v>2098</v>
      </c>
    </row>
    <row r="1745" spans="1:20" ht="14.25" customHeight="1" x14ac:dyDescent="0.35">
      <c r="A1745" s="2" t="s">
        <v>60</v>
      </c>
      <c r="B1745" s="2" t="s">
        <v>29</v>
      </c>
      <c r="C1745" s="2" t="s">
        <v>38</v>
      </c>
      <c r="D1745" s="2" t="s">
        <v>14</v>
      </c>
      <c r="E1745" s="2" t="s">
        <v>15</v>
      </c>
      <c r="F1745" s="2" t="s">
        <v>47</v>
      </c>
      <c r="G1745" s="2" t="s">
        <v>36</v>
      </c>
      <c r="H1745" s="2">
        <v>150000</v>
      </c>
      <c r="I1745" s="2">
        <v>6</v>
      </c>
      <c r="J1745" s="2" t="s">
        <v>43</v>
      </c>
      <c r="K1745" s="2">
        <f t="shared" si="189"/>
        <v>120000</v>
      </c>
      <c r="L1745" s="9">
        <f>Table_1[[#This Row],[Unit Price]]*Table_1[[#This Row],[Quantity]]</f>
        <v>900000</v>
      </c>
      <c r="M1745" s="8">
        <f>Table_1[[#This Row],[Cost Price]]*Table_1[[#This Row],[Quantity]]</f>
        <v>720000</v>
      </c>
      <c r="N1745">
        <f>Table_1[[#This Row],[Revenue]]-Table_1[[#This Row],[COGS]]</f>
        <v>180000</v>
      </c>
      <c r="O1745" s="11">
        <f t="shared" si="190"/>
        <v>4656740000</v>
      </c>
      <c r="P1745">
        <f t="shared" si="191"/>
        <v>3725392000</v>
      </c>
      <c r="Q1745">
        <f t="shared" si="192"/>
        <v>931348000</v>
      </c>
      <c r="R1745" s="7">
        <f t="shared" si="193"/>
        <v>2098</v>
      </c>
      <c r="S1745" s="7">
        <f t="shared" si="194"/>
        <v>3</v>
      </c>
      <c r="T1745" s="7">
        <f t="shared" si="195"/>
        <v>2098</v>
      </c>
    </row>
    <row r="1746" spans="1:20" ht="14.25" customHeight="1" x14ac:dyDescent="0.35">
      <c r="A1746" s="2" t="s">
        <v>115</v>
      </c>
      <c r="B1746" s="2" t="s">
        <v>29</v>
      </c>
      <c r="C1746" s="2" t="s">
        <v>13</v>
      </c>
      <c r="D1746" s="2" t="s">
        <v>26</v>
      </c>
      <c r="E1746" s="2" t="s">
        <v>15</v>
      </c>
      <c r="F1746" s="2" t="s">
        <v>35</v>
      </c>
      <c r="G1746" s="2" t="s">
        <v>36</v>
      </c>
      <c r="H1746" s="2">
        <v>300000</v>
      </c>
      <c r="I1746" s="2">
        <v>10</v>
      </c>
      <c r="J1746" s="2" t="s">
        <v>32</v>
      </c>
      <c r="K1746" s="2">
        <f t="shared" si="189"/>
        <v>240000</v>
      </c>
      <c r="L1746" s="9">
        <f>Table_1[[#This Row],[Unit Price]]*Table_1[[#This Row],[Quantity]]</f>
        <v>3000000</v>
      </c>
      <c r="M1746" s="8">
        <f>Table_1[[#This Row],[Cost Price]]*Table_1[[#This Row],[Quantity]]</f>
        <v>2400000</v>
      </c>
      <c r="N1746">
        <f>Table_1[[#This Row],[Revenue]]-Table_1[[#This Row],[COGS]]</f>
        <v>600000</v>
      </c>
      <c r="O1746" s="11">
        <f t="shared" si="190"/>
        <v>4656740000</v>
      </c>
      <c r="P1746">
        <f t="shared" si="191"/>
        <v>3725392000</v>
      </c>
      <c r="Q1746">
        <f t="shared" si="192"/>
        <v>931348000</v>
      </c>
      <c r="R1746" s="7">
        <f t="shared" si="193"/>
        <v>2098</v>
      </c>
      <c r="S1746" s="7">
        <f t="shared" si="194"/>
        <v>1</v>
      </c>
      <c r="T1746" s="7">
        <f t="shared" si="195"/>
        <v>2098</v>
      </c>
    </row>
    <row r="1747" spans="1:20" ht="14.25" customHeight="1" x14ac:dyDescent="0.35">
      <c r="A1747" s="2" t="s">
        <v>96</v>
      </c>
      <c r="B1747" s="2" t="s">
        <v>20</v>
      </c>
      <c r="C1747" s="2" t="s">
        <v>21</v>
      </c>
      <c r="D1747" s="2" t="s">
        <v>14</v>
      </c>
      <c r="E1747" s="2" t="s">
        <v>15</v>
      </c>
      <c r="F1747" s="2" t="s">
        <v>52</v>
      </c>
      <c r="G1747" s="2" t="s">
        <v>36</v>
      </c>
      <c r="H1747" s="2">
        <v>420000</v>
      </c>
      <c r="I1747" s="2">
        <v>1</v>
      </c>
      <c r="J1747" s="2" t="s">
        <v>18</v>
      </c>
      <c r="K1747" s="2">
        <f t="shared" si="189"/>
        <v>336000</v>
      </c>
      <c r="L1747" s="9">
        <f>Table_1[[#This Row],[Unit Price]]*Table_1[[#This Row],[Quantity]]</f>
        <v>420000</v>
      </c>
      <c r="M1747" s="8">
        <f>Table_1[[#This Row],[Cost Price]]*Table_1[[#This Row],[Quantity]]</f>
        <v>336000</v>
      </c>
      <c r="N1747">
        <f>Table_1[[#This Row],[Revenue]]-Table_1[[#This Row],[COGS]]</f>
        <v>84000</v>
      </c>
      <c r="O1747" s="11">
        <f t="shared" si="190"/>
        <v>4656740000</v>
      </c>
      <c r="P1747">
        <f t="shared" si="191"/>
        <v>3725392000</v>
      </c>
      <c r="Q1747">
        <f t="shared" si="192"/>
        <v>931348000</v>
      </c>
      <c r="R1747" s="7">
        <f t="shared" si="193"/>
        <v>2098</v>
      </c>
      <c r="S1747" s="7">
        <f t="shared" si="194"/>
        <v>2</v>
      </c>
      <c r="T1747" s="7">
        <f t="shared" si="195"/>
        <v>2098</v>
      </c>
    </row>
    <row r="1748" spans="1:20" ht="14.25" customHeight="1" x14ac:dyDescent="0.35">
      <c r="A1748" s="2" t="s">
        <v>116</v>
      </c>
      <c r="B1748" s="2" t="s">
        <v>12</v>
      </c>
      <c r="C1748" s="2" t="s">
        <v>13</v>
      </c>
      <c r="D1748" s="2" t="s">
        <v>14</v>
      </c>
      <c r="E1748" s="2" t="s">
        <v>22</v>
      </c>
      <c r="F1748" s="2" t="s">
        <v>31</v>
      </c>
      <c r="G1748" s="2" t="s">
        <v>24</v>
      </c>
      <c r="H1748" s="2">
        <v>60000</v>
      </c>
      <c r="I1748" s="2">
        <v>1</v>
      </c>
      <c r="J1748" s="2" t="s">
        <v>27</v>
      </c>
      <c r="K1748" s="2">
        <f t="shared" si="189"/>
        <v>48000</v>
      </c>
      <c r="L1748" s="9">
        <f>Table_1[[#This Row],[Unit Price]]*Table_1[[#This Row],[Quantity]]</f>
        <v>60000</v>
      </c>
      <c r="M1748" s="8">
        <f>Table_1[[#This Row],[Cost Price]]*Table_1[[#This Row],[Quantity]]</f>
        <v>48000</v>
      </c>
      <c r="N1748">
        <f>Table_1[[#This Row],[Revenue]]-Table_1[[#This Row],[COGS]]</f>
        <v>12000</v>
      </c>
      <c r="O1748" s="11">
        <f t="shared" si="190"/>
        <v>4656740000</v>
      </c>
      <c r="P1748">
        <f t="shared" si="191"/>
        <v>3725392000</v>
      </c>
      <c r="Q1748">
        <f t="shared" si="192"/>
        <v>931348000</v>
      </c>
      <c r="R1748" s="7">
        <f t="shared" si="193"/>
        <v>2098</v>
      </c>
      <c r="S1748" s="7">
        <f t="shared" si="194"/>
        <v>3</v>
      </c>
      <c r="T1748" s="7">
        <f t="shared" si="195"/>
        <v>2098</v>
      </c>
    </row>
    <row r="1749" spans="1:20" ht="14.25" customHeight="1" x14ac:dyDescent="0.35">
      <c r="A1749" s="2" t="s">
        <v>133</v>
      </c>
      <c r="B1749" s="2" t="s">
        <v>34</v>
      </c>
      <c r="C1749" s="2" t="s">
        <v>21</v>
      </c>
      <c r="D1749" s="2" t="s">
        <v>14</v>
      </c>
      <c r="E1749" s="2" t="s">
        <v>15</v>
      </c>
      <c r="F1749" s="2" t="s">
        <v>47</v>
      </c>
      <c r="G1749" s="2" t="s">
        <v>36</v>
      </c>
      <c r="H1749" s="2">
        <v>150000</v>
      </c>
      <c r="I1749" s="2">
        <v>10</v>
      </c>
      <c r="J1749" s="2" t="s">
        <v>54</v>
      </c>
      <c r="K1749" s="2">
        <f t="shared" si="189"/>
        <v>120000</v>
      </c>
      <c r="L1749" s="9">
        <f>Table_1[[#This Row],[Unit Price]]*Table_1[[#This Row],[Quantity]]</f>
        <v>1500000</v>
      </c>
      <c r="M1749" s="8">
        <f>Table_1[[#This Row],[Cost Price]]*Table_1[[#This Row],[Quantity]]</f>
        <v>1200000</v>
      </c>
      <c r="N1749">
        <f>Table_1[[#This Row],[Revenue]]-Table_1[[#This Row],[COGS]]</f>
        <v>300000</v>
      </c>
      <c r="O1749" s="11">
        <f t="shared" si="190"/>
        <v>4656740000</v>
      </c>
      <c r="P1749">
        <f t="shared" si="191"/>
        <v>3725392000</v>
      </c>
      <c r="Q1749">
        <f t="shared" si="192"/>
        <v>931348000</v>
      </c>
      <c r="R1749" s="7">
        <f t="shared" si="193"/>
        <v>2098</v>
      </c>
      <c r="S1749" s="7">
        <f t="shared" si="194"/>
        <v>2</v>
      </c>
      <c r="T1749" s="7">
        <f t="shared" si="195"/>
        <v>2098</v>
      </c>
    </row>
    <row r="1750" spans="1:20" ht="14.25" customHeight="1" x14ac:dyDescent="0.35">
      <c r="A1750" s="2" t="s">
        <v>85</v>
      </c>
      <c r="B1750" s="2" t="s">
        <v>12</v>
      </c>
      <c r="C1750" s="2" t="s">
        <v>38</v>
      </c>
      <c r="D1750" s="2" t="s">
        <v>14</v>
      </c>
      <c r="E1750" s="2" t="s">
        <v>15</v>
      </c>
      <c r="F1750" s="2" t="s">
        <v>39</v>
      </c>
      <c r="G1750" s="2" t="s">
        <v>24</v>
      </c>
      <c r="H1750" s="2">
        <v>180000</v>
      </c>
      <c r="I1750" s="2">
        <v>10</v>
      </c>
      <c r="J1750" s="2" t="s">
        <v>32</v>
      </c>
      <c r="K1750" s="2">
        <f t="shared" si="189"/>
        <v>144000</v>
      </c>
      <c r="L1750" s="9">
        <f>Table_1[[#This Row],[Unit Price]]*Table_1[[#This Row],[Quantity]]</f>
        <v>1800000</v>
      </c>
      <c r="M1750" s="8">
        <f>Table_1[[#This Row],[Cost Price]]*Table_1[[#This Row],[Quantity]]</f>
        <v>1440000</v>
      </c>
      <c r="N1750">
        <f>Table_1[[#This Row],[Revenue]]-Table_1[[#This Row],[COGS]]</f>
        <v>360000</v>
      </c>
      <c r="O1750" s="11">
        <f t="shared" si="190"/>
        <v>4656740000</v>
      </c>
      <c r="P1750">
        <f t="shared" si="191"/>
        <v>3725392000</v>
      </c>
      <c r="Q1750">
        <f t="shared" si="192"/>
        <v>931348000</v>
      </c>
      <c r="R1750" s="7">
        <f t="shared" si="193"/>
        <v>2098</v>
      </c>
      <c r="S1750" s="7">
        <f t="shared" si="194"/>
        <v>1</v>
      </c>
      <c r="T1750" s="7">
        <f t="shared" si="195"/>
        <v>2098</v>
      </c>
    </row>
    <row r="1751" spans="1:20" ht="14.25" customHeight="1" x14ac:dyDescent="0.35">
      <c r="A1751" s="2" t="s">
        <v>94</v>
      </c>
      <c r="B1751" s="2" t="s">
        <v>29</v>
      </c>
      <c r="C1751" s="2" t="s">
        <v>13</v>
      </c>
      <c r="D1751" s="2" t="s">
        <v>26</v>
      </c>
      <c r="E1751" s="2" t="s">
        <v>15</v>
      </c>
      <c r="F1751" s="2" t="s">
        <v>47</v>
      </c>
      <c r="G1751" s="2" t="s">
        <v>36</v>
      </c>
      <c r="H1751" s="2">
        <v>150000</v>
      </c>
      <c r="I1751" s="2">
        <v>10</v>
      </c>
      <c r="J1751" s="2" t="s">
        <v>27</v>
      </c>
      <c r="K1751" s="2">
        <f t="shared" si="189"/>
        <v>120000</v>
      </c>
      <c r="L1751" s="9">
        <f>Table_1[[#This Row],[Unit Price]]*Table_1[[#This Row],[Quantity]]</f>
        <v>1500000</v>
      </c>
      <c r="M1751" s="8">
        <f>Table_1[[#This Row],[Cost Price]]*Table_1[[#This Row],[Quantity]]</f>
        <v>1200000</v>
      </c>
      <c r="N1751">
        <f>Table_1[[#This Row],[Revenue]]-Table_1[[#This Row],[COGS]]</f>
        <v>300000</v>
      </c>
      <c r="O1751" s="11">
        <f t="shared" si="190"/>
        <v>4656740000</v>
      </c>
      <c r="P1751">
        <f t="shared" si="191"/>
        <v>3725392000</v>
      </c>
      <c r="Q1751">
        <f t="shared" si="192"/>
        <v>931348000</v>
      </c>
      <c r="R1751" s="7">
        <f t="shared" si="193"/>
        <v>2098</v>
      </c>
      <c r="S1751" s="7">
        <f t="shared" si="194"/>
        <v>3</v>
      </c>
      <c r="T1751" s="7">
        <f t="shared" si="195"/>
        <v>2098</v>
      </c>
    </row>
    <row r="1752" spans="1:20" ht="14.25" customHeight="1" x14ac:dyDescent="0.35">
      <c r="A1752" s="2" t="s">
        <v>160</v>
      </c>
      <c r="B1752" s="2" t="s">
        <v>20</v>
      </c>
      <c r="C1752" s="2" t="s">
        <v>13</v>
      </c>
      <c r="D1752" s="2" t="s">
        <v>26</v>
      </c>
      <c r="E1752" s="2" t="s">
        <v>22</v>
      </c>
      <c r="F1752" s="2" t="s">
        <v>31</v>
      </c>
      <c r="G1752" s="2" t="s">
        <v>24</v>
      </c>
      <c r="H1752" s="2">
        <v>60000</v>
      </c>
      <c r="I1752" s="2">
        <v>8</v>
      </c>
      <c r="J1752" s="2" t="s">
        <v>54</v>
      </c>
      <c r="K1752" s="2">
        <f t="shared" si="189"/>
        <v>48000</v>
      </c>
      <c r="L1752" s="9">
        <f>Table_1[[#This Row],[Unit Price]]*Table_1[[#This Row],[Quantity]]</f>
        <v>480000</v>
      </c>
      <c r="M1752" s="8">
        <f>Table_1[[#This Row],[Cost Price]]*Table_1[[#This Row],[Quantity]]</f>
        <v>384000</v>
      </c>
      <c r="N1752">
        <f>Table_1[[#This Row],[Revenue]]-Table_1[[#This Row],[COGS]]</f>
        <v>96000</v>
      </c>
      <c r="O1752" s="11">
        <f t="shared" si="190"/>
        <v>4656740000</v>
      </c>
      <c r="P1752">
        <f t="shared" si="191"/>
        <v>3725392000</v>
      </c>
      <c r="Q1752">
        <f t="shared" si="192"/>
        <v>931348000</v>
      </c>
      <c r="R1752" s="7">
        <f t="shared" si="193"/>
        <v>2098</v>
      </c>
      <c r="S1752" s="7">
        <f t="shared" si="194"/>
        <v>1</v>
      </c>
      <c r="T1752" s="7">
        <f t="shared" si="195"/>
        <v>2098</v>
      </c>
    </row>
    <row r="1753" spans="1:20" ht="14.25" customHeight="1" x14ac:dyDescent="0.35">
      <c r="A1753" s="2" t="s">
        <v>95</v>
      </c>
      <c r="B1753" s="2" t="s">
        <v>34</v>
      </c>
      <c r="C1753" s="2" t="s">
        <v>13</v>
      </c>
      <c r="D1753" s="2" t="s">
        <v>14</v>
      </c>
      <c r="E1753" s="2" t="s">
        <v>15</v>
      </c>
      <c r="F1753" s="2" t="s">
        <v>58</v>
      </c>
      <c r="G1753" s="2" t="s">
        <v>24</v>
      </c>
      <c r="H1753" s="2">
        <v>220000</v>
      </c>
      <c r="I1753" s="2">
        <v>7</v>
      </c>
      <c r="J1753" s="2" t="s">
        <v>50</v>
      </c>
      <c r="K1753" s="2">
        <f t="shared" si="189"/>
        <v>176000</v>
      </c>
      <c r="L1753" s="9">
        <f>Table_1[[#This Row],[Unit Price]]*Table_1[[#This Row],[Quantity]]</f>
        <v>1540000</v>
      </c>
      <c r="M1753" s="8">
        <f>Table_1[[#This Row],[Cost Price]]*Table_1[[#This Row],[Quantity]]</f>
        <v>1232000</v>
      </c>
      <c r="N1753">
        <f>Table_1[[#This Row],[Revenue]]-Table_1[[#This Row],[COGS]]</f>
        <v>308000</v>
      </c>
      <c r="O1753" s="11">
        <f t="shared" si="190"/>
        <v>4656740000</v>
      </c>
      <c r="P1753">
        <f t="shared" si="191"/>
        <v>3725392000</v>
      </c>
      <c r="Q1753">
        <f t="shared" si="192"/>
        <v>931348000</v>
      </c>
      <c r="R1753" s="7">
        <f t="shared" si="193"/>
        <v>2098</v>
      </c>
      <c r="S1753" s="7">
        <f t="shared" si="194"/>
        <v>1</v>
      </c>
      <c r="T1753" s="7">
        <f t="shared" si="195"/>
        <v>2098</v>
      </c>
    </row>
    <row r="1754" spans="1:20" ht="14.25" customHeight="1" x14ac:dyDescent="0.35">
      <c r="A1754" s="2" t="s">
        <v>138</v>
      </c>
      <c r="B1754" s="2" t="s">
        <v>20</v>
      </c>
      <c r="C1754" s="2" t="s">
        <v>38</v>
      </c>
      <c r="D1754" s="2" t="s">
        <v>14</v>
      </c>
      <c r="E1754" s="2" t="s">
        <v>15</v>
      </c>
      <c r="F1754" s="2" t="s">
        <v>23</v>
      </c>
      <c r="G1754" s="2" t="s">
        <v>24</v>
      </c>
      <c r="H1754" s="2">
        <v>30000</v>
      </c>
      <c r="I1754" s="2">
        <v>1</v>
      </c>
      <c r="J1754" s="2" t="s">
        <v>43</v>
      </c>
      <c r="K1754" s="2">
        <f t="shared" si="189"/>
        <v>24000</v>
      </c>
      <c r="L1754" s="9">
        <f>Table_1[[#This Row],[Unit Price]]*Table_1[[#This Row],[Quantity]]</f>
        <v>30000</v>
      </c>
      <c r="M1754" s="8">
        <f>Table_1[[#This Row],[Cost Price]]*Table_1[[#This Row],[Quantity]]</f>
        <v>24000</v>
      </c>
      <c r="N1754">
        <f>Table_1[[#This Row],[Revenue]]-Table_1[[#This Row],[COGS]]</f>
        <v>6000</v>
      </c>
      <c r="O1754" s="11">
        <f t="shared" si="190"/>
        <v>4656740000</v>
      </c>
      <c r="P1754">
        <f t="shared" si="191"/>
        <v>3725392000</v>
      </c>
      <c r="Q1754">
        <f t="shared" si="192"/>
        <v>931348000</v>
      </c>
      <c r="R1754" s="7">
        <f t="shared" si="193"/>
        <v>2098</v>
      </c>
      <c r="S1754" s="7">
        <f t="shared" si="194"/>
        <v>3</v>
      </c>
      <c r="T1754" s="7">
        <f t="shared" si="195"/>
        <v>2098</v>
      </c>
    </row>
    <row r="1755" spans="1:20" ht="14.25" customHeight="1" x14ac:dyDescent="0.35">
      <c r="A1755" s="2" t="s">
        <v>67</v>
      </c>
      <c r="B1755" s="2" t="s">
        <v>20</v>
      </c>
      <c r="C1755" s="2" t="s">
        <v>21</v>
      </c>
      <c r="D1755" s="2" t="s">
        <v>26</v>
      </c>
      <c r="E1755" s="2" t="s">
        <v>22</v>
      </c>
      <c r="F1755" s="2" t="s">
        <v>47</v>
      </c>
      <c r="G1755" s="2" t="s">
        <v>36</v>
      </c>
      <c r="H1755" s="2">
        <v>150000</v>
      </c>
      <c r="I1755" s="2">
        <v>6</v>
      </c>
      <c r="J1755" s="2" t="s">
        <v>18</v>
      </c>
      <c r="K1755" s="2">
        <f t="shared" si="189"/>
        <v>120000</v>
      </c>
      <c r="L1755" s="9">
        <f>Table_1[[#This Row],[Unit Price]]*Table_1[[#This Row],[Quantity]]</f>
        <v>900000</v>
      </c>
      <c r="M1755" s="8">
        <f>Table_1[[#This Row],[Cost Price]]*Table_1[[#This Row],[Quantity]]</f>
        <v>720000</v>
      </c>
      <c r="N1755">
        <f>Table_1[[#This Row],[Revenue]]-Table_1[[#This Row],[COGS]]</f>
        <v>180000</v>
      </c>
      <c r="O1755" s="11">
        <f t="shared" si="190"/>
        <v>4656740000</v>
      </c>
      <c r="P1755">
        <f t="shared" si="191"/>
        <v>3725392000</v>
      </c>
      <c r="Q1755">
        <f t="shared" si="192"/>
        <v>931348000</v>
      </c>
      <c r="R1755" s="7">
        <f t="shared" si="193"/>
        <v>2098</v>
      </c>
      <c r="S1755" s="7">
        <f t="shared" si="194"/>
        <v>3</v>
      </c>
      <c r="T1755" s="7">
        <f t="shared" si="195"/>
        <v>2098</v>
      </c>
    </row>
    <row r="1756" spans="1:20" ht="14.25" customHeight="1" x14ac:dyDescent="0.35">
      <c r="A1756" s="2" t="s">
        <v>71</v>
      </c>
      <c r="B1756" s="2" t="s">
        <v>29</v>
      </c>
      <c r="C1756" s="2" t="s">
        <v>38</v>
      </c>
      <c r="D1756" s="2" t="s">
        <v>14</v>
      </c>
      <c r="E1756" s="2" t="s">
        <v>22</v>
      </c>
      <c r="F1756" s="2" t="s">
        <v>23</v>
      </c>
      <c r="G1756" s="2" t="s">
        <v>24</v>
      </c>
      <c r="H1756" s="2">
        <v>30000</v>
      </c>
      <c r="I1756" s="2">
        <v>4</v>
      </c>
      <c r="J1756" s="2" t="s">
        <v>18</v>
      </c>
      <c r="K1756" s="2">
        <f t="shared" si="189"/>
        <v>24000</v>
      </c>
      <c r="L1756" s="9">
        <f>Table_1[[#This Row],[Unit Price]]*Table_1[[#This Row],[Quantity]]</f>
        <v>120000</v>
      </c>
      <c r="M1756" s="8">
        <f>Table_1[[#This Row],[Cost Price]]*Table_1[[#This Row],[Quantity]]</f>
        <v>96000</v>
      </c>
      <c r="N1756">
        <f>Table_1[[#This Row],[Revenue]]-Table_1[[#This Row],[COGS]]</f>
        <v>24000</v>
      </c>
      <c r="O1756" s="11">
        <f t="shared" si="190"/>
        <v>4656740000</v>
      </c>
      <c r="P1756">
        <f t="shared" si="191"/>
        <v>3725392000</v>
      </c>
      <c r="Q1756">
        <f t="shared" si="192"/>
        <v>931348000</v>
      </c>
      <c r="R1756" s="7">
        <f t="shared" si="193"/>
        <v>2098</v>
      </c>
      <c r="S1756" s="7">
        <f t="shared" si="194"/>
        <v>2</v>
      </c>
      <c r="T1756" s="7">
        <f t="shared" si="195"/>
        <v>2098</v>
      </c>
    </row>
    <row r="1757" spans="1:20" ht="14.25" customHeight="1" x14ac:dyDescent="0.35">
      <c r="A1757" s="2" t="s">
        <v>110</v>
      </c>
      <c r="B1757" s="2" t="s">
        <v>29</v>
      </c>
      <c r="C1757" s="2" t="s">
        <v>30</v>
      </c>
      <c r="D1757" s="2" t="s">
        <v>26</v>
      </c>
      <c r="E1757" s="2" t="s">
        <v>15</v>
      </c>
      <c r="F1757" s="2" t="s">
        <v>58</v>
      </c>
      <c r="G1757" s="2" t="s">
        <v>24</v>
      </c>
      <c r="H1757" s="2">
        <v>220000</v>
      </c>
      <c r="I1757" s="2">
        <v>1</v>
      </c>
      <c r="J1757" s="2" t="s">
        <v>32</v>
      </c>
      <c r="K1757" s="2">
        <f t="shared" si="189"/>
        <v>176000</v>
      </c>
      <c r="L1757" s="9">
        <f>Table_1[[#This Row],[Unit Price]]*Table_1[[#This Row],[Quantity]]</f>
        <v>220000</v>
      </c>
      <c r="M1757" s="8">
        <f>Table_1[[#This Row],[Cost Price]]*Table_1[[#This Row],[Quantity]]</f>
        <v>176000</v>
      </c>
      <c r="N1757">
        <f>Table_1[[#This Row],[Revenue]]-Table_1[[#This Row],[COGS]]</f>
        <v>44000</v>
      </c>
      <c r="O1757" s="11">
        <f t="shared" si="190"/>
        <v>4656740000</v>
      </c>
      <c r="P1757">
        <f t="shared" si="191"/>
        <v>3725392000</v>
      </c>
      <c r="Q1757">
        <f t="shared" si="192"/>
        <v>931348000</v>
      </c>
      <c r="R1757" s="7">
        <f t="shared" si="193"/>
        <v>2098</v>
      </c>
      <c r="S1757" s="7">
        <f t="shared" si="194"/>
        <v>2</v>
      </c>
      <c r="T1757" s="7">
        <f t="shared" si="195"/>
        <v>2098</v>
      </c>
    </row>
    <row r="1758" spans="1:20" ht="14.25" customHeight="1" x14ac:dyDescent="0.35">
      <c r="A1758" s="2" t="s">
        <v>146</v>
      </c>
      <c r="B1758" s="2" t="s">
        <v>29</v>
      </c>
      <c r="C1758" s="2" t="s">
        <v>21</v>
      </c>
      <c r="D1758" s="2" t="s">
        <v>14</v>
      </c>
      <c r="E1758" s="2" t="s">
        <v>15</v>
      </c>
      <c r="F1758" s="2" t="s">
        <v>31</v>
      </c>
      <c r="G1758" s="2" t="s">
        <v>24</v>
      </c>
      <c r="H1758" s="2">
        <v>60000</v>
      </c>
      <c r="I1758" s="2">
        <v>6</v>
      </c>
      <c r="J1758" s="2" t="s">
        <v>27</v>
      </c>
      <c r="K1758" s="2">
        <f t="shared" si="189"/>
        <v>48000</v>
      </c>
      <c r="L1758" s="9">
        <f>Table_1[[#This Row],[Unit Price]]*Table_1[[#This Row],[Quantity]]</f>
        <v>360000</v>
      </c>
      <c r="M1758" s="8">
        <f>Table_1[[#This Row],[Cost Price]]*Table_1[[#This Row],[Quantity]]</f>
        <v>288000</v>
      </c>
      <c r="N1758">
        <f>Table_1[[#This Row],[Revenue]]-Table_1[[#This Row],[COGS]]</f>
        <v>72000</v>
      </c>
      <c r="O1758" s="11">
        <f t="shared" si="190"/>
        <v>4656740000</v>
      </c>
      <c r="P1758">
        <f t="shared" si="191"/>
        <v>3725392000</v>
      </c>
      <c r="Q1758">
        <f t="shared" si="192"/>
        <v>931348000</v>
      </c>
      <c r="R1758" s="7">
        <f t="shared" si="193"/>
        <v>2098</v>
      </c>
      <c r="S1758" s="7">
        <f t="shared" si="194"/>
        <v>3</v>
      </c>
      <c r="T1758" s="7">
        <f t="shared" si="195"/>
        <v>2098</v>
      </c>
    </row>
    <row r="1759" spans="1:20" ht="14.25" customHeight="1" x14ac:dyDescent="0.35">
      <c r="A1759" s="2" t="s">
        <v>158</v>
      </c>
      <c r="B1759" s="2" t="s">
        <v>29</v>
      </c>
      <c r="C1759" s="2" t="s">
        <v>13</v>
      </c>
      <c r="D1759" s="2" t="s">
        <v>26</v>
      </c>
      <c r="E1759" s="2" t="s">
        <v>22</v>
      </c>
      <c r="F1759" s="2" t="s">
        <v>56</v>
      </c>
      <c r="G1759" s="2" t="s">
        <v>36</v>
      </c>
      <c r="H1759" s="2">
        <v>250000</v>
      </c>
      <c r="I1759" s="2">
        <v>7</v>
      </c>
      <c r="J1759" s="2" t="s">
        <v>54</v>
      </c>
      <c r="K1759" s="2">
        <f t="shared" si="189"/>
        <v>200000</v>
      </c>
      <c r="L1759" s="9">
        <f>Table_1[[#This Row],[Unit Price]]*Table_1[[#This Row],[Quantity]]</f>
        <v>1750000</v>
      </c>
      <c r="M1759" s="8">
        <f>Table_1[[#This Row],[Cost Price]]*Table_1[[#This Row],[Quantity]]</f>
        <v>1400000</v>
      </c>
      <c r="N1759">
        <f>Table_1[[#This Row],[Revenue]]-Table_1[[#This Row],[COGS]]</f>
        <v>350000</v>
      </c>
      <c r="O1759" s="11">
        <f t="shared" si="190"/>
        <v>4656740000</v>
      </c>
      <c r="P1759">
        <f t="shared" si="191"/>
        <v>3725392000</v>
      </c>
      <c r="Q1759">
        <f t="shared" si="192"/>
        <v>931348000</v>
      </c>
      <c r="R1759" s="7">
        <f t="shared" si="193"/>
        <v>2098</v>
      </c>
      <c r="S1759" s="7">
        <f t="shared" si="194"/>
        <v>3</v>
      </c>
      <c r="T1759" s="7">
        <f t="shared" si="195"/>
        <v>2098</v>
      </c>
    </row>
    <row r="1760" spans="1:20" ht="14.25" customHeight="1" x14ac:dyDescent="0.35">
      <c r="A1760" s="2" t="s">
        <v>134</v>
      </c>
      <c r="B1760" s="2" t="s">
        <v>20</v>
      </c>
      <c r="C1760" s="2" t="s">
        <v>30</v>
      </c>
      <c r="D1760" s="2" t="s">
        <v>26</v>
      </c>
      <c r="E1760" s="2" t="s">
        <v>15</v>
      </c>
      <c r="F1760" s="2" t="s">
        <v>58</v>
      </c>
      <c r="G1760" s="2" t="s">
        <v>24</v>
      </c>
      <c r="H1760" s="2">
        <v>220000</v>
      </c>
      <c r="I1760" s="2">
        <v>9</v>
      </c>
      <c r="J1760" s="2" t="s">
        <v>43</v>
      </c>
      <c r="K1760" s="2">
        <f t="shared" si="189"/>
        <v>176000</v>
      </c>
      <c r="L1760" s="9">
        <f>Table_1[[#This Row],[Unit Price]]*Table_1[[#This Row],[Quantity]]</f>
        <v>1980000</v>
      </c>
      <c r="M1760" s="8">
        <f>Table_1[[#This Row],[Cost Price]]*Table_1[[#This Row],[Quantity]]</f>
        <v>1584000</v>
      </c>
      <c r="N1760">
        <f>Table_1[[#This Row],[Revenue]]-Table_1[[#This Row],[COGS]]</f>
        <v>396000</v>
      </c>
      <c r="O1760" s="11">
        <f t="shared" si="190"/>
        <v>4656740000</v>
      </c>
      <c r="P1760">
        <f t="shared" si="191"/>
        <v>3725392000</v>
      </c>
      <c r="Q1760">
        <f t="shared" si="192"/>
        <v>931348000</v>
      </c>
      <c r="R1760" s="7">
        <f t="shared" si="193"/>
        <v>2098</v>
      </c>
      <c r="S1760" s="7">
        <f t="shared" si="194"/>
        <v>4</v>
      </c>
      <c r="T1760" s="7">
        <f t="shared" si="195"/>
        <v>2098</v>
      </c>
    </row>
    <row r="1761" spans="1:20" ht="14.25" customHeight="1" x14ac:dyDescent="0.35">
      <c r="A1761" s="2" t="s">
        <v>152</v>
      </c>
      <c r="B1761" s="2" t="s">
        <v>29</v>
      </c>
      <c r="C1761" s="2" t="s">
        <v>30</v>
      </c>
      <c r="D1761" s="2" t="s">
        <v>26</v>
      </c>
      <c r="E1761" s="2" t="s">
        <v>15</v>
      </c>
      <c r="F1761" s="2" t="s">
        <v>23</v>
      </c>
      <c r="G1761" s="2" t="s">
        <v>24</v>
      </c>
      <c r="H1761" s="2">
        <v>30000</v>
      </c>
      <c r="I1761" s="2">
        <v>10</v>
      </c>
      <c r="J1761" s="2" t="s">
        <v>32</v>
      </c>
      <c r="K1761" s="2">
        <f t="shared" si="189"/>
        <v>24000</v>
      </c>
      <c r="L1761" s="9">
        <f>Table_1[[#This Row],[Unit Price]]*Table_1[[#This Row],[Quantity]]</f>
        <v>300000</v>
      </c>
      <c r="M1761" s="8">
        <f>Table_1[[#This Row],[Cost Price]]*Table_1[[#This Row],[Quantity]]</f>
        <v>240000</v>
      </c>
      <c r="N1761">
        <f>Table_1[[#This Row],[Revenue]]-Table_1[[#This Row],[COGS]]</f>
        <v>60000</v>
      </c>
      <c r="O1761" s="11">
        <f t="shared" si="190"/>
        <v>4656740000</v>
      </c>
      <c r="P1761">
        <f t="shared" si="191"/>
        <v>3725392000</v>
      </c>
      <c r="Q1761">
        <f t="shared" si="192"/>
        <v>931348000</v>
      </c>
      <c r="R1761" s="7">
        <f t="shared" si="193"/>
        <v>2098</v>
      </c>
      <c r="S1761" s="7">
        <f t="shared" si="194"/>
        <v>4</v>
      </c>
      <c r="T1761" s="7">
        <f t="shared" si="195"/>
        <v>2098</v>
      </c>
    </row>
    <row r="1762" spans="1:20" ht="14.25" customHeight="1" x14ac:dyDescent="0.35">
      <c r="A1762" s="2" t="s">
        <v>99</v>
      </c>
      <c r="B1762" s="2" t="s">
        <v>20</v>
      </c>
      <c r="C1762" s="2" t="s">
        <v>30</v>
      </c>
      <c r="D1762" s="2" t="s">
        <v>14</v>
      </c>
      <c r="E1762" s="2" t="s">
        <v>15</v>
      </c>
      <c r="F1762" s="2" t="s">
        <v>47</v>
      </c>
      <c r="G1762" s="2" t="s">
        <v>36</v>
      </c>
      <c r="H1762" s="2">
        <v>150000</v>
      </c>
      <c r="I1762" s="2">
        <v>1</v>
      </c>
      <c r="J1762" s="2" t="s">
        <v>27</v>
      </c>
      <c r="K1762" s="2">
        <f t="shared" si="189"/>
        <v>120000</v>
      </c>
      <c r="L1762" s="9">
        <f>Table_1[[#This Row],[Unit Price]]*Table_1[[#This Row],[Quantity]]</f>
        <v>150000</v>
      </c>
      <c r="M1762" s="8">
        <f>Table_1[[#This Row],[Cost Price]]*Table_1[[#This Row],[Quantity]]</f>
        <v>120000</v>
      </c>
      <c r="N1762">
        <f>Table_1[[#This Row],[Revenue]]-Table_1[[#This Row],[COGS]]</f>
        <v>30000</v>
      </c>
      <c r="O1762" s="11">
        <f t="shared" si="190"/>
        <v>4656740000</v>
      </c>
      <c r="P1762">
        <f t="shared" si="191"/>
        <v>3725392000</v>
      </c>
      <c r="Q1762">
        <f t="shared" si="192"/>
        <v>931348000</v>
      </c>
      <c r="R1762" s="7">
        <f t="shared" si="193"/>
        <v>2098</v>
      </c>
      <c r="S1762" s="7">
        <f t="shared" si="194"/>
        <v>4</v>
      </c>
      <c r="T1762" s="7">
        <f t="shared" si="195"/>
        <v>2098</v>
      </c>
    </row>
    <row r="1763" spans="1:20" ht="14.25" customHeight="1" x14ac:dyDescent="0.35">
      <c r="A1763" s="2" t="s">
        <v>102</v>
      </c>
      <c r="B1763" s="2" t="s">
        <v>34</v>
      </c>
      <c r="C1763" s="2" t="s">
        <v>13</v>
      </c>
      <c r="D1763" s="2" t="s">
        <v>14</v>
      </c>
      <c r="E1763" s="2" t="s">
        <v>15</v>
      </c>
      <c r="F1763" s="2" t="s">
        <v>39</v>
      </c>
      <c r="G1763" s="2" t="s">
        <v>24</v>
      </c>
      <c r="H1763" s="2">
        <v>180000</v>
      </c>
      <c r="I1763" s="2">
        <v>3</v>
      </c>
      <c r="J1763" s="2" t="s">
        <v>43</v>
      </c>
      <c r="K1763" s="2">
        <f t="shared" si="189"/>
        <v>144000</v>
      </c>
      <c r="L1763" s="9">
        <f>Table_1[[#This Row],[Unit Price]]*Table_1[[#This Row],[Quantity]]</f>
        <v>540000</v>
      </c>
      <c r="M1763" s="8">
        <f>Table_1[[#This Row],[Cost Price]]*Table_1[[#This Row],[Quantity]]</f>
        <v>432000</v>
      </c>
      <c r="N1763">
        <f>Table_1[[#This Row],[Revenue]]-Table_1[[#This Row],[COGS]]</f>
        <v>108000</v>
      </c>
      <c r="O1763" s="11">
        <f t="shared" si="190"/>
        <v>4656740000</v>
      </c>
      <c r="P1763">
        <f t="shared" si="191"/>
        <v>3725392000</v>
      </c>
      <c r="Q1763">
        <f t="shared" si="192"/>
        <v>931348000</v>
      </c>
      <c r="R1763" s="7">
        <f t="shared" si="193"/>
        <v>2098</v>
      </c>
      <c r="S1763" s="7">
        <f t="shared" si="194"/>
        <v>1</v>
      </c>
      <c r="T1763" s="7">
        <f t="shared" si="195"/>
        <v>2098</v>
      </c>
    </row>
    <row r="1764" spans="1:20" ht="14.25" customHeight="1" x14ac:dyDescent="0.35">
      <c r="A1764" s="2" t="s">
        <v>146</v>
      </c>
      <c r="B1764" s="2" t="s">
        <v>29</v>
      </c>
      <c r="C1764" s="2" t="s">
        <v>13</v>
      </c>
      <c r="D1764" s="2" t="s">
        <v>26</v>
      </c>
      <c r="E1764" s="2" t="s">
        <v>15</v>
      </c>
      <c r="F1764" s="2" t="s">
        <v>52</v>
      </c>
      <c r="G1764" s="2" t="s">
        <v>36</v>
      </c>
      <c r="H1764" s="2">
        <v>420000</v>
      </c>
      <c r="I1764" s="2">
        <v>10</v>
      </c>
      <c r="J1764" s="2" t="s">
        <v>43</v>
      </c>
      <c r="K1764" s="2">
        <f t="shared" si="189"/>
        <v>336000</v>
      </c>
      <c r="L1764" s="9">
        <f>Table_1[[#This Row],[Unit Price]]*Table_1[[#This Row],[Quantity]]</f>
        <v>4200000</v>
      </c>
      <c r="M1764" s="8">
        <f>Table_1[[#This Row],[Cost Price]]*Table_1[[#This Row],[Quantity]]</f>
        <v>3360000</v>
      </c>
      <c r="N1764">
        <f>Table_1[[#This Row],[Revenue]]-Table_1[[#This Row],[COGS]]</f>
        <v>840000</v>
      </c>
      <c r="O1764" s="11">
        <f t="shared" si="190"/>
        <v>4656740000</v>
      </c>
      <c r="P1764">
        <f t="shared" si="191"/>
        <v>3725392000</v>
      </c>
      <c r="Q1764">
        <f t="shared" si="192"/>
        <v>931348000</v>
      </c>
      <c r="R1764" s="7">
        <f t="shared" si="193"/>
        <v>2098</v>
      </c>
      <c r="S1764" s="7">
        <f t="shared" si="194"/>
        <v>3</v>
      </c>
      <c r="T1764" s="7">
        <f t="shared" si="195"/>
        <v>2098</v>
      </c>
    </row>
    <row r="1765" spans="1:20" ht="14.25" customHeight="1" x14ac:dyDescent="0.35">
      <c r="A1765" s="2" t="s">
        <v>61</v>
      </c>
      <c r="B1765" s="2" t="s">
        <v>34</v>
      </c>
      <c r="C1765" s="2" t="s">
        <v>13</v>
      </c>
      <c r="D1765" s="2" t="s">
        <v>26</v>
      </c>
      <c r="E1765" s="2" t="s">
        <v>15</v>
      </c>
      <c r="F1765" s="2" t="s">
        <v>16</v>
      </c>
      <c r="G1765" s="2" t="s">
        <v>17</v>
      </c>
      <c r="H1765" s="2">
        <v>85000</v>
      </c>
      <c r="I1765" s="2">
        <v>2</v>
      </c>
      <c r="J1765" s="2" t="s">
        <v>50</v>
      </c>
      <c r="K1765" s="2">
        <f t="shared" si="189"/>
        <v>68000</v>
      </c>
      <c r="L1765" s="9">
        <f>Table_1[[#This Row],[Unit Price]]*Table_1[[#This Row],[Quantity]]</f>
        <v>170000</v>
      </c>
      <c r="M1765" s="8">
        <f>Table_1[[#This Row],[Cost Price]]*Table_1[[#This Row],[Quantity]]</f>
        <v>136000</v>
      </c>
      <c r="N1765">
        <f>Table_1[[#This Row],[Revenue]]-Table_1[[#This Row],[COGS]]</f>
        <v>34000</v>
      </c>
      <c r="O1765" s="11">
        <f t="shared" si="190"/>
        <v>4656740000</v>
      </c>
      <c r="P1765">
        <f t="shared" si="191"/>
        <v>3725392000</v>
      </c>
      <c r="Q1765">
        <f t="shared" si="192"/>
        <v>931348000</v>
      </c>
      <c r="R1765" s="7">
        <f t="shared" si="193"/>
        <v>2098</v>
      </c>
      <c r="S1765" s="7">
        <f t="shared" si="194"/>
        <v>5</v>
      </c>
      <c r="T1765" s="7">
        <f t="shared" si="195"/>
        <v>2098</v>
      </c>
    </row>
    <row r="1766" spans="1:20" ht="14.25" customHeight="1" x14ac:dyDescent="0.35">
      <c r="A1766" s="2" t="s">
        <v>116</v>
      </c>
      <c r="B1766" s="2" t="s">
        <v>12</v>
      </c>
      <c r="C1766" s="2" t="s">
        <v>30</v>
      </c>
      <c r="D1766" s="2" t="s">
        <v>26</v>
      </c>
      <c r="E1766" s="2" t="s">
        <v>15</v>
      </c>
      <c r="F1766" s="2" t="s">
        <v>31</v>
      </c>
      <c r="G1766" s="2" t="s">
        <v>24</v>
      </c>
      <c r="H1766" s="2">
        <v>60000</v>
      </c>
      <c r="I1766" s="2">
        <v>4</v>
      </c>
      <c r="J1766" s="2" t="s">
        <v>50</v>
      </c>
      <c r="K1766" s="2">
        <f t="shared" si="189"/>
        <v>48000</v>
      </c>
      <c r="L1766" s="9">
        <f>Table_1[[#This Row],[Unit Price]]*Table_1[[#This Row],[Quantity]]</f>
        <v>240000</v>
      </c>
      <c r="M1766" s="8">
        <f>Table_1[[#This Row],[Cost Price]]*Table_1[[#This Row],[Quantity]]</f>
        <v>192000</v>
      </c>
      <c r="N1766">
        <f>Table_1[[#This Row],[Revenue]]-Table_1[[#This Row],[COGS]]</f>
        <v>48000</v>
      </c>
      <c r="O1766" s="11">
        <f t="shared" si="190"/>
        <v>4656740000</v>
      </c>
      <c r="P1766">
        <f t="shared" si="191"/>
        <v>3725392000</v>
      </c>
      <c r="Q1766">
        <f t="shared" si="192"/>
        <v>931348000</v>
      </c>
      <c r="R1766" s="7">
        <f t="shared" si="193"/>
        <v>2098</v>
      </c>
      <c r="S1766" s="7">
        <f t="shared" si="194"/>
        <v>3</v>
      </c>
      <c r="T1766" s="7">
        <f t="shared" si="195"/>
        <v>2098</v>
      </c>
    </row>
    <row r="1767" spans="1:20" ht="14.25" customHeight="1" x14ac:dyDescent="0.35">
      <c r="A1767" s="2" t="s">
        <v>135</v>
      </c>
      <c r="B1767" s="2" t="s">
        <v>34</v>
      </c>
      <c r="C1767" s="2" t="s">
        <v>21</v>
      </c>
      <c r="D1767" s="2" t="s">
        <v>26</v>
      </c>
      <c r="E1767" s="2" t="s">
        <v>15</v>
      </c>
      <c r="F1767" s="2" t="s">
        <v>47</v>
      </c>
      <c r="G1767" s="2" t="s">
        <v>36</v>
      </c>
      <c r="H1767" s="2">
        <v>150000</v>
      </c>
      <c r="I1767" s="2">
        <v>9</v>
      </c>
      <c r="J1767" s="2" t="s">
        <v>50</v>
      </c>
      <c r="K1767" s="2">
        <f t="shared" si="189"/>
        <v>120000</v>
      </c>
      <c r="L1767" s="9">
        <f>Table_1[[#This Row],[Unit Price]]*Table_1[[#This Row],[Quantity]]</f>
        <v>1350000</v>
      </c>
      <c r="M1767" s="8">
        <f>Table_1[[#This Row],[Cost Price]]*Table_1[[#This Row],[Quantity]]</f>
        <v>1080000</v>
      </c>
      <c r="N1767">
        <f>Table_1[[#This Row],[Revenue]]-Table_1[[#This Row],[COGS]]</f>
        <v>270000</v>
      </c>
      <c r="O1767" s="11">
        <f t="shared" si="190"/>
        <v>4656740000</v>
      </c>
      <c r="P1767">
        <f t="shared" si="191"/>
        <v>3725392000</v>
      </c>
      <c r="Q1767">
        <f t="shared" si="192"/>
        <v>931348000</v>
      </c>
      <c r="R1767" s="7">
        <f t="shared" si="193"/>
        <v>2098</v>
      </c>
      <c r="S1767" s="7">
        <f t="shared" si="194"/>
        <v>1</v>
      </c>
      <c r="T1767" s="7">
        <f t="shared" si="195"/>
        <v>2098</v>
      </c>
    </row>
    <row r="1768" spans="1:20" ht="14.25" customHeight="1" x14ac:dyDescent="0.35">
      <c r="A1768" s="2" t="s">
        <v>68</v>
      </c>
      <c r="B1768" s="2" t="s">
        <v>29</v>
      </c>
      <c r="C1768" s="2" t="s">
        <v>38</v>
      </c>
      <c r="D1768" s="2" t="s">
        <v>14</v>
      </c>
      <c r="E1768" s="2" t="s">
        <v>22</v>
      </c>
      <c r="F1768" s="2" t="s">
        <v>52</v>
      </c>
      <c r="G1768" s="2" t="s">
        <v>36</v>
      </c>
      <c r="H1768" s="2">
        <v>420000</v>
      </c>
      <c r="I1768" s="2">
        <v>1</v>
      </c>
      <c r="J1768" s="2" t="s">
        <v>43</v>
      </c>
      <c r="K1768" s="2">
        <f t="shared" si="189"/>
        <v>336000</v>
      </c>
      <c r="L1768" s="9">
        <f>Table_1[[#This Row],[Unit Price]]*Table_1[[#This Row],[Quantity]]</f>
        <v>420000</v>
      </c>
      <c r="M1768" s="8">
        <f>Table_1[[#This Row],[Cost Price]]*Table_1[[#This Row],[Quantity]]</f>
        <v>336000</v>
      </c>
      <c r="N1768">
        <f>Table_1[[#This Row],[Revenue]]-Table_1[[#This Row],[COGS]]</f>
        <v>84000</v>
      </c>
      <c r="O1768" s="11">
        <f t="shared" si="190"/>
        <v>4656740000</v>
      </c>
      <c r="P1768">
        <f t="shared" si="191"/>
        <v>3725392000</v>
      </c>
      <c r="Q1768">
        <f t="shared" si="192"/>
        <v>931348000</v>
      </c>
      <c r="R1768" s="7">
        <f t="shared" si="193"/>
        <v>2098</v>
      </c>
      <c r="S1768" s="7">
        <f t="shared" si="194"/>
        <v>1</v>
      </c>
      <c r="T1768" s="7">
        <f t="shared" si="195"/>
        <v>2098</v>
      </c>
    </row>
    <row r="1769" spans="1:20" ht="14.25" customHeight="1" x14ac:dyDescent="0.35">
      <c r="A1769" s="2" t="s">
        <v>134</v>
      </c>
      <c r="B1769" s="2" t="s">
        <v>20</v>
      </c>
      <c r="C1769" s="2" t="s">
        <v>21</v>
      </c>
      <c r="D1769" s="2" t="s">
        <v>14</v>
      </c>
      <c r="E1769" s="2" t="s">
        <v>15</v>
      </c>
      <c r="F1769" s="2" t="s">
        <v>52</v>
      </c>
      <c r="G1769" s="2" t="s">
        <v>36</v>
      </c>
      <c r="H1769" s="2">
        <v>420000</v>
      </c>
      <c r="I1769" s="2">
        <v>9</v>
      </c>
      <c r="J1769" s="2" t="s">
        <v>50</v>
      </c>
      <c r="K1769" s="2">
        <f t="shared" si="189"/>
        <v>336000</v>
      </c>
      <c r="L1769" s="9">
        <f>Table_1[[#This Row],[Unit Price]]*Table_1[[#This Row],[Quantity]]</f>
        <v>3780000</v>
      </c>
      <c r="M1769" s="8">
        <f>Table_1[[#This Row],[Cost Price]]*Table_1[[#This Row],[Quantity]]</f>
        <v>3024000</v>
      </c>
      <c r="N1769">
        <f>Table_1[[#This Row],[Revenue]]-Table_1[[#This Row],[COGS]]</f>
        <v>756000</v>
      </c>
      <c r="O1769" s="11">
        <f t="shared" si="190"/>
        <v>4656740000</v>
      </c>
      <c r="P1769">
        <f t="shared" si="191"/>
        <v>3725392000</v>
      </c>
      <c r="Q1769">
        <f t="shared" si="192"/>
        <v>931348000</v>
      </c>
      <c r="R1769" s="7">
        <f t="shared" si="193"/>
        <v>2098</v>
      </c>
      <c r="S1769" s="7">
        <f t="shared" si="194"/>
        <v>4</v>
      </c>
      <c r="T1769" s="7">
        <f t="shared" si="195"/>
        <v>2098</v>
      </c>
    </row>
    <row r="1770" spans="1:20" ht="14.25" customHeight="1" x14ac:dyDescent="0.35">
      <c r="A1770" s="2" t="s">
        <v>48</v>
      </c>
      <c r="B1770" s="2" t="s">
        <v>12</v>
      </c>
      <c r="C1770" s="2" t="s">
        <v>38</v>
      </c>
      <c r="D1770" s="2" t="s">
        <v>26</v>
      </c>
      <c r="E1770" s="2" t="s">
        <v>22</v>
      </c>
      <c r="F1770" s="2" t="s">
        <v>52</v>
      </c>
      <c r="G1770" s="2" t="s">
        <v>36</v>
      </c>
      <c r="H1770" s="2">
        <v>420000</v>
      </c>
      <c r="I1770" s="2">
        <v>9</v>
      </c>
      <c r="J1770" s="2" t="s">
        <v>54</v>
      </c>
      <c r="K1770" s="2">
        <f t="shared" si="189"/>
        <v>336000</v>
      </c>
      <c r="L1770" s="9">
        <f>Table_1[[#This Row],[Unit Price]]*Table_1[[#This Row],[Quantity]]</f>
        <v>3780000</v>
      </c>
      <c r="M1770" s="8">
        <f>Table_1[[#This Row],[Cost Price]]*Table_1[[#This Row],[Quantity]]</f>
        <v>3024000</v>
      </c>
      <c r="N1770">
        <f>Table_1[[#This Row],[Revenue]]-Table_1[[#This Row],[COGS]]</f>
        <v>756000</v>
      </c>
      <c r="O1770" s="11">
        <f t="shared" si="190"/>
        <v>4656740000</v>
      </c>
      <c r="P1770">
        <f t="shared" si="191"/>
        <v>3725392000</v>
      </c>
      <c r="Q1770">
        <f t="shared" si="192"/>
        <v>931348000</v>
      </c>
      <c r="R1770" s="7">
        <f t="shared" si="193"/>
        <v>2098</v>
      </c>
      <c r="S1770" s="7">
        <f t="shared" si="194"/>
        <v>1</v>
      </c>
      <c r="T1770" s="7">
        <f t="shared" si="195"/>
        <v>2098</v>
      </c>
    </row>
    <row r="1771" spans="1:20" ht="14.25" customHeight="1" x14ac:dyDescent="0.35">
      <c r="A1771" s="2" t="s">
        <v>145</v>
      </c>
      <c r="B1771" s="2" t="s">
        <v>12</v>
      </c>
      <c r="C1771" s="2" t="s">
        <v>38</v>
      </c>
      <c r="D1771" s="2" t="s">
        <v>14</v>
      </c>
      <c r="E1771" s="2" t="s">
        <v>22</v>
      </c>
      <c r="F1771" s="2" t="s">
        <v>16</v>
      </c>
      <c r="G1771" s="2" t="s">
        <v>17</v>
      </c>
      <c r="H1771" s="2">
        <v>85000</v>
      </c>
      <c r="I1771" s="2">
        <v>6</v>
      </c>
      <c r="J1771" s="2" t="s">
        <v>27</v>
      </c>
      <c r="K1771" s="2">
        <f t="shared" si="189"/>
        <v>68000</v>
      </c>
      <c r="L1771" s="9">
        <f>Table_1[[#This Row],[Unit Price]]*Table_1[[#This Row],[Quantity]]</f>
        <v>510000</v>
      </c>
      <c r="M1771" s="8">
        <f>Table_1[[#This Row],[Cost Price]]*Table_1[[#This Row],[Quantity]]</f>
        <v>408000</v>
      </c>
      <c r="N1771">
        <f>Table_1[[#This Row],[Revenue]]-Table_1[[#This Row],[COGS]]</f>
        <v>102000</v>
      </c>
      <c r="O1771" s="11">
        <f t="shared" si="190"/>
        <v>4656740000</v>
      </c>
      <c r="P1771">
        <f t="shared" si="191"/>
        <v>3725392000</v>
      </c>
      <c r="Q1771">
        <f t="shared" si="192"/>
        <v>931348000</v>
      </c>
      <c r="R1771" s="7">
        <f t="shared" si="193"/>
        <v>2098</v>
      </c>
      <c r="S1771" s="7">
        <f t="shared" si="194"/>
        <v>1</v>
      </c>
      <c r="T1771" s="7">
        <f t="shared" si="195"/>
        <v>2098</v>
      </c>
    </row>
    <row r="1772" spans="1:20" ht="14.25" customHeight="1" x14ac:dyDescent="0.35">
      <c r="A1772" s="2" t="s">
        <v>53</v>
      </c>
      <c r="B1772" s="2" t="s">
        <v>34</v>
      </c>
      <c r="C1772" s="2" t="s">
        <v>38</v>
      </c>
      <c r="D1772" s="2" t="s">
        <v>26</v>
      </c>
      <c r="E1772" s="2" t="s">
        <v>15</v>
      </c>
      <c r="F1772" s="2" t="s">
        <v>41</v>
      </c>
      <c r="G1772" s="2" t="s">
        <v>17</v>
      </c>
      <c r="H1772" s="2">
        <v>320000</v>
      </c>
      <c r="I1772" s="2">
        <v>3</v>
      </c>
      <c r="J1772" s="2" t="s">
        <v>43</v>
      </c>
      <c r="K1772" s="2">
        <f t="shared" si="189"/>
        <v>256000</v>
      </c>
      <c r="L1772" s="9">
        <f>Table_1[[#This Row],[Unit Price]]*Table_1[[#This Row],[Quantity]]</f>
        <v>960000</v>
      </c>
      <c r="M1772" s="8">
        <f>Table_1[[#This Row],[Cost Price]]*Table_1[[#This Row],[Quantity]]</f>
        <v>768000</v>
      </c>
      <c r="N1772">
        <f>Table_1[[#This Row],[Revenue]]-Table_1[[#This Row],[COGS]]</f>
        <v>192000</v>
      </c>
      <c r="O1772" s="11">
        <f t="shared" si="190"/>
        <v>4656740000</v>
      </c>
      <c r="P1772">
        <f t="shared" si="191"/>
        <v>3725392000</v>
      </c>
      <c r="Q1772">
        <f t="shared" si="192"/>
        <v>931348000</v>
      </c>
      <c r="R1772" s="7">
        <f t="shared" si="193"/>
        <v>2098</v>
      </c>
      <c r="S1772" s="7">
        <f t="shared" si="194"/>
        <v>3</v>
      </c>
      <c r="T1772" s="7">
        <f t="shared" si="195"/>
        <v>2098</v>
      </c>
    </row>
    <row r="1773" spans="1:20" ht="14.25" customHeight="1" x14ac:dyDescent="0.35">
      <c r="A1773" s="2" t="s">
        <v>42</v>
      </c>
      <c r="B1773" s="2" t="s">
        <v>34</v>
      </c>
      <c r="C1773" s="2" t="s">
        <v>21</v>
      </c>
      <c r="D1773" s="2" t="s">
        <v>26</v>
      </c>
      <c r="E1773" s="2" t="s">
        <v>15</v>
      </c>
      <c r="F1773" s="2" t="s">
        <v>39</v>
      </c>
      <c r="G1773" s="2" t="s">
        <v>24</v>
      </c>
      <c r="H1773" s="2">
        <v>180000</v>
      </c>
      <c r="I1773" s="2">
        <v>8</v>
      </c>
      <c r="J1773" s="2" t="s">
        <v>32</v>
      </c>
      <c r="K1773" s="2">
        <f t="shared" si="189"/>
        <v>144000</v>
      </c>
      <c r="L1773" s="9">
        <f>Table_1[[#This Row],[Unit Price]]*Table_1[[#This Row],[Quantity]]</f>
        <v>1440000</v>
      </c>
      <c r="M1773" s="8">
        <f>Table_1[[#This Row],[Cost Price]]*Table_1[[#This Row],[Quantity]]</f>
        <v>1152000</v>
      </c>
      <c r="N1773">
        <f>Table_1[[#This Row],[Revenue]]-Table_1[[#This Row],[COGS]]</f>
        <v>288000</v>
      </c>
      <c r="O1773" s="11">
        <f t="shared" si="190"/>
        <v>4656740000</v>
      </c>
      <c r="P1773">
        <f t="shared" si="191"/>
        <v>3725392000</v>
      </c>
      <c r="Q1773">
        <f t="shared" si="192"/>
        <v>931348000</v>
      </c>
      <c r="R1773" s="7">
        <f t="shared" si="193"/>
        <v>2098</v>
      </c>
      <c r="S1773" s="7">
        <f t="shared" si="194"/>
        <v>2</v>
      </c>
      <c r="T1773" s="7">
        <f t="shared" si="195"/>
        <v>2098</v>
      </c>
    </row>
    <row r="1774" spans="1:20" ht="14.25" customHeight="1" x14ac:dyDescent="0.35">
      <c r="A1774" s="2" t="s">
        <v>143</v>
      </c>
      <c r="B1774" s="2" t="s">
        <v>12</v>
      </c>
      <c r="C1774" s="2" t="s">
        <v>13</v>
      </c>
      <c r="D1774" s="2" t="s">
        <v>14</v>
      </c>
      <c r="E1774" s="2" t="s">
        <v>15</v>
      </c>
      <c r="F1774" s="2" t="s">
        <v>16</v>
      </c>
      <c r="G1774" s="2" t="s">
        <v>17</v>
      </c>
      <c r="H1774" s="2">
        <v>85000</v>
      </c>
      <c r="I1774" s="2">
        <v>6</v>
      </c>
      <c r="J1774" s="2" t="s">
        <v>43</v>
      </c>
      <c r="K1774" s="2">
        <f t="shared" si="189"/>
        <v>68000</v>
      </c>
      <c r="L1774" s="9">
        <f>Table_1[[#This Row],[Unit Price]]*Table_1[[#This Row],[Quantity]]</f>
        <v>510000</v>
      </c>
      <c r="M1774" s="8">
        <f>Table_1[[#This Row],[Cost Price]]*Table_1[[#This Row],[Quantity]]</f>
        <v>408000</v>
      </c>
      <c r="N1774">
        <f>Table_1[[#This Row],[Revenue]]-Table_1[[#This Row],[COGS]]</f>
        <v>102000</v>
      </c>
      <c r="O1774" s="11">
        <f t="shared" si="190"/>
        <v>4656740000</v>
      </c>
      <c r="P1774">
        <f t="shared" si="191"/>
        <v>3725392000</v>
      </c>
      <c r="Q1774">
        <f t="shared" si="192"/>
        <v>931348000</v>
      </c>
      <c r="R1774" s="7">
        <f t="shared" si="193"/>
        <v>2098</v>
      </c>
      <c r="S1774" s="7">
        <f t="shared" si="194"/>
        <v>1</v>
      </c>
      <c r="T1774" s="7">
        <f t="shared" si="195"/>
        <v>2098</v>
      </c>
    </row>
    <row r="1775" spans="1:20" ht="14.25" customHeight="1" x14ac:dyDescent="0.35">
      <c r="A1775" s="2" t="s">
        <v>124</v>
      </c>
      <c r="B1775" s="2" t="s">
        <v>12</v>
      </c>
      <c r="C1775" s="2" t="s">
        <v>38</v>
      </c>
      <c r="D1775" s="2" t="s">
        <v>14</v>
      </c>
      <c r="E1775" s="2" t="s">
        <v>15</v>
      </c>
      <c r="F1775" s="2" t="s">
        <v>35</v>
      </c>
      <c r="G1775" s="2" t="s">
        <v>36</v>
      </c>
      <c r="H1775" s="2">
        <v>300000</v>
      </c>
      <c r="I1775" s="2">
        <v>3</v>
      </c>
      <c r="J1775" s="2" t="s">
        <v>18</v>
      </c>
      <c r="K1775" s="2">
        <f t="shared" si="189"/>
        <v>240000</v>
      </c>
      <c r="L1775" s="9">
        <f>Table_1[[#This Row],[Unit Price]]*Table_1[[#This Row],[Quantity]]</f>
        <v>900000</v>
      </c>
      <c r="M1775" s="8">
        <f>Table_1[[#This Row],[Cost Price]]*Table_1[[#This Row],[Quantity]]</f>
        <v>720000</v>
      </c>
      <c r="N1775">
        <f>Table_1[[#This Row],[Revenue]]-Table_1[[#This Row],[COGS]]</f>
        <v>180000</v>
      </c>
      <c r="O1775" s="11">
        <f t="shared" si="190"/>
        <v>4656740000</v>
      </c>
      <c r="P1775">
        <f t="shared" si="191"/>
        <v>3725392000</v>
      </c>
      <c r="Q1775">
        <f t="shared" si="192"/>
        <v>931348000</v>
      </c>
      <c r="R1775" s="7">
        <f t="shared" si="193"/>
        <v>2098</v>
      </c>
      <c r="S1775" s="7">
        <f t="shared" si="194"/>
        <v>1</v>
      </c>
      <c r="T1775" s="7">
        <f t="shared" si="195"/>
        <v>2098</v>
      </c>
    </row>
    <row r="1776" spans="1:20" ht="14.25" customHeight="1" x14ac:dyDescent="0.35">
      <c r="A1776" s="2" t="s">
        <v>113</v>
      </c>
      <c r="B1776" s="2" t="s">
        <v>34</v>
      </c>
      <c r="C1776" s="2" t="s">
        <v>13</v>
      </c>
      <c r="D1776" s="2" t="s">
        <v>26</v>
      </c>
      <c r="E1776" s="2" t="s">
        <v>22</v>
      </c>
      <c r="F1776" s="2" t="s">
        <v>39</v>
      </c>
      <c r="G1776" s="2" t="s">
        <v>24</v>
      </c>
      <c r="H1776" s="2">
        <v>180000</v>
      </c>
      <c r="I1776" s="2">
        <v>1</v>
      </c>
      <c r="J1776" s="2" t="s">
        <v>32</v>
      </c>
      <c r="K1776" s="2">
        <f t="shared" si="189"/>
        <v>144000</v>
      </c>
      <c r="L1776" s="9">
        <f>Table_1[[#This Row],[Unit Price]]*Table_1[[#This Row],[Quantity]]</f>
        <v>180000</v>
      </c>
      <c r="M1776" s="8">
        <f>Table_1[[#This Row],[Cost Price]]*Table_1[[#This Row],[Quantity]]</f>
        <v>144000</v>
      </c>
      <c r="N1776">
        <f>Table_1[[#This Row],[Revenue]]-Table_1[[#This Row],[COGS]]</f>
        <v>36000</v>
      </c>
      <c r="O1776" s="11">
        <f t="shared" si="190"/>
        <v>4656740000</v>
      </c>
      <c r="P1776">
        <f t="shared" si="191"/>
        <v>3725392000</v>
      </c>
      <c r="Q1776">
        <f t="shared" si="192"/>
        <v>931348000</v>
      </c>
      <c r="R1776" s="7">
        <f t="shared" si="193"/>
        <v>2098</v>
      </c>
      <c r="S1776" s="7">
        <f t="shared" si="194"/>
        <v>3</v>
      </c>
      <c r="T1776" s="7">
        <f t="shared" si="195"/>
        <v>2098</v>
      </c>
    </row>
    <row r="1777" spans="1:20" ht="14.25" customHeight="1" x14ac:dyDescent="0.35">
      <c r="A1777" s="2" t="s">
        <v>131</v>
      </c>
      <c r="B1777" s="2" t="s">
        <v>20</v>
      </c>
      <c r="C1777" s="2" t="s">
        <v>30</v>
      </c>
      <c r="D1777" s="2" t="s">
        <v>14</v>
      </c>
      <c r="E1777" s="2" t="s">
        <v>15</v>
      </c>
      <c r="F1777" s="2" t="s">
        <v>58</v>
      </c>
      <c r="G1777" s="2" t="s">
        <v>24</v>
      </c>
      <c r="H1777" s="2">
        <v>220000</v>
      </c>
      <c r="I1777" s="2">
        <v>1</v>
      </c>
      <c r="J1777" s="2" t="s">
        <v>50</v>
      </c>
      <c r="K1777" s="2">
        <f t="shared" si="189"/>
        <v>176000</v>
      </c>
      <c r="L1777" s="9">
        <f>Table_1[[#This Row],[Unit Price]]*Table_1[[#This Row],[Quantity]]</f>
        <v>220000</v>
      </c>
      <c r="M1777" s="8">
        <f>Table_1[[#This Row],[Cost Price]]*Table_1[[#This Row],[Quantity]]</f>
        <v>176000</v>
      </c>
      <c r="N1777">
        <f>Table_1[[#This Row],[Revenue]]-Table_1[[#This Row],[COGS]]</f>
        <v>44000</v>
      </c>
      <c r="O1777" s="11">
        <f t="shared" si="190"/>
        <v>4656740000</v>
      </c>
      <c r="P1777">
        <f t="shared" si="191"/>
        <v>3725392000</v>
      </c>
      <c r="Q1777">
        <f t="shared" si="192"/>
        <v>931348000</v>
      </c>
      <c r="R1777" s="7">
        <f t="shared" si="193"/>
        <v>2098</v>
      </c>
      <c r="S1777" s="7">
        <f t="shared" si="194"/>
        <v>1</v>
      </c>
      <c r="T1777" s="7">
        <f t="shared" si="195"/>
        <v>2098</v>
      </c>
    </row>
    <row r="1778" spans="1:20" ht="14.25" customHeight="1" x14ac:dyDescent="0.35">
      <c r="A1778" s="2" t="s">
        <v>46</v>
      </c>
      <c r="B1778" s="2" t="s">
        <v>29</v>
      </c>
      <c r="C1778" s="2" t="s">
        <v>38</v>
      </c>
      <c r="D1778" s="2" t="s">
        <v>14</v>
      </c>
      <c r="E1778" s="2" t="s">
        <v>22</v>
      </c>
      <c r="F1778" s="2" t="s">
        <v>23</v>
      </c>
      <c r="G1778" s="2" t="s">
        <v>24</v>
      </c>
      <c r="H1778" s="2">
        <v>30000</v>
      </c>
      <c r="I1778" s="2">
        <v>1</v>
      </c>
      <c r="J1778" s="2" t="s">
        <v>50</v>
      </c>
      <c r="K1778" s="2">
        <f t="shared" si="189"/>
        <v>24000</v>
      </c>
      <c r="L1778" s="9">
        <f>Table_1[[#This Row],[Unit Price]]*Table_1[[#This Row],[Quantity]]</f>
        <v>30000</v>
      </c>
      <c r="M1778" s="8">
        <f>Table_1[[#This Row],[Cost Price]]*Table_1[[#This Row],[Quantity]]</f>
        <v>24000</v>
      </c>
      <c r="N1778">
        <f>Table_1[[#This Row],[Revenue]]-Table_1[[#This Row],[COGS]]</f>
        <v>6000</v>
      </c>
      <c r="O1778" s="11">
        <f t="shared" si="190"/>
        <v>4656740000</v>
      </c>
      <c r="P1778">
        <f t="shared" si="191"/>
        <v>3725392000</v>
      </c>
      <c r="Q1778">
        <f t="shared" si="192"/>
        <v>931348000</v>
      </c>
      <c r="R1778" s="7">
        <f t="shared" si="193"/>
        <v>2098</v>
      </c>
      <c r="S1778" s="7">
        <f t="shared" si="194"/>
        <v>1</v>
      </c>
      <c r="T1778" s="7">
        <f t="shared" si="195"/>
        <v>2098</v>
      </c>
    </row>
    <row r="1779" spans="1:20" ht="14.25" customHeight="1" x14ac:dyDescent="0.35">
      <c r="A1779" s="2" t="s">
        <v>135</v>
      </c>
      <c r="B1779" s="2" t="s">
        <v>20</v>
      </c>
      <c r="C1779" s="2" t="s">
        <v>13</v>
      </c>
      <c r="D1779" s="2" t="s">
        <v>26</v>
      </c>
      <c r="E1779" s="2" t="s">
        <v>22</v>
      </c>
      <c r="F1779" s="2" t="s">
        <v>31</v>
      </c>
      <c r="G1779" s="2" t="s">
        <v>24</v>
      </c>
      <c r="H1779" s="2">
        <v>60000</v>
      </c>
      <c r="I1779" s="2">
        <v>2</v>
      </c>
      <c r="J1779" s="2" t="s">
        <v>54</v>
      </c>
      <c r="K1779" s="2">
        <f t="shared" si="189"/>
        <v>48000</v>
      </c>
      <c r="L1779" s="9">
        <f>Table_1[[#This Row],[Unit Price]]*Table_1[[#This Row],[Quantity]]</f>
        <v>120000</v>
      </c>
      <c r="M1779" s="8">
        <f>Table_1[[#This Row],[Cost Price]]*Table_1[[#This Row],[Quantity]]</f>
        <v>96000</v>
      </c>
      <c r="N1779">
        <f>Table_1[[#This Row],[Revenue]]-Table_1[[#This Row],[COGS]]</f>
        <v>24000</v>
      </c>
      <c r="O1779" s="11">
        <f t="shared" si="190"/>
        <v>4656740000</v>
      </c>
      <c r="P1779">
        <f t="shared" si="191"/>
        <v>3725392000</v>
      </c>
      <c r="Q1779">
        <f t="shared" si="192"/>
        <v>931348000</v>
      </c>
      <c r="R1779" s="7">
        <f t="shared" si="193"/>
        <v>2098</v>
      </c>
      <c r="S1779" s="7">
        <f t="shared" si="194"/>
        <v>1</v>
      </c>
      <c r="T1779" s="7">
        <f t="shared" si="195"/>
        <v>2098</v>
      </c>
    </row>
    <row r="1780" spans="1:20" ht="14.25" customHeight="1" x14ac:dyDescent="0.35">
      <c r="A1780" s="2" t="s">
        <v>60</v>
      </c>
      <c r="B1780" s="2" t="s">
        <v>12</v>
      </c>
      <c r="C1780" s="2" t="s">
        <v>21</v>
      </c>
      <c r="D1780" s="2" t="s">
        <v>14</v>
      </c>
      <c r="E1780" s="2" t="s">
        <v>22</v>
      </c>
      <c r="F1780" s="2" t="s">
        <v>56</v>
      </c>
      <c r="G1780" s="2" t="s">
        <v>36</v>
      </c>
      <c r="H1780" s="2">
        <v>250000</v>
      </c>
      <c r="I1780" s="2">
        <v>7</v>
      </c>
      <c r="J1780" s="2" t="s">
        <v>50</v>
      </c>
      <c r="K1780" s="2">
        <f t="shared" si="189"/>
        <v>200000</v>
      </c>
      <c r="L1780" s="9">
        <f>Table_1[[#This Row],[Unit Price]]*Table_1[[#This Row],[Quantity]]</f>
        <v>1750000</v>
      </c>
      <c r="M1780" s="8">
        <f>Table_1[[#This Row],[Cost Price]]*Table_1[[#This Row],[Quantity]]</f>
        <v>1400000</v>
      </c>
      <c r="N1780">
        <f>Table_1[[#This Row],[Revenue]]-Table_1[[#This Row],[COGS]]</f>
        <v>350000</v>
      </c>
      <c r="O1780" s="11">
        <f t="shared" si="190"/>
        <v>4656740000</v>
      </c>
      <c r="P1780">
        <f t="shared" si="191"/>
        <v>3725392000</v>
      </c>
      <c r="Q1780">
        <f t="shared" si="192"/>
        <v>931348000</v>
      </c>
      <c r="R1780" s="7">
        <f t="shared" si="193"/>
        <v>2098</v>
      </c>
      <c r="S1780" s="7">
        <f t="shared" si="194"/>
        <v>3</v>
      </c>
      <c r="T1780" s="7">
        <f t="shared" si="195"/>
        <v>2098</v>
      </c>
    </row>
    <row r="1781" spans="1:20" ht="14.25" customHeight="1" x14ac:dyDescent="0.35">
      <c r="A1781" s="2" t="s">
        <v>161</v>
      </c>
      <c r="B1781" s="2" t="s">
        <v>12</v>
      </c>
      <c r="C1781" s="2" t="s">
        <v>30</v>
      </c>
      <c r="D1781" s="2" t="s">
        <v>26</v>
      </c>
      <c r="E1781" s="2" t="s">
        <v>15</v>
      </c>
      <c r="F1781" s="2" t="s">
        <v>52</v>
      </c>
      <c r="G1781" s="2" t="s">
        <v>36</v>
      </c>
      <c r="H1781" s="2">
        <v>420000</v>
      </c>
      <c r="I1781" s="2">
        <v>10</v>
      </c>
      <c r="J1781" s="2" t="s">
        <v>32</v>
      </c>
      <c r="K1781" s="2">
        <f t="shared" si="189"/>
        <v>336000</v>
      </c>
      <c r="L1781" s="9">
        <f>Table_1[[#This Row],[Unit Price]]*Table_1[[#This Row],[Quantity]]</f>
        <v>4200000</v>
      </c>
      <c r="M1781" s="8">
        <f>Table_1[[#This Row],[Cost Price]]*Table_1[[#This Row],[Quantity]]</f>
        <v>3360000</v>
      </c>
      <c r="N1781">
        <f>Table_1[[#This Row],[Revenue]]-Table_1[[#This Row],[COGS]]</f>
        <v>840000</v>
      </c>
      <c r="O1781" s="11">
        <f t="shared" si="190"/>
        <v>4656740000</v>
      </c>
      <c r="P1781">
        <f t="shared" si="191"/>
        <v>3725392000</v>
      </c>
      <c r="Q1781">
        <f t="shared" si="192"/>
        <v>931348000</v>
      </c>
      <c r="R1781" s="7">
        <f t="shared" si="193"/>
        <v>2098</v>
      </c>
      <c r="S1781" s="7">
        <f t="shared" si="194"/>
        <v>1</v>
      </c>
      <c r="T1781" s="7">
        <f t="shared" si="195"/>
        <v>2098</v>
      </c>
    </row>
    <row r="1782" spans="1:20" ht="14.25" customHeight="1" x14ac:dyDescent="0.35">
      <c r="A1782" s="2" t="s">
        <v>45</v>
      </c>
      <c r="B1782" s="2" t="s">
        <v>12</v>
      </c>
      <c r="C1782" s="2" t="s">
        <v>13</v>
      </c>
      <c r="D1782" s="2" t="s">
        <v>26</v>
      </c>
      <c r="E1782" s="2" t="s">
        <v>15</v>
      </c>
      <c r="F1782" s="2" t="s">
        <v>41</v>
      </c>
      <c r="G1782" s="2" t="s">
        <v>17</v>
      </c>
      <c r="H1782" s="2">
        <v>320000</v>
      </c>
      <c r="I1782" s="2">
        <v>10</v>
      </c>
      <c r="J1782" s="2" t="s">
        <v>43</v>
      </c>
      <c r="K1782" s="2">
        <f t="shared" si="189"/>
        <v>256000</v>
      </c>
      <c r="L1782" s="9">
        <f>Table_1[[#This Row],[Unit Price]]*Table_1[[#This Row],[Quantity]]</f>
        <v>3200000</v>
      </c>
      <c r="M1782" s="8">
        <f>Table_1[[#This Row],[Cost Price]]*Table_1[[#This Row],[Quantity]]</f>
        <v>2560000</v>
      </c>
      <c r="N1782">
        <f>Table_1[[#This Row],[Revenue]]-Table_1[[#This Row],[COGS]]</f>
        <v>640000</v>
      </c>
      <c r="O1782" s="11">
        <f t="shared" si="190"/>
        <v>4656740000</v>
      </c>
      <c r="P1782">
        <f t="shared" si="191"/>
        <v>3725392000</v>
      </c>
      <c r="Q1782">
        <f t="shared" si="192"/>
        <v>931348000</v>
      </c>
      <c r="R1782" s="7">
        <f t="shared" si="193"/>
        <v>2098</v>
      </c>
      <c r="S1782" s="7">
        <f t="shared" si="194"/>
        <v>3</v>
      </c>
      <c r="T1782" s="7">
        <f t="shared" si="195"/>
        <v>2098</v>
      </c>
    </row>
    <row r="1783" spans="1:20" ht="14.25" customHeight="1" x14ac:dyDescent="0.35">
      <c r="A1783" s="2" t="s">
        <v>115</v>
      </c>
      <c r="B1783" s="2" t="s">
        <v>29</v>
      </c>
      <c r="C1783" s="2" t="s">
        <v>38</v>
      </c>
      <c r="D1783" s="2" t="s">
        <v>14</v>
      </c>
      <c r="E1783" s="2" t="s">
        <v>15</v>
      </c>
      <c r="F1783" s="2" t="s">
        <v>35</v>
      </c>
      <c r="G1783" s="2" t="s">
        <v>36</v>
      </c>
      <c r="H1783" s="2">
        <v>300000</v>
      </c>
      <c r="I1783" s="2">
        <v>1</v>
      </c>
      <c r="J1783" s="2" t="s">
        <v>32</v>
      </c>
      <c r="K1783" s="2">
        <f t="shared" si="189"/>
        <v>240000</v>
      </c>
      <c r="L1783" s="9">
        <f>Table_1[[#This Row],[Unit Price]]*Table_1[[#This Row],[Quantity]]</f>
        <v>300000</v>
      </c>
      <c r="M1783" s="8">
        <f>Table_1[[#This Row],[Cost Price]]*Table_1[[#This Row],[Quantity]]</f>
        <v>240000</v>
      </c>
      <c r="N1783">
        <f>Table_1[[#This Row],[Revenue]]-Table_1[[#This Row],[COGS]]</f>
        <v>60000</v>
      </c>
      <c r="O1783" s="11">
        <f t="shared" si="190"/>
        <v>4656740000</v>
      </c>
      <c r="P1783">
        <f t="shared" si="191"/>
        <v>3725392000</v>
      </c>
      <c r="Q1783">
        <f t="shared" si="192"/>
        <v>931348000</v>
      </c>
      <c r="R1783" s="7">
        <f t="shared" si="193"/>
        <v>2098</v>
      </c>
      <c r="S1783" s="7">
        <f t="shared" si="194"/>
        <v>1</v>
      </c>
      <c r="T1783" s="7">
        <f t="shared" si="195"/>
        <v>2098</v>
      </c>
    </row>
    <row r="1784" spans="1:20" ht="14.25" customHeight="1" x14ac:dyDescent="0.35">
      <c r="A1784" s="2" t="s">
        <v>156</v>
      </c>
      <c r="B1784" s="2" t="s">
        <v>29</v>
      </c>
      <c r="C1784" s="2" t="s">
        <v>30</v>
      </c>
      <c r="D1784" s="2" t="s">
        <v>26</v>
      </c>
      <c r="E1784" s="2" t="s">
        <v>22</v>
      </c>
      <c r="F1784" s="2" t="s">
        <v>47</v>
      </c>
      <c r="G1784" s="2" t="s">
        <v>36</v>
      </c>
      <c r="H1784" s="2">
        <v>150000</v>
      </c>
      <c r="I1784" s="2">
        <v>3</v>
      </c>
      <c r="J1784" s="2" t="s">
        <v>27</v>
      </c>
      <c r="K1784" s="2">
        <f t="shared" si="189"/>
        <v>120000</v>
      </c>
      <c r="L1784" s="9">
        <f>Table_1[[#This Row],[Unit Price]]*Table_1[[#This Row],[Quantity]]</f>
        <v>450000</v>
      </c>
      <c r="M1784" s="8">
        <f>Table_1[[#This Row],[Cost Price]]*Table_1[[#This Row],[Quantity]]</f>
        <v>360000</v>
      </c>
      <c r="N1784">
        <f>Table_1[[#This Row],[Revenue]]-Table_1[[#This Row],[COGS]]</f>
        <v>90000</v>
      </c>
      <c r="O1784" s="11">
        <f t="shared" si="190"/>
        <v>4656740000</v>
      </c>
      <c r="P1784">
        <f t="shared" si="191"/>
        <v>3725392000</v>
      </c>
      <c r="Q1784">
        <f t="shared" si="192"/>
        <v>931348000</v>
      </c>
      <c r="R1784" s="7">
        <f t="shared" si="193"/>
        <v>2098</v>
      </c>
      <c r="S1784" s="7">
        <f t="shared" si="194"/>
        <v>3</v>
      </c>
      <c r="T1784" s="7">
        <f t="shared" si="195"/>
        <v>2098</v>
      </c>
    </row>
    <row r="1785" spans="1:20" ht="14.25" customHeight="1" x14ac:dyDescent="0.35">
      <c r="A1785" s="2" t="s">
        <v>68</v>
      </c>
      <c r="B1785" s="2" t="s">
        <v>12</v>
      </c>
      <c r="C1785" s="2" t="s">
        <v>30</v>
      </c>
      <c r="D1785" s="2" t="s">
        <v>26</v>
      </c>
      <c r="E1785" s="2" t="s">
        <v>15</v>
      </c>
      <c r="F1785" s="2" t="s">
        <v>56</v>
      </c>
      <c r="G1785" s="2" t="s">
        <v>36</v>
      </c>
      <c r="H1785" s="2">
        <v>250000</v>
      </c>
      <c r="I1785" s="2">
        <v>3</v>
      </c>
      <c r="J1785" s="2" t="s">
        <v>50</v>
      </c>
      <c r="K1785" s="2">
        <f t="shared" si="189"/>
        <v>200000</v>
      </c>
      <c r="L1785" s="9">
        <f>Table_1[[#This Row],[Unit Price]]*Table_1[[#This Row],[Quantity]]</f>
        <v>750000</v>
      </c>
      <c r="M1785" s="8">
        <f>Table_1[[#This Row],[Cost Price]]*Table_1[[#This Row],[Quantity]]</f>
        <v>600000</v>
      </c>
      <c r="N1785">
        <f>Table_1[[#This Row],[Revenue]]-Table_1[[#This Row],[COGS]]</f>
        <v>150000</v>
      </c>
      <c r="O1785" s="11">
        <f t="shared" si="190"/>
        <v>4656740000</v>
      </c>
      <c r="P1785">
        <f t="shared" si="191"/>
        <v>3725392000</v>
      </c>
      <c r="Q1785">
        <f t="shared" si="192"/>
        <v>931348000</v>
      </c>
      <c r="R1785" s="7">
        <f t="shared" si="193"/>
        <v>2098</v>
      </c>
      <c r="S1785" s="7">
        <f t="shared" si="194"/>
        <v>1</v>
      </c>
      <c r="T1785" s="7">
        <f t="shared" si="195"/>
        <v>2098</v>
      </c>
    </row>
    <row r="1786" spans="1:20" ht="14.25" customHeight="1" x14ac:dyDescent="0.35">
      <c r="A1786" s="2" t="s">
        <v>48</v>
      </c>
      <c r="B1786" s="2" t="s">
        <v>34</v>
      </c>
      <c r="C1786" s="2" t="s">
        <v>21</v>
      </c>
      <c r="D1786" s="2" t="s">
        <v>14</v>
      </c>
      <c r="E1786" s="2" t="s">
        <v>22</v>
      </c>
      <c r="F1786" s="2" t="s">
        <v>52</v>
      </c>
      <c r="G1786" s="2" t="s">
        <v>36</v>
      </c>
      <c r="H1786" s="2">
        <v>420000</v>
      </c>
      <c r="I1786" s="2">
        <v>4</v>
      </c>
      <c r="J1786" s="2" t="s">
        <v>27</v>
      </c>
      <c r="K1786" s="2">
        <f t="shared" si="189"/>
        <v>336000</v>
      </c>
      <c r="L1786" s="9">
        <f>Table_1[[#This Row],[Unit Price]]*Table_1[[#This Row],[Quantity]]</f>
        <v>1680000</v>
      </c>
      <c r="M1786" s="8">
        <f>Table_1[[#This Row],[Cost Price]]*Table_1[[#This Row],[Quantity]]</f>
        <v>1344000</v>
      </c>
      <c r="N1786">
        <f>Table_1[[#This Row],[Revenue]]-Table_1[[#This Row],[COGS]]</f>
        <v>336000</v>
      </c>
      <c r="O1786" s="11">
        <f t="shared" si="190"/>
        <v>4656740000</v>
      </c>
      <c r="P1786">
        <f t="shared" si="191"/>
        <v>3725392000</v>
      </c>
      <c r="Q1786">
        <f t="shared" si="192"/>
        <v>931348000</v>
      </c>
      <c r="R1786" s="7">
        <f t="shared" si="193"/>
        <v>2098</v>
      </c>
      <c r="S1786" s="7">
        <f t="shared" si="194"/>
        <v>1</v>
      </c>
      <c r="T1786" s="7">
        <f t="shared" si="195"/>
        <v>2098</v>
      </c>
    </row>
    <row r="1787" spans="1:20" ht="14.25" customHeight="1" x14ac:dyDescent="0.35">
      <c r="A1787" s="2" t="s">
        <v>133</v>
      </c>
      <c r="B1787" s="2" t="s">
        <v>34</v>
      </c>
      <c r="C1787" s="2" t="s">
        <v>21</v>
      </c>
      <c r="D1787" s="2" t="s">
        <v>26</v>
      </c>
      <c r="E1787" s="2" t="s">
        <v>15</v>
      </c>
      <c r="F1787" s="2" t="s">
        <v>39</v>
      </c>
      <c r="G1787" s="2" t="s">
        <v>24</v>
      </c>
      <c r="H1787" s="2">
        <v>180000</v>
      </c>
      <c r="I1787" s="2">
        <v>1</v>
      </c>
      <c r="J1787" s="2" t="s">
        <v>18</v>
      </c>
      <c r="K1787" s="2">
        <f t="shared" si="189"/>
        <v>144000</v>
      </c>
      <c r="L1787" s="9">
        <f>Table_1[[#This Row],[Unit Price]]*Table_1[[#This Row],[Quantity]]</f>
        <v>180000</v>
      </c>
      <c r="M1787" s="8">
        <f>Table_1[[#This Row],[Cost Price]]*Table_1[[#This Row],[Quantity]]</f>
        <v>144000</v>
      </c>
      <c r="N1787">
        <f>Table_1[[#This Row],[Revenue]]-Table_1[[#This Row],[COGS]]</f>
        <v>36000</v>
      </c>
      <c r="O1787" s="11">
        <f t="shared" si="190"/>
        <v>4656740000</v>
      </c>
      <c r="P1787">
        <f t="shared" si="191"/>
        <v>3725392000</v>
      </c>
      <c r="Q1787">
        <f t="shared" si="192"/>
        <v>931348000</v>
      </c>
      <c r="R1787" s="7">
        <f t="shared" si="193"/>
        <v>2098</v>
      </c>
      <c r="S1787" s="7">
        <f t="shared" si="194"/>
        <v>2</v>
      </c>
      <c r="T1787" s="7">
        <f t="shared" si="195"/>
        <v>2098</v>
      </c>
    </row>
    <row r="1788" spans="1:20" ht="14.25" customHeight="1" x14ac:dyDescent="0.35">
      <c r="A1788" s="2" t="s">
        <v>37</v>
      </c>
      <c r="B1788" s="2" t="s">
        <v>34</v>
      </c>
      <c r="C1788" s="2" t="s">
        <v>13</v>
      </c>
      <c r="D1788" s="2" t="s">
        <v>26</v>
      </c>
      <c r="E1788" s="2" t="s">
        <v>22</v>
      </c>
      <c r="F1788" s="2" t="s">
        <v>47</v>
      </c>
      <c r="G1788" s="2" t="s">
        <v>36</v>
      </c>
      <c r="H1788" s="2">
        <v>150000</v>
      </c>
      <c r="I1788" s="2">
        <v>3</v>
      </c>
      <c r="J1788" s="2" t="s">
        <v>43</v>
      </c>
      <c r="K1788" s="2">
        <f t="shared" si="189"/>
        <v>120000</v>
      </c>
      <c r="L1788" s="9">
        <f>Table_1[[#This Row],[Unit Price]]*Table_1[[#This Row],[Quantity]]</f>
        <v>450000</v>
      </c>
      <c r="M1788" s="8">
        <f>Table_1[[#This Row],[Cost Price]]*Table_1[[#This Row],[Quantity]]</f>
        <v>360000</v>
      </c>
      <c r="N1788">
        <f>Table_1[[#This Row],[Revenue]]-Table_1[[#This Row],[COGS]]</f>
        <v>90000</v>
      </c>
      <c r="O1788" s="11">
        <f t="shared" si="190"/>
        <v>4656740000</v>
      </c>
      <c r="P1788">
        <f t="shared" si="191"/>
        <v>3725392000</v>
      </c>
      <c r="Q1788">
        <f t="shared" si="192"/>
        <v>931348000</v>
      </c>
      <c r="R1788" s="7">
        <f t="shared" si="193"/>
        <v>2098</v>
      </c>
      <c r="S1788" s="7">
        <f t="shared" si="194"/>
        <v>3</v>
      </c>
      <c r="T1788" s="7">
        <f t="shared" si="195"/>
        <v>2098</v>
      </c>
    </row>
    <row r="1789" spans="1:20" ht="14.25" customHeight="1" x14ac:dyDescent="0.35">
      <c r="A1789" s="2" t="s">
        <v>86</v>
      </c>
      <c r="B1789" s="2" t="s">
        <v>29</v>
      </c>
      <c r="C1789" s="2" t="s">
        <v>38</v>
      </c>
      <c r="D1789" s="2" t="s">
        <v>26</v>
      </c>
      <c r="E1789" s="2" t="s">
        <v>15</v>
      </c>
      <c r="F1789" s="2" t="s">
        <v>58</v>
      </c>
      <c r="G1789" s="2" t="s">
        <v>24</v>
      </c>
      <c r="H1789" s="2">
        <v>220000</v>
      </c>
      <c r="I1789" s="2">
        <v>9</v>
      </c>
      <c r="J1789" s="2" t="s">
        <v>32</v>
      </c>
      <c r="K1789" s="2">
        <f t="shared" si="189"/>
        <v>176000</v>
      </c>
      <c r="L1789" s="9">
        <f>Table_1[[#This Row],[Unit Price]]*Table_1[[#This Row],[Quantity]]</f>
        <v>1980000</v>
      </c>
      <c r="M1789" s="8">
        <f>Table_1[[#This Row],[Cost Price]]*Table_1[[#This Row],[Quantity]]</f>
        <v>1584000</v>
      </c>
      <c r="N1789">
        <f>Table_1[[#This Row],[Revenue]]-Table_1[[#This Row],[COGS]]</f>
        <v>396000</v>
      </c>
      <c r="O1789" s="11">
        <f t="shared" si="190"/>
        <v>4656740000</v>
      </c>
      <c r="P1789">
        <f t="shared" si="191"/>
        <v>3725392000</v>
      </c>
      <c r="Q1789">
        <f t="shared" si="192"/>
        <v>931348000</v>
      </c>
      <c r="R1789" s="7">
        <f t="shared" si="193"/>
        <v>2098</v>
      </c>
      <c r="S1789" s="7">
        <f t="shared" si="194"/>
        <v>1</v>
      </c>
      <c r="T1789" s="7">
        <f t="shared" si="195"/>
        <v>2098</v>
      </c>
    </row>
    <row r="1790" spans="1:20" ht="14.25" customHeight="1" x14ac:dyDescent="0.35">
      <c r="A1790" s="2" t="s">
        <v>74</v>
      </c>
      <c r="B1790" s="2" t="s">
        <v>34</v>
      </c>
      <c r="C1790" s="2" t="s">
        <v>30</v>
      </c>
      <c r="D1790" s="2" t="s">
        <v>26</v>
      </c>
      <c r="E1790" s="2" t="s">
        <v>15</v>
      </c>
      <c r="F1790" s="2" t="s">
        <v>52</v>
      </c>
      <c r="G1790" s="2" t="s">
        <v>36</v>
      </c>
      <c r="H1790" s="2">
        <v>420000</v>
      </c>
      <c r="I1790" s="2">
        <v>4</v>
      </c>
      <c r="J1790" s="2" t="s">
        <v>32</v>
      </c>
      <c r="K1790" s="2">
        <f t="shared" si="189"/>
        <v>336000</v>
      </c>
      <c r="L1790" s="9">
        <f>Table_1[[#This Row],[Unit Price]]*Table_1[[#This Row],[Quantity]]</f>
        <v>1680000</v>
      </c>
      <c r="M1790" s="8">
        <f>Table_1[[#This Row],[Cost Price]]*Table_1[[#This Row],[Quantity]]</f>
        <v>1344000</v>
      </c>
      <c r="N1790">
        <f>Table_1[[#This Row],[Revenue]]-Table_1[[#This Row],[COGS]]</f>
        <v>336000</v>
      </c>
      <c r="O1790" s="11">
        <f t="shared" si="190"/>
        <v>4656740000</v>
      </c>
      <c r="P1790">
        <f t="shared" si="191"/>
        <v>3725392000</v>
      </c>
      <c r="Q1790">
        <f t="shared" si="192"/>
        <v>931348000</v>
      </c>
      <c r="R1790" s="7">
        <f t="shared" si="193"/>
        <v>2098</v>
      </c>
      <c r="S1790" s="7">
        <f t="shared" si="194"/>
        <v>2</v>
      </c>
      <c r="T1790" s="7">
        <f t="shared" si="195"/>
        <v>2098</v>
      </c>
    </row>
    <row r="1791" spans="1:20" ht="14.25" customHeight="1" x14ac:dyDescent="0.35">
      <c r="A1791" s="2" t="s">
        <v>159</v>
      </c>
      <c r="B1791" s="2" t="s">
        <v>34</v>
      </c>
      <c r="C1791" s="2" t="s">
        <v>30</v>
      </c>
      <c r="D1791" s="2" t="s">
        <v>26</v>
      </c>
      <c r="E1791" s="2" t="s">
        <v>22</v>
      </c>
      <c r="F1791" s="2" t="s">
        <v>35</v>
      </c>
      <c r="G1791" s="2" t="s">
        <v>36</v>
      </c>
      <c r="H1791" s="2">
        <v>300000</v>
      </c>
      <c r="I1791" s="2">
        <v>2</v>
      </c>
      <c r="J1791" s="2" t="s">
        <v>54</v>
      </c>
      <c r="K1791" s="2">
        <f t="shared" si="189"/>
        <v>240000</v>
      </c>
      <c r="L1791" s="9">
        <f>Table_1[[#This Row],[Unit Price]]*Table_1[[#This Row],[Quantity]]</f>
        <v>600000</v>
      </c>
      <c r="M1791" s="8">
        <f>Table_1[[#This Row],[Cost Price]]*Table_1[[#This Row],[Quantity]]</f>
        <v>480000</v>
      </c>
      <c r="N1791">
        <f>Table_1[[#This Row],[Revenue]]-Table_1[[#This Row],[COGS]]</f>
        <v>120000</v>
      </c>
      <c r="O1791" s="11">
        <f t="shared" si="190"/>
        <v>4656740000</v>
      </c>
      <c r="P1791">
        <f t="shared" si="191"/>
        <v>3725392000</v>
      </c>
      <c r="Q1791">
        <f t="shared" si="192"/>
        <v>931348000</v>
      </c>
      <c r="R1791" s="7">
        <f t="shared" si="193"/>
        <v>2098</v>
      </c>
      <c r="S1791" s="7">
        <f t="shared" si="194"/>
        <v>2</v>
      </c>
      <c r="T1791" s="7">
        <f t="shared" si="195"/>
        <v>2098</v>
      </c>
    </row>
    <row r="1792" spans="1:20" ht="14.25" customHeight="1" x14ac:dyDescent="0.35">
      <c r="A1792" s="2" t="s">
        <v>152</v>
      </c>
      <c r="B1792" s="2" t="s">
        <v>20</v>
      </c>
      <c r="C1792" s="2" t="s">
        <v>21</v>
      </c>
      <c r="D1792" s="2" t="s">
        <v>26</v>
      </c>
      <c r="E1792" s="2" t="s">
        <v>22</v>
      </c>
      <c r="F1792" s="2" t="s">
        <v>16</v>
      </c>
      <c r="G1792" s="2" t="s">
        <v>17</v>
      </c>
      <c r="H1792" s="2">
        <v>85000</v>
      </c>
      <c r="I1792" s="2">
        <v>8</v>
      </c>
      <c r="J1792" s="2" t="s">
        <v>27</v>
      </c>
      <c r="K1792" s="2">
        <f t="shared" si="189"/>
        <v>68000</v>
      </c>
      <c r="L1792" s="9">
        <f>Table_1[[#This Row],[Unit Price]]*Table_1[[#This Row],[Quantity]]</f>
        <v>680000</v>
      </c>
      <c r="M1792" s="8">
        <f>Table_1[[#This Row],[Cost Price]]*Table_1[[#This Row],[Quantity]]</f>
        <v>544000</v>
      </c>
      <c r="N1792">
        <f>Table_1[[#This Row],[Revenue]]-Table_1[[#This Row],[COGS]]</f>
        <v>136000</v>
      </c>
      <c r="O1792" s="11">
        <f t="shared" si="190"/>
        <v>4656740000</v>
      </c>
      <c r="P1792">
        <f t="shared" si="191"/>
        <v>3725392000</v>
      </c>
      <c r="Q1792">
        <f t="shared" si="192"/>
        <v>931348000</v>
      </c>
      <c r="R1792" s="7">
        <f t="shared" si="193"/>
        <v>2098</v>
      </c>
      <c r="S1792" s="7">
        <f t="shared" si="194"/>
        <v>4</v>
      </c>
      <c r="T1792" s="7">
        <f t="shared" si="195"/>
        <v>2098</v>
      </c>
    </row>
    <row r="1793" spans="1:20" ht="14.25" customHeight="1" x14ac:dyDescent="0.35">
      <c r="A1793" s="2" t="s">
        <v>157</v>
      </c>
      <c r="B1793" s="2" t="s">
        <v>29</v>
      </c>
      <c r="C1793" s="2" t="s">
        <v>38</v>
      </c>
      <c r="D1793" s="2" t="s">
        <v>14</v>
      </c>
      <c r="E1793" s="2" t="s">
        <v>22</v>
      </c>
      <c r="F1793" s="2" t="s">
        <v>58</v>
      </c>
      <c r="G1793" s="2" t="s">
        <v>24</v>
      </c>
      <c r="H1793" s="2">
        <v>220000</v>
      </c>
      <c r="I1793" s="2">
        <v>10</v>
      </c>
      <c r="J1793" s="2" t="s">
        <v>32</v>
      </c>
      <c r="K1793" s="2">
        <f t="shared" si="189"/>
        <v>176000</v>
      </c>
      <c r="L1793" s="9">
        <f>Table_1[[#This Row],[Unit Price]]*Table_1[[#This Row],[Quantity]]</f>
        <v>2200000</v>
      </c>
      <c r="M1793" s="8">
        <f>Table_1[[#This Row],[Cost Price]]*Table_1[[#This Row],[Quantity]]</f>
        <v>1760000</v>
      </c>
      <c r="N1793">
        <f>Table_1[[#This Row],[Revenue]]-Table_1[[#This Row],[COGS]]</f>
        <v>440000</v>
      </c>
      <c r="O1793" s="11">
        <f t="shared" si="190"/>
        <v>4656740000</v>
      </c>
      <c r="P1793">
        <f t="shared" si="191"/>
        <v>3725392000</v>
      </c>
      <c r="Q1793">
        <f t="shared" si="192"/>
        <v>931348000</v>
      </c>
      <c r="R1793" s="7">
        <f t="shared" si="193"/>
        <v>2098</v>
      </c>
      <c r="S1793" s="7">
        <f t="shared" si="194"/>
        <v>3</v>
      </c>
      <c r="T1793" s="7">
        <f t="shared" si="195"/>
        <v>2098</v>
      </c>
    </row>
    <row r="1794" spans="1:20" ht="14.25" customHeight="1" x14ac:dyDescent="0.35">
      <c r="A1794" s="2" t="s">
        <v>160</v>
      </c>
      <c r="B1794" s="2" t="s">
        <v>12</v>
      </c>
      <c r="C1794" s="2" t="s">
        <v>13</v>
      </c>
      <c r="D1794" s="2" t="s">
        <v>14</v>
      </c>
      <c r="E1794" s="2" t="s">
        <v>22</v>
      </c>
      <c r="F1794" s="2" t="s">
        <v>58</v>
      </c>
      <c r="G1794" s="2" t="s">
        <v>24</v>
      </c>
      <c r="H1794" s="2">
        <v>220000</v>
      </c>
      <c r="I1794" s="2">
        <v>7</v>
      </c>
      <c r="J1794" s="2" t="s">
        <v>32</v>
      </c>
      <c r="K1794" s="2">
        <f t="shared" ref="K1794:K1857" si="196">H1794-H1794*0.2</f>
        <v>176000</v>
      </c>
      <c r="L1794" s="9">
        <f>Table_1[[#This Row],[Unit Price]]*Table_1[[#This Row],[Quantity]]</f>
        <v>1540000</v>
      </c>
      <c r="M1794" s="8">
        <f>Table_1[[#This Row],[Cost Price]]*Table_1[[#This Row],[Quantity]]</f>
        <v>1232000</v>
      </c>
      <c r="N1794">
        <f>Table_1[[#This Row],[Revenue]]-Table_1[[#This Row],[COGS]]</f>
        <v>308000</v>
      </c>
      <c r="O1794" s="11">
        <f t="shared" ref="O1794:O1857" si="197">SUM(L$2:L$1048576)</f>
        <v>4656740000</v>
      </c>
      <c r="P1794">
        <f t="shared" ref="P1794:P1857" si="198">SUM(M:M)</f>
        <v>3725392000</v>
      </c>
      <c r="Q1794">
        <f t="shared" ref="Q1794:Q1857" si="199">SUM(N:N)</f>
        <v>931348000</v>
      </c>
      <c r="R1794" s="7">
        <f t="shared" ref="R1794:R1857" si="200">COUNTA(A$2:A$1048576)</f>
        <v>2098</v>
      </c>
      <c r="S1794" s="7">
        <f t="shared" ref="S1794:S1857" si="201">MONTH(A1794:A3282)</f>
        <v>1</v>
      </c>
      <c r="T1794" s="7">
        <f t="shared" ref="T1794:T1857" si="202">COUNTA(A:A)-1</f>
        <v>2098</v>
      </c>
    </row>
    <row r="1795" spans="1:20" ht="14.25" customHeight="1" x14ac:dyDescent="0.35">
      <c r="A1795" s="2" t="s">
        <v>84</v>
      </c>
      <c r="B1795" s="2" t="s">
        <v>20</v>
      </c>
      <c r="C1795" s="2" t="s">
        <v>30</v>
      </c>
      <c r="D1795" s="2" t="s">
        <v>14</v>
      </c>
      <c r="E1795" s="2" t="s">
        <v>22</v>
      </c>
      <c r="F1795" s="2" t="s">
        <v>41</v>
      </c>
      <c r="G1795" s="2" t="s">
        <v>17</v>
      </c>
      <c r="H1795" s="2">
        <v>320000</v>
      </c>
      <c r="I1795" s="2">
        <v>10</v>
      </c>
      <c r="J1795" s="2" t="s">
        <v>32</v>
      </c>
      <c r="K1795" s="2">
        <f t="shared" si="196"/>
        <v>256000</v>
      </c>
      <c r="L1795" s="9">
        <f>Table_1[[#This Row],[Unit Price]]*Table_1[[#This Row],[Quantity]]</f>
        <v>3200000</v>
      </c>
      <c r="M1795" s="8">
        <f>Table_1[[#This Row],[Cost Price]]*Table_1[[#This Row],[Quantity]]</f>
        <v>2560000</v>
      </c>
      <c r="N1795">
        <f>Table_1[[#This Row],[Revenue]]-Table_1[[#This Row],[COGS]]</f>
        <v>640000</v>
      </c>
      <c r="O1795" s="11">
        <f t="shared" si="197"/>
        <v>4656740000</v>
      </c>
      <c r="P1795">
        <f t="shared" si="198"/>
        <v>3725392000</v>
      </c>
      <c r="Q1795">
        <f t="shared" si="199"/>
        <v>931348000</v>
      </c>
      <c r="R1795" s="7">
        <f t="shared" si="200"/>
        <v>2098</v>
      </c>
      <c r="S1795" s="7">
        <f t="shared" si="201"/>
        <v>4</v>
      </c>
      <c r="T1795" s="7">
        <f t="shared" si="202"/>
        <v>2098</v>
      </c>
    </row>
    <row r="1796" spans="1:20" ht="14.25" customHeight="1" x14ac:dyDescent="0.35">
      <c r="A1796" s="2" t="s">
        <v>129</v>
      </c>
      <c r="B1796" s="2" t="s">
        <v>12</v>
      </c>
      <c r="C1796" s="2" t="s">
        <v>21</v>
      </c>
      <c r="D1796" s="2" t="s">
        <v>26</v>
      </c>
      <c r="E1796" s="2" t="s">
        <v>15</v>
      </c>
      <c r="F1796" s="2" t="s">
        <v>39</v>
      </c>
      <c r="G1796" s="2" t="s">
        <v>24</v>
      </c>
      <c r="H1796" s="2">
        <v>180000</v>
      </c>
      <c r="I1796" s="2">
        <v>9</v>
      </c>
      <c r="J1796" s="2" t="s">
        <v>50</v>
      </c>
      <c r="K1796" s="2">
        <f t="shared" si="196"/>
        <v>144000</v>
      </c>
      <c r="L1796" s="9">
        <f>Table_1[[#This Row],[Unit Price]]*Table_1[[#This Row],[Quantity]]</f>
        <v>1620000</v>
      </c>
      <c r="M1796" s="8">
        <f>Table_1[[#This Row],[Cost Price]]*Table_1[[#This Row],[Quantity]]</f>
        <v>1296000</v>
      </c>
      <c r="N1796">
        <f>Table_1[[#This Row],[Revenue]]-Table_1[[#This Row],[COGS]]</f>
        <v>324000</v>
      </c>
      <c r="O1796" s="11">
        <f t="shared" si="197"/>
        <v>4656740000</v>
      </c>
      <c r="P1796">
        <f t="shared" si="198"/>
        <v>3725392000</v>
      </c>
      <c r="Q1796">
        <f t="shared" si="199"/>
        <v>931348000</v>
      </c>
      <c r="R1796" s="7">
        <f t="shared" si="200"/>
        <v>2098</v>
      </c>
      <c r="S1796" s="7">
        <f t="shared" si="201"/>
        <v>2</v>
      </c>
      <c r="T1796" s="7">
        <f t="shared" si="202"/>
        <v>2098</v>
      </c>
    </row>
    <row r="1797" spans="1:20" ht="14.25" customHeight="1" x14ac:dyDescent="0.35">
      <c r="A1797" s="2" t="s">
        <v>142</v>
      </c>
      <c r="B1797" s="2" t="s">
        <v>34</v>
      </c>
      <c r="C1797" s="2" t="s">
        <v>30</v>
      </c>
      <c r="D1797" s="2" t="s">
        <v>26</v>
      </c>
      <c r="E1797" s="2" t="s">
        <v>15</v>
      </c>
      <c r="F1797" s="2" t="s">
        <v>31</v>
      </c>
      <c r="G1797" s="2" t="s">
        <v>24</v>
      </c>
      <c r="H1797" s="2">
        <v>60000</v>
      </c>
      <c r="I1797" s="2">
        <v>4</v>
      </c>
      <c r="J1797" s="2" t="s">
        <v>54</v>
      </c>
      <c r="K1797" s="2">
        <f t="shared" si="196"/>
        <v>48000</v>
      </c>
      <c r="L1797" s="9">
        <f>Table_1[[#This Row],[Unit Price]]*Table_1[[#This Row],[Quantity]]</f>
        <v>240000</v>
      </c>
      <c r="M1797" s="8">
        <f>Table_1[[#This Row],[Cost Price]]*Table_1[[#This Row],[Quantity]]</f>
        <v>192000</v>
      </c>
      <c r="N1797">
        <f>Table_1[[#This Row],[Revenue]]-Table_1[[#This Row],[COGS]]</f>
        <v>48000</v>
      </c>
      <c r="O1797" s="11">
        <f t="shared" si="197"/>
        <v>4656740000</v>
      </c>
      <c r="P1797">
        <f t="shared" si="198"/>
        <v>3725392000</v>
      </c>
      <c r="Q1797">
        <f t="shared" si="199"/>
        <v>931348000</v>
      </c>
      <c r="R1797" s="7">
        <f t="shared" si="200"/>
        <v>2098</v>
      </c>
      <c r="S1797" s="7">
        <f t="shared" si="201"/>
        <v>4</v>
      </c>
      <c r="T1797" s="7">
        <f t="shared" si="202"/>
        <v>2098</v>
      </c>
    </row>
    <row r="1798" spans="1:20" ht="14.25" customHeight="1" x14ac:dyDescent="0.35">
      <c r="A1798" s="2" t="s">
        <v>136</v>
      </c>
      <c r="B1798" s="2" t="s">
        <v>29</v>
      </c>
      <c r="C1798" s="2" t="s">
        <v>30</v>
      </c>
      <c r="D1798" s="2" t="s">
        <v>26</v>
      </c>
      <c r="E1798" s="2" t="s">
        <v>22</v>
      </c>
      <c r="F1798" s="2" t="s">
        <v>56</v>
      </c>
      <c r="G1798" s="2" t="s">
        <v>36</v>
      </c>
      <c r="H1798" s="2">
        <v>250000</v>
      </c>
      <c r="I1798" s="2">
        <v>10</v>
      </c>
      <c r="J1798" s="2" t="s">
        <v>54</v>
      </c>
      <c r="K1798" s="2">
        <f t="shared" si="196"/>
        <v>200000</v>
      </c>
      <c r="L1798" s="9">
        <f>Table_1[[#This Row],[Unit Price]]*Table_1[[#This Row],[Quantity]]</f>
        <v>2500000</v>
      </c>
      <c r="M1798" s="8">
        <f>Table_1[[#This Row],[Cost Price]]*Table_1[[#This Row],[Quantity]]</f>
        <v>2000000</v>
      </c>
      <c r="N1798">
        <f>Table_1[[#This Row],[Revenue]]-Table_1[[#This Row],[COGS]]</f>
        <v>500000</v>
      </c>
      <c r="O1798" s="11">
        <f t="shared" si="197"/>
        <v>4656740000</v>
      </c>
      <c r="P1798">
        <f t="shared" si="198"/>
        <v>3725392000</v>
      </c>
      <c r="Q1798">
        <f t="shared" si="199"/>
        <v>931348000</v>
      </c>
      <c r="R1798" s="7">
        <f t="shared" si="200"/>
        <v>2098</v>
      </c>
      <c r="S1798" s="7">
        <f t="shared" si="201"/>
        <v>2</v>
      </c>
      <c r="T1798" s="7">
        <f t="shared" si="202"/>
        <v>2098</v>
      </c>
    </row>
    <row r="1799" spans="1:20" ht="14.25" customHeight="1" x14ac:dyDescent="0.35">
      <c r="A1799" s="2" t="s">
        <v>153</v>
      </c>
      <c r="B1799" s="2" t="s">
        <v>34</v>
      </c>
      <c r="C1799" s="2" t="s">
        <v>30</v>
      </c>
      <c r="D1799" s="2" t="s">
        <v>26</v>
      </c>
      <c r="E1799" s="2" t="s">
        <v>15</v>
      </c>
      <c r="F1799" s="2" t="s">
        <v>41</v>
      </c>
      <c r="G1799" s="2" t="s">
        <v>17</v>
      </c>
      <c r="H1799" s="2">
        <v>320000</v>
      </c>
      <c r="I1799" s="2">
        <v>2</v>
      </c>
      <c r="J1799" s="2" t="s">
        <v>32</v>
      </c>
      <c r="K1799" s="2">
        <f t="shared" si="196"/>
        <v>256000</v>
      </c>
      <c r="L1799" s="9">
        <f>Table_1[[#This Row],[Unit Price]]*Table_1[[#This Row],[Quantity]]</f>
        <v>640000</v>
      </c>
      <c r="M1799" s="8">
        <f>Table_1[[#This Row],[Cost Price]]*Table_1[[#This Row],[Quantity]]</f>
        <v>512000</v>
      </c>
      <c r="N1799">
        <f>Table_1[[#This Row],[Revenue]]-Table_1[[#This Row],[COGS]]</f>
        <v>128000</v>
      </c>
      <c r="O1799" s="11">
        <f t="shared" si="197"/>
        <v>4656740000</v>
      </c>
      <c r="P1799">
        <f t="shared" si="198"/>
        <v>3725392000</v>
      </c>
      <c r="Q1799">
        <f t="shared" si="199"/>
        <v>931348000</v>
      </c>
      <c r="R1799" s="7">
        <f t="shared" si="200"/>
        <v>2098</v>
      </c>
      <c r="S1799" s="7">
        <f t="shared" si="201"/>
        <v>4</v>
      </c>
      <c r="T1799" s="7">
        <f t="shared" si="202"/>
        <v>2098</v>
      </c>
    </row>
    <row r="1800" spans="1:20" ht="14.25" customHeight="1" x14ac:dyDescent="0.35">
      <c r="A1800" s="2" t="s">
        <v>149</v>
      </c>
      <c r="B1800" s="2" t="s">
        <v>29</v>
      </c>
      <c r="C1800" s="2" t="s">
        <v>38</v>
      </c>
      <c r="D1800" s="2" t="s">
        <v>26</v>
      </c>
      <c r="E1800" s="2" t="s">
        <v>22</v>
      </c>
      <c r="F1800" s="2" t="s">
        <v>52</v>
      </c>
      <c r="G1800" s="2" t="s">
        <v>36</v>
      </c>
      <c r="H1800" s="2">
        <v>420000</v>
      </c>
      <c r="I1800" s="2">
        <v>7</v>
      </c>
      <c r="J1800" s="2" t="s">
        <v>43</v>
      </c>
      <c r="K1800" s="2">
        <f t="shared" si="196"/>
        <v>336000</v>
      </c>
      <c r="L1800" s="9">
        <f>Table_1[[#This Row],[Unit Price]]*Table_1[[#This Row],[Quantity]]</f>
        <v>2940000</v>
      </c>
      <c r="M1800" s="8">
        <f>Table_1[[#This Row],[Cost Price]]*Table_1[[#This Row],[Quantity]]</f>
        <v>2352000</v>
      </c>
      <c r="N1800">
        <f>Table_1[[#This Row],[Revenue]]-Table_1[[#This Row],[COGS]]</f>
        <v>588000</v>
      </c>
      <c r="O1800" s="11">
        <f t="shared" si="197"/>
        <v>4656740000</v>
      </c>
      <c r="P1800">
        <f t="shared" si="198"/>
        <v>3725392000</v>
      </c>
      <c r="Q1800">
        <f t="shared" si="199"/>
        <v>931348000</v>
      </c>
      <c r="R1800" s="7">
        <f t="shared" si="200"/>
        <v>2098</v>
      </c>
      <c r="S1800" s="7">
        <f t="shared" si="201"/>
        <v>3</v>
      </c>
      <c r="T1800" s="7">
        <f t="shared" si="202"/>
        <v>2098</v>
      </c>
    </row>
    <row r="1801" spans="1:20" ht="14.25" customHeight="1" x14ac:dyDescent="0.35">
      <c r="A1801" s="2" t="s">
        <v>145</v>
      </c>
      <c r="B1801" s="2" t="s">
        <v>34</v>
      </c>
      <c r="C1801" s="2" t="s">
        <v>30</v>
      </c>
      <c r="D1801" s="2" t="s">
        <v>26</v>
      </c>
      <c r="E1801" s="2" t="s">
        <v>22</v>
      </c>
      <c r="F1801" s="2" t="s">
        <v>35</v>
      </c>
      <c r="G1801" s="2" t="s">
        <v>36</v>
      </c>
      <c r="H1801" s="2">
        <v>300000</v>
      </c>
      <c r="I1801" s="2">
        <v>5</v>
      </c>
      <c r="J1801" s="2" t="s">
        <v>43</v>
      </c>
      <c r="K1801" s="2">
        <f t="shared" si="196"/>
        <v>240000</v>
      </c>
      <c r="L1801" s="9">
        <f>Table_1[[#This Row],[Unit Price]]*Table_1[[#This Row],[Quantity]]</f>
        <v>1500000</v>
      </c>
      <c r="M1801" s="8">
        <f>Table_1[[#This Row],[Cost Price]]*Table_1[[#This Row],[Quantity]]</f>
        <v>1200000</v>
      </c>
      <c r="N1801">
        <f>Table_1[[#This Row],[Revenue]]-Table_1[[#This Row],[COGS]]</f>
        <v>300000</v>
      </c>
      <c r="O1801" s="11">
        <f t="shared" si="197"/>
        <v>4656740000</v>
      </c>
      <c r="P1801">
        <f t="shared" si="198"/>
        <v>3725392000</v>
      </c>
      <c r="Q1801">
        <f t="shared" si="199"/>
        <v>931348000</v>
      </c>
      <c r="R1801" s="7">
        <f t="shared" si="200"/>
        <v>2098</v>
      </c>
      <c r="S1801" s="7">
        <f t="shared" si="201"/>
        <v>1</v>
      </c>
      <c r="T1801" s="7">
        <f t="shared" si="202"/>
        <v>2098</v>
      </c>
    </row>
    <row r="1802" spans="1:20" ht="14.25" customHeight="1" x14ac:dyDescent="0.35">
      <c r="A1802" s="2" t="s">
        <v>62</v>
      </c>
      <c r="B1802" s="2" t="s">
        <v>29</v>
      </c>
      <c r="C1802" s="2" t="s">
        <v>13</v>
      </c>
      <c r="D1802" s="2" t="s">
        <v>26</v>
      </c>
      <c r="E1802" s="2" t="s">
        <v>22</v>
      </c>
      <c r="F1802" s="2" t="s">
        <v>31</v>
      </c>
      <c r="G1802" s="2" t="s">
        <v>24</v>
      </c>
      <c r="H1802" s="2">
        <v>60000</v>
      </c>
      <c r="I1802" s="2">
        <v>5</v>
      </c>
      <c r="J1802" s="2" t="s">
        <v>50</v>
      </c>
      <c r="K1802" s="2">
        <f t="shared" si="196"/>
        <v>48000</v>
      </c>
      <c r="L1802" s="9">
        <f>Table_1[[#This Row],[Unit Price]]*Table_1[[#This Row],[Quantity]]</f>
        <v>300000</v>
      </c>
      <c r="M1802" s="8">
        <f>Table_1[[#This Row],[Cost Price]]*Table_1[[#This Row],[Quantity]]</f>
        <v>240000</v>
      </c>
      <c r="N1802">
        <f>Table_1[[#This Row],[Revenue]]-Table_1[[#This Row],[COGS]]</f>
        <v>60000</v>
      </c>
      <c r="O1802" s="11">
        <f t="shared" si="197"/>
        <v>4656740000</v>
      </c>
      <c r="P1802">
        <f t="shared" si="198"/>
        <v>3725392000</v>
      </c>
      <c r="Q1802">
        <f t="shared" si="199"/>
        <v>931348000</v>
      </c>
      <c r="R1802" s="7">
        <f t="shared" si="200"/>
        <v>2098</v>
      </c>
      <c r="S1802" s="7">
        <f t="shared" si="201"/>
        <v>4</v>
      </c>
      <c r="T1802" s="7">
        <f t="shared" si="202"/>
        <v>2098</v>
      </c>
    </row>
    <row r="1803" spans="1:20" ht="14.25" customHeight="1" x14ac:dyDescent="0.35">
      <c r="A1803" s="2" t="s">
        <v>138</v>
      </c>
      <c r="B1803" s="2" t="s">
        <v>20</v>
      </c>
      <c r="C1803" s="2" t="s">
        <v>13</v>
      </c>
      <c r="D1803" s="2" t="s">
        <v>14</v>
      </c>
      <c r="E1803" s="2" t="s">
        <v>22</v>
      </c>
      <c r="F1803" s="2" t="s">
        <v>52</v>
      </c>
      <c r="G1803" s="2" t="s">
        <v>36</v>
      </c>
      <c r="H1803" s="2">
        <v>420000</v>
      </c>
      <c r="I1803" s="2">
        <v>9</v>
      </c>
      <c r="J1803" s="2" t="s">
        <v>32</v>
      </c>
      <c r="K1803" s="2">
        <f t="shared" si="196"/>
        <v>336000</v>
      </c>
      <c r="L1803" s="9">
        <f>Table_1[[#This Row],[Unit Price]]*Table_1[[#This Row],[Quantity]]</f>
        <v>3780000</v>
      </c>
      <c r="M1803" s="8">
        <f>Table_1[[#This Row],[Cost Price]]*Table_1[[#This Row],[Quantity]]</f>
        <v>3024000</v>
      </c>
      <c r="N1803">
        <f>Table_1[[#This Row],[Revenue]]-Table_1[[#This Row],[COGS]]</f>
        <v>756000</v>
      </c>
      <c r="O1803" s="11">
        <f t="shared" si="197"/>
        <v>4656740000</v>
      </c>
      <c r="P1803">
        <f t="shared" si="198"/>
        <v>3725392000</v>
      </c>
      <c r="Q1803">
        <f t="shared" si="199"/>
        <v>931348000</v>
      </c>
      <c r="R1803" s="7">
        <f t="shared" si="200"/>
        <v>2098</v>
      </c>
      <c r="S1803" s="7">
        <f t="shared" si="201"/>
        <v>3</v>
      </c>
      <c r="T1803" s="7">
        <f t="shared" si="202"/>
        <v>2098</v>
      </c>
    </row>
    <row r="1804" spans="1:20" ht="14.25" customHeight="1" x14ac:dyDescent="0.35">
      <c r="A1804" s="2" t="s">
        <v>143</v>
      </c>
      <c r="B1804" s="2" t="s">
        <v>29</v>
      </c>
      <c r="C1804" s="2" t="s">
        <v>13</v>
      </c>
      <c r="D1804" s="2" t="s">
        <v>14</v>
      </c>
      <c r="E1804" s="2" t="s">
        <v>22</v>
      </c>
      <c r="F1804" s="2" t="s">
        <v>56</v>
      </c>
      <c r="G1804" s="2" t="s">
        <v>36</v>
      </c>
      <c r="H1804" s="2">
        <v>250000</v>
      </c>
      <c r="I1804" s="2">
        <v>9</v>
      </c>
      <c r="J1804" s="2" t="s">
        <v>54</v>
      </c>
      <c r="K1804" s="2">
        <f t="shared" si="196"/>
        <v>200000</v>
      </c>
      <c r="L1804" s="9">
        <f>Table_1[[#This Row],[Unit Price]]*Table_1[[#This Row],[Quantity]]</f>
        <v>2250000</v>
      </c>
      <c r="M1804" s="8">
        <f>Table_1[[#This Row],[Cost Price]]*Table_1[[#This Row],[Quantity]]</f>
        <v>1800000</v>
      </c>
      <c r="N1804">
        <f>Table_1[[#This Row],[Revenue]]-Table_1[[#This Row],[COGS]]</f>
        <v>450000</v>
      </c>
      <c r="O1804" s="11">
        <f t="shared" si="197"/>
        <v>4656740000</v>
      </c>
      <c r="P1804">
        <f t="shared" si="198"/>
        <v>3725392000</v>
      </c>
      <c r="Q1804">
        <f t="shared" si="199"/>
        <v>931348000</v>
      </c>
      <c r="R1804" s="7">
        <f t="shared" si="200"/>
        <v>2098</v>
      </c>
      <c r="S1804" s="7">
        <f t="shared" si="201"/>
        <v>1</v>
      </c>
      <c r="T1804" s="7">
        <f t="shared" si="202"/>
        <v>2098</v>
      </c>
    </row>
    <row r="1805" spans="1:20" ht="14.25" customHeight="1" x14ac:dyDescent="0.35">
      <c r="A1805" s="2" t="s">
        <v>97</v>
      </c>
      <c r="B1805" s="2" t="s">
        <v>12</v>
      </c>
      <c r="C1805" s="2" t="s">
        <v>38</v>
      </c>
      <c r="D1805" s="2" t="s">
        <v>14</v>
      </c>
      <c r="E1805" s="2" t="s">
        <v>22</v>
      </c>
      <c r="F1805" s="2" t="s">
        <v>58</v>
      </c>
      <c r="G1805" s="2" t="s">
        <v>24</v>
      </c>
      <c r="H1805" s="2">
        <v>220000</v>
      </c>
      <c r="I1805" s="2">
        <v>1</v>
      </c>
      <c r="J1805" s="2" t="s">
        <v>54</v>
      </c>
      <c r="K1805" s="2">
        <f t="shared" si="196"/>
        <v>176000</v>
      </c>
      <c r="L1805" s="9">
        <f>Table_1[[#This Row],[Unit Price]]*Table_1[[#This Row],[Quantity]]</f>
        <v>220000</v>
      </c>
      <c r="M1805" s="8">
        <f>Table_1[[#This Row],[Cost Price]]*Table_1[[#This Row],[Quantity]]</f>
        <v>176000</v>
      </c>
      <c r="N1805">
        <f>Table_1[[#This Row],[Revenue]]-Table_1[[#This Row],[COGS]]</f>
        <v>44000</v>
      </c>
      <c r="O1805" s="11">
        <f t="shared" si="197"/>
        <v>4656740000</v>
      </c>
      <c r="P1805">
        <f t="shared" si="198"/>
        <v>3725392000</v>
      </c>
      <c r="Q1805">
        <f t="shared" si="199"/>
        <v>931348000</v>
      </c>
      <c r="R1805" s="7">
        <f t="shared" si="200"/>
        <v>2098</v>
      </c>
      <c r="S1805" s="7">
        <f t="shared" si="201"/>
        <v>2</v>
      </c>
      <c r="T1805" s="7">
        <f t="shared" si="202"/>
        <v>2098</v>
      </c>
    </row>
    <row r="1806" spans="1:20" ht="14.25" customHeight="1" x14ac:dyDescent="0.35">
      <c r="A1806" s="2" t="s">
        <v>11</v>
      </c>
      <c r="B1806" s="2" t="s">
        <v>12</v>
      </c>
      <c r="C1806" s="2" t="s">
        <v>21</v>
      </c>
      <c r="D1806" s="2" t="s">
        <v>14</v>
      </c>
      <c r="E1806" s="2" t="s">
        <v>22</v>
      </c>
      <c r="F1806" s="2" t="s">
        <v>58</v>
      </c>
      <c r="G1806" s="2" t="s">
        <v>24</v>
      </c>
      <c r="H1806" s="2">
        <v>220000</v>
      </c>
      <c r="I1806" s="2">
        <v>3</v>
      </c>
      <c r="J1806" s="2" t="s">
        <v>54</v>
      </c>
      <c r="K1806" s="2">
        <f t="shared" si="196"/>
        <v>176000</v>
      </c>
      <c r="L1806" s="9">
        <f>Table_1[[#This Row],[Unit Price]]*Table_1[[#This Row],[Quantity]]</f>
        <v>660000</v>
      </c>
      <c r="M1806" s="8">
        <f>Table_1[[#This Row],[Cost Price]]*Table_1[[#This Row],[Quantity]]</f>
        <v>528000</v>
      </c>
      <c r="N1806">
        <f>Table_1[[#This Row],[Revenue]]-Table_1[[#This Row],[COGS]]</f>
        <v>132000</v>
      </c>
      <c r="O1806" s="11">
        <f t="shared" si="197"/>
        <v>4656740000</v>
      </c>
      <c r="P1806">
        <f t="shared" si="198"/>
        <v>3725392000</v>
      </c>
      <c r="Q1806">
        <f t="shared" si="199"/>
        <v>931348000</v>
      </c>
      <c r="R1806" s="7">
        <f t="shared" si="200"/>
        <v>2098</v>
      </c>
      <c r="S1806" s="7">
        <f t="shared" si="201"/>
        <v>1</v>
      </c>
      <c r="T1806" s="7">
        <f t="shared" si="202"/>
        <v>2098</v>
      </c>
    </row>
    <row r="1807" spans="1:20" ht="14.25" customHeight="1" x14ac:dyDescent="0.35">
      <c r="A1807" s="2" t="s">
        <v>156</v>
      </c>
      <c r="B1807" s="2" t="s">
        <v>12</v>
      </c>
      <c r="C1807" s="2" t="s">
        <v>21</v>
      </c>
      <c r="D1807" s="2" t="s">
        <v>26</v>
      </c>
      <c r="E1807" s="2" t="s">
        <v>22</v>
      </c>
      <c r="F1807" s="2" t="s">
        <v>56</v>
      </c>
      <c r="G1807" s="2" t="s">
        <v>36</v>
      </c>
      <c r="H1807" s="2">
        <v>250000</v>
      </c>
      <c r="I1807" s="2">
        <v>8</v>
      </c>
      <c r="J1807" s="2" t="s">
        <v>32</v>
      </c>
      <c r="K1807" s="2">
        <f t="shared" si="196"/>
        <v>200000</v>
      </c>
      <c r="L1807" s="9">
        <f>Table_1[[#This Row],[Unit Price]]*Table_1[[#This Row],[Quantity]]</f>
        <v>2000000</v>
      </c>
      <c r="M1807" s="8">
        <f>Table_1[[#This Row],[Cost Price]]*Table_1[[#This Row],[Quantity]]</f>
        <v>1600000</v>
      </c>
      <c r="N1807">
        <f>Table_1[[#This Row],[Revenue]]-Table_1[[#This Row],[COGS]]</f>
        <v>400000</v>
      </c>
      <c r="O1807" s="11">
        <f t="shared" si="197"/>
        <v>4656740000</v>
      </c>
      <c r="P1807">
        <f t="shared" si="198"/>
        <v>3725392000</v>
      </c>
      <c r="Q1807">
        <f t="shared" si="199"/>
        <v>931348000</v>
      </c>
      <c r="R1807" s="7">
        <f t="shared" si="200"/>
        <v>2098</v>
      </c>
      <c r="S1807" s="7">
        <f t="shared" si="201"/>
        <v>3</v>
      </c>
      <c r="T1807" s="7">
        <f t="shared" si="202"/>
        <v>2098</v>
      </c>
    </row>
    <row r="1808" spans="1:20" ht="14.25" customHeight="1" x14ac:dyDescent="0.35">
      <c r="A1808" s="2" t="s">
        <v>147</v>
      </c>
      <c r="B1808" s="2" t="s">
        <v>12</v>
      </c>
      <c r="C1808" s="2" t="s">
        <v>30</v>
      </c>
      <c r="D1808" s="2" t="s">
        <v>14</v>
      </c>
      <c r="E1808" s="2" t="s">
        <v>22</v>
      </c>
      <c r="F1808" s="2" t="s">
        <v>23</v>
      </c>
      <c r="G1808" s="2" t="s">
        <v>24</v>
      </c>
      <c r="H1808" s="2">
        <v>30000</v>
      </c>
      <c r="I1808" s="2">
        <v>1</v>
      </c>
      <c r="J1808" s="2" t="s">
        <v>43</v>
      </c>
      <c r="K1808" s="2">
        <f t="shared" si="196"/>
        <v>24000</v>
      </c>
      <c r="L1808" s="9">
        <f>Table_1[[#This Row],[Unit Price]]*Table_1[[#This Row],[Quantity]]</f>
        <v>30000</v>
      </c>
      <c r="M1808" s="8">
        <f>Table_1[[#This Row],[Cost Price]]*Table_1[[#This Row],[Quantity]]</f>
        <v>24000</v>
      </c>
      <c r="N1808">
        <f>Table_1[[#This Row],[Revenue]]-Table_1[[#This Row],[COGS]]</f>
        <v>6000</v>
      </c>
      <c r="O1808" s="11">
        <f t="shared" si="197"/>
        <v>4656740000</v>
      </c>
      <c r="P1808">
        <f t="shared" si="198"/>
        <v>3725392000</v>
      </c>
      <c r="Q1808">
        <f t="shared" si="199"/>
        <v>931348000</v>
      </c>
      <c r="R1808" s="7">
        <f t="shared" si="200"/>
        <v>2098</v>
      </c>
      <c r="S1808" s="7">
        <f t="shared" si="201"/>
        <v>4</v>
      </c>
      <c r="T1808" s="7">
        <f t="shared" si="202"/>
        <v>2098</v>
      </c>
    </row>
    <row r="1809" spans="1:20" ht="14.25" customHeight="1" x14ac:dyDescent="0.35">
      <c r="A1809" s="2" t="s">
        <v>79</v>
      </c>
      <c r="B1809" s="2" t="s">
        <v>12</v>
      </c>
      <c r="C1809" s="2" t="s">
        <v>38</v>
      </c>
      <c r="D1809" s="2" t="s">
        <v>26</v>
      </c>
      <c r="E1809" s="2" t="s">
        <v>22</v>
      </c>
      <c r="F1809" s="2" t="s">
        <v>23</v>
      </c>
      <c r="G1809" s="2" t="s">
        <v>24</v>
      </c>
      <c r="H1809" s="2">
        <v>30000</v>
      </c>
      <c r="I1809" s="2">
        <v>1</v>
      </c>
      <c r="J1809" s="2" t="s">
        <v>50</v>
      </c>
      <c r="K1809" s="2">
        <f t="shared" si="196"/>
        <v>24000</v>
      </c>
      <c r="L1809" s="9">
        <f>Table_1[[#This Row],[Unit Price]]*Table_1[[#This Row],[Quantity]]</f>
        <v>30000</v>
      </c>
      <c r="M1809" s="8">
        <f>Table_1[[#This Row],[Cost Price]]*Table_1[[#This Row],[Quantity]]</f>
        <v>24000</v>
      </c>
      <c r="N1809">
        <f>Table_1[[#This Row],[Revenue]]-Table_1[[#This Row],[COGS]]</f>
        <v>6000</v>
      </c>
      <c r="O1809" s="11">
        <f t="shared" si="197"/>
        <v>4656740000</v>
      </c>
      <c r="P1809">
        <f t="shared" si="198"/>
        <v>3725392000</v>
      </c>
      <c r="Q1809">
        <f t="shared" si="199"/>
        <v>931348000</v>
      </c>
      <c r="R1809" s="7">
        <f t="shared" si="200"/>
        <v>2098</v>
      </c>
      <c r="S1809" s="7">
        <f t="shared" si="201"/>
        <v>1</v>
      </c>
      <c r="T1809" s="7">
        <f t="shared" si="202"/>
        <v>2098</v>
      </c>
    </row>
    <row r="1810" spans="1:20" ht="14.25" customHeight="1" x14ac:dyDescent="0.35">
      <c r="A1810" s="2" t="s">
        <v>109</v>
      </c>
      <c r="B1810" s="2" t="s">
        <v>34</v>
      </c>
      <c r="C1810" s="2" t="s">
        <v>30</v>
      </c>
      <c r="D1810" s="2" t="s">
        <v>14</v>
      </c>
      <c r="E1810" s="2" t="s">
        <v>22</v>
      </c>
      <c r="F1810" s="2" t="s">
        <v>23</v>
      </c>
      <c r="G1810" s="2" t="s">
        <v>24</v>
      </c>
      <c r="H1810" s="2">
        <v>30000</v>
      </c>
      <c r="I1810" s="2">
        <v>8</v>
      </c>
      <c r="J1810" s="2" t="s">
        <v>18</v>
      </c>
      <c r="K1810" s="2">
        <f t="shared" si="196"/>
        <v>24000</v>
      </c>
      <c r="L1810" s="9">
        <f>Table_1[[#This Row],[Unit Price]]*Table_1[[#This Row],[Quantity]]</f>
        <v>240000</v>
      </c>
      <c r="M1810" s="8">
        <f>Table_1[[#This Row],[Cost Price]]*Table_1[[#This Row],[Quantity]]</f>
        <v>192000</v>
      </c>
      <c r="N1810">
        <f>Table_1[[#This Row],[Revenue]]-Table_1[[#This Row],[COGS]]</f>
        <v>48000</v>
      </c>
      <c r="O1810" s="11">
        <f t="shared" si="197"/>
        <v>4656740000</v>
      </c>
      <c r="P1810">
        <f t="shared" si="198"/>
        <v>3725392000</v>
      </c>
      <c r="Q1810">
        <f t="shared" si="199"/>
        <v>931348000</v>
      </c>
      <c r="R1810" s="7">
        <f t="shared" si="200"/>
        <v>2098</v>
      </c>
      <c r="S1810" s="7">
        <f t="shared" si="201"/>
        <v>2</v>
      </c>
      <c r="T1810" s="7">
        <f t="shared" si="202"/>
        <v>2098</v>
      </c>
    </row>
    <row r="1811" spans="1:20" ht="14.25" customHeight="1" x14ac:dyDescent="0.35">
      <c r="A1811" s="2" t="s">
        <v>156</v>
      </c>
      <c r="B1811" s="2" t="s">
        <v>12</v>
      </c>
      <c r="C1811" s="2" t="s">
        <v>13</v>
      </c>
      <c r="D1811" s="2" t="s">
        <v>14</v>
      </c>
      <c r="E1811" s="2" t="s">
        <v>22</v>
      </c>
      <c r="F1811" s="2" t="s">
        <v>31</v>
      </c>
      <c r="G1811" s="2" t="s">
        <v>24</v>
      </c>
      <c r="H1811" s="2">
        <v>60000</v>
      </c>
      <c r="I1811" s="2">
        <v>6</v>
      </c>
      <c r="J1811" s="2" t="s">
        <v>43</v>
      </c>
      <c r="K1811" s="2">
        <f t="shared" si="196"/>
        <v>48000</v>
      </c>
      <c r="L1811" s="9">
        <f>Table_1[[#This Row],[Unit Price]]*Table_1[[#This Row],[Quantity]]</f>
        <v>360000</v>
      </c>
      <c r="M1811" s="8">
        <f>Table_1[[#This Row],[Cost Price]]*Table_1[[#This Row],[Quantity]]</f>
        <v>288000</v>
      </c>
      <c r="N1811">
        <f>Table_1[[#This Row],[Revenue]]-Table_1[[#This Row],[COGS]]</f>
        <v>72000</v>
      </c>
      <c r="O1811" s="11">
        <f t="shared" si="197"/>
        <v>4656740000</v>
      </c>
      <c r="P1811">
        <f t="shared" si="198"/>
        <v>3725392000</v>
      </c>
      <c r="Q1811">
        <f t="shared" si="199"/>
        <v>931348000</v>
      </c>
      <c r="R1811" s="7">
        <f t="shared" si="200"/>
        <v>2098</v>
      </c>
      <c r="S1811" s="7">
        <f t="shared" si="201"/>
        <v>3</v>
      </c>
      <c r="T1811" s="7">
        <f t="shared" si="202"/>
        <v>2098</v>
      </c>
    </row>
    <row r="1812" spans="1:20" ht="14.25" customHeight="1" x14ac:dyDescent="0.35">
      <c r="A1812" s="2" t="s">
        <v>83</v>
      </c>
      <c r="B1812" s="2" t="s">
        <v>12</v>
      </c>
      <c r="C1812" s="2" t="s">
        <v>13</v>
      </c>
      <c r="D1812" s="2" t="s">
        <v>26</v>
      </c>
      <c r="E1812" s="2" t="s">
        <v>22</v>
      </c>
      <c r="F1812" s="2" t="s">
        <v>56</v>
      </c>
      <c r="G1812" s="2" t="s">
        <v>36</v>
      </c>
      <c r="H1812" s="2">
        <v>250000</v>
      </c>
      <c r="I1812" s="2">
        <v>5</v>
      </c>
      <c r="J1812" s="2" t="s">
        <v>27</v>
      </c>
      <c r="K1812" s="2">
        <f t="shared" si="196"/>
        <v>200000</v>
      </c>
      <c r="L1812" s="9">
        <f>Table_1[[#This Row],[Unit Price]]*Table_1[[#This Row],[Quantity]]</f>
        <v>1250000</v>
      </c>
      <c r="M1812" s="8">
        <f>Table_1[[#This Row],[Cost Price]]*Table_1[[#This Row],[Quantity]]</f>
        <v>1000000</v>
      </c>
      <c r="N1812">
        <f>Table_1[[#This Row],[Revenue]]-Table_1[[#This Row],[COGS]]</f>
        <v>250000</v>
      </c>
      <c r="O1812" s="11">
        <f t="shared" si="197"/>
        <v>4656740000</v>
      </c>
      <c r="P1812">
        <f t="shared" si="198"/>
        <v>3725392000</v>
      </c>
      <c r="Q1812">
        <f t="shared" si="199"/>
        <v>931348000</v>
      </c>
      <c r="R1812" s="7">
        <f t="shared" si="200"/>
        <v>2098</v>
      </c>
      <c r="S1812" s="7">
        <f t="shared" si="201"/>
        <v>1</v>
      </c>
      <c r="T1812" s="7">
        <f t="shared" si="202"/>
        <v>2098</v>
      </c>
    </row>
    <row r="1813" spans="1:20" ht="14.25" customHeight="1" x14ac:dyDescent="0.35">
      <c r="A1813" s="2" t="s">
        <v>161</v>
      </c>
      <c r="B1813" s="2" t="s">
        <v>29</v>
      </c>
      <c r="C1813" s="2" t="s">
        <v>38</v>
      </c>
      <c r="D1813" s="2" t="s">
        <v>14</v>
      </c>
      <c r="E1813" s="2" t="s">
        <v>22</v>
      </c>
      <c r="F1813" s="2" t="s">
        <v>23</v>
      </c>
      <c r="G1813" s="2" t="s">
        <v>24</v>
      </c>
      <c r="H1813" s="2">
        <v>30000</v>
      </c>
      <c r="I1813" s="2">
        <v>1</v>
      </c>
      <c r="J1813" s="2" t="s">
        <v>50</v>
      </c>
      <c r="K1813" s="2">
        <f t="shared" si="196"/>
        <v>24000</v>
      </c>
      <c r="L1813" s="9">
        <f>Table_1[[#This Row],[Unit Price]]*Table_1[[#This Row],[Quantity]]</f>
        <v>30000</v>
      </c>
      <c r="M1813" s="8">
        <f>Table_1[[#This Row],[Cost Price]]*Table_1[[#This Row],[Quantity]]</f>
        <v>24000</v>
      </c>
      <c r="N1813">
        <f>Table_1[[#This Row],[Revenue]]-Table_1[[#This Row],[COGS]]</f>
        <v>6000</v>
      </c>
      <c r="O1813" s="11">
        <f t="shared" si="197"/>
        <v>4656740000</v>
      </c>
      <c r="P1813">
        <f t="shared" si="198"/>
        <v>3725392000</v>
      </c>
      <c r="Q1813">
        <f t="shared" si="199"/>
        <v>931348000</v>
      </c>
      <c r="R1813" s="7">
        <f t="shared" si="200"/>
        <v>2098</v>
      </c>
      <c r="S1813" s="7">
        <f t="shared" si="201"/>
        <v>1</v>
      </c>
      <c r="T1813" s="7">
        <f t="shared" si="202"/>
        <v>2098</v>
      </c>
    </row>
    <row r="1814" spans="1:20" ht="14.25" customHeight="1" x14ac:dyDescent="0.35">
      <c r="A1814" s="2" t="s">
        <v>122</v>
      </c>
      <c r="B1814" s="2" t="s">
        <v>29</v>
      </c>
      <c r="C1814" s="2" t="s">
        <v>30</v>
      </c>
      <c r="D1814" s="2" t="s">
        <v>26</v>
      </c>
      <c r="E1814" s="2" t="s">
        <v>22</v>
      </c>
      <c r="F1814" s="2" t="s">
        <v>47</v>
      </c>
      <c r="G1814" s="2" t="s">
        <v>36</v>
      </c>
      <c r="H1814" s="2">
        <v>150000</v>
      </c>
      <c r="I1814" s="2">
        <v>9</v>
      </c>
      <c r="J1814" s="2" t="s">
        <v>50</v>
      </c>
      <c r="K1814" s="2">
        <f t="shared" si="196"/>
        <v>120000</v>
      </c>
      <c r="L1814" s="9">
        <f>Table_1[[#This Row],[Unit Price]]*Table_1[[#This Row],[Quantity]]</f>
        <v>1350000</v>
      </c>
      <c r="M1814" s="8">
        <f>Table_1[[#This Row],[Cost Price]]*Table_1[[#This Row],[Quantity]]</f>
        <v>1080000</v>
      </c>
      <c r="N1814">
        <f>Table_1[[#This Row],[Revenue]]-Table_1[[#This Row],[COGS]]</f>
        <v>270000</v>
      </c>
      <c r="O1814" s="11">
        <f t="shared" si="197"/>
        <v>4656740000</v>
      </c>
      <c r="P1814">
        <f t="shared" si="198"/>
        <v>3725392000</v>
      </c>
      <c r="Q1814">
        <f t="shared" si="199"/>
        <v>931348000</v>
      </c>
      <c r="R1814" s="7">
        <f t="shared" si="200"/>
        <v>2098</v>
      </c>
      <c r="S1814" s="7">
        <f t="shared" si="201"/>
        <v>4</v>
      </c>
      <c r="T1814" s="7">
        <f t="shared" si="202"/>
        <v>2098</v>
      </c>
    </row>
    <row r="1815" spans="1:20" ht="14.25" customHeight="1" x14ac:dyDescent="0.35">
      <c r="A1815" s="2" t="s">
        <v>119</v>
      </c>
      <c r="B1815" s="2" t="s">
        <v>20</v>
      </c>
      <c r="C1815" s="2" t="s">
        <v>38</v>
      </c>
      <c r="D1815" s="2" t="s">
        <v>14</v>
      </c>
      <c r="E1815" s="2" t="s">
        <v>22</v>
      </c>
      <c r="F1815" s="2" t="s">
        <v>39</v>
      </c>
      <c r="G1815" s="2" t="s">
        <v>24</v>
      </c>
      <c r="H1815" s="2">
        <v>180000</v>
      </c>
      <c r="I1815" s="2">
        <v>2</v>
      </c>
      <c r="J1815" s="2" t="s">
        <v>50</v>
      </c>
      <c r="K1815" s="2">
        <f t="shared" si="196"/>
        <v>144000</v>
      </c>
      <c r="L1815" s="9">
        <f>Table_1[[#This Row],[Unit Price]]*Table_1[[#This Row],[Quantity]]</f>
        <v>360000</v>
      </c>
      <c r="M1815" s="8">
        <f>Table_1[[#This Row],[Cost Price]]*Table_1[[#This Row],[Quantity]]</f>
        <v>288000</v>
      </c>
      <c r="N1815">
        <f>Table_1[[#This Row],[Revenue]]-Table_1[[#This Row],[COGS]]</f>
        <v>72000</v>
      </c>
      <c r="O1815" s="11">
        <f t="shared" si="197"/>
        <v>4656740000</v>
      </c>
      <c r="P1815">
        <f t="shared" si="198"/>
        <v>3725392000</v>
      </c>
      <c r="Q1815">
        <f t="shared" si="199"/>
        <v>931348000</v>
      </c>
      <c r="R1815" s="7">
        <f t="shared" si="200"/>
        <v>2098</v>
      </c>
      <c r="S1815" s="7">
        <f t="shared" si="201"/>
        <v>1</v>
      </c>
      <c r="T1815" s="7">
        <f t="shared" si="202"/>
        <v>2098</v>
      </c>
    </row>
    <row r="1816" spans="1:20" ht="14.25" customHeight="1" x14ac:dyDescent="0.35">
      <c r="A1816" s="2" t="s">
        <v>44</v>
      </c>
      <c r="B1816" s="2" t="s">
        <v>20</v>
      </c>
      <c r="C1816" s="2" t="s">
        <v>38</v>
      </c>
      <c r="D1816" s="2" t="s">
        <v>14</v>
      </c>
      <c r="E1816" s="2" t="s">
        <v>22</v>
      </c>
      <c r="F1816" s="2" t="s">
        <v>52</v>
      </c>
      <c r="G1816" s="2" t="s">
        <v>36</v>
      </c>
      <c r="H1816" s="2">
        <v>420000</v>
      </c>
      <c r="I1816" s="2">
        <v>10</v>
      </c>
      <c r="J1816" s="2" t="s">
        <v>32</v>
      </c>
      <c r="K1816" s="2">
        <f t="shared" si="196"/>
        <v>336000</v>
      </c>
      <c r="L1816" s="9">
        <f>Table_1[[#This Row],[Unit Price]]*Table_1[[#This Row],[Quantity]]</f>
        <v>4200000</v>
      </c>
      <c r="M1816" s="8">
        <f>Table_1[[#This Row],[Cost Price]]*Table_1[[#This Row],[Quantity]]</f>
        <v>3360000</v>
      </c>
      <c r="N1816">
        <f>Table_1[[#This Row],[Revenue]]-Table_1[[#This Row],[COGS]]</f>
        <v>840000</v>
      </c>
      <c r="O1816" s="11">
        <f t="shared" si="197"/>
        <v>4656740000</v>
      </c>
      <c r="P1816">
        <f t="shared" si="198"/>
        <v>3725392000</v>
      </c>
      <c r="Q1816">
        <f t="shared" si="199"/>
        <v>931348000</v>
      </c>
      <c r="R1816" s="7">
        <f t="shared" si="200"/>
        <v>2098</v>
      </c>
      <c r="S1816" s="7">
        <f t="shared" si="201"/>
        <v>3</v>
      </c>
      <c r="T1816" s="7">
        <f t="shared" si="202"/>
        <v>2098</v>
      </c>
    </row>
    <row r="1817" spans="1:20" ht="14.25" customHeight="1" x14ac:dyDescent="0.35">
      <c r="A1817" s="2" t="s">
        <v>33</v>
      </c>
      <c r="B1817" s="2" t="s">
        <v>12</v>
      </c>
      <c r="C1817" s="2" t="s">
        <v>30</v>
      </c>
      <c r="D1817" s="2" t="s">
        <v>26</v>
      </c>
      <c r="E1817" s="2" t="s">
        <v>22</v>
      </c>
      <c r="F1817" s="2" t="s">
        <v>35</v>
      </c>
      <c r="G1817" s="2" t="s">
        <v>36</v>
      </c>
      <c r="H1817" s="2">
        <v>300000</v>
      </c>
      <c r="I1817" s="2">
        <v>4</v>
      </c>
      <c r="J1817" s="2" t="s">
        <v>54</v>
      </c>
      <c r="K1817" s="2">
        <f t="shared" si="196"/>
        <v>240000</v>
      </c>
      <c r="L1817" s="9">
        <f>Table_1[[#This Row],[Unit Price]]*Table_1[[#This Row],[Quantity]]</f>
        <v>1200000</v>
      </c>
      <c r="M1817" s="8">
        <f>Table_1[[#This Row],[Cost Price]]*Table_1[[#This Row],[Quantity]]</f>
        <v>960000</v>
      </c>
      <c r="N1817">
        <f>Table_1[[#This Row],[Revenue]]-Table_1[[#This Row],[COGS]]</f>
        <v>240000</v>
      </c>
      <c r="O1817" s="11">
        <f t="shared" si="197"/>
        <v>4656740000</v>
      </c>
      <c r="P1817">
        <f t="shared" si="198"/>
        <v>3725392000</v>
      </c>
      <c r="Q1817">
        <f t="shared" si="199"/>
        <v>931348000</v>
      </c>
      <c r="R1817" s="7">
        <f t="shared" si="200"/>
        <v>2098</v>
      </c>
      <c r="S1817" s="7">
        <f t="shared" si="201"/>
        <v>4</v>
      </c>
      <c r="T1817" s="7">
        <f t="shared" si="202"/>
        <v>2098</v>
      </c>
    </row>
    <row r="1818" spans="1:20" ht="14.25" customHeight="1" x14ac:dyDescent="0.35">
      <c r="A1818" s="2" t="s">
        <v>154</v>
      </c>
      <c r="B1818" s="2" t="s">
        <v>12</v>
      </c>
      <c r="C1818" s="2" t="s">
        <v>13</v>
      </c>
      <c r="D1818" s="2" t="s">
        <v>14</v>
      </c>
      <c r="E1818" s="2" t="s">
        <v>22</v>
      </c>
      <c r="F1818" s="2" t="s">
        <v>39</v>
      </c>
      <c r="G1818" s="2" t="s">
        <v>24</v>
      </c>
      <c r="H1818" s="2">
        <v>180000</v>
      </c>
      <c r="I1818" s="2">
        <v>8</v>
      </c>
      <c r="J1818" s="2" t="s">
        <v>50</v>
      </c>
      <c r="K1818" s="2">
        <f t="shared" si="196"/>
        <v>144000</v>
      </c>
      <c r="L1818" s="9">
        <f>Table_1[[#This Row],[Unit Price]]*Table_1[[#This Row],[Quantity]]</f>
        <v>1440000</v>
      </c>
      <c r="M1818" s="8">
        <f>Table_1[[#This Row],[Cost Price]]*Table_1[[#This Row],[Quantity]]</f>
        <v>1152000</v>
      </c>
      <c r="N1818">
        <f>Table_1[[#This Row],[Revenue]]-Table_1[[#This Row],[COGS]]</f>
        <v>288000</v>
      </c>
      <c r="O1818" s="11">
        <f t="shared" si="197"/>
        <v>4656740000</v>
      </c>
      <c r="P1818">
        <f t="shared" si="198"/>
        <v>3725392000</v>
      </c>
      <c r="Q1818">
        <f t="shared" si="199"/>
        <v>931348000</v>
      </c>
      <c r="R1818" s="7">
        <f t="shared" si="200"/>
        <v>2098</v>
      </c>
      <c r="S1818" s="7">
        <f t="shared" si="201"/>
        <v>2</v>
      </c>
      <c r="T1818" s="7">
        <f t="shared" si="202"/>
        <v>2098</v>
      </c>
    </row>
    <row r="1819" spans="1:20" ht="14.25" customHeight="1" x14ac:dyDescent="0.35">
      <c r="A1819" s="2" t="s">
        <v>110</v>
      </c>
      <c r="B1819" s="2" t="s">
        <v>20</v>
      </c>
      <c r="C1819" s="2" t="s">
        <v>38</v>
      </c>
      <c r="D1819" s="2" t="s">
        <v>14</v>
      </c>
      <c r="E1819" s="2" t="s">
        <v>22</v>
      </c>
      <c r="F1819" s="2" t="s">
        <v>52</v>
      </c>
      <c r="G1819" s="2" t="s">
        <v>36</v>
      </c>
      <c r="H1819" s="2">
        <v>420000</v>
      </c>
      <c r="I1819" s="2">
        <v>5</v>
      </c>
      <c r="J1819" s="2" t="s">
        <v>50</v>
      </c>
      <c r="K1819" s="2">
        <f t="shared" si="196"/>
        <v>336000</v>
      </c>
      <c r="L1819" s="9">
        <f>Table_1[[#This Row],[Unit Price]]*Table_1[[#This Row],[Quantity]]</f>
        <v>2100000</v>
      </c>
      <c r="M1819" s="8">
        <f>Table_1[[#This Row],[Cost Price]]*Table_1[[#This Row],[Quantity]]</f>
        <v>1680000</v>
      </c>
      <c r="N1819">
        <f>Table_1[[#This Row],[Revenue]]-Table_1[[#This Row],[COGS]]</f>
        <v>420000</v>
      </c>
      <c r="O1819" s="11">
        <f t="shared" si="197"/>
        <v>4656740000</v>
      </c>
      <c r="P1819">
        <f t="shared" si="198"/>
        <v>3725392000</v>
      </c>
      <c r="Q1819">
        <f t="shared" si="199"/>
        <v>931348000</v>
      </c>
      <c r="R1819" s="7">
        <f t="shared" si="200"/>
        <v>2098</v>
      </c>
      <c r="S1819" s="7">
        <f t="shared" si="201"/>
        <v>2</v>
      </c>
      <c r="T1819" s="7">
        <f t="shared" si="202"/>
        <v>2098</v>
      </c>
    </row>
    <row r="1820" spans="1:20" ht="14.25" customHeight="1" x14ac:dyDescent="0.35">
      <c r="A1820" s="2" t="s">
        <v>159</v>
      </c>
      <c r="B1820" s="2" t="s">
        <v>29</v>
      </c>
      <c r="C1820" s="2" t="s">
        <v>21</v>
      </c>
      <c r="D1820" s="2" t="s">
        <v>26</v>
      </c>
      <c r="E1820" s="2" t="s">
        <v>22</v>
      </c>
      <c r="F1820" s="2" t="s">
        <v>39</v>
      </c>
      <c r="G1820" s="2" t="s">
        <v>24</v>
      </c>
      <c r="H1820" s="2">
        <v>180000</v>
      </c>
      <c r="I1820" s="2">
        <v>5</v>
      </c>
      <c r="J1820" s="2" t="s">
        <v>18</v>
      </c>
      <c r="K1820" s="2">
        <f t="shared" si="196"/>
        <v>144000</v>
      </c>
      <c r="L1820" s="9">
        <f>Table_1[[#This Row],[Unit Price]]*Table_1[[#This Row],[Quantity]]</f>
        <v>900000</v>
      </c>
      <c r="M1820" s="8">
        <f>Table_1[[#This Row],[Cost Price]]*Table_1[[#This Row],[Quantity]]</f>
        <v>720000</v>
      </c>
      <c r="N1820">
        <f>Table_1[[#This Row],[Revenue]]-Table_1[[#This Row],[COGS]]</f>
        <v>180000</v>
      </c>
      <c r="O1820" s="11">
        <f t="shared" si="197"/>
        <v>4656740000</v>
      </c>
      <c r="P1820">
        <f t="shared" si="198"/>
        <v>3725392000</v>
      </c>
      <c r="Q1820">
        <f t="shared" si="199"/>
        <v>931348000</v>
      </c>
      <c r="R1820" s="7">
        <f t="shared" si="200"/>
        <v>2098</v>
      </c>
      <c r="S1820" s="7">
        <f t="shared" si="201"/>
        <v>2</v>
      </c>
      <c r="T1820" s="7">
        <f t="shared" si="202"/>
        <v>2098</v>
      </c>
    </row>
    <row r="1821" spans="1:20" ht="14.25" customHeight="1" x14ac:dyDescent="0.35">
      <c r="A1821" s="2" t="s">
        <v>40</v>
      </c>
      <c r="B1821" s="2" t="s">
        <v>12</v>
      </c>
      <c r="C1821" s="2" t="s">
        <v>13</v>
      </c>
      <c r="D1821" s="2" t="s">
        <v>26</v>
      </c>
      <c r="E1821" s="2" t="s">
        <v>22</v>
      </c>
      <c r="F1821" s="2" t="s">
        <v>35</v>
      </c>
      <c r="G1821" s="2" t="s">
        <v>36</v>
      </c>
      <c r="H1821" s="2">
        <v>300000</v>
      </c>
      <c r="I1821" s="2">
        <v>1</v>
      </c>
      <c r="J1821" s="2" t="s">
        <v>50</v>
      </c>
      <c r="K1821" s="2">
        <f t="shared" si="196"/>
        <v>240000</v>
      </c>
      <c r="L1821" s="9">
        <f>Table_1[[#This Row],[Unit Price]]*Table_1[[#This Row],[Quantity]]</f>
        <v>300000</v>
      </c>
      <c r="M1821" s="8">
        <f>Table_1[[#This Row],[Cost Price]]*Table_1[[#This Row],[Quantity]]</f>
        <v>240000</v>
      </c>
      <c r="N1821">
        <f>Table_1[[#This Row],[Revenue]]-Table_1[[#This Row],[COGS]]</f>
        <v>60000</v>
      </c>
      <c r="O1821" s="11">
        <f t="shared" si="197"/>
        <v>4656740000</v>
      </c>
      <c r="P1821">
        <f t="shared" si="198"/>
        <v>3725392000</v>
      </c>
      <c r="Q1821">
        <f t="shared" si="199"/>
        <v>931348000</v>
      </c>
      <c r="R1821" s="7">
        <f t="shared" si="200"/>
        <v>2098</v>
      </c>
      <c r="S1821" s="7">
        <f t="shared" si="201"/>
        <v>3</v>
      </c>
      <c r="T1821" s="7">
        <f t="shared" si="202"/>
        <v>2098</v>
      </c>
    </row>
    <row r="1822" spans="1:20" ht="14.25" customHeight="1" x14ac:dyDescent="0.35">
      <c r="A1822" s="2" t="s">
        <v>160</v>
      </c>
      <c r="B1822" s="2" t="s">
        <v>29</v>
      </c>
      <c r="C1822" s="2" t="s">
        <v>13</v>
      </c>
      <c r="D1822" s="2" t="s">
        <v>14</v>
      </c>
      <c r="E1822" s="2" t="s">
        <v>22</v>
      </c>
      <c r="F1822" s="2" t="s">
        <v>39</v>
      </c>
      <c r="G1822" s="2" t="s">
        <v>24</v>
      </c>
      <c r="H1822" s="2">
        <v>180000</v>
      </c>
      <c r="I1822" s="2">
        <v>7</v>
      </c>
      <c r="J1822" s="2" t="s">
        <v>50</v>
      </c>
      <c r="K1822" s="2">
        <f t="shared" si="196"/>
        <v>144000</v>
      </c>
      <c r="L1822" s="9">
        <f>Table_1[[#This Row],[Unit Price]]*Table_1[[#This Row],[Quantity]]</f>
        <v>1260000</v>
      </c>
      <c r="M1822" s="8">
        <f>Table_1[[#This Row],[Cost Price]]*Table_1[[#This Row],[Quantity]]</f>
        <v>1008000</v>
      </c>
      <c r="N1822">
        <f>Table_1[[#This Row],[Revenue]]-Table_1[[#This Row],[COGS]]</f>
        <v>252000</v>
      </c>
      <c r="O1822" s="11">
        <f t="shared" si="197"/>
        <v>4656740000</v>
      </c>
      <c r="P1822">
        <f t="shared" si="198"/>
        <v>3725392000</v>
      </c>
      <c r="Q1822">
        <f t="shared" si="199"/>
        <v>931348000</v>
      </c>
      <c r="R1822" s="7">
        <f t="shared" si="200"/>
        <v>2098</v>
      </c>
      <c r="S1822" s="7">
        <f t="shared" si="201"/>
        <v>1</v>
      </c>
      <c r="T1822" s="7">
        <f t="shared" si="202"/>
        <v>2098</v>
      </c>
    </row>
    <row r="1823" spans="1:20" ht="14.25" customHeight="1" x14ac:dyDescent="0.35">
      <c r="A1823" s="2" t="s">
        <v>145</v>
      </c>
      <c r="B1823" s="2" t="s">
        <v>20</v>
      </c>
      <c r="C1823" s="2" t="s">
        <v>30</v>
      </c>
      <c r="D1823" s="2" t="s">
        <v>26</v>
      </c>
      <c r="E1823" s="2" t="s">
        <v>22</v>
      </c>
      <c r="F1823" s="2" t="s">
        <v>23</v>
      </c>
      <c r="G1823" s="2" t="s">
        <v>24</v>
      </c>
      <c r="H1823" s="2">
        <v>30000</v>
      </c>
      <c r="I1823" s="2">
        <v>8</v>
      </c>
      <c r="J1823" s="2" t="s">
        <v>50</v>
      </c>
      <c r="K1823" s="2">
        <f t="shared" si="196"/>
        <v>24000</v>
      </c>
      <c r="L1823" s="9">
        <f>Table_1[[#This Row],[Unit Price]]*Table_1[[#This Row],[Quantity]]</f>
        <v>240000</v>
      </c>
      <c r="M1823" s="8">
        <f>Table_1[[#This Row],[Cost Price]]*Table_1[[#This Row],[Quantity]]</f>
        <v>192000</v>
      </c>
      <c r="N1823">
        <f>Table_1[[#This Row],[Revenue]]-Table_1[[#This Row],[COGS]]</f>
        <v>48000</v>
      </c>
      <c r="O1823" s="11">
        <f t="shared" si="197"/>
        <v>4656740000</v>
      </c>
      <c r="P1823">
        <f t="shared" si="198"/>
        <v>3725392000</v>
      </c>
      <c r="Q1823">
        <f t="shared" si="199"/>
        <v>931348000</v>
      </c>
      <c r="R1823" s="7">
        <f t="shared" si="200"/>
        <v>2098</v>
      </c>
      <c r="S1823" s="7">
        <f t="shared" si="201"/>
        <v>1</v>
      </c>
      <c r="T1823" s="7">
        <f t="shared" si="202"/>
        <v>2098</v>
      </c>
    </row>
    <row r="1824" spans="1:20" ht="14.25" customHeight="1" x14ac:dyDescent="0.35">
      <c r="A1824" s="2" t="s">
        <v>77</v>
      </c>
      <c r="B1824" s="2" t="s">
        <v>34</v>
      </c>
      <c r="C1824" s="2" t="s">
        <v>13</v>
      </c>
      <c r="D1824" s="2" t="s">
        <v>14</v>
      </c>
      <c r="E1824" s="2" t="s">
        <v>22</v>
      </c>
      <c r="F1824" s="2" t="s">
        <v>16</v>
      </c>
      <c r="G1824" s="2" t="s">
        <v>17</v>
      </c>
      <c r="H1824" s="2">
        <v>85000</v>
      </c>
      <c r="I1824" s="2">
        <v>10</v>
      </c>
      <c r="J1824" s="2" t="s">
        <v>32</v>
      </c>
      <c r="K1824" s="2">
        <f t="shared" si="196"/>
        <v>68000</v>
      </c>
      <c r="L1824" s="9">
        <f>Table_1[[#This Row],[Unit Price]]*Table_1[[#This Row],[Quantity]]</f>
        <v>850000</v>
      </c>
      <c r="M1824" s="8">
        <f>Table_1[[#This Row],[Cost Price]]*Table_1[[#This Row],[Quantity]]</f>
        <v>680000</v>
      </c>
      <c r="N1824">
        <f>Table_1[[#This Row],[Revenue]]-Table_1[[#This Row],[COGS]]</f>
        <v>170000</v>
      </c>
      <c r="O1824" s="11">
        <f t="shared" si="197"/>
        <v>4656740000</v>
      </c>
      <c r="P1824">
        <f t="shared" si="198"/>
        <v>3725392000</v>
      </c>
      <c r="Q1824">
        <f t="shared" si="199"/>
        <v>931348000</v>
      </c>
      <c r="R1824" s="7">
        <f t="shared" si="200"/>
        <v>2098</v>
      </c>
      <c r="S1824" s="7">
        <f t="shared" si="201"/>
        <v>1</v>
      </c>
      <c r="T1824" s="7">
        <f t="shared" si="202"/>
        <v>2098</v>
      </c>
    </row>
    <row r="1825" spans="1:20" ht="14.25" customHeight="1" x14ac:dyDescent="0.35">
      <c r="A1825" s="2" t="s">
        <v>11</v>
      </c>
      <c r="B1825" s="2" t="s">
        <v>20</v>
      </c>
      <c r="C1825" s="2" t="s">
        <v>30</v>
      </c>
      <c r="D1825" s="2" t="s">
        <v>14</v>
      </c>
      <c r="E1825" s="2" t="s">
        <v>22</v>
      </c>
      <c r="F1825" s="2" t="s">
        <v>16</v>
      </c>
      <c r="G1825" s="2" t="s">
        <v>17</v>
      </c>
      <c r="H1825" s="2">
        <v>85000</v>
      </c>
      <c r="I1825" s="2">
        <v>1</v>
      </c>
      <c r="J1825" s="2" t="s">
        <v>18</v>
      </c>
      <c r="K1825" s="2">
        <f t="shared" si="196"/>
        <v>68000</v>
      </c>
      <c r="L1825" s="9">
        <f>Table_1[[#This Row],[Unit Price]]*Table_1[[#This Row],[Quantity]]</f>
        <v>85000</v>
      </c>
      <c r="M1825" s="8">
        <f>Table_1[[#This Row],[Cost Price]]*Table_1[[#This Row],[Quantity]]</f>
        <v>68000</v>
      </c>
      <c r="N1825">
        <f>Table_1[[#This Row],[Revenue]]-Table_1[[#This Row],[COGS]]</f>
        <v>17000</v>
      </c>
      <c r="O1825" s="11">
        <f t="shared" si="197"/>
        <v>4656740000</v>
      </c>
      <c r="P1825">
        <f t="shared" si="198"/>
        <v>3725392000</v>
      </c>
      <c r="Q1825">
        <f t="shared" si="199"/>
        <v>931348000</v>
      </c>
      <c r="R1825" s="7">
        <f t="shared" si="200"/>
        <v>2098</v>
      </c>
      <c r="S1825" s="7">
        <f t="shared" si="201"/>
        <v>1</v>
      </c>
      <c r="T1825" s="7">
        <f t="shared" si="202"/>
        <v>2098</v>
      </c>
    </row>
    <row r="1826" spans="1:20" ht="14.25" customHeight="1" x14ac:dyDescent="0.35">
      <c r="A1826" s="2" t="s">
        <v>57</v>
      </c>
      <c r="B1826" s="2" t="s">
        <v>34</v>
      </c>
      <c r="C1826" s="2" t="s">
        <v>21</v>
      </c>
      <c r="D1826" s="2" t="s">
        <v>26</v>
      </c>
      <c r="E1826" s="2" t="s">
        <v>22</v>
      </c>
      <c r="F1826" s="2" t="s">
        <v>47</v>
      </c>
      <c r="G1826" s="2" t="s">
        <v>36</v>
      </c>
      <c r="H1826" s="2">
        <v>150000</v>
      </c>
      <c r="I1826" s="2">
        <v>8</v>
      </c>
      <c r="J1826" s="2" t="s">
        <v>50</v>
      </c>
      <c r="K1826" s="2">
        <f t="shared" si="196"/>
        <v>120000</v>
      </c>
      <c r="L1826" s="9">
        <f>Table_1[[#This Row],[Unit Price]]*Table_1[[#This Row],[Quantity]]</f>
        <v>1200000</v>
      </c>
      <c r="M1826" s="8">
        <f>Table_1[[#This Row],[Cost Price]]*Table_1[[#This Row],[Quantity]]</f>
        <v>960000</v>
      </c>
      <c r="N1826">
        <f>Table_1[[#This Row],[Revenue]]-Table_1[[#This Row],[COGS]]</f>
        <v>240000</v>
      </c>
      <c r="O1826" s="11">
        <f t="shared" si="197"/>
        <v>4656740000</v>
      </c>
      <c r="P1826">
        <f t="shared" si="198"/>
        <v>3725392000</v>
      </c>
      <c r="Q1826">
        <f t="shared" si="199"/>
        <v>931348000</v>
      </c>
      <c r="R1826" s="7">
        <f t="shared" si="200"/>
        <v>2098</v>
      </c>
      <c r="S1826" s="7">
        <f t="shared" si="201"/>
        <v>2</v>
      </c>
      <c r="T1826" s="7">
        <f t="shared" si="202"/>
        <v>2098</v>
      </c>
    </row>
    <row r="1827" spans="1:20" ht="14.25" customHeight="1" x14ac:dyDescent="0.35">
      <c r="A1827" s="2" t="s">
        <v>113</v>
      </c>
      <c r="B1827" s="2" t="s">
        <v>12</v>
      </c>
      <c r="C1827" s="2" t="s">
        <v>21</v>
      </c>
      <c r="D1827" s="2" t="s">
        <v>26</v>
      </c>
      <c r="E1827" s="2" t="s">
        <v>22</v>
      </c>
      <c r="F1827" s="2" t="s">
        <v>52</v>
      </c>
      <c r="G1827" s="2" t="s">
        <v>36</v>
      </c>
      <c r="H1827" s="2">
        <v>420000</v>
      </c>
      <c r="I1827" s="2">
        <v>6</v>
      </c>
      <c r="J1827" s="2" t="s">
        <v>43</v>
      </c>
      <c r="K1827" s="2">
        <f t="shared" si="196"/>
        <v>336000</v>
      </c>
      <c r="L1827" s="9">
        <f>Table_1[[#This Row],[Unit Price]]*Table_1[[#This Row],[Quantity]]</f>
        <v>2520000</v>
      </c>
      <c r="M1827" s="8">
        <f>Table_1[[#This Row],[Cost Price]]*Table_1[[#This Row],[Quantity]]</f>
        <v>2016000</v>
      </c>
      <c r="N1827">
        <f>Table_1[[#This Row],[Revenue]]-Table_1[[#This Row],[COGS]]</f>
        <v>504000</v>
      </c>
      <c r="O1827" s="11">
        <f t="shared" si="197"/>
        <v>4656740000</v>
      </c>
      <c r="P1827">
        <f t="shared" si="198"/>
        <v>3725392000</v>
      </c>
      <c r="Q1827">
        <f t="shared" si="199"/>
        <v>931348000</v>
      </c>
      <c r="R1827" s="7">
        <f t="shared" si="200"/>
        <v>2098</v>
      </c>
      <c r="S1827" s="7">
        <f t="shared" si="201"/>
        <v>3</v>
      </c>
      <c r="T1827" s="7">
        <f t="shared" si="202"/>
        <v>2098</v>
      </c>
    </row>
    <row r="1828" spans="1:20" ht="14.25" customHeight="1" x14ac:dyDescent="0.35">
      <c r="A1828" s="2" t="s">
        <v>157</v>
      </c>
      <c r="B1828" s="2" t="s">
        <v>29</v>
      </c>
      <c r="C1828" s="2" t="s">
        <v>38</v>
      </c>
      <c r="D1828" s="2" t="s">
        <v>14</v>
      </c>
      <c r="E1828" s="2" t="s">
        <v>22</v>
      </c>
      <c r="F1828" s="2" t="s">
        <v>31</v>
      </c>
      <c r="G1828" s="2" t="s">
        <v>24</v>
      </c>
      <c r="H1828" s="2">
        <v>60000</v>
      </c>
      <c r="I1828" s="2">
        <v>8</v>
      </c>
      <c r="J1828" s="2" t="s">
        <v>43</v>
      </c>
      <c r="K1828" s="2">
        <f t="shared" si="196"/>
        <v>48000</v>
      </c>
      <c r="L1828" s="9">
        <f>Table_1[[#This Row],[Unit Price]]*Table_1[[#This Row],[Quantity]]</f>
        <v>480000</v>
      </c>
      <c r="M1828" s="8">
        <f>Table_1[[#This Row],[Cost Price]]*Table_1[[#This Row],[Quantity]]</f>
        <v>384000</v>
      </c>
      <c r="N1828">
        <f>Table_1[[#This Row],[Revenue]]-Table_1[[#This Row],[COGS]]</f>
        <v>96000</v>
      </c>
      <c r="O1828" s="11">
        <f t="shared" si="197"/>
        <v>4656740000</v>
      </c>
      <c r="P1828">
        <f t="shared" si="198"/>
        <v>3725392000</v>
      </c>
      <c r="Q1828">
        <f t="shared" si="199"/>
        <v>931348000</v>
      </c>
      <c r="R1828" s="7">
        <f t="shared" si="200"/>
        <v>2098</v>
      </c>
      <c r="S1828" s="7">
        <f t="shared" si="201"/>
        <v>3</v>
      </c>
      <c r="T1828" s="7">
        <f t="shared" si="202"/>
        <v>2098</v>
      </c>
    </row>
    <row r="1829" spans="1:20" ht="14.25" customHeight="1" x14ac:dyDescent="0.35">
      <c r="A1829" s="2" t="s">
        <v>19</v>
      </c>
      <c r="B1829" s="2" t="s">
        <v>29</v>
      </c>
      <c r="C1829" s="2" t="s">
        <v>13</v>
      </c>
      <c r="D1829" s="2" t="s">
        <v>14</v>
      </c>
      <c r="E1829" s="2" t="s">
        <v>22</v>
      </c>
      <c r="F1829" s="2" t="s">
        <v>35</v>
      </c>
      <c r="G1829" s="2" t="s">
        <v>36</v>
      </c>
      <c r="H1829" s="2">
        <v>300000</v>
      </c>
      <c r="I1829" s="2">
        <v>7</v>
      </c>
      <c r="J1829" s="2" t="s">
        <v>32</v>
      </c>
      <c r="K1829" s="2">
        <f t="shared" si="196"/>
        <v>240000</v>
      </c>
      <c r="L1829" s="9">
        <f>Table_1[[#This Row],[Unit Price]]*Table_1[[#This Row],[Quantity]]</f>
        <v>2100000</v>
      </c>
      <c r="M1829" s="8">
        <f>Table_1[[#This Row],[Cost Price]]*Table_1[[#This Row],[Quantity]]</f>
        <v>1680000</v>
      </c>
      <c r="N1829">
        <f>Table_1[[#This Row],[Revenue]]-Table_1[[#This Row],[COGS]]</f>
        <v>420000</v>
      </c>
      <c r="O1829" s="11">
        <f t="shared" si="197"/>
        <v>4656740000</v>
      </c>
      <c r="P1829">
        <f t="shared" si="198"/>
        <v>3725392000</v>
      </c>
      <c r="Q1829">
        <f t="shared" si="199"/>
        <v>931348000</v>
      </c>
      <c r="R1829" s="7">
        <f t="shared" si="200"/>
        <v>2098</v>
      </c>
      <c r="S1829" s="7">
        <f t="shared" si="201"/>
        <v>4</v>
      </c>
      <c r="T1829" s="7">
        <f t="shared" si="202"/>
        <v>2098</v>
      </c>
    </row>
    <row r="1830" spans="1:20" ht="14.25" customHeight="1" x14ac:dyDescent="0.35">
      <c r="A1830" s="2" t="s">
        <v>59</v>
      </c>
      <c r="B1830" s="2" t="s">
        <v>20</v>
      </c>
      <c r="C1830" s="2" t="s">
        <v>21</v>
      </c>
      <c r="D1830" s="2" t="s">
        <v>26</v>
      </c>
      <c r="E1830" s="2" t="s">
        <v>22</v>
      </c>
      <c r="F1830" s="2" t="s">
        <v>47</v>
      </c>
      <c r="G1830" s="2" t="s">
        <v>36</v>
      </c>
      <c r="H1830" s="2">
        <v>150000</v>
      </c>
      <c r="I1830" s="2">
        <v>8</v>
      </c>
      <c r="J1830" s="2" t="s">
        <v>50</v>
      </c>
      <c r="K1830" s="2">
        <f t="shared" si="196"/>
        <v>120000</v>
      </c>
      <c r="L1830" s="9">
        <f>Table_1[[#This Row],[Unit Price]]*Table_1[[#This Row],[Quantity]]</f>
        <v>1200000</v>
      </c>
      <c r="M1830" s="8">
        <f>Table_1[[#This Row],[Cost Price]]*Table_1[[#This Row],[Quantity]]</f>
        <v>960000</v>
      </c>
      <c r="N1830">
        <f>Table_1[[#This Row],[Revenue]]-Table_1[[#This Row],[COGS]]</f>
        <v>240000</v>
      </c>
      <c r="O1830" s="11">
        <f t="shared" si="197"/>
        <v>4656740000</v>
      </c>
      <c r="P1830">
        <f t="shared" si="198"/>
        <v>3725392000</v>
      </c>
      <c r="Q1830">
        <f t="shared" si="199"/>
        <v>931348000</v>
      </c>
      <c r="R1830" s="7">
        <f t="shared" si="200"/>
        <v>2098</v>
      </c>
      <c r="S1830" s="7">
        <f t="shared" si="201"/>
        <v>2</v>
      </c>
      <c r="T1830" s="7">
        <f t="shared" si="202"/>
        <v>2098</v>
      </c>
    </row>
    <row r="1831" spans="1:20" ht="14.25" customHeight="1" x14ac:dyDescent="0.35">
      <c r="A1831" s="2" t="s">
        <v>99</v>
      </c>
      <c r="B1831" s="2" t="s">
        <v>20</v>
      </c>
      <c r="C1831" s="2" t="s">
        <v>13</v>
      </c>
      <c r="D1831" s="2" t="s">
        <v>26</v>
      </c>
      <c r="E1831" s="2" t="s">
        <v>22</v>
      </c>
      <c r="F1831" s="2" t="s">
        <v>31</v>
      </c>
      <c r="G1831" s="2" t="s">
        <v>24</v>
      </c>
      <c r="H1831" s="2">
        <v>60000</v>
      </c>
      <c r="I1831" s="2">
        <v>10</v>
      </c>
      <c r="J1831" s="2" t="s">
        <v>18</v>
      </c>
      <c r="K1831" s="2">
        <f t="shared" si="196"/>
        <v>48000</v>
      </c>
      <c r="L1831" s="9">
        <f>Table_1[[#This Row],[Unit Price]]*Table_1[[#This Row],[Quantity]]</f>
        <v>600000</v>
      </c>
      <c r="M1831" s="8">
        <f>Table_1[[#This Row],[Cost Price]]*Table_1[[#This Row],[Quantity]]</f>
        <v>480000</v>
      </c>
      <c r="N1831">
        <f>Table_1[[#This Row],[Revenue]]-Table_1[[#This Row],[COGS]]</f>
        <v>120000</v>
      </c>
      <c r="O1831" s="11">
        <f t="shared" si="197"/>
        <v>4656740000</v>
      </c>
      <c r="P1831">
        <f t="shared" si="198"/>
        <v>3725392000</v>
      </c>
      <c r="Q1831">
        <f t="shared" si="199"/>
        <v>931348000</v>
      </c>
      <c r="R1831" s="7">
        <f t="shared" si="200"/>
        <v>2098</v>
      </c>
      <c r="S1831" s="7">
        <f t="shared" si="201"/>
        <v>4</v>
      </c>
      <c r="T1831" s="7">
        <f t="shared" si="202"/>
        <v>2098</v>
      </c>
    </row>
    <row r="1832" spans="1:20" ht="14.25" customHeight="1" x14ac:dyDescent="0.35">
      <c r="A1832" s="2" t="s">
        <v>37</v>
      </c>
      <c r="B1832" s="2" t="s">
        <v>34</v>
      </c>
      <c r="C1832" s="2" t="s">
        <v>30</v>
      </c>
      <c r="D1832" s="2" t="s">
        <v>14</v>
      </c>
      <c r="E1832" s="2" t="s">
        <v>22</v>
      </c>
      <c r="F1832" s="2" t="s">
        <v>41</v>
      </c>
      <c r="G1832" s="2" t="s">
        <v>17</v>
      </c>
      <c r="H1832" s="2">
        <v>320000</v>
      </c>
      <c r="I1832" s="2">
        <v>9</v>
      </c>
      <c r="J1832" s="2" t="s">
        <v>43</v>
      </c>
      <c r="K1832" s="2">
        <f t="shared" si="196"/>
        <v>256000</v>
      </c>
      <c r="L1832" s="9">
        <f>Table_1[[#This Row],[Unit Price]]*Table_1[[#This Row],[Quantity]]</f>
        <v>2880000</v>
      </c>
      <c r="M1832" s="8">
        <f>Table_1[[#This Row],[Cost Price]]*Table_1[[#This Row],[Quantity]]</f>
        <v>2304000</v>
      </c>
      <c r="N1832">
        <f>Table_1[[#This Row],[Revenue]]-Table_1[[#This Row],[COGS]]</f>
        <v>576000</v>
      </c>
      <c r="O1832" s="11">
        <f t="shared" si="197"/>
        <v>4656740000</v>
      </c>
      <c r="P1832">
        <f t="shared" si="198"/>
        <v>3725392000</v>
      </c>
      <c r="Q1832">
        <f t="shared" si="199"/>
        <v>931348000</v>
      </c>
      <c r="R1832" s="7">
        <f t="shared" si="200"/>
        <v>2098</v>
      </c>
      <c r="S1832" s="7">
        <f t="shared" si="201"/>
        <v>3</v>
      </c>
      <c r="T1832" s="7">
        <f t="shared" si="202"/>
        <v>2098</v>
      </c>
    </row>
    <row r="1833" spans="1:20" ht="14.25" customHeight="1" x14ac:dyDescent="0.35">
      <c r="A1833" s="2" t="s">
        <v>146</v>
      </c>
      <c r="B1833" s="2" t="s">
        <v>12</v>
      </c>
      <c r="C1833" s="2" t="s">
        <v>13</v>
      </c>
      <c r="D1833" s="2" t="s">
        <v>14</v>
      </c>
      <c r="E1833" s="2" t="s">
        <v>22</v>
      </c>
      <c r="F1833" s="2" t="s">
        <v>56</v>
      </c>
      <c r="G1833" s="2" t="s">
        <v>36</v>
      </c>
      <c r="H1833" s="2">
        <v>250000</v>
      </c>
      <c r="I1833" s="2">
        <v>9</v>
      </c>
      <c r="J1833" s="2" t="s">
        <v>32</v>
      </c>
      <c r="K1833" s="2">
        <f t="shared" si="196"/>
        <v>200000</v>
      </c>
      <c r="L1833" s="9">
        <f>Table_1[[#This Row],[Unit Price]]*Table_1[[#This Row],[Quantity]]</f>
        <v>2250000</v>
      </c>
      <c r="M1833" s="8">
        <f>Table_1[[#This Row],[Cost Price]]*Table_1[[#This Row],[Quantity]]</f>
        <v>1800000</v>
      </c>
      <c r="N1833">
        <f>Table_1[[#This Row],[Revenue]]-Table_1[[#This Row],[COGS]]</f>
        <v>450000</v>
      </c>
      <c r="O1833" s="11">
        <f t="shared" si="197"/>
        <v>4656740000</v>
      </c>
      <c r="P1833">
        <f t="shared" si="198"/>
        <v>3725392000</v>
      </c>
      <c r="Q1833">
        <f t="shared" si="199"/>
        <v>931348000</v>
      </c>
      <c r="R1833" s="7">
        <f t="shared" si="200"/>
        <v>2098</v>
      </c>
      <c r="S1833" s="7">
        <f t="shared" si="201"/>
        <v>3</v>
      </c>
      <c r="T1833" s="7">
        <f t="shared" si="202"/>
        <v>2098</v>
      </c>
    </row>
    <row r="1834" spans="1:20" ht="14.25" customHeight="1" x14ac:dyDescent="0.35">
      <c r="A1834" s="2" t="s">
        <v>130</v>
      </c>
      <c r="B1834" s="2" t="s">
        <v>29</v>
      </c>
      <c r="C1834" s="2" t="s">
        <v>30</v>
      </c>
      <c r="D1834" s="2" t="s">
        <v>14</v>
      </c>
      <c r="E1834" s="2" t="s">
        <v>22</v>
      </c>
      <c r="F1834" s="2" t="s">
        <v>58</v>
      </c>
      <c r="G1834" s="2" t="s">
        <v>24</v>
      </c>
      <c r="H1834" s="2">
        <v>220000</v>
      </c>
      <c r="I1834" s="2">
        <v>7</v>
      </c>
      <c r="J1834" s="2" t="s">
        <v>43</v>
      </c>
      <c r="K1834" s="2">
        <f t="shared" si="196"/>
        <v>176000</v>
      </c>
      <c r="L1834" s="9">
        <f>Table_1[[#This Row],[Unit Price]]*Table_1[[#This Row],[Quantity]]</f>
        <v>1540000</v>
      </c>
      <c r="M1834" s="8">
        <f>Table_1[[#This Row],[Cost Price]]*Table_1[[#This Row],[Quantity]]</f>
        <v>1232000</v>
      </c>
      <c r="N1834">
        <f>Table_1[[#This Row],[Revenue]]-Table_1[[#This Row],[COGS]]</f>
        <v>308000</v>
      </c>
      <c r="O1834" s="11">
        <f t="shared" si="197"/>
        <v>4656740000</v>
      </c>
      <c r="P1834">
        <f t="shared" si="198"/>
        <v>3725392000</v>
      </c>
      <c r="Q1834">
        <f t="shared" si="199"/>
        <v>931348000</v>
      </c>
      <c r="R1834" s="7">
        <f t="shared" si="200"/>
        <v>2098</v>
      </c>
      <c r="S1834" s="7">
        <f t="shared" si="201"/>
        <v>1</v>
      </c>
      <c r="T1834" s="7">
        <f t="shared" si="202"/>
        <v>2098</v>
      </c>
    </row>
    <row r="1835" spans="1:20" ht="14.25" customHeight="1" x14ac:dyDescent="0.35">
      <c r="A1835" s="2" t="s">
        <v>156</v>
      </c>
      <c r="B1835" s="2" t="s">
        <v>29</v>
      </c>
      <c r="C1835" s="2" t="s">
        <v>21</v>
      </c>
      <c r="D1835" s="2" t="s">
        <v>14</v>
      </c>
      <c r="E1835" s="2" t="s">
        <v>22</v>
      </c>
      <c r="F1835" s="2" t="s">
        <v>41</v>
      </c>
      <c r="G1835" s="2" t="s">
        <v>17</v>
      </c>
      <c r="H1835" s="2">
        <v>320000</v>
      </c>
      <c r="I1835" s="2">
        <v>4</v>
      </c>
      <c r="J1835" s="2" t="s">
        <v>27</v>
      </c>
      <c r="K1835" s="2">
        <f t="shared" si="196"/>
        <v>256000</v>
      </c>
      <c r="L1835" s="9">
        <f>Table_1[[#This Row],[Unit Price]]*Table_1[[#This Row],[Quantity]]</f>
        <v>1280000</v>
      </c>
      <c r="M1835" s="8">
        <f>Table_1[[#This Row],[Cost Price]]*Table_1[[#This Row],[Quantity]]</f>
        <v>1024000</v>
      </c>
      <c r="N1835">
        <f>Table_1[[#This Row],[Revenue]]-Table_1[[#This Row],[COGS]]</f>
        <v>256000</v>
      </c>
      <c r="O1835" s="11">
        <f t="shared" si="197"/>
        <v>4656740000</v>
      </c>
      <c r="P1835">
        <f t="shared" si="198"/>
        <v>3725392000</v>
      </c>
      <c r="Q1835">
        <f t="shared" si="199"/>
        <v>931348000</v>
      </c>
      <c r="R1835" s="7">
        <f t="shared" si="200"/>
        <v>2098</v>
      </c>
      <c r="S1835" s="7">
        <f t="shared" si="201"/>
        <v>3</v>
      </c>
      <c r="T1835" s="7">
        <f t="shared" si="202"/>
        <v>2098</v>
      </c>
    </row>
    <row r="1836" spans="1:20" ht="14.25" customHeight="1" x14ac:dyDescent="0.35">
      <c r="A1836" s="2" t="s">
        <v>91</v>
      </c>
      <c r="B1836" s="2" t="s">
        <v>29</v>
      </c>
      <c r="C1836" s="2" t="s">
        <v>21</v>
      </c>
      <c r="D1836" s="2" t="s">
        <v>26</v>
      </c>
      <c r="E1836" s="2" t="s">
        <v>22</v>
      </c>
      <c r="F1836" s="2" t="s">
        <v>58</v>
      </c>
      <c r="G1836" s="2" t="s">
        <v>24</v>
      </c>
      <c r="H1836" s="2">
        <v>220000</v>
      </c>
      <c r="I1836" s="2">
        <v>1</v>
      </c>
      <c r="J1836" s="2" t="s">
        <v>50</v>
      </c>
      <c r="K1836" s="2">
        <f t="shared" si="196"/>
        <v>176000</v>
      </c>
      <c r="L1836" s="9">
        <f>Table_1[[#This Row],[Unit Price]]*Table_1[[#This Row],[Quantity]]</f>
        <v>220000</v>
      </c>
      <c r="M1836" s="8">
        <f>Table_1[[#This Row],[Cost Price]]*Table_1[[#This Row],[Quantity]]</f>
        <v>176000</v>
      </c>
      <c r="N1836">
        <f>Table_1[[#This Row],[Revenue]]-Table_1[[#This Row],[COGS]]</f>
        <v>44000</v>
      </c>
      <c r="O1836" s="11">
        <f t="shared" si="197"/>
        <v>4656740000</v>
      </c>
      <c r="P1836">
        <f t="shared" si="198"/>
        <v>3725392000</v>
      </c>
      <c r="Q1836">
        <f t="shared" si="199"/>
        <v>931348000</v>
      </c>
      <c r="R1836" s="7">
        <f t="shared" si="200"/>
        <v>2098</v>
      </c>
      <c r="S1836" s="7">
        <f t="shared" si="201"/>
        <v>4</v>
      </c>
      <c r="T1836" s="7">
        <f t="shared" si="202"/>
        <v>2098</v>
      </c>
    </row>
    <row r="1837" spans="1:20" ht="14.25" customHeight="1" x14ac:dyDescent="0.35">
      <c r="A1837" s="2" t="s">
        <v>159</v>
      </c>
      <c r="B1837" s="2" t="s">
        <v>12</v>
      </c>
      <c r="C1837" s="2" t="s">
        <v>21</v>
      </c>
      <c r="D1837" s="2" t="s">
        <v>14</v>
      </c>
      <c r="E1837" s="2" t="s">
        <v>22</v>
      </c>
      <c r="F1837" s="2" t="s">
        <v>23</v>
      </c>
      <c r="G1837" s="2" t="s">
        <v>24</v>
      </c>
      <c r="H1837" s="2">
        <v>30000</v>
      </c>
      <c r="I1837" s="2">
        <v>9</v>
      </c>
      <c r="J1837" s="2" t="s">
        <v>50</v>
      </c>
      <c r="K1837" s="2">
        <f t="shared" si="196"/>
        <v>24000</v>
      </c>
      <c r="L1837" s="9">
        <f>Table_1[[#This Row],[Unit Price]]*Table_1[[#This Row],[Quantity]]</f>
        <v>270000</v>
      </c>
      <c r="M1837" s="8">
        <f>Table_1[[#This Row],[Cost Price]]*Table_1[[#This Row],[Quantity]]</f>
        <v>216000</v>
      </c>
      <c r="N1837">
        <f>Table_1[[#This Row],[Revenue]]-Table_1[[#This Row],[COGS]]</f>
        <v>54000</v>
      </c>
      <c r="O1837" s="11">
        <f t="shared" si="197"/>
        <v>4656740000</v>
      </c>
      <c r="P1837">
        <f t="shared" si="198"/>
        <v>3725392000</v>
      </c>
      <c r="Q1837">
        <f t="shared" si="199"/>
        <v>931348000</v>
      </c>
      <c r="R1837" s="7">
        <f t="shared" si="200"/>
        <v>2098</v>
      </c>
      <c r="S1837" s="7">
        <f t="shared" si="201"/>
        <v>2</v>
      </c>
      <c r="T1837" s="7">
        <f t="shared" si="202"/>
        <v>2098</v>
      </c>
    </row>
    <row r="1838" spans="1:20" ht="14.25" customHeight="1" x14ac:dyDescent="0.35">
      <c r="A1838" s="2" t="s">
        <v>108</v>
      </c>
      <c r="B1838" s="2" t="s">
        <v>34</v>
      </c>
      <c r="C1838" s="2" t="s">
        <v>21</v>
      </c>
      <c r="D1838" s="2" t="s">
        <v>26</v>
      </c>
      <c r="E1838" s="2" t="s">
        <v>22</v>
      </c>
      <c r="F1838" s="2" t="s">
        <v>23</v>
      </c>
      <c r="G1838" s="2" t="s">
        <v>24</v>
      </c>
      <c r="H1838" s="2">
        <v>30000</v>
      </c>
      <c r="I1838" s="2">
        <v>8</v>
      </c>
      <c r="J1838" s="2" t="s">
        <v>50</v>
      </c>
      <c r="K1838" s="2">
        <f t="shared" si="196"/>
        <v>24000</v>
      </c>
      <c r="L1838" s="9">
        <f>Table_1[[#This Row],[Unit Price]]*Table_1[[#This Row],[Quantity]]</f>
        <v>240000</v>
      </c>
      <c r="M1838" s="8">
        <f>Table_1[[#This Row],[Cost Price]]*Table_1[[#This Row],[Quantity]]</f>
        <v>192000</v>
      </c>
      <c r="N1838">
        <f>Table_1[[#This Row],[Revenue]]-Table_1[[#This Row],[COGS]]</f>
        <v>48000</v>
      </c>
      <c r="O1838" s="11">
        <f t="shared" si="197"/>
        <v>4656740000</v>
      </c>
      <c r="P1838">
        <f t="shared" si="198"/>
        <v>3725392000</v>
      </c>
      <c r="Q1838">
        <f t="shared" si="199"/>
        <v>931348000</v>
      </c>
      <c r="R1838" s="7">
        <f t="shared" si="200"/>
        <v>2098</v>
      </c>
      <c r="S1838" s="7">
        <f t="shared" si="201"/>
        <v>4</v>
      </c>
      <c r="T1838" s="7">
        <f t="shared" si="202"/>
        <v>2098</v>
      </c>
    </row>
    <row r="1839" spans="1:20" ht="14.25" customHeight="1" x14ac:dyDescent="0.35">
      <c r="A1839" s="2" t="s">
        <v>132</v>
      </c>
      <c r="B1839" s="2" t="s">
        <v>29</v>
      </c>
      <c r="C1839" s="2" t="s">
        <v>21</v>
      </c>
      <c r="D1839" s="2" t="s">
        <v>26</v>
      </c>
      <c r="E1839" s="2" t="s">
        <v>22</v>
      </c>
      <c r="F1839" s="2" t="s">
        <v>31</v>
      </c>
      <c r="G1839" s="2" t="s">
        <v>24</v>
      </c>
      <c r="H1839" s="2">
        <v>60000</v>
      </c>
      <c r="I1839" s="2">
        <v>7</v>
      </c>
      <c r="J1839" s="2" t="s">
        <v>27</v>
      </c>
      <c r="K1839" s="2">
        <f t="shared" si="196"/>
        <v>48000</v>
      </c>
      <c r="L1839" s="9">
        <f>Table_1[[#This Row],[Unit Price]]*Table_1[[#This Row],[Quantity]]</f>
        <v>420000</v>
      </c>
      <c r="M1839" s="8">
        <f>Table_1[[#This Row],[Cost Price]]*Table_1[[#This Row],[Quantity]]</f>
        <v>336000</v>
      </c>
      <c r="N1839">
        <f>Table_1[[#This Row],[Revenue]]-Table_1[[#This Row],[COGS]]</f>
        <v>84000</v>
      </c>
      <c r="O1839" s="11">
        <f t="shared" si="197"/>
        <v>4656740000</v>
      </c>
      <c r="P1839">
        <f t="shared" si="198"/>
        <v>3725392000</v>
      </c>
      <c r="Q1839">
        <f t="shared" si="199"/>
        <v>931348000</v>
      </c>
      <c r="R1839" s="7">
        <f t="shared" si="200"/>
        <v>2098</v>
      </c>
      <c r="S1839" s="7">
        <f t="shared" si="201"/>
        <v>1</v>
      </c>
      <c r="T1839" s="7">
        <f t="shared" si="202"/>
        <v>2098</v>
      </c>
    </row>
    <row r="1840" spans="1:20" ht="14.25" customHeight="1" x14ac:dyDescent="0.35">
      <c r="A1840" s="2" t="s">
        <v>138</v>
      </c>
      <c r="B1840" s="2" t="s">
        <v>12</v>
      </c>
      <c r="C1840" s="2" t="s">
        <v>30</v>
      </c>
      <c r="D1840" s="2" t="s">
        <v>14</v>
      </c>
      <c r="E1840" s="2" t="s">
        <v>22</v>
      </c>
      <c r="F1840" s="2" t="s">
        <v>23</v>
      </c>
      <c r="G1840" s="2" t="s">
        <v>24</v>
      </c>
      <c r="H1840" s="2">
        <v>30000</v>
      </c>
      <c r="I1840" s="2">
        <v>7</v>
      </c>
      <c r="J1840" s="2" t="s">
        <v>54</v>
      </c>
      <c r="K1840" s="2">
        <f t="shared" si="196"/>
        <v>24000</v>
      </c>
      <c r="L1840" s="9">
        <f>Table_1[[#This Row],[Unit Price]]*Table_1[[#This Row],[Quantity]]</f>
        <v>210000</v>
      </c>
      <c r="M1840" s="8">
        <f>Table_1[[#This Row],[Cost Price]]*Table_1[[#This Row],[Quantity]]</f>
        <v>168000</v>
      </c>
      <c r="N1840">
        <f>Table_1[[#This Row],[Revenue]]-Table_1[[#This Row],[COGS]]</f>
        <v>42000</v>
      </c>
      <c r="O1840" s="11">
        <f t="shared" si="197"/>
        <v>4656740000</v>
      </c>
      <c r="P1840">
        <f t="shared" si="198"/>
        <v>3725392000</v>
      </c>
      <c r="Q1840">
        <f t="shared" si="199"/>
        <v>931348000</v>
      </c>
      <c r="R1840" s="7">
        <f t="shared" si="200"/>
        <v>2098</v>
      </c>
      <c r="S1840" s="7">
        <f t="shared" si="201"/>
        <v>3</v>
      </c>
      <c r="T1840" s="7">
        <f t="shared" si="202"/>
        <v>2098</v>
      </c>
    </row>
    <row r="1841" spans="1:20" ht="14.25" customHeight="1" x14ac:dyDescent="0.35">
      <c r="A1841" s="2" t="s">
        <v>69</v>
      </c>
      <c r="B1841" s="2" t="s">
        <v>12</v>
      </c>
      <c r="C1841" s="2" t="s">
        <v>13</v>
      </c>
      <c r="D1841" s="2" t="s">
        <v>14</v>
      </c>
      <c r="E1841" s="2" t="s">
        <v>22</v>
      </c>
      <c r="F1841" s="2" t="s">
        <v>35</v>
      </c>
      <c r="G1841" s="2" t="s">
        <v>36</v>
      </c>
      <c r="H1841" s="2">
        <v>300000</v>
      </c>
      <c r="I1841" s="2">
        <v>6</v>
      </c>
      <c r="J1841" s="2" t="s">
        <v>50</v>
      </c>
      <c r="K1841" s="2">
        <f t="shared" si="196"/>
        <v>240000</v>
      </c>
      <c r="L1841" s="9">
        <f>Table_1[[#This Row],[Unit Price]]*Table_1[[#This Row],[Quantity]]</f>
        <v>1800000</v>
      </c>
      <c r="M1841" s="8">
        <f>Table_1[[#This Row],[Cost Price]]*Table_1[[#This Row],[Quantity]]</f>
        <v>1440000</v>
      </c>
      <c r="N1841">
        <f>Table_1[[#This Row],[Revenue]]-Table_1[[#This Row],[COGS]]</f>
        <v>360000</v>
      </c>
      <c r="O1841" s="11">
        <f t="shared" si="197"/>
        <v>4656740000</v>
      </c>
      <c r="P1841">
        <f t="shared" si="198"/>
        <v>3725392000</v>
      </c>
      <c r="Q1841">
        <f t="shared" si="199"/>
        <v>931348000</v>
      </c>
      <c r="R1841" s="7">
        <f t="shared" si="200"/>
        <v>2098</v>
      </c>
      <c r="S1841" s="7">
        <f t="shared" si="201"/>
        <v>1</v>
      </c>
      <c r="T1841" s="7">
        <f t="shared" si="202"/>
        <v>2098</v>
      </c>
    </row>
    <row r="1842" spans="1:20" ht="14.25" customHeight="1" x14ac:dyDescent="0.35">
      <c r="A1842" s="2" t="s">
        <v>64</v>
      </c>
      <c r="B1842" s="2" t="s">
        <v>34</v>
      </c>
      <c r="C1842" s="2" t="s">
        <v>38</v>
      </c>
      <c r="D1842" s="2" t="s">
        <v>26</v>
      </c>
      <c r="E1842" s="2" t="s">
        <v>22</v>
      </c>
      <c r="F1842" s="2" t="s">
        <v>35</v>
      </c>
      <c r="G1842" s="2" t="s">
        <v>36</v>
      </c>
      <c r="H1842" s="2">
        <v>300000</v>
      </c>
      <c r="I1842" s="2">
        <v>4</v>
      </c>
      <c r="J1842" s="2" t="s">
        <v>54</v>
      </c>
      <c r="K1842" s="2">
        <f t="shared" si="196"/>
        <v>240000</v>
      </c>
      <c r="L1842" s="9">
        <f>Table_1[[#This Row],[Unit Price]]*Table_1[[#This Row],[Quantity]]</f>
        <v>1200000</v>
      </c>
      <c r="M1842" s="8">
        <f>Table_1[[#This Row],[Cost Price]]*Table_1[[#This Row],[Quantity]]</f>
        <v>960000</v>
      </c>
      <c r="N1842">
        <f>Table_1[[#This Row],[Revenue]]-Table_1[[#This Row],[COGS]]</f>
        <v>240000</v>
      </c>
      <c r="O1842" s="11">
        <f t="shared" si="197"/>
        <v>4656740000</v>
      </c>
      <c r="P1842">
        <f t="shared" si="198"/>
        <v>3725392000</v>
      </c>
      <c r="Q1842">
        <f t="shared" si="199"/>
        <v>931348000</v>
      </c>
      <c r="R1842" s="7">
        <f t="shared" si="200"/>
        <v>2098</v>
      </c>
      <c r="S1842" s="7">
        <f t="shared" si="201"/>
        <v>2</v>
      </c>
      <c r="T1842" s="7">
        <f t="shared" si="202"/>
        <v>2098</v>
      </c>
    </row>
    <row r="1843" spans="1:20" ht="14.25" customHeight="1" x14ac:dyDescent="0.35">
      <c r="A1843" s="2" t="s">
        <v>141</v>
      </c>
      <c r="B1843" s="2" t="s">
        <v>29</v>
      </c>
      <c r="C1843" s="2" t="s">
        <v>30</v>
      </c>
      <c r="D1843" s="2" t="s">
        <v>14</v>
      </c>
      <c r="E1843" s="2" t="s">
        <v>22</v>
      </c>
      <c r="F1843" s="2" t="s">
        <v>16</v>
      </c>
      <c r="G1843" s="2" t="s">
        <v>17</v>
      </c>
      <c r="H1843" s="2">
        <v>85000</v>
      </c>
      <c r="I1843" s="2">
        <v>2</v>
      </c>
      <c r="J1843" s="2" t="s">
        <v>18</v>
      </c>
      <c r="K1843" s="2">
        <f t="shared" si="196"/>
        <v>68000</v>
      </c>
      <c r="L1843" s="9">
        <f>Table_1[[#This Row],[Unit Price]]*Table_1[[#This Row],[Quantity]]</f>
        <v>170000</v>
      </c>
      <c r="M1843" s="8">
        <f>Table_1[[#This Row],[Cost Price]]*Table_1[[#This Row],[Quantity]]</f>
        <v>136000</v>
      </c>
      <c r="N1843">
        <f>Table_1[[#This Row],[Revenue]]-Table_1[[#This Row],[COGS]]</f>
        <v>34000</v>
      </c>
      <c r="O1843" s="11">
        <f t="shared" si="197"/>
        <v>4656740000</v>
      </c>
      <c r="P1843">
        <f t="shared" si="198"/>
        <v>3725392000</v>
      </c>
      <c r="Q1843">
        <f t="shared" si="199"/>
        <v>931348000</v>
      </c>
      <c r="R1843" s="7">
        <f t="shared" si="200"/>
        <v>2098</v>
      </c>
      <c r="S1843" s="7">
        <f t="shared" si="201"/>
        <v>2</v>
      </c>
      <c r="T1843" s="7">
        <f t="shared" si="202"/>
        <v>2098</v>
      </c>
    </row>
    <row r="1844" spans="1:20" ht="14.25" customHeight="1" x14ac:dyDescent="0.35">
      <c r="A1844" s="2" t="s">
        <v>61</v>
      </c>
      <c r="B1844" s="2" t="s">
        <v>34</v>
      </c>
      <c r="C1844" s="2" t="s">
        <v>30</v>
      </c>
      <c r="D1844" s="2" t="s">
        <v>26</v>
      </c>
      <c r="E1844" s="2" t="s">
        <v>22</v>
      </c>
      <c r="F1844" s="2" t="s">
        <v>47</v>
      </c>
      <c r="G1844" s="2" t="s">
        <v>36</v>
      </c>
      <c r="H1844" s="2">
        <v>150000</v>
      </c>
      <c r="I1844" s="2">
        <v>3</v>
      </c>
      <c r="J1844" s="2" t="s">
        <v>27</v>
      </c>
      <c r="K1844" s="2">
        <f t="shared" si="196"/>
        <v>120000</v>
      </c>
      <c r="L1844" s="9">
        <f>Table_1[[#This Row],[Unit Price]]*Table_1[[#This Row],[Quantity]]</f>
        <v>450000</v>
      </c>
      <c r="M1844" s="8">
        <f>Table_1[[#This Row],[Cost Price]]*Table_1[[#This Row],[Quantity]]</f>
        <v>360000</v>
      </c>
      <c r="N1844">
        <f>Table_1[[#This Row],[Revenue]]-Table_1[[#This Row],[COGS]]</f>
        <v>90000</v>
      </c>
      <c r="O1844" s="11">
        <f t="shared" si="197"/>
        <v>4656740000</v>
      </c>
      <c r="P1844">
        <f t="shared" si="198"/>
        <v>3725392000</v>
      </c>
      <c r="Q1844">
        <f t="shared" si="199"/>
        <v>931348000</v>
      </c>
      <c r="R1844" s="7">
        <f t="shared" si="200"/>
        <v>2098</v>
      </c>
      <c r="S1844" s="7">
        <f t="shared" si="201"/>
        <v>5</v>
      </c>
      <c r="T1844" s="7">
        <f t="shared" si="202"/>
        <v>2098</v>
      </c>
    </row>
    <row r="1845" spans="1:20" ht="14.25" customHeight="1" x14ac:dyDescent="0.35">
      <c r="A1845" s="2" t="s">
        <v>158</v>
      </c>
      <c r="B1845" s="2" t="s">
        <v>12</v>
      </c>
      <c r="C1845" s="2" t="s">
        <v>38</v>
      </c>
      <c r="D1845" s="2" t="s">
        <v>26</v>
      </c>
      <c r="E1845" s="2" t="s">
        <v>22</v>
      </c>
      <c r="F1845" s="2" t="s">
        <v>56</v>
      </c>
      <c r="G1845" s="2" t="s">
        <v>36</v>
      </c>
      <c r="H1845" s="2">
        <v>250000</v>
      </c>
      <c r="I1845" s="2">
        <v>4</v>
      </c>
      <c r="J1845" s="2" t="s">
        <v>32</v>
      </c>
      <c r="K1845" s="2">
        <f t="shared" si="196"/>
        <v>200000</v>
      </c>
      <c r="L1845" s="9">
        <f>Table_1[[#This Row],[Unit Price]]*Table_1[[#This Row],[Quantity]]</f>
        <v>1000000</v>
      </c>
      <c r="M1845" s="8">
        <f>Table_1[[#This Row],[Cost Price]]*Table_1[[#This Row],[Quantity]]</f>
        <v>800000</v>
      </c>
      <c r="N1845">
        <f>Table_1[[#This Row],[Revenue]]-Table_1[[#This Row],[COGS]]</f>
        <v>200000</v>
      </c>
      <c r="O1845" s="11">
        <f t="shared" si="197"/>
        <v>4656740000</v>
      </c>
      <c r="P1845">
        <f t="shared" si="198"/>
        <v>3725392000</v>
      </c>
      <c r="Q1845">
        <f t="shared" si="199"/>
        <v>931348000</v>
      </c>
      <c r="R1845" s="7">
        <f t="shared" si="200"/>
        <v>2098</v>
      </c>
      <c r="S1845" s="7">
        <f t="shared" si="201"/>
        <v>3</v>
      </c>
      <c r="T1845" s="7">
        <f t="shared" si="202"/>
        <v>2098</v>
      </c>
    </row>
    <row r="1846" spans="1:20" ht="14.25" customHeight="1" x14ac:dyDescent="0.35">
      <c r="A1846" s="2" t="s">
        <v>48</v>
      </c>
      <c r="B1846" s="2" t="s">
        <v>34</v>
      </c>
      <c r="C1846" s="2" t="s">
        <v>13</v>
      </c>
      <c r="D1846" s="2" t="s">
        <v>14</v>
      </c>
      <c r="E1846" s="2" t="s">
        <v>22</v>
      </c>
      <c r="F1846" s="2" t="s">
        <v>56</v>
      </c>
      <c r="G1846" s="2" t="s">
        <v>36</v>
      </c>
      <c r="H1846" s="2">
        <v>250000</v>
      </c>
      <c r="I1846" s="2">
        <v>7</v>
      </c>
      <c r="J1846" s="2" t="s">
        <v>18</v>
      </c>
      <c r="K1846" s="2">
        <f t="shared" si="196"/>
        <v>200000</v>
      </c>
      <c r="L1846" s="9">
        <f>Table_1[[#This Row],[Unit Price]]*Table_1[[#This Row],[Quantity]]</f>
        <v>1750000</v>
      </c>
      <c r="M1846" s="8">
        <f>Table_1[[#This Row],[Cost Price]]*Table_1[[#This Row],[Quantity]]</f>
        <v>1400000</v>
      </c>
      <c r="N1846">
        <f>Table_1[[#This Row],[Revenue]]-Table_1[[#This Row],[COGS]]</f>
        <v>350000</v>
      </c>
      <c r="O1846" s="11">
        <f t="shared" si="197"/>
        <v>4656740000</v>
      </c>
      <c r="P1846">
        <f t="shared" si="198"/>
        <v>3725392000</v>
      </c>
      <c r="Q1846">
        <f t="shared" si="199"/>
        <v>931348000</v>
      </c>
      <c r="R1846" s="7">
        <f t="shared" si="200"/>
        <v>2098</v>
      </c>
      <c r="S1846" s="7">
        <f t="shared" si="201"/>
        <v>1</v>
      </c>
      <c r="T1846" s="7">
        <f t="shared" si="202"/>
        <v>2098</v>
      </c>
    </row>
    <row r="1847" spans="1:20" ht="14.25" customHeight="1" x14ac:dyDescent="0.35">
      <c r="A1847" s="2" t="s">
        <v>155</v>
      </c>
      <c r="B1847" s="2" t="s">
        <v>12</v>
      </c>
      <c r="C1847" s="2" t="s">
        <v>21</v>
      </c>
      <c r="D1847" s="2" t="s">
        <v>14</v>
      </c>
      <c r="E1847" s="2" t="s">
        <v>22</v>
      </c>
      <c r="F1847" s="2" t="s">
        <v>56</v>
      </c>
      <c r="G1847" s="2" t="s">
        <v>36</v>
      </c>
      <c r="H1847" s="2">
        <v>250000</v>
      </c>
      <c r="I1847" s="2">
        <v>3</v>
      </c>
      <c r="J1847" s="2" t="s">
        <v>27</v>
      </c>
      <c r="K1847" s="2">
        <f t="shared" si="196"/>
        <v>200000</v>
      </c>
      <c r="L1847" s="9">
        <f>Table_1[[#This Row],[Unit Price]]*Table_1[[#This Row],[Quantity]]</f>
        <v>750000</v>
      </c>
      <c r="M1847" s="8">
        <f>Table_1[[#This Row],[Cost Price]]*Table_1[[#This Row],[Quantity]]</f>
        <v>600000</v>
      </c>
      <c r="N1847">
        <f>Table_1[[#This Row],[Revenue]]-Table_1[[#This Row],[COGS]]</f>
        <v>150000</v>
      </c>
      <c r="O1847" s="11">
        <f t="shared" si="197"/>
        <v>4656740000</v>
      </c>
      <c r="P1847">
        <f t="shared" si="198"/>
        <v>3725392000</v>
      </c>
      <c r="Q1847">
        <f t="shared" si="199"/>
        <v>931348000</v>
      </c>
      <c r="R1847" s="7">
        <f t="shared" si="200"/>
        <v>2098</v>
      </c>
      <c r="S1847" s="7">
        <f t="shared" si="201"/>
        <v>1</v>
      </c>
      <c r="T1847" s="7">
        <f t="shared" si="202"/>
        <v>2098</v>
      </c>
    </row>
    <row r="1848" spans="1:20" ht="14.25" customHeight="1" x14ac:dyDescent="0.35">
      <c r="A1848" s="2" t="s">
        <v>113</v>
      </c>
      <c r="B1848" s="2" t="s">
        <v>20</v>
      </c>
      <c r="C1848" s="2" t="s">
        <v>30</v>
      </c>
      <c r="D1848" s="2" t="s">
        <v>14</v>
      </c>
      <c r="E1848" s="2" t="s">
        <v>22</v>
      </c>
      <c r="F1848" s="2" t="s">
        <v>47</v>
      </c>
      <c r="G1848" s="2" t="s">
        <v>36</v>
      </c>
      <c r="H1848" s="2">
        <v>150000</v>
      </c>
      <c r="I1848" s="2">
        <v>8</v>
      </c>
      <c r="J1848" s="2" t="s">
        <v>18</v>
      </c>
      <c r="K1848" s="2">
        <f t="shared" si="196"/>
        <v>120000</v>
      </c>
      <c r="L1848" s="9">
        <f>Table_1[[#This Row],[Unit Price]]*Table_1[[#This Row],[Quantity]]</f>
        <v>1200000</v>
      </c>
      <c r="M1848" s="8">
        <f>Table_1[[#This Row],[Cost Price]]*Table_1[[#This Row],[Quantity]]</f>
        <v>960000</v>
      </c>
      <c r="N1848">
        <f>Table_1[[#This Row],[Revenue]]-Table_1[[#This Row],[COGS]]</f>
        <v>240000</v>
      </c>
      <c r="O1848" s="11">
        <f t="shared" si="197"/>
        <v>4656740000</v>
      </c>
      <c r="P1848">
        <f t="shared" si="198"/>
        <v>3725392000</v>
      </c>
      <c r="Q1848">
        <f t="shared" si="199"/>
        <v>931348000</v>
      </c>
      <c r="R1848" s="7">
        <f t="shared" si="200"/>
        <v>2098</v>
      </c>
      <c r="S1848" s="7">
        <f t="shared" si="201"/>
        <v>3</v>
      </c>
      <c r="T1848" s="7">
        <f t="shared" si="202"/>
        <v>2098</v>
      </c>
    </row>
    <row r="1849" spans="1:20" ht="14.25" customHeight="1" x14ac:dyDescent="0.35">
      <c r="A1849" s="2" t="s">
        <v>141</v>
      </c>
      <c r="B1849" s="2" t="s">
        <v>20</v>
      </c>
      <c r="C1849" s="2" t="s">
        <v>30</v>
      </c>
      <c r="D1849" s="2" t="s">
        <v>26</v>
      </c>
      <c r="E1849" s="2" t="s">
        <v>22</v>
      </c>
      <c r="F1849" s="2" t="s">
        <v>16</v>
      </c>
      <c r="G1849" s="2" t="s">
        <v>17</v>
      </c>
      <c r="H1849" s="2">
        <v>85000</v>
      </c>
      <c r="I1849" s="2">
        <v>1</v>
      </c>
      <c r="J1849" s="2" t="s">
        <v>50</v>
      </c>
      <c r="K1849" s="2">
        <f t="shared" si="196"/>
        <v>68000</v>
      </c>
      <c r="L1849" s="9">
        <f>Table_1[[#This Row],[Unit Price]]*Table_1[[#This Row],[Quantity]]</f>
        <v>85000</v>
      </c>
      <c r="M1849" s="8">
        <f>Table_1[[#This Row],[Cost Price]]*Table_1[[#This Row],[Quantity]]</f>
        <v>68000</v>
      </c>
      <c r="N1849">
        <f>Table_1[[#This Row],[Revenue]]-Table_1[[#This Row],[COGS]]</f>
        <v>17000</v>
      </c>
      <c r="O1849" s="11">
        <f t="shared" si="197"/>
        <v>4656740000</v>
      </c>
      <c r="P1849">
        <f t="shared" si="198"/>
        <v>3725392000</v>
      </c>
      <c r="Q1849">
        <f t="shared" si="199"/>
        <v>931348000</v>
      </c>
      <c r="R1849" s="7">
        <f t="shared" si="200"/>
        <v>2098</v>
      </c>
      <c r="S1849" s="7">
        <f t="shared" si="201"/>
        <v>2</v>
      </c>
      <c r="T1849" s="7">
        <f t="shared" si="202"/>
        <v>2098</v>
      </c>
    </row>
    <row r="1850" spans="1:20" ht="14.25" customHeight="1" x14ac:dyDescent="0.35">
      <c r="A1850" s="2" t="s">
        <v>85</v>
      </c>
      <c r="B1850" s="2" t="s">
        <v>20</v>
      </c>
      <c r="C1850" s="2" t="s">
        <v>38</v>
      </c>
      <c r="D1850" s="2" t="s">
        <v>14</v>
      </c>
      <c r="E1850" s="2" t="s">
        <v>22</v>
      </c>
      <c r="F1850" s="2" t="s">
        <v>58</v>
      </c>
      <c r="G1850" s="2" t="s">
        <v>24</v>
      </c>
      <c r="H1850" s="2">
        <v>220000</v>
      </c>
      <c r="I1850" s="2">
        <v>6</v>
      </c>
      <c r="J1850" s="2" t="s">
        <v>18</v>
      </c>
      <c r="K1850" s="2">
        <f t="shared" si="196"/>
        <v>176000</v>
      </c>
      <c r="L1850" s="9">
        <f>Table_1[[#This Row],[Unit Price]]*Table_1[[#This Row],[Quantity]]</f>
        <v>1320000</v>
      </c>
      <c r="M1850" s="8">
        <f>Table_1[[#This Row],[Cost Price]]*Table_1[[#This Row],[Quantity]]</f>
        <v>1056000</v>
      </c>
      <c r="N1850">
        <f>Table_1[[#This Row],[Revenue]]-Table_1[[#This Row],[COGS]]</f>
        <v>264000</v>
      </c>
      <c r="O1850" s="11">
        <f t="shared" si="197"/>
        <v>4656740000</v>
      </c>
      <c r="P1850">
        <f t="shared" si="198"/>
        <v>3725392000</v>
      </c>
      <c r="Q1850">
        <f t="shared" si="199"/>
        <v>931348000</v>
      </c>
      <c r="R1850" s="7">
        <f t="shared" si="200"/>
        <v>2098</v>
      </c>
      <c r="S1850" s="7">
        <f t="shared" si="201"/>
        <v>1</v>
      </c>
      <c r="T1850" s="7">
        <f t="shared" si="202"/>
        <v>2098</v>
      </c>
    </row>
    <row r="1851" spans="1:20" ht="14.25" customHeight="1" x14ac:dyDescent="0.35">
      <c r="A1851" s="2" t="s">
        <v>141</v>
      </c>
      <c r="B1851" s="2" t="s">
        <v>20</v>
      </c>
      <c r="C1851" s="2" t="s">
        <v>13</v>
      </c>
      <c r="D1851" s="2" t="s">
        <v>26</v>
      </c>
      <c r="E1851" s="2" t="s">
        <v>22</v>
      </c>
      <c r="F1851" s="2" t="s">
        <v>23</v>
      </c>
      <c r="G1851" s="2" t="s">
        <v>24</v>
      </c>
      <c r="H1851" s="2">
        <v>30000</v>
      </c>
      <c r="I1851" s="2">
        <v>3</v>
      </c>
      <c r="J1851" s="2" t="s">
        <v>18</v>
      </c>
      <c r="K1851" s="2">
        <f t="shared" si="196"/>
        <v>24000</v>
      </c>
      <c r="L1851" s="9">
        <f>Table_1[[#This Row],[Unit Price]]*Table_1[[#This Row],[Quantity]]</f>
        <v>90000</v>
      </c>
      <c r="M1851" s="8">
        <f>Table_1[[#This Row],[Cost Price]]*Table_1[[#This Row],[Quantity]]</f>
        <v>72000</v>
      </c>
      <c r="N1851">
        <f>Table_1[[#This Row],[Revenue]]-Table_1[[#This Row],[COGS]]</f>
        <v>18000</v>
      </c>
      <c r="O1851" s="11">
        <f t="shared" si="197"/>
        <v>4656740000</v>
      </c>
      <c r="P1851">
        <f t="shared" si="198"/>
        <v>3725392000</v>
      </c>
      <c r="Q1851">
        <f t="shared" si="199"/>
        <v>931348000</v>
      </c>
      <c r="R1851" s="7">
        <f t="shared" si="200"/>
        <v>2098</v>
      </c>
      <c r="S1851" s="7">
        <f t="shared" si="201"/>
        <v>2</v>
      </c>
      <c r="T1851" s="7">
        <f t="shared" si="202"/>
        <v>2098</v>
      </c>
    </row>
    <row r="1852" spans="1:20" ht="14.25" customHeight="1" x14ac:dyDescent="0.35">
      <c r="A1852" s="2" t="s">
        <v>25</v>
      </c>
      <c r="B1852" s="2" t="s">
        <v>34</v>
      </c>
      <c r="C1852" s="2" t="s">
        <v>38</v>
      </c>
      <c r="D1852" s="2" t="s">
        <v>26</v>
      </c>
      <c r="E1852" s="2" t="s">
        <v>22</v>
      </c>
      <c r="F1852" s="2" t="s">
        <v>35</v>
      </c>
      <c r="G1852" s="2" t="s">
        <v>36</v>
      </c>
      <c r="H1852" s="2">
        <v>300000</v>
      </c>
      <c r="I1852" s="2">
        <v>3</v>
      </c>
      <c r="J1852" s="2" t="s">
        <v>27</v>
      </c>
      <c r="K1852" s="2">
        <f t="shared" si="196"/>
        <v>240000</v>
      </c>
      <c r="L1852" s="9">
        <f>Table_1[[#This Row],[Unit Price]]*Table_1[[#This Row],[Quantity]]</f>
        <v>900000</v>
      </c>
      <c r="M1852" s="8">
        <f>Table_1[[#This Row],[Cost Price]]*Table_1[[#This Row],[Quantity]]</f>
        <v>720000</v>
      </c>
      <c r="N1852">
        <f>Table_1[[#This Row],[Revenue]]-Table_1[[#This Row],[COGS]]</f>
        <v>180000</v>
      </c>
      <c r="O1852" s="11">
        <f t="shared" si="197"/>
        <v>4656740000</v>
      </c>
      <c r="P1852">
        <f t="shared" si="198"/>
        <v>3725392000</v>
      </c>
      <c r="Q1852">
        <f t="shared" si="199"/>
        <v>931348000</v>
      </c>
      <c r="R1852" s="7">
        <f t="shared" si="200"/>
        <v>2098</v>
      </c>
      <c r="S1852" s="7">
        <f t="shared" si="201"/>
        <v>2</v>
      </c>
      <c r="T1852" s="7">
        <f t="shared" si="202"/>
        <v>2098</v>
      </c>
    </row>
    <row r="1853" spans="1:20" ht="14.25" customHeight="1" x14ac:dyDescent="0.35">
      <c r="A1853" s="2" t="s">
        <v>49</v>
      </c>
      <c r="B1853" s="2" t="s">
        <v>20</v>
      </c>
      <c r="C1853" s="2" t="s">
        <v>30</v>
      </c>
      <c r="D1853" s="2" t="s">
        <v>14</v>
      </c>
      <c r="E1853" s="2" t="s">
        <v>22</v>
      </c>
      <c r="F1853" s="2" t="s">
        <v>56</v>
      </c>
      <c r="G1853" s="2" t="s">
        <v>36</v>
      </c>
      <c r="H1853" s="2">
        <v>250000</v>
      </c>
      <c r="I1853" s="2">
        <v>10</v>
      </c>
      <c r="J1853" s="2" t="s">
        <v>50</v>
      </c>
      <c r="K1853" s="2">
        <f t="shared" si="196"/>
        <v>200000</v>
      </c>
      <c r="L1853" s="9">
        <f>Table_1[[#This Row],[Unit Price]]*Table_1[[#This Row],[Quantity]]</f>
        <v>2500000</v>
      </c>
      <c r="M1853" s="8">
        <f>Table_1[[#This Row],[Cost Price]]*Table_1[[#This Row],[Quantity]]</f>
        <v>2000000</v>
      </c>
      <c r="N1853">
        <f>Table_1[[#This Row],[Revenue]]-Table_1[[#This Row],[COGS]]</f>
        <v>500000</v>
      </c>
      <c r="O1853" s="11">
        <f t="shared" si="197"/>
        <v>4656740000</v>
      </c>
      <c r="P1853">
        <f t="shared" si="198"/>
        <v>3725392000</v>
      </c>
      <c r="Q1853">
        <f t="shared" si="199"/>
        <v>931348000</v>
      </c>
      <c r="R1853" s="7">
        <f t="shared" si="200"/>
        <v>2098</v>
      </c>
      <c r="S1853" s="7">
        <f t="shared" si="201"/>
        <v>4</v>
      </c>
      <c r="T1853" s="7">
        <f t="shared" si="202"/>
        <v>2098</v>
      </c>
    </row>
    <row r="1854" spans="1:20" ht="14.25" customHeight="1" x14ac:dyDescent="0.35">
      <c r="A1854" s="2" t="s">
        <v>162</v>
      </c>
      <c r="B1854" s="2" t="s">
        <v>20</v>
      </c>
      <c r="C1854" s="2" t="s">
        <v>21</v>
      </c>
      <c r="D1854" s="2" t="s">
        <v>14</v>
      </c>
      <c r="E1854" s="2" t="s">
        <v>22</v>
      </c>
      <c r="F1854" s="2" t="s">
        <v>35</v>
      </c>
      <c r="G1854" s="2" t="s">
        <v>36</v>
      </c>
      <c r="H1854" s="2">
        <v>300000</v>
      </c>
      <c r="I1854" s="2">
        <v>4</v>
      </c>
      <c r="J1854" s="2" t="s">
        <v>43</v>
      </c>
      <c r="K1854" s="2">
        <f t="shared" si="196"/>
        <v>240000</v>
      </c>
      <c r="L1854" s="9">
        <f>Table_1[[#This Row],[Unit Price]]*Table_1[[#This Row],[Quantity]]</f>
        <v>1200000</v>
      </c>
      <c r="M1854" s="8">
        <f>Table_1[[#This Row],[Cost Price]]*Table_1[[#This Row],[Quantity]]</f>
        <v>960000</v>
      </c>
      <c r="N1854">
        <f>Table_1[[#This Row],[Revenue]]-Table_1[[#This Row],[COGS]]</f>
        <v>240000</v>
      </c>
      <c r="O1854" s="11">
        <f t="shared" si="197"/>
        <v>4656740000</v>
      </c>
      <c r="P1854">
        <f t="shared" si="198"/>
        <v>3725392000</v>
      </c>
      <c r="Q1854">
        <f t="shared" si="199"/>
        <v>931348000</v>
      </c>
      <c r="R1854" s="7">
        <f t="shared" si="200"/>
        <v>2098</v>
      </c>
      <c r="S1854" s="7">
        <f t="shared" si="201"/>
        <v>3</v>
      </c>
      <c r="T1854" s="7">
        <f t="shared" si="202"/>
        <v>2098</v>
      </c>
    </row>
    <row r="1855" spans="1:20" ht="14.25" customHeight="1" x14ac:dyDescent="0.35">
      <c r="A1855" s="2" t="s">
        <v>148</v>
      </c>
      <c r="B1855" s="2" t="s">
        <v>29</v>
      </c>
      <c r="C1855" s="2" t="s">
        <v>30</v>
      </c>
      <c r="D1855" s="2" t="s">
        <v>14</v>
      </c>
      <c r="E1855" s="2" t="s">
        <v>22</v>
      </c>
      <c r="F1855" s="2" t="s">
        <v>41</v>
      </c>
      <c r="G1855" s="2" t="s">
        <v>17</v>
      </c>
      <c r="H1855" s="2">
        <v>320000</v>
      </c>
      <c r="I1855" s="2">
        <v>5</v>
      </c>
      <c r="J1855" s="2" t="s">
        <v>54</v>
      </c>
      <c r="K1855" s="2">
        <f t="shared" si="196"/>
        <v>256000</v>
      </c>
      <c r="L1855" s="9">
        <f>Table_1[[#This Row],[Unit Price]]*Table_1[[#This Row],[Quantity]]</f>
        <v>1600000</v>
      </c>
      <c r="M1855" s="8">
        <f>Table_1[[#This Row],[Cost Price]]*Table_1[[#This Row],[Quantity]]</f>
        <v>1280000</v>
      </c>
      <c r="N1855">
        <f>Table_1[[#This Row],[Revenue]]-Table_1[[#This Row],[COGS]]</f>
        <v>320000</v>
      </c>
      <c r="O1855" s="11">
        <f t="shared" si="197"/>
        <v>4656740000</v>
      </c>
      <c r="P1855">
        <f t="shared" si="198"/>
        <v>3725392000</v>
      </c>
      <c r="Q1855">
        <f t="shared" si="199"/>
        <v>931348000</v>
      </c>
      <c r="R1855" s="7">
        <f t="shared" si="200"/>
        <v>2098</v>
      </c>
      <c r="S1855" s="7">
        <f t="shared" si="201"/>
        <v>4</v>
      </c>
      <c r="T1855" s="7">
        <f t="shared" si="202"/>
        <v>2098</v>
      </c>
    </row>
    <row r="1856" spans="1:20" ht="14.25" customHeight="1" x14ac:dyDescent="0.35">
      <c r="A1856" s="2" t="s">
        <v>152</v>
      </c>
      <c r="B1856" s="2" t="s">
        <v>29</v>
      </c>
      <c r="C1856" s="2" t="s">
        <v>21</v>
      </c>
      <c r="D1856" s="2" t="s">
        <v>14</v>
      </c>
      <c r="E1856" s="2" t="s">
        <v>22</v>
      </c>
      <c r="F1856" s="2" t="s">
        <v>41</v>
      </c>
      <c r="G1856" s="2" t="s">
        <v>17</v>
      </c>
      <c r="H1856" s="2">
        <v>320000</v>
      </c>
      <c r="I1856" s="2">
        <v>1</v>
      </c>
      <c r="J1856" s="2" t="s">
        <v>27</v>
      </c>
      <c r="K1856" s="2">
        <f t="shared" si="196"/>
        <v>256000</v>
      </c>
      <c r="L1856" s="9">
        <f>Table_1[[#This Row],[Unit Price]]*Table_1[[#This Row],[Quantity]]</f>
        <v>320000</v>
      </c>
      <c r="M1856" s="8">
        <f>Table_1[[#This Row],[Cost Price]]*Table_1[[#This Row],[Quantity]]</f>
        <v>256000</v>
      </c>
      <c r="N1856">
        <f>Table_1[[#This Row],[Revenue]]-Table_1[[#This Row],[COGS]]</f>
        <v>64000</v>
      </c>
      <c r="O1856" s="11">
        <f t="shared" si="197"/>
        <v>4656740000</v>
      </c>
      <c r="P1856">
        <f t="shared" si="198"/>
        <v>3725392000</v>
      </c>
      <c r="Q1856">
        <f t="shared" si="199"/>
        <v>931348000</v>
      </c>
      <c r="R1856" s="7">
        <f t="shared" si="200"/>
        <v>2098</v>
      </c>
      <c r="S1856" s="7">
        <f t="shared" si="201"/>
        <v>4</v>
      </c>
      <c r="T1856" s="7">
        <f t="shared" si="202"/>
        <v>2098</v>
      </c>
    </row>
    <row r="1857" spans="1:20" ht="14.25" customHeight="1" x14ac:dyDescent="0.35">
      <c r="A1857" s="2" t="s">
        <v>48</v>
      </c>
      <c r="B1857" s="2" t="s">
        <v>34</v>
      </c>
      <c r="C1857" s="2" t="s">
        <v>13</v>
      </c>
      <c r="D1857" s="2" t="s">
        <v>14</v>
      </c>
      <c r="E1857" s="2" t="s">
        <v>22</v>
      </c>
      <c r="F1857" s="2" t="s">
        <v>52</v>
      </c>
      <c r="G1857" s="2" t="s">
        <v>36</v>
      </c>
      <c r="H1857" s="2">
        <v>420000</v>
      </c>
      <c r="I1857" s="2">
        <v>4</v>
      </c>
      <c r="J1857" s="2" t="s">
        <v>50</v>
      </c>
      <c r="K1857" s="2">
        <f t="shared" si="196"/>
        <v>336000</v>
      </c>
      <c r="L1857" s="9">
        <f>Table_1[[#This Row],[Unit Price]]*Table_1[[#This Row],[Quantity]]</f>
        <v>1680000</v>
      </c>
      <c r="M1857" s="8">
        <f>Table_1[[#This Row],[Cost Price]]*Table_1[[#This Row],[Quantity]]</f>
        <v>1344000</v>
      </c>
      <c r="N1857">
        <f>Table_1[[#This Row],[Revenue]]-Table_1[[#This Row],[COGS]]</f>
        <v>336000</v>
      </c>
      <c r="O1857" s="11">
        <f t="shared" si="197"/>
        <v>4656740000</v>
      </c>
      <c r="P1857">
        <f t="shared" si="198"/>
        <v>3725392000</v>
      </c>
      <c r="Q1857">
        <f t="shared" si="199"/>
        <v>931348000</v>
      </c>
      <c r="R1857" s="7">
        <f t="shared" si="200"/>
        <v>2098</v>
      </c>
      <c r="S1857" s="7">
        <f t="shared" si="201"/>
        <v>1</v>
      </c>
      <c r="T1857" s="7">
        <f t="shared" si="202"/>
        <v>2098</v>
      </c>
    </row>
    <row r="1858" spans="1:20" ht="14.25" customHeight="1" x14ac:dyDescent="0.35">
      <c r="A1858" s="2" t="s">
        <v>117</v>
      </c>
      <c r="B1858" s="2" t="s">
        <v>29</v>
      </c>
      <c r="C1858" s="2" t="s">
        <v>30</v>
      </c>
      <c r="D1858" s="2" t="s">
        <v>26</v>
      </c>
      <c r="E1858" s="2" t="s">
        <v>22</v>
      </c>
      <c r="F1858" s="2" t="s">
        <v>16</v>
      </c>
      <c r="G1858" s="2" t="s">
        <v>17</v>
      </c>
      <c r="H1858" s="2">
        <v>85000</v>
      </c>
      <c r="I1858" s="2">
        <v>5</v>
      </c>
      <c r="J1858" s="2" t="s">
        <v>32</v>
      </c>
      <c r="K1858" s="2">
        <f t="shared" ref="K1858:K1921" si="203">H1858-H1858*0.2</f>
        <v>68000</v>
      </c>
      <c r="L1858" s="9">
        <f>Table_1[[#This Row],[Unit Price]]*Table_1[[#This Row],[Quantity]]</f>
        <v>425000</v>
      </c>
      <c r="M1858" s="8">
        <f>Table_1[[#This Row],[Cost Price]]*Table_1[[#This Row],[Quantity]]</f>
        <v>340000</v>
      </c>
      <c r="N1858">
        <f>Table_1[[#This Row],[Revenue]]-Table_1[[#This Row],[COGS]]</f>
        <v>85000</v>
      </c>
      <c r="O1858" s="11">
        <f t="shared" ref="O1858:O1921" si="204">SUM(L$2:L$1048576)</f>
        <v>4656740000</v>
      </c>
      <c r="P1858">
        <f t="shared" ref="P1858:P1921" si="205">SUM(M:M)</f>
        <v>3725392000</v>
      </c>
      <c r="Q1858">
        <f t="shared" ref="Q1858:Q1921" si="206">SUM(N:N)</f>
        <v>931348000</v>
      </c>
      <c r="R1858" s="7">
        <f t="shared" ref="R1858:R1921" si="207">COUNTA(A$2:A$1048576)</f>
        <v>2098</v>
      </c>
      <c r="S1858" s="7">
        <f t="shared" ref="S1858:S1921" si="208">MONTH(A1858:A3346)</f>
        <v>4</v>
      </c>
      <c r="T1858" s="7">
        <f t="shared" ref="T1858:T1921" si="209">COUNTA(A:A)-1</f>
        <v>2098</v>
      </c>
    </row>
    <row r="1859" spans="1:20" ht="14.25" customHeight="1" x14ac:dyDescent="0.35">
      <c r="A1859" s="2" t="s">
        <v>72</v>
      </c>
      <c r="B1859" s="2" t="s">
        <v>20</v>
      </c>
      <c r="C1859" s="2" t="s">
        <v>21</v>
      </c>
      <c r="D1859" s="2" t="s">
        <v>26</v>
      </c>
      <c r="E1859" s="2" t="s">
        <v>22</v>
      </c>
      <c r="F1859" s="2" t="s">
        <v>31</v>
      </c>
      <c r="G1859" s="2" t="s">
        <v>24</v>
      </c>
      <c r="H1859" s="2">
        <v>60000</v>
      </c>
      <c r="I1859" s="2">
        <v>3</v>
      </c>
      <c r="J1859" s="2" t="s">
        <v>18</v>
      </c>
      <c r="K1859" s="2">
        <f t="shared" si="203"/>
        <v>48000</v>
      </c>
      <c r="L1859" s="9">
        <f>Table_1[[#This Row],[Unit Price]]*Table_1[[#This Row],[Quantity]]</f>
        <v>180000</v>
      </c>
      <c r="M1859" s="8">
        <f>Table_1[[#This Row],[Cost Price]]*Table_1[[#This Row],[Quantity]]</f>
        <v>144000</v>
      </c>
      <c r="N1859">
        <f>Table_1[[#This Row],[Revenue]]-Table_1[[#This Row],[COGS]]</f>
        <v>36000</v>
      </c>
      <c r="O1859" s="11">
        <f t="shared" si="204"/>
        <v>4656740000</v>
      </c>
      <c r="P1859">
        <f t="shared" si="205"/>
        <v>3725392000</v>
      </c>
      <c r="Q1859">
        <f t="shared" si="206"/>
        <v>931348000</v>
      </c>
      <c r="R1859" s="7">
        <f t="shared" si="207"/>
        <v>2098</v>
      </c>
      <c r="S1859" s="7">
        <f t="shared" si="208"/>
        <v>3</v>
      </c>
      <c r="T1859" s="7">
        <f t="shared" si="209"/>
        <v>2098</v>
      </c>
    </row>
    <row r="1860" spans="1:20" ht="14.25" customHeight="1" x14ac:dyDescent="0.35">
      <c r="A1860" s="2" t="s">
        <v>102</v>
      </c>
      <c r="B1860" s="2" t="s">
        <v>12</v>
      </c>
      <c r="C1860" s="2" t="s">
        <v>38</v>
      </c>
      <c r="D1860" s="2" t="s">
        <v>14</v>
      </c>
      <c r="E1860" s="2" t="s">
        <v>22</v>
      </c>
      <c r="F1860" s="2" t="s">
        <v>56</v>
      </c>
      <c r="G1860" s="2" t="s">
        <v>36</v>
      </c>
      <c r="H1860" s="2">
        <v>250000</v>
      </c>
      <c r="I1860" s="2">
        <v>4</v>
      </c>
      <c r="J1860" s="2" t="s">
        <v>50</v>
      </c>
      <c r="K1860" s="2">
        <f t="shared" si="203"/>
        <v>200000</v>
      </c>
      <c r="L1860" s="9">
        <f>Table_1[[#This Row],[Unit Price]]*Table_1[[#This Row],[Quantity]]</f>
        <v>1000000</v>
      </c>
      <c r="M1860" s="8">
        <f>Table_1[[#This Row],[Cost Price]]*Table_1[[#This Row],[Quantity]]</f>
        <v>800000</v>
      </c>
      <c r="N1860">
        <f>Table_1[[#This Row],[Revenue]]-Table_1[[#This Row],[COGS]]</f>
        <v>200000</v>
      </c>
      <c r="O1860" s="11">
        <f t="shared" si="204"/>
        <v>4656740000</v>
      </c>
      <c r="P1860">
        <f t="shared" si="205"/>
        <v>3725392000</v>
      </c>
      <c r="Q1860">
        <f t="shared" si="206"/>
        <v>931348000</v>
      </c>
      <c r="R1860" s="7">
        <f t="shared" si="207"/>
        <v>2098</v>
      </c>
      <c r="S1860" s="7">
        <f t="shared" si="208"/>
        <v>1</v>
      </c>
      <c r="T1860" s="7">
        <f t="shared" si="209"/>
        <v>2098</v>
      </c>
    </row>
    <row r="1861" spans="1:20" ht="14.25" customHeight="1" x14ac:dyDescent="0.35">
      <c r="A1861" s="2" t="s">
        <v>94</v>
      </c>
      <c r="B1861" s="2" t="s">
        <v>20</v>
      </c>
      <c r="C1861" s="2" t="s">
        <v>13</v>
      </c>
      <c r="D1861" s="2" t="s">
        <v>14</v>
      </c>
      <c r="E1861" s="2" t="s">
        <v>22</v>
      </c>
      <c r="F1861" s="2" t="s">
        <v>52</v>
      </c>
      <c r="G1861" s="2" t="s">
        <v>36</v>
      </c>
      <c r="H1861" s="2">
        <v>420000</v>
      </c>
      <c r="I1861" s="2">
        <v>5</v>
      </c>
      <c r="J1861" s="2" t="s">
        <v>18</v>
      </c>
      <c r="K1861" s="2">
        <f t="shared" si="203"/>
        <v>336000</v>
      </c>
      <c r="L1861" s="9">
        <f>Table_1[[#This Row],[Unit Price]]*Table_1[[#This Row],[Quantity]]</f>
        <v>2100000</v>
      </c>
      <c r="M1861" s="8">
        <f>Table_1[[#This Row],[Cost Price]]*Table_1[[#This Row],[Quantity]]</f>
        <v>1680000</v>
      </c>
      <c r="N1861">
        <f>Table_1[[#This Row],[Revenue]]-Table_1[[#This Row],[COGS]]</f>
        <v>420000</v>
      </c>
      <c r="O1861" s="11">
        <f t="shared" si="204"/>
        <v>4656740000</v>
      </c>
      <c r="P1861">
        <f t="shared" si="205"/>
        <v>3725392000</v>
      </c>
      <c r="Q1861">
        <f t="shared" si="206"/>
        <v>931348000</v>
      </c>
      <c r="R1861" s="7">
        <f t="shared" si="207"/>
        <v>2098</v>
      </c>
      <c r="S1861" s="7">
        <f t="shared" si="208"/>
        <v>3</v>
      </c>
      <c r="T1861" s="7">
        <f t="shared" si="209"/>
        <v>2098</v>
      </c>
    </row>
    <row r="1862" spans="1:20" ht="14.25" customHeight="1" x14ac:dyDescent="0.35">
      <c r="A1862" s="2" t="s">
        <v>45</v>
      </c>
      <c r="B1862" s="2" t="s">
        <v>12</v>
      </c>
      <c r="C1862" s="2" t="s">
        <v>30</v>
      </c>
      <c r="D1862" s="2" t="s">
        <v>14</v>
      </c>
      <c r="E1862" s="2" t="s">
        <v>22</v>
      </c>
      <c r="F1862" s="2" t="s">
        <v>47</v>
      </c>
      <c r="G1862" s="2" t="s">
        <v>36</v>
      </c>
      <c r="H1862" s="2">
        <v>150000</v>
      </c>
      <c r="I1862" s="2">
        <v>5</v>
      </c>
      <c r="J1862" s="2" t="s">
        <v>32</v>
      </c>
      <c r="K1862" s="2">
        <f t="shared" si="203"/>
        <v>120000</v>
      </c>
      <c r="L1862" s="9">
        <f>Table_1[[#This Row],[Unit Price]]*Table_1[[#This Row],[Quantity]]</f>
        <v>750000</v>
      </c>
      <c r="M1862" s="8">
        <f>Table_1[[#This Row],[Cost Price]]*Table_1[[#This Row],[Quantity]]</f>
        <v>600000</v>
      </c>
      <c r="N1862">
        <f>Table_1[[#This Row],[Revenue]]-Table_1[[#This Row],[COGS]]</f>
        <v>150000</v>
      </c>
      <c r="O1862" s="11">
        <f t="shared" si="204"/>
        <v>4656740000</v>
      </c>
      <c r="P1862">
        <f t="shared" si="205"/>
        <v>3725392000</v>
      </c>
      <c r="Q1862">
        <f t="shared" si="206"/>
        <v>931348000</v>
      </c>
      <c r="R1862" s="7">
        <f t="shared" si="207"/>
        <v>2098</v>
      </c>
      <c r="S1862" s="7">
        <f t="shared" si="208"/>
        <v>3</v>
      </c>
      <c r="T1862" s="7">
        <f t="shared" si="209"/>
        <v>2098</v>
      </c>
    </row>
    <row r="1863" spans="1:20" ht="14.25" customHeight="1" x14ac:dyDescent="0.35">
      <c r="A1863" s="2" t="s">
        <v>137</v>
      </c>
      <c r="B1863" s="2" t="s">
        <v>34</v>
      </c>
      <c r="C1863" s="2" t="s">
        <v>21</v>
      </c>
      <c r="D1863" s="2" t="s">
        <v>26</v>
      </c>
      <c r="E1863" s="2" t="s">
        <v>22</v>
      </c>
      <c r="F1863" s="2" t="s">
        <v>39</v>
      </c>
      <c r="G1863" s="2" t="s">
        <v>24</v>
      </c>
      <c r="H1863" s="2">
        <v>180000</v>
      </c>
      <c r="I1863" s="2">
        <v>1</v>
      </c>
      <c r="J1863" s="2" t="s">
        <v>43</v>
      </c>
      <c r="K1863" s="2">
        <f t="shared" si="203"/>
        <v>144000</v>
      </c>
      <c r="L1863" s="9">
        <f>Table_1[[#This Row],[Unit Price]]*Table_1[[#This Row],[Quantity]]</f>
        <v>180000</v>
      </c>
      <c r="M1863" s="8">
        <f>Table_1[[#This Row],[Cost Price]]*Table_1[[#This Row],[Quantity]]</f>
        <v>144000</v>
      </c>
      <c r="N1863">
        <f>Table_1[[#This Row],[Revenue]]-Table_1[[#This Row],[COGS]]</f>
        <v>36000</v>
      </c>
      <c r="O1863" s="11">
        <f t="shared" si="204"/>
        <v>4656740000</v>
      </c>
      <c r="P1863">
        <f t="shared" si="205"/>
        <v>3725392000</v>
      </c>
      <c r="Q1863">
        <f t="shared" si="206"/>
        <v>931348000</v>
      </c>
      <c r="R1863" s="7">
        <f t="shared" si="207"/>
        <v>2098</v>
      </c>
      <c r="S1863" s="7">
        <f t="shared" si="208"/>
        <v>1</v>
      </c>
      <c r="T1863" s="7">
        <f t="shared" si="209"/>
        <v>2098</v>
      </c>
    </row>
    <row r="1864" spans="1:20" ht="14.25" customHeight="1" x14ac:dyDescent="0.35">
      <c r="A1864" s="2" t="s">
        <v>150</v>
      </c>
      <c r="B1864" s="2" t="s">
        <v>29</v>
      </c>
      <c r="C1864" s="2" t="s">
        <v>38</v>
      </c>
      <c r="D1864" s="2" t="s">
        <v>26</v>
      </c>
      <c r="E1864" s="2" t="s">
        <v>22</v>
      </c>
      <c r="F1864" s="2" t="s">
        <v>39</v>
      </c>
      <c r="G1864" s="2" t="s">
        <v>24</v>
      </c>
      <c r="H1864" s="2">
        <v>180000</v>
      </c>
      <c r="I1864" s="2">
        <v>1</v>
      </c>
      <c r="J1864" s="2" t="s">
        <v>32</v>
      </c>
      <c r="K1864" s="2">
        <f t="shared" si="203"/>
        <v>144000</v>
      </c>
      <c r="L1864" s="9">
        <f>Table_1[[#This Row],[Unit Price]]*Table_1[[#This Row],[Quantity]]</f>
        <v>180000</v>
      </c>
      <c r="M1864" s="8">
        <f>Table_1[[#This Row],[Cost Price]]*Table_1[[#This Row],[Quantity]]</f>
        <v>144000</v>
      </c>
      <c r="N1864">
        <f>Table_1[[#This Row],[Revenue]]-Table_1[[#This Row],[COGS]]</f>
        <v>36000</v>
      </c>
      <c r="O1864" s="11">
        <f t="shared" si="204"/>
        <v>4656740000</v>
      </c>
      <c r="P1864">
        <f t="shared" si="205"/>
        <v>3725392000</v>
      </c>
      <c r="Q1864">
        <f t="shared" si="206"/>
        <v>931348000</v>
      </c>
      <c r="R1864" s="7">
        <f t="shared" si="207"/>
        <v>2098</v>
      </c>
      <c r="S1864" s="7">
        <f t="shared" si="208"/>
        <v>4</v>
      </c>
      <c r="T1864" s="7">
        <f t="shared" si="209"/>
        <v>2098</v>
      </c>
    </row>
    <row r="1865" spans="1:20" ht="14.25" customHeight="1" x14ac:dyDescent="0.35">
      <c r="A1865" s="2" t="s">
        <v>99</v>
      </c>
      <c r="B1865" s="2" t="s">
        <v>12</v>
      </c>
      <c r="C1865" s="2" t="s">
        <v>21</v>
      </c>
      <c r="D1865" s="2" t="s">
        <v>14</v>
      </c>
      <c r="E1865" s="2" t="s">
        <v>22</v>
      </c>
      <c r="F1865" s="2" t="s">
        <v>56</v>
      </c>
      <c r="G1865" s="2" t="s">
        <v>36</v>
      </c>
      <c r="H1865" s="2">
        <v>250000</v>
      </c>
      <c r="I1865" s="2">
        <v>9</v>
      </c>
      <c r="J1865" s="2" t="s">
        <v>18</v>
      </c>
      <c r="K1865" s="2">
        <f t="shared" si="203"/>
        <v>200000</v>
      </c>
      <c r="L1865" s="9">
        <f>Table_1[[#This Row],[Unit Price]]*Table_1[[#This Row],[Quantity]]</f>
        <v>2250000</v>
      </c>
      <c r="M1865" s="8">
        <f>Table_1[[#This Row],[Cost Price]]*Table_1[[#This Row],[Quantity]]</f>
        <v>1800000</v>
      </c>
      <c r="N1865">
        <f>Table_1[[#This Row],[Revenue]]-Table_1[[#This Row],[COGS]]</f>
        <v>450000</v>
      </c>
      <c r="O1865" s="11">
        <f t="shared" si="204"/>
        <v>4656740000</v>
      </c>
      <c r="P1865">
        <f t="shared" si="205"/>
        <v>3725392000</v>
      </c>
      <c r="Q1865">
        <f t="shared" si="206"/>
        <v>931348000</v>
      </c>
      <c r="R1865" s="7">
        <f t="shared" si="207"/>
        <v>2098</v>
      </c>
      <c r="S1865" s="7">
        <f t="shared" si="208"/>
        <v>4</v>
      </c>
      <c r="T1865" s="7">
        <f t="shared" si="209"/>
        <v>2098</v>
      </c>
    </row>
    <row r="1866" spans="1:20" ht="14.25" customHeight="1" x14ac:dyDescent="0.35">
      <c r="A1866" s="2" t="s">
        <v>132</v>
      </c>
      <c r="B1866" s="2" t="s">
        <v>34</v>
      </c>
      <c r="C1866" s="2" t="s">
        <v>13</v>
      </c>
      <c r="D1866" s="2" t="s">
        <v>14</v>
      </c>
      <c r="E1866" s="2" t="s">
        <v>22</v>
      </c>
      <c r="F1866" s="2" t="s">
        <v>16</v>
      </c>
      <c r="G1866" s="2" t="s">
        <v>17</v>
      </c>
      <c r="H1866" s="2">
        <v>85000</v>
      </c>
      <c r="I1866" s="2">
        <v>4</v>
      </c>
      <c r="J1866" s="2" t="s">
        <v>43</v>
      </c>
      <c r="K1866" s="2">
        <f t="shared" si="203"/>
        <v>68000</v>
      </c>
      <c r="L1866" s="9">
        <f>Table_1[[#This Row],[Unit Price]]*Table_1[[#This Row],[Quantity]]</f>
        <v>340000</v>
      </c>
      <c r="M1866" s="8">
        <f>Table_1[[#This Row],[Cost Price]]*Table_1[[#This Row],[Quantity]]</f>
        <v>272000</v>
      </c>
      <c r="N1866">
        <f>Table_1[[#This Row],[Revenue]]-Table_1[[#This Row],[COGS]]</f>
        <v>68000</v>
      </c>
      <c r="O1866" s="11">
        <f t="shared" si="204"/>
        <v>4656740000</v>
      </c>
      <c r="P1866">
        <f t="shared" si="205"/>
        <v>3725392000</v>
      </c>
      <c r="Q1866">
        <f t="shared" si="206"/>
        <v>931348000</v>
      </c>
      <c r="R1866" s="7">
        <f t="shared" si="207"/>
        <v>2098</v>
      </c>
      <c r="S1866" s="7">
        <f t="shared" si="208"/>
        <v>1</v>
      </c>
      <c r="T1866" s="7">
        <f t="shared" si="209"/>
        <v>2098</v>
      </c>
    </row>
    <row r="1867" spans="1:20" ht="14.25" customHeight="1" x14ac:dyDescent="0.35">
      <c r="A1867" s="2" t="s">
        <v>57</v>
      </c>
      <c r="B1867" s="2" t="s">
        <v>12</v>
      </c>
      <c r="C1867" s="2" t="s">
        <v>38</v>
      </c>
      <c r="D1867" s="2" t="s">
        <v>26</v>
      </c>
      <c r="E1867" s="2" t="s">
        <v>22</v>
      </c>
      <c r="F1867" s="2" t="s">
        <v>52</v>
      </c>
      <c r="G1867" s="2" t="s">
        <v>36</v>
      </c>
      <c r="H1867" s="2">
        <v>420000</v>
      </c>
      <c r="I1867" s="2">
        <v>8</v>
      </c>
      <c r="J1867" s="2" t="s">
        <v>27</v>
      </c>
      <c r="K1867" s="2">
        <f t="shared" si="203"/>
        <v>336000</v>
      </c>
      <c r="L1867" s="9">
        <f>Table_1[[#This Row],[Unit Price]]*Table_1[[#This Row],[Quantity]]</f>
        <v>3360000</v>
      </c>
      <c r="M1867" s="8">
        <f>Table_1[[#This Row],[Cost Price]]*Table_1[[#This Row],[Quantity]]</f>
        <v>2688000</v>
      </c>
      <c r="N1867">
        <f>Table_1[[#This Row],[Revenue]]-Table_1[[#This Row],[COGS]]</f>
        <v>672000</v>
      </c>
      <c r="O1867" s="11">
        <f t="shared" si="204"/>
        <v>4656740000</v>
      </c>
      <c r="P1867">
        <f t="shared" si="205"/>
        <v>3725392000</v>
      </c>
      <c r="Q1867">
        <f t="shared" si="206"/>
        <v>931348000</v>
      </c>
      <c r="R1867" s="7">
        <f t="shared" si="207"/>
        <v>2098</v>
      </c>
      <c r="S1867" s="7">
        <f t="shared" si="208"/>
        <v>2</v>
      </c>
      <c r="T1867" s="7">
        <f t="shared" si="209"/>
        <v>2098</v>
      </c>
    </row>
    <row r="1868" spans="1:20" ht="14.25" customHeight="1" x14ac:dyDescent="0.35">
      <c r="A1868" s="2" t="s">
        <v>37</v>
      </c>
      <c r="B1868" s="2" t="s">
        <v>29</v>
      </c>
      <c r="C1868" s="2" t="s">
        <v>38</v>
      </c>
      <c r="D1868" s="2" t="s">
        <v>26</v>
      </c>
      <c r="E1868" s="2" t="s">
        <v>22</v>
      </c>
      <c r="F1868" s="2" t="s">
        <v>41</v>
      </c>
      <c r="G1868" s="2" t="s">
        <v>17</v>
      </c>
      <c r="H1868" s="2">
        <v>320000</v>
      </c>
      <c r="I1868" s="2">
        <v>6</v>
      </c>
      <c r="J1868" s="2" t="s">
        <v>27</v>
      </c>
      <c r="K1868" s="2">
        <f t="shared" si="203"/>
        <v>256000</v>
      </c>
      <c r="L1868" s="9">
        <f>Table_1[[#This Row],[Unit Price]]*Table_1[[#This Row],[Quantity]]</f>
        <v>1920000</v>
      </c>
      <c r="M1868" s="8">
        <f>Table_1[[#This Row],[Cost Price]]*Table_1[[#This Row],[Quantity]]</f>
        <v>1536000</v>
      </c>
      <c r="N1868">
        <f>Table_1[[#This Row],[Revenue]]-Table_1[[#This Row],[COGS]]</f>
        <v>384000</v>
      </c>
      <c r="O1868" s="11">
        <f t="shared" si="204"/>
        <v>4656740000</v>
      </c>
      <c r="P1868">
        <f t="shared" si="205"/>
        <v>3725392000</v>
      </c>
      <c r="Q1868">
        <f t="shared" si="206"/>
        <v>931348000</v>
      </c>
      <c r="R1868" s="7">
        <f t="shared" si="207"/>
        <v>2098</v>
      </c>
      <c r="S1868" s="7">
        <f t="shared" si="208"/>
        <v>3</v>
      </c>
      <c r="T1868" s="7">
        <f t="shared" si="209"/>
        <v>2098</v>
      </c>
    </row>
    <row r="1869" spans="1:20" ht="14.25" customHeight="1" x14ac:dyDescent="0.35">
      <c r="A1869" s="2" t="s">
        <v>107</v>
      </c>
      <c r="B1869" s="2" t="s">
        <v>34</v>
      </c>
      <c r="C1869" s="2" t="s">
        <v>21</v>
      </c>
      <c r="D1869" s="2" t="s">
        <v>14</v>
      </c>
      <c r="E1869" s="2" t="s">
        <v>22</v>
      </c>
      <c r="F1869" s="2" t="s">
        <v>47</v>
      </c>
      <c r="G1869" s="2" t="s">
        <v>36</v>
      </c>
      <c r="H1869" s="2">
        <v>150000</v>
      </c>
      <c r="I1869" s="2">
        <v>3</v>
      </c>
      <c r="J1869" s="2" t="s">
        <v>50</v>
      </c>
      <c r="K1869" s="2">
        <f t="shared" si="203"/>
        <v>120000</v>
      </c>
      <c r="L1869" s="9">
        <f>Table_1[[#This Row],[Unit Price]]*Table_1[[#This Row],[Quantity]]</f>
        <v>450000</v>
      </c>
      <c r="M1869" s="8">
        <f>Table_1[[#This Row],[Cost Price]]*Table_1[[#This Row],[Quantity]]</f>
        <v>360000</v>
      </c>
      <c r="N1869">
        <f>Table_1[[#This Row],[Revenue]]-Table_1[[#This Row],[COGS]]</f>
        <v>90000</v>
      </c>
      <c r="O1869" s="11">
        <f t="shared" si="204"/>
        <v>4656740000</v>
      </c>
      <c r="P1869">
        <f t="shared" si="205"/>
        <v>3725392000</v>
      </c>
      <c r="Q1869">
        <f t="shared" si="206"/>
        <v>931348000</v>
      </c>
      <c r="R1869" s="7">
        <f t="shared" si="207"/>
        <v>2098</v>
      </c>
      <c r="S1869" s="7">
        <f t="shared" si="208"/>
        <v>3</v>
      </c>
      <c r="T1869" s="7">
        <f t="shared" si="209"/>
        <v>2098</v>
      </c>
    </row>
    <row r="1870" spans="1:20" ht="14.25" customHeight="1" x14ac:dyDescent="0.35">
      <c r="A1870" s="2" t="s">
        <v>48</v>
      </c>
      <c r="B1870" s="2" t="s">
        <v>12</v>
      </c>
      <c r="C1870" s="2" t="s">
        <v>38</v>
      </c>
      <c r="D1870" s="2" t="s">
        <v>14</v>
      </c>
      <c r="E1870" s="2" t="s">
        <v>22</v>
      </c>
      <c r="F1870" s="2" t="s">
        <v>16</v>
      </c>
      <c r="G1870" s="2" t="s">
        <v>17</v>
      </c>
      <c r="H1870" s="2">
        <v>85000</v>
      </c>
      <c r="I1870" s="2">
        <v>3</v>
      </c>
      <c r="J1870" s="2" t="s">
        <v>32</v>
      </c>
      <c r="K1870" s="2">
        <f t="shared" si="203"/>
        <v>68000</v>
      </c>
      <c r="L1870" s="9">
        <f>Table_1[[#This Row],[Unit Price]]*Table_1[[#This Row],[Quantity]]</f>
        <v>255000</v>
      </c>
      <c r="M1870" s="8">
        <f>Table_1[[#This Row],[Cost Price]]*Table_1[[#This Row],[Quantity]]</f>
        <v>204000</v>
      </c>
      <c r="N1870">
        <f>Table_1[[#This Row],[Revenue]]-Table_1[[#This Row],[COGS]]</f>
        <v>51000</v>
      </c>
      <c r="O1870" s="11">
        <f t="shared" si="204"/>
        <v>4656740000</v>
      </c>
      <c r="P1870">
        <f t="shared" si="205"/>
        <v>3725392000</v>
      </c>
      <c r="Q1870">
        <f t="shared" si="206"/>
        <v>931348000</v>
      </c>
      <c r="R1870" s="7">
        <f t="shared" si="207"/>
        <v>2098</v>
      </c>
      <c r="S1870" s="7">
        <f t="shared" si="208"/>
        <v>1</v>
      </c>
      <c r="T1870" s="7">
        <f t="shared" si="209"/>
        <v>2098</v>
      </c>
    </row>
    <row r="1871" spans="1:20" ht="14.25" customHeight="1" x14ac:dyDescent="0.35">
      <c r="A1871" s="2" t="s">
        <v>81</v>
      </c>
      <c r="B1871" s="2" t="s">
        <v>34</v>
      </c>
      <c r="C1871" s="2" t="s">
        <v>21</v>
      </c>
      <c r="D1871" s="2" t="s">
        <v>14</v>
      </c>
      <c r="E1871" s="2" t="s">
        <v>22</v>
      </c>
      <c r="F1871" s="2" t="s">
        <v>35</v>
      </c>
      <c r="G1871" s="2" t="s">
        <v>36</v>
      </c>
      <c r="H1871" s="2">
        <v>300000</v>
      </c>
      <c r="I1871" s="2">
        <v>1</v>
      </c>
      <c r="J1871" s="2" t="s">
        <v>32</v>
      </c>
      <c r="K1871" s="2">
        <f t="shared" si="203"/>
        <v>240000</v>
      </c>
      <c r="L1871" s="9">
        <f>Table_1[[#This Row],[Unit Price]]*Table_1[[#This Row],[Quantity]]</f>
        <v>300000</v>
      </c>
      <c r="M1871" s="8">
        <f>Table_1[[#This Row],[Cost Price]]*Table_1[[#This Row],[Quantity]]</f>
        <v>240000</v>
      </c>
      <c r="N1871">
        <f>Table_1[[#This Row],[Revenue]]-Table_1[[#This Row],[COGS]]</f>
        <v>60000</v>
      </c>
      <c r="O1871" s="11">
        <f t="shared" si="204"/>
        <v>4656740000</v>
      </c>
      <c r="P1871">
        <f t="shared" si="205"/>
        <v>3725392000</v>
      </c>
      <c r="Q1871">
        <f t="shared" si="206"/>
        <v>931348000</v>
      </c>
      <c r="R1871" s="7">
        <f t="shared" si="207"/>
        <v>2098</v>
      </c>
      <c r="S1871" s="7">
        <f t="shared" si="208"/>
        <v>3</v>
      </c>
      <c r="T1871" s="7">
        <f t="shared" si="209"/>
        <v>2098</v>
      </c>
    </row>
    <row r="1872" spans="1:20" ht="14.25" customHeight="1" x14ac:dyDescent="0.35">
      <c r="A1872" s="2" t="s">
        <v>158</v>
      </c>
      <c r="B1872" s="2" t="s">
        <v>29</v>
      </c>
      <c r="C1872" s="2" t="s">
        <v>21</v>
      </c>
      <c r="D1872" s="2" t="s">
        <v>26</v>
      </c>
      <c r="E1872" s="2" t="s">
        <v>15</v>
      </c>
      <c r="F1872" s="2" t="s">
        <v>39</v>
      </c>
      <c r="G1872" s="2" t="s">
        <v>24</v>
      </c>
      <c r="H1872" s="2">
        <v>180000</v>
      </c>
      <c r="I1872" s="2">
        <v>4</v>
      </c>
      <c r="J1872" s="2" t="s">
        <v>50</v>
      </c>
      <c r="K1872" s="2">
        <f t="shared" si="203"/>
        <v>144000</v>
      </c>
      <c r="L1872" s="9">
        <f>Table_1[[#This Row],[Unit Price]]*Table_1[[#This Row],[Quantity]]</f>
        <v>720000</v>
      </c>
      <c r="M1872" s="8">
        <f>Table_1[[#This Row],[Cost Price]]*Table_1[[#This Row],[Quantity]]</f>
        <v>576000</v>
      </c>
      <c r="N1872">
        <f>Table_1[[#This Row],[Revenue]]-Table_1[[#This Row],[COGS]]</f>
        <v>144000</v>
      </c>
      <c r="O1872" s="11">
        <f t="shared" si="204"/>
        <v>4656740000</v>
      </c>
      <c r="P1872">
        <f t="shared" si="205"/>
        <v>3725392000</v>
      </c>
      <c r="Q1872">
        <f t="shared" si="206"/>
        <v>931348000</v>
      </c>
      <c r="R1872" s="7">
        <f t="shared" si="207"/>
        <v>2098</v>
      </c>
      <c r="S1872" s="7">
        <f t="shared" si="208"/>
        <v>3</v>
      </c>
      <c r="T1872" s="7">
        <f t="shared" si="209"/>
        <v>2098</v>
      </c>
    </row>
    <row r="1873" spans="1:20" ht="14.25" customHeight="1" x14ac:dyDescent="0.35">
      <c r="A1873" s="2" t="s">
        <v>162</v>
      </c>
      <c r="B1873" s="2" t="s">
        <v>12</v>
      </c>
      <c r="C1873" s="2" t="s">
        <v>21</v>
      </c>
      <c r="D1873" s="2" t="s">
        <v>14</v>
      </c>
      <c r="E1873" s="2" t="s">
        <v>15</v>
      </c>
      <c r="F1873" s="2" t="s">
        <v>52</v>
      </c>
      <c r="G1873" s="2" t="s">
        <v>36</v>
      </c>
      <c r="H1873" s="2">
        <v>420000</v>
      </c>
      <c r="I1873" s="2">
        <v>10</v>
      </c>
      <c r="J1873" s="2" t="s">
        <v>43</v>
      </c>
      <c r="K1873" s="2">
        <f t="shared" si="203"/>
        <v>336000</v>
      </c>
      <c r="L1873" s="9">
        <f>Table_1[[#This Row],[Unit Price]]*Table_1[[#This Row],[Quantity]]</f>
        <v>4200000</v>
      </c>
      <c r="M1873" s="8">
        <f>Table_1[[#This Row],[Cost Price]]*Table_1[[#This Row],[Quantity]]</f>
        <v>3360000</v>
      </c>
      <c r="N1873">
        <f>Table_1[[#This Row],[Revenue]]-Table_1[[#This Row],[COGS]]</f>
        <v>840000</v>
      </c>
      <c r="O1873" s="11">
        <f t="shared" si="204"/>
        <v>4656740000</v>
      </c>
      <c r="P1873">
        <f t="shared" si="205"/>
        <v>3725392000</v>
      </c>
      <c r="Q1873">
        <f t="shared" si="206"/>
        <v>931348000</v>
      </c>
      <c r="R1873" s="7">
        <f t="shared" si="207"/>
        <v>2098</v>
      </c>
      <c r="S1873" s="7">
        <f t="shared" si="208"/>
        <v>3</v>
      </c>
      <c r="T1873" s="7">
        <f t="shared" si="209"/>
        <v>2098</v>
      </c>
    </row>
    <row r="1874" spans="1:20" ht="14.25" customHeight="1" x14ac:dyDescent="0.35">
      <c r="A1874" s="2" t="s">
        <v>128</v>
      </c>
      <c r="B1874" s="2" t="s">
        <v>34</v>
      </c>
      <c r="C1874" s="2" t="s">
        <v>38</v>
      </c>
      <c r="D1874" s="2" t="s">
        <v>26</v>
      </c>
      <c r="E1874" s="2" t="s">
        <v>15</v>
      </c>
      <c r="F1874" s="2" t="s">
        <v>47</v>
      </c>
      <c r="G1874" s="2" t="s">
        <v>36</v>
      </c>
      <c r="H1874" s="2">
        <v>150000</v>
      </c>
      <c r="I1874" s="2">
        <v>4</v>
      </c>
      <c r="J1874" s="2" t="s">
        <v>54</v>
      </c>
      <c r="K1874" s="2">
        <f t="shared" si="203"/>
        <v>120000</v>
      </c>
      <c r="L1874" s="9">
        <f>Table_1[[#This Row],[Unit Price]]*Table_1[[#This Row],[Quantity]]</f>
        <v>600000</v>
      </c>
      <c r="M1874" s="8">
        <f>Table_1[[#This Row],[Cost Price]]*Table_1[[#This Row],[Quantity]]</f>
        <v>480000</v>
      </c>
      <c r="N1874">
        <f>Table_1[[#This Row],[Revenue]]-Table_1[[#This Row],[COGS]]</f>
        <v>120000</v>
      </c>
      <c r="O1874" s="11">
        <f t="shared" si="204"/>
        <v>4656740000</v>
      </c>
      <c r="P1874">
        <f t="shared" si="205"/>
        <v>3725392000</v>
      </c>
      <c r="Q1874">
        <f t="shared" si="206"/>
        <v>931348000</v>
      </c>
      <c r="R1874" s="7">
        <f t="shared" si="207"/>
        <v>2098</v>
      </c>
      <c r="S1874" s="7">
        <f t="shared" si="208"/>
        <v>4</v>
      </c>
      <c r="T1874" s="7">
        <f t="shared" si="209"/>
        <v>2098</v>
      </c>
    </row>
    <row r="1875" spans="1:20" ht="14.25" customHeight="1" x14ac:dyDescent="0.35">
      <c r="A1875" s="2" t="s">
        <v>152</v>
      </c>
      <c r="B1875" s="2" t="s">
        <v>20</v>
      </c>
      <c r="C1875" s="2" t="s">
        <v>30</v>
      </c>
      <c r="D1875" s="2" t="s">
        <v>14</v>
      </c>
      <c r="E1875" s="2" t="s">
        <v>15</v>
      </c>
      <c r="F1875" s="2" t="s">
        <v>16</v>
      </c>
      <c r="G1875" s="2" t="s">
        <v>17</v>
      </c>
      <c r="H1875" s="2">
        <v>85000</v>
      </c>
      <c r="I1875" s="2">
        <v>6</v>
      </c>
      <c r="J1875" s="2" t="s">
        <v>54</v>
      </c>
      <c r="K1875" s="2">
        <f t="shared" si="203"/>
        <v>68000</v>
      </c>
      <c r="L1875" s="9">
        <f>Table_1[[#This Row],[Unit Price]]*Table_1[[#This Row],[Quantity]]</f>
        <v>510000</v>
      </c>
      <c r="M1875" s="8">
        <f>Table_1[[#This Row],[Cost Price]]*Table_1[[#This Row],[Quantity]]</f>
        <v>408000</v>
      </c>
      <c r="N1875">
        <f>Table_1[[#This Row],[Revenue]]-Table_1[[#This Row],[COGS]]</f>
        <v>102000</v>
      </c>
      <c r="O1875" s="11">
        <f t="shared" si="204"/>
        <v>4656740000</v>
      </c>
      <c r="P1875">
        <f t="shared" si="205"/>
        <v>3725392000</v>
      </c>
      <c r="Q1875">
        <f t="shared" si="206"/>
        <v>931348000</v>
      </c>
      <c r="R1875" s="7">
        <f t="shared" si="207"/>
        <v>2098</v>
      </c>
      <c r="S1875" s="7">
        <f t="shared" si="208"/>
        <v>4</v>
      </c>
      <c r="T1875" s="7">
        <f t="shared" si="209"/>
        <v>2098</v>
      </c>
    </row>
    <row r="1876" spans="1:20" ht="14.25" customHeight="1" x14ac:dyDescent="0.35">
      <c r="A1876" s="2" t="s">
        <v>119</v>
      </c>
      <c r="B1876" s="2" t="s">
        <v>29</v>
      </c>
      <c r="C1876" s="2" t="s">
        <v>13</v>
      </c>
      <c r="D1876" s="2" t="s">
        <v>26</v>
      </c>
      <c r="E1876" s="2" t="s">
        <v>22</v>
      </c>
      <c r="F1876" s="2" t="s">
        <v>35</v>
      </c>
      <c r="G1876" s="2" t="s">
        <v>36</v>
      </c>
      <c r="H1876" s="2">
        <v>300000</v>
      </c>
      <c r="I1876" s="2">
        <v>10</v>
      </c>
      <c r="J1876" s="2" t="s">
        <v>18</v>
      </c>
      <c r="K1876" s="2">
        <f t="shared" si="203"/>
        <v>240000</v>
      </c>
      <c r="L1876" s="9">
        <f>Table_1[[#This Row],[Unit Price]]*Table_1[[#This Row],[Quantity]]</f>
        <v>3000000</v>
      </c>
      <c r="M1876" s="8">
        <f>Table_1[[#This Row],[Cost Price]]*Table_1[[#This Row],[Quantity]]</f>
        <v>2400000</v>
      </c>
      <c r="N1876">
        <f>Table_1[[#This Row],[Revenue]]-Table_1[[#This Row],[COGS]]</f>
        <v>600000</v>
      </c>
      <c r="O1876" s="11">
        <f t="shared" si="204"/>
        <v>4656740000</v>
      </c>
      <c r="P1876">
        <f t="shared" si="205"/>
        <v>3725392000</v>
      </c>
      <c r="Q1876">
        <f t="shared" si="206"/>
        <v>931348000</v>
      </c>
      <c r="R1876" s="7">
        <f t="shared" si="207"/>
        <v>2098</v>
      </c>
      <c r="S1876" s="7">
        <f t="shared" si="208"/>
        <v>1</v>
      </c>
      <c r="T1876" s="7">
        <f t="shared" si="209"/>
        <v>2098</v>
      </c>
    </row>
    <row r="1877" spans="1:20" ht="14.25" customHeight="1" x14ac:dyDescent="0.35">
      <c r="A1877" s="2" t="s">
        <v>61</v>
      </c>
      <c r="B1877" s="2" t="s">
        <v>20</v>
      </c>
      <c r="C1877" s="2" t="s">
        <v>21</v>
      </c>
      <c r="D1877" s="2" t="s">
        <v>26</v>
      </c>
      <c r="E1877" s="2" t="s">
        <v>22</v>
      </c>
      <c r="F1877" s="2" t="s">
        <v>47</v>
      </c>
      <c r="G1877" s="2" t="s">
        <v>36</v>
      </c>
      <c r="H1877" s="2">
        <v>150000</v>
      </c>
      <c r="I1877" s="2">
        <v>6</v>
      </c>
      <c r="J1877" s="2" t="s">
        <v>54</v>
      </c>
      <c r="K1877" s="2">
        <f t="shared" si="203"/>
        <v>120000</v>
      </c>
      <c r="L1877" s="9">
        <f>Table_1[[#This Row],[Unit Price]]*Table_1[[#This Row],[Quantity]]</f>
        <v>900000</v>
      </c>
      <c r="M1877" s="8">
        <f>Table_1[[#This Row],[Cost Price]]*Table_1[[#This Row],[Quantity]]</f>
        <v>720000</v>
      </c>
      <c r="N1877">
        <f>Table_1[[#This Row],[Revenue]]-Table_1[[#This Row],[COGS]]</f>
        <v>180000</v>
      </c>
      <c r="O1877" s="11">
        <f t="shared" si="204"/>
        <v>4656740000</v>
      </c>
      <c r="P1877">
        <f t="shared" si="205"/>
        <v>3725392000</v>
      </c>
      <c r="Q1877">
        <f t="shared" si="206"/>
        <v>931348000</v>
      </c>
      <c r="R1877" s="7">
        <f t="shared" si="207"/>
        <v>2098</v>
      </c>
      <c r="S1877" s="7">
        <f t="shared" si="208"/>
        <v>5</v>
      </c>
      <c r="T1877" s="7">
        <f t="shared" si="209"/>
        <v>2098</v>
      </c>
    </row>
    <row r="1878" spans="1:20" ht="14.25" customHeight="1" x14ac:dyDescent="0.35">
      <c r="A1878" s="2" t="s">
        <v>127</v>
      </c>
      <c r="B1878" s="2" t="s">
        <v>29</v>
      </c>
      <c r="C1878" s="2" t="s">
        <v>13</v>
      </c>
      <c r="D1878" s="2" t="s">
        <v>26</v>
      </c>
      <c r="E1878" s="2" t="s">
        <v>22</v>
      </c>
      <c r="F1878" s="2" t="s">
        <v>47</v>
      </c>
      <c r="G1878" s="2" t="s">
        <v>36</v>
      </c>
      <c r="H1878" s="2">
        <v>150000</v>
      </c>
      <c r="I1878" s="2">
        <v>1</v>
      </c>
      <c r="J1878" s="2" t="s">
        <v>54</v>
      </c>
      <c r="K1878" s="2">
        <f t="shared" si="203"/>
        <v>120000</v>
      </c>
      <c r="L1878" s="9">
        <f>Table_1[[#This Row],[Unit Price]]*Table_1[[#This Row],[Quantity]]</f>
        <v>150000</v>
      </c>
      <c r="M1878" s="8">
        <f>Table_1[[#This Row],[Cost Price]]*Table_1[[#This Row],[Quantity]]</f>
        <v>120000</v>
      </c>
      <c r="N1878">
        <f>Table_1[[#This Row],[Revenue]]-Table_1[[#This Row],[COGS]]</f>
        <v>30000</v>
      </c>
      <c r="O1878" s="11">
        <f t="shared" si="204"/>
        <v>4656740000</v>
      </c>
      <c r="P1878">
        <f t="shared" si="205"/>
        <v>3725392000</v>
      </c>
      <c r="Q1878">
        <f t="shared" si="206"/>
        <v>931348000</v>
      </c>
      <c r="R1878" s="7">
        <f t="shared" si="207"/>
        <v>2098</v>
      </c>
      <c r="S1878" s="7">
        <f t="shared" si="208"/>
        <v>4</v>
      </c>
      <c r="T1878" s="7">
        <f t="shared" si="209"/>
        <v>2098</v>
      </c>
    </row>
    <row r="1879" spans="1:20" ht="14.25" customHeight="1" x14ac:dyDescent="0.35">
      <c r="A1879" s="2" t="s">
        <v>82</v>
      </c>
      <c r="B1879" s="2" t="s">
        <v>34</v>
      </c>
      <c r="C1879" s="2" t="s">
        <v>13</v>
      </c>
      <c r="D1879" s="2" t="s">
        <v>14</v>
      </c>
      <c r="E1879" s="2" t="s">
        <v>22</v>
      </c>
      <c r="F1879" s="2" t="s">
        <v>35</v>
      </c>
      <c r="G1879" s="2" t="s">
        <v>36</v>
      </c>
      <c r="H1879" s="2">
        <v>300000</v>
      </c>
      <c r="I1879" s="2">
        <v>3</v>
      </c>
      <c r="J1879" s="2" t="s">
        <v>32</v>
      </c>
      <c r="K1879" s="2">
        <f t="shared" si="203"/>
        <v>240000</v>
      </c>
      <c r="L1879" s="9">
        <f>Table_1[[#This Row],[Unit Price]]*Table_1[[#This Row],[Quantity]]</f>
        <v>900000</v>
      </c>
      <c r="M1879" s="8">
        <f>Table_1[[#This Row],[Cost Price]]*Table_1[[#This Row],[Quantity]]</f>
        <v>720000</v>
      </c>
      <c r="N1879">
        <f>Table_1[[#This Row],[Revenue]]-Table_1[[#This Row],[COGS]]</f>
        <v>180000</v>
      </c>
      <c r="O1879" s="11">
        <f t="shared" si="204"/>
        <v>4656740000</v>
      </c>
      <c r="P1879">
        <f t="shared" si="205"/>
        <v>3725392000</v>
      </c>
      <c r="Q1879">
        <f t="shared" si="206"/>
        <v>931348000</v>
      </c>
      <c r="R1879" s="7">
        <f t="shared" si="207"/>
        <v>2098</v>
      </c>
      <c r="S1879" s="7">
        <f t="shared" si="208"/>
        <v>1</v>
      </c>
      <c r="T1879" s="7">
        <f t="shared" si="209"/>
        <v>2098</v>
      </c>
    </row>
    <row r="1880" spans="1:20" ht="14.25" customHeight="1" x14ac:dyDescent="0.35">
      <c r="A1880" s="2" t="s">
        <v>82</v>
      </c>
      <c r="B1880" s="2" t="s">
        <v>34</v>
      </c>
      <c r="C1880" s="2" t="s">
        <v>13</v>
      </c>
      <c r="D1880" s="2" t="s">
        <v>14</v>
      </c>
      <c r="E1880" s="2" t="s">
        <v>15</v>
      </c>
      <c r="F1880" s="2" t="s">
        <v>35</v>
      </c>
      <c r="G1880" s="2" t="s">
        <v>36</v>
      </c>
      <c r="H1880" s="2">
        <v>300000</v>
      </c>
      <c r="I1880" s="2">
        <v>8</v>
      </c>
      <c r="J1880" s="2" t="s">
        <v>50</v>
      </c>
      <c r="K1880" s="2">
        <f t="shared" si="203"/>
        <v>240000</v>
      </c>
      <c r="L1880" s="9">
        <f>Table_1[[#This Row],[Unit Price]]*Table_1[[#This Row],[Quantity]]</f>
        <v>2400000</v>
      </c>
      <c r="M1880" s="8">
        <f>Table_1[[#This Row],[Cost Price]]*Table_1[[#This Row],[Quantity]]</f>
        <v>1920000</v>
      </c>
      <c r="N1880">
        <f>Table_1[[#This Row],[Revenue]]-Table_1[[#This Row],[COGS]]</f>
        <v>480000</v>
      </c>
      <c r="O1880" s="11">
        <f t="shared" si="204"/>
        <v>4656740000</v>
      </c>
      <c r="P1880">
        <f t="shared" si="205"/>
        <v>3725392000</v>
      </c>
      <c r="Q1880">
        <f t="shared" si="206"/>
        <v>931348000</v>
      </c>
      <c r="R1880" s="7">
        <f t="shared" si="207"/>
        <v>2098</v>
      </c>
      <c r="S1880" s="7">
        <f t="shared" si="208"/>
        <v>1</v>
      </c>
      <c r="T1880" s="7">
        <f t="shared" si="209"/>
        <v>2098</v>
      </c>
    </row>
    <row r="1881" spans="1:20" ht="14.25" customHeight="1" x14ac:dyDescent="0.35">
      <c r="A1881" s="2" t="s">
        <v>86</v>
      </c>
      <c r="B1881" s="2" t="s">
        <v>20</v>
      </c>
      <c r="C1881" s="2" t="s">
        <v>13</v>
      </c>
      <c r="D1881" s="2" t="s">
        <v>26</v>
      </c>
      <c r="E1881" s="2" t="s">
        <v>15</v>
      </c>
      <c r="F1881" s="2" t="s">
        <v>35</v>
      </c>
      <c r="G1881" s="2" t="s">
        <v>36</v>
      </c>
      <c r="H1881" s="2">
        <v>300000</v>
      </c>
      <c r="I1881" s="2">
        <v>9</v>
      </c>
      <c r="J1881" s="2" t="s">
        <v>18</v>
      </c>
      <c r="K1881" s="2">
        <f t="shared" si="203"/>
        <v>240000</v>
      </c>
      <c r="L1881" s="9">
        <f>Table_1[[#This Row],[Unit Price]]*Table_1[[#This Row],[Quantity]]</f>
        <v>2700000</v>
      </c>
      <c r="M1881" s="8">
        <f>Table_1[[#This Row],[Cost Price]]*Table_1[[#This Row],[Quantity]]</f>
        <v>2160000</v>
      </c>
      <c r="N1881">
        <f>Table_1[[#This Row],[Revenue]]-Table_1[[#This Row],[COGS]]</f>
        <v>540000</v>
      </c>
      <c r="O1881" s="11">
        <f t="shared" si="204"/>
        <v>4656740000</v>
      </c>
      <c r="P1881">
        <f t="shared" si="205"/>
        <v>3725392000</v>
      </c>
      <c r="Q1881">
        <f t="shared" si="206"/>
        <v>931348000</v>
      </c>
      <c r="R1881" s="7">
        <f t="shared" si="207"/>
        <v>2098</v>
      </c>
      <c r="S1881" s="7">
        <f t="shared" si="208"/>
        <v>1</v>
      </c>
      <c r="T1881" s="7">
        <f t="shared" si="209"/>
        <v>2098</v>
      </c>
    </row>
    <row r="1882" spans="1:20" ht="14.25" customHeight="1" x14ac:dyDescent="0.35">
      <c r="A1882" s="2" t="s">
        <v>143</v>
      </c>
      <c r="B1882" s="2" t="s">
        <v>34</v>
      </c>
      <c r="C1882" s="2" t="s">
        <v>21</v>
      </c>
      <c r="D1882" s="2" t="s">
        <v>14</v>
      </c>
      <c r="E1882" s="2" t="s">
        <v>15</v>
      </c>
      <c r="F1882" s="2" t="s">
        <v>35</v>
      </c>
      <c r="G1882" s="2" t="s">
        <v>36</v>
      </c>
      <c r="H1882" s="2">
        <v>300000</v>
      </c>
      <c r="I1882" s="2">
        <v>2</v>
      </c>
      <c r="J1882" s="2" t="s">
        <v>43</v>
      </c>
      <c r="K1882" s="2">
        <f t="shared" si="203"/>
        <v>240000</v>
      </c>
      <c r="L1882" s="9">
        <f>Table_1[[#This Row],[Unit Price]]*Table_1[[#This Row],[Quantity]]</f>
        <v>600000</v>
      </c>
      <c r="M1882" s="8">
        <f>Table_1[[#This Row],[Cost Price]]*Table_1[[#This Row],[Quantity]]</f>
        <v>480000</v>
      </c>
      <c r="N1882">
        <f>Table_1[[#This Row],[Revenue]]-Table_1[[#This Row],[COGS]]</f>
        <v>120000</v>
      </c>
      <c r="O1882" s="11">
        <f t="shared" si="204"/>
        <v>4656740000</v>
      </c>
      <c r="P1882">
        <f t="shared" si="205"/>
        <v>3725392000</v>
      </c>
      <c r="Q1882">
        <f t="shared" si="206"/>
        <v>931348000</v>
      </c>
      <c r="R1882" s="7">
        <f t="shared" si="207"/>
        <v>2098</v>
      </c>
      <c r="S1882" s="7">
        <f t="shared" si="208"/>
        <v>1</v>
      </c>
      <c r="T1882" s="7">
        <f t="shared" si="209"/>
        <v>2098</v>
      </c>
    </row>
    <row r="1883" spans="1:20" ht="14.25" customHeight="1" x14ac:dyDescent="0.35">
      <c r="A1883" s="2" t="s">
        <v>156</v>
      </c>
      <c r="B1883" s="2" t="s">
        <v>34</v>
      </c>
      <c r="C1883" s="2" t="s">
        <v>13</v>
      </c>
      <c r="D1883" s="2" t="s">
        <v>26</v>
      </c>
      <c r="E1883" s="2" t="s">
        <v>22</v>
      </c>
      <c r="F1883" s="2" t="s">
        <v>35</v>
      </c>
      <c r="G1883" s="2" t="s">
        <v>36</v>
      </c>
      <c r="H1883" s="2">
        <v>300000</v>
      </c>
      <c r="I1883" s="2">
        <v>10</v>
      </c>
      <c r="J1883" s="2" t="s">
        <v>32</v>
      </c>
      <c r="K1883" s="2">
        <f t="shared" si="203"/>
        <v>240000</v>
      </c>
      <c r="L1883" s="9">
        <f>Table_1[[#This Row],[Unit Price]]*Table_1[[#This Row],[Quantity]]</f>
        <v>3000000</v>
      </c>
      <c r="M1883" s="8">
        <f>Table_1[[#This Row],[Cost Price]]*Table_1[[#This Row],[Quantity]]</f>
        <v>2400000</v>
      </c>
      <c r="N1883">
        <f>Table_1[[#This Row],[Revenue]]-Table_1[[#This Row],[COGS]]</f>
        <v>600000</v>
      </c>
      <c r="O1883" s="11">
        <f t="shared" si="204"/>
        <v>4656740000</v>
      </c>
      <c r="P1883">
        <f t="shared" si="205"/>
        <v>3725392000</v>
      </c>
      <c r="Q1883">
        <f t="shared" si="206"/>
        <v>931348000</v>
      </c>
      <c r="R1883" s="7">
        <f t="shared" si="207"/>
        <v>2098</v>
      </c>
      <c r="S1883" s="7">
        <f t="shared" si="208"/>
        <v>3</v>
      </c>
      <c r="T1883" s="7">
        <f t="shared" si="209"/>
        <v>2098</v>
      </c>
    </row>
    <row r="1884" spans="1:20" ht="14.25" customHeight="1" x14ac:dyDescent="0.35">
      <c r="A1884" s="2" t="s">
        <v>85</v>
      </c>
      <c r="B1884" s="2" t="s">
        <v>12</v>
      </c>
      <c r="C1884" s="2" t="s">
        <v>30</v>
      </c>
      <c r="D1884" s="2" t="s">
        <v>26</v>
      </c>
      <c r="E1884" s="2" t="s">
        <v>22</v>
      </c>
      <c r="F1884" s="2" t="s">
        <v>58</v>
      </c>
      <c r="G1884" s="2" t="s">
        <v>24</v>
      </c>
      <c r="H1884" s="2">
        <v>220000</v>
      </c>
      <c r="I1884" s="2">
        <v>4</v>
      </c>
      <c r="J1884" s="2" t="s">
        <v>50</v>
      </c>
      <c r="K1884" s="2">
        <f t="shared" si="203"/>
        <v>176000</v>
      </c>
      <c r="L1884" s="9">
        <f>Table_1[[#This Row],[Unit Price]]*Table_1[[#This Row],[Quantity]]</f>
        <v>880000</v>
      </c>
      <c r="M1884" s="8">
        <f>Table_1[[#This Row],[Cost Price]]*Table_1[[#This Row],[Quantity]]</f>
        <v>704000</v>
      </c>
      <c r="N1884">
        <f>Table_1[[#This Row],[Revenue]]-Table_1[[#This Row],[COGS]]</f>
        <v>176000</v>
      </c>
      <c r="O1884" s="11">
        <f t="shared" si="204"/>
        <v>4656740000</v>
      </c>
      <c r="P1884">
        <f t="shared" si="205"/>
        <v>3725392000</v>
      </c>
      <c r="Q1884">
        <f t="shared" si="206"/>
        <v>931348000</v>
      </c>
      <c r="R1884" s="7">
        <f t="shared" si="207"/>
        <v>2098</v>
      </c>
      <c r="S1884" s="7">
        <f t="shared" si="208"/>
        <v>1</v>
      </c>
      <c r="T1884" s="7">
        <f t="shared" si="209"/>
        <v>2098</v>
      </c>
    </row>
    <row r="1885" spans="1:20" ht="14.25" customHeight="1" x14ac:dyDescent="0.35">
      <c r="A1885" s="2" t="s">
        <v>28</v>
      </c>
      <c r="B1885" s="2" t="s">
        <v>34</v>
      </c>
      <c r="C1885" s="2" t="s">
        <v>21</v>
      </c>
      <c r="D1885" s="2" t="s">
        <v>26</v>
      </c>
      <c r="E1885" s="2" t="s">
        <v>15</v>
      </c>
      <c r="F1885" s="2" t="s">
        <v>16</v>
      </c>
      <c r="G1885" s="2" t="s">
        <v>17</v>
      </c>
      <c r="H1885" s="2">
        <v>85000</v>
      </c>
      <c r="I1885" s="2">
        <v>6</v>
      </c>
      <c r="J1885" s="2" t="s">
        <v>50</v>
      </c>
      <c r="K1885" s="2">
        <f t="shared" si="203"/>
        <v>68000</v>
      </c>
      <c r="L1885" s="9">
        <f>Table_1[[#This Row],[Unit Price]]*Table_1[[#This Row],[Quantity]]</f>
        <v>510000</v>
      </c>
      <c r="M1885" s="8">
        <f>Table_1[[#This Row],[Cost Price]]*Table_1[[#This Row],[Quantity]]</f>
        <v>408000</v>
      </c>
      <c r="N1885">
        <f>Table_1[[#This Row],[Revenue]]-Table_1[[#This Row],[COGS]]</f>
        <v>102000</v>
      </c>
      <c r="O1885" s="11">
        <f t="shared" si="204"/>
        <v>4656740000</v>
      </c>
      <c r="P1885">
        <f t="shared" si="205"/>
        <v>3725392000</v>
      </c>
      <c r="Q1885">
        <f t="shared" si="206"/>
        <v>931348000</v>
      </c>
      <c r="R1885" s="7">
        <f t="shared" si="207"/>
        <v>2098</v>
      </c>
      <c r="S1885" s="7">
        <f t="shared" si="208"/>
        <v>4</v>
      </c>
      <c r="T1885" s="7">
        <f t="shared" si="209"/>
        <v>2098</v>
      </c>
    </row>
    <row r="1886" spans="1:20" ht="14.25" customHeight="1" x14ac:dyDescent="0.35">
      <c r="A1886" s="2" t="s">
        <v>157</v>
      </c>
      <c r="B1886" s="2" t="s">
        <v>12</v>
      </c>
      <c r="C1886" s="2" t="s">
        <v>30</v>
      </c>
      <c r="D1886" s="2" t="s">
        <v>26</v>
      </c>
      <c r="E1886" s="2" t="s">
        <v>22</v>
      </c>
      <c r="F1886" s="2" t="s">
        <v>31</v>
      </c>
      <c r="G1886" s="2" t="s">
        <v>24</v>
      </c>
      <c r="H1886" s="2">
        <v>60000</v>
      </c>
      <c r="I1886" s="2">
        <v>4</v>
      </c>
      <c r="J1886" s="2" t="s">
        <v>32</v>
      </c>
      <c r="K1886" s="2">
        <f t="shared" si="203"/>
        <v>48000</v>
      </c>
      <c r="L1886" s="9">
        <f>Table_1[[#This Row],[Unit Price]]*Table_1[[#This Row],[Quantity]]</f>
        <v>240000</v>
      </c>
      <c r="M1886" s="8">
        <f>Table_1[[#This Row],[Cost Price]]*Table_1[[#This Row],[Quantity]]</f>
        <v>192000</v>
      </c>
      <c r="N1886">
        <f>Table_1[[#This Row],[Revenue]]-Table_1[[#This Row],[COGS]]</f>
        <v>48000</v>
      </c>
      <c r="O1886" s="11">
        <f t="shared" si="204"/>
        <v>4656740000</v>
      </c>
      <c r="P1886">
        <f t="shared" si="205"/>
        <v>3725392000</v>
      </c>
      <c r="Q1886">
        <f t="shared" si="206"/>
        <v>931348000</v>
      </c>
      <c r="R1886" s="7">
        <f t="shared" si="207"/>
        <v>2098</v>
      </c>
      <c r="S1886" s="7">
        <f t="shared" si="208"/>
        <v>3</v>
      </c>
      <c r="T1886" s="7">
        <f t="shared" si="209"/>
        <v>2098</v>
      </c>
    </row>
    <row r="1887" spans="1:20" ht="14.25" customHeight="1" x14ac:dyDescent="0.35">
      <c r="A1887" s="2" t="s">
        <v>148</v>
      </c>
      <c r="B1887" s="2" t="s">
        <v>20</v>
      </c>
      <c r="C1887" s="2" t="s">
        <v>13</v>
      </c>
      <c r="D1887" s="2" t="s">
        <v>14</v>
      </c>
      <c r="E1887" s="2" t="s">
        <v>22</v>
      </c>
      <c r="F1887" s="2" t="s">
        <v>58</v>
      </c>
      <c r="G1887" s="2" t="s">
        <v>24</v>
      </c>
      <c r="H1887" s="2">
        <v>220000</v>
      </c>
      <c r="I1887" s="2">
        <v>2</v>
      </c>
      <c r="J1887" s="2" t="s">
        <v>27</v>
      </c>
      <c r="K1887" s="2">
        <f t="shared" si="203"/>
        <v>176000</v>
      </c>
      <c r="L1887" s="9">
        <f>Table_1[[#This Row],[Unit Price]]*Table_1[[#This Row],[Quantity]]</f>
        <v>440000</v>
      </c>
      <c r="M1887" s="8">
        <f>Table_1[[#This Row],[Cost Price]]*Table_1[[#This Row],[Quantity]]</f>
        <v>352000</v>
      </c>
      <c r="N1887">
        <f>Table_1[[#This Row],[Revenue]]-Table_1[[#This Row],[COGS]]</f>
        <v>88000</v>
      </c>
      <c r="O1887" s="11">
        <f t="shared" si="204"/>
        <v>4656740000</v>
      </c>
      <c r="P1887">
        <f t="shared" si="205"/>
        <v>3725392000</v>
      </c>
      <c r="Q1887">
        <f t="shared" si="206"/>
        <v>931348000</v>
      </c>
      <c r="R1887" s="7">
        <f t="shared" si="207"/>
        <v>2098</v>
      </c>
      <c r="S1887" s="7">
        <f t="shared" si="208"/>
        <v>4</v>
      </c>
      <c r="T1887" s="7">
        <f t="shared" si="209"/>
        <v>2098</v>
      </c>
    </row>
    <row r="1888" spans="1:20" ht="14.25" customHeight="1" x14ac:dyDescent="0.35">
      <c r="A1888" s="2" t="s">
        <v>53</v>
      </c>
      <c r="B1888" s="2" t="s">
        <v>20</v>
      </c>
      <c r="C1888" s="2" t="s">
        <v>38</v>
      </c>
      <c r="D1888" s="2" t="s">
        <v>26</v>
      </c>
      <c r="E1888" s="2" t="s">
        <v>15</v>
      </c>
      <c r="F1888" s="2" t="s">
        <v>35</v>
      </c>
      <c r="G1888" s="2" t="s">
        <v>36</v>
      </c>
      <c r="H1888" s="2">
        <v>300000</v>
      </c>
      <c r="I1888" s="2">
        <v>3</v>
      </c>
      <c r="J1888" s="2" t="s">
        <v>18</v>
      </c>
      <c r="K1888" s="2">
        <f t="shared" si="203"/>
        <v>240000</v>
      </c>
      <c r="L1888" s="9">
        <f>Table_1[[#This Row],[Unit Price]]*Table_1[[#This Row],[Quantity]]</f>
        <v>900000</v>
      </c>
      <c r="M1888" s="8">
        <f>Table_1[[#This Row],[Cost Price]]*Table_1[[#This Row],[Quantity]]</f>
        <v>720000</v>
      </c>
      <c r="N1888">
        <f>Table_1[[#This Row],[Revenue]]-Table_1[[#This Row],[COGS]]</f>
        <v>180000</v>
      </c>
      <c r="O1888" s="11">
        <f t="shared" si="204"/>
        <v>4656740000</v>
      </c>
      <c r="P1888">
        <f t="shared" si="205"/>
        <v>3725392000</v>
      </c>
      <c r="Q1888">
        <f t="shared" si="206"/>
        <v>931348000</v>
      </c>
      <c r="R1888" s="7">
        <f t="shared" si="207"/>
        <v>2098</v>
      </c>
      <c r="S1888" s="7">
        <f t="shared" si="208"/>
        <v>3</v>
      </c>
      <c r="T1888" s="7">
        <f t="shared" si="209"/>
        <v>2098</v>
      </c>
    </row>
    <row r="1889" spans="1:20" ht="14.25" customHeight="1" x14ac:dyDescent="0.35">
      <c r="A1889" s="2" t="s">
        <v>134</v>
      </c>
      <c r="B1889" s="2" t="s">
        <v>29</v>
      </c>
      <c r="C1889" s="2" t="s">
        <v>13</v>
      </c>
      <c r="D1889" s="2" t="s">
        <v>26</v>
      </c>
      <c r="E1889" s="2" t="s">
        <v>15</v>
      </c>
      <c r="F1889" s="2" t="s">
        <v>58</v>
      </c>
      <c r="G1889" s="2" t="s">
        <v>24</v>
      </c>
      <c r="H1889" s="2">
        <v>220000</v>
      </c>
      <c r="I1889" s="2">
        <v>8</v>
      </c>
      <c r="J1889" s="2" t="s">
        <v>54</v>
      </c>
      <c r="K1889" s="2">
        <f t="shared" si="203"/>
        <v>176000</v>
      </c>
      <c r="L1889" s="9">
        <f>Table_1[[#This Row],[Unit Price]]*Table_1[[#This Row],[Quantity]]</f>
        <v>1760000</v>
      </c>
      <c r="M1889" s="8">
        <f>Table_1[[#This Row],[Cost Price]]*Table_1[[#This Row],[Quantity]]</f>
        <v>1408000</v>
      </c>
      <c r="N1889">
        <f>Table_1[[#This Row],[Revenue]]-Table_1[[#This Row],[COGS]]</f>
        <v>352000</v>
      </c>
      <c r="O1889" s="11">
        <f t="shared" si="204"/>
        <v>4656740000</v>
      </c>
      <c r="P1889">
        <f t="shared" si="205"/>
        <v>3725392000</v>
      </c>
      <c r="Q1889">
        <f t="shared" si="206"/>
        <v>931348000</v>
      </c>
      <c r="R1889" s="7">
        <f t="shared" si="207"/>
        <v>2098</v>
      </c>
      <c r="S1889" s="7">
        <f t="shared" si="208"/>
        <v>4</v>
      </c>
      <c r="T1889" s="7">
        <f t="shared" si="209"/>
        <v>2098</v>
      </c>
    </row>
    <row r="1890" spans="1:20" ht="14.25" customHeight="1" x14ac:dyDescent="0.35">
      <c r="A1890" s="2" t="s">
        <v>117</v>
      </c>
      <c r="B1890" s="2" t="s">
        <v>12</v>
      </c>
      <c r="C1890" s="2" t="s">
        <v>13</v>
      </c>
      <c r="D1890" s="2" t="s">
        <v>14</v>
      </c>
      <c r="E1890" s="2" t="s">
        <v>15</v>
      </c>
      <c r="F1890" s="2" t="s">
        <v>56</v>
      </c>
      <c r="G1890" s="2" t="s">
        <v>36</v>
      </c>
      <c r="H1890" s="2">
        <v>250000</v>
      </c>
      <c r="I1890" s="2">
        <v>8</v>
      </c>
      <c r="J1890" s="2" t="s">
        <v>50</v>
      </c>
      <c r="K1890" s="2">
        <f t="shared" si="203"/>
        <v>200000</v>
      </c>
      <c r="L1890" s="9">
        <f>Table_1[[#This Row],[Unit Price]]*Table_1[[#This Row],[Quantity]]</f>
        <v>2000000</v>
      </c>
      <c r="M1890" s="8">
        <f>Table_1[[#This Row],[Cost Price]]*Table_1[[#This Row],[Quantity]]</f>
        <v>1600000</v>
      </c>
      <c r="N1890">
        <f>Table_1[[#This Row],[Revenue]]-Table_1[[#This Row],[COGS]]</f>
        <v>400000</v>
      </c>
      <c r="O1890" s="11">
        <f t="shared" si="204"/>
        <v>4656740000</v>
      </c>
      <c r="P1890">
        <f t="shared" si="205"/>
        <v>3725392000</v>
      </c>
      <c r="Q1890">
        <f t="shared" si="206"/>
        <v>931348000</v>
      </c>
      <c r="R1890" s="7">
        <f t="shared" si="207"/>
        <v>2098</v>
      </c>
      <c r="S1890" s="7">
        <f t="shared" si="208"/>
        <v>4</v>
      </c>
      <c r="T1890" s="7">
        <f t="shared" si="209"/>
        <v>2098</v>
      </c>
    </row>
    <row r="1891" spans="1:20" ht="14.25" customHeight="1" x14ac:dyDescent="0.35">
      <c r="A1891" s="2" t="s">
        <v>157</v>
      </c>
      <c r="B1891" s="2" t="s">
        <v>29</v>
      </c>
      <c r="C1891" s="2" t="s">
        <v>13</v>
      </c>
      <c r="D1891" s="2" t="s">
        <v>14</v>
      </c>
      <c r="E1891" s="2" t="s">
        <v>15</v>
      </c>
      <c r="F1891" s="2" t="s">
        <v>16</v>
      </c>
      <c r="G1891" s="2" t="s">
        <v>17</v>
      </c>
      <c r="H1891" s="2">
        <v>85000</v>
      </c>
      <c r="I1891" s="2">
        <v>2</v>
      </c>
      <c r="J1891" s="2" t="s">
        <v>18</v>
      </c>
      <c r="K1891" s="2">
        <f t="shared" si="203"/>
        <v>68000</v>
      </c>
      <c r="L1891" s="9">
        <f>Table_1[[#This Row],[Unit Price]]*Table_1[[#This Row],[Quantity]]</f>
        <v>170000</v>
      </c>
      <c r="M1891" s="8">
        <f>Table_1[[#This Row],[Cost Price]]*Table_1[[#This Row],[Quantity]]</f>
        <v>136000</v>
      </c>
      <c r="N1891">
        <f>Table_1[[#This Row],[Revenue]]-Table_1[[#This Row],[COGS]]</f>
        <v>34000</v>
      </c>
      <c r="O1891" s="11">
        <f t="shared" si="204"/>
        <v>4656740000</v>
      </c>
      <c r="P1891">
        <f t="shared" si="205"/>
        <v>3725392000</v>
      </c>
      <c r="Q1891">
        <f t="shared" si="206"/>
        <v>931348000</v>
      </c>
      <c r="R1891" s="7">
        <f t="shared" si="207"/>
        <v>2098</v>
      </c>
      <c r="S1891" s="7">
        <f t="shared" si="208"/>
        <v>3</v>
      </c>
      <c r="T1891" s="7">
        <f t="shared" si="209"/>
        <v>2098</v>
      </c>
    </row>
    <row r="1892" spans="1:20" ht="14.25" customHeight="1" x14ac:dyDescent="0.35">
      <c r="A1892" s="2" t="s">
        <v>106</v>
      </c>
      <c r="B1892" s="2" t="s">
        <v>34</v>
      </c>
      <c r="C1892" s="2" t="s">
        <v>30</v>
      </c>
      <c r="D1892" s="2" t="s">
        <v>26</v>
      </c>
      <c r="E1892" s="2" t="s">
        <v>22</v>
      </c>
      <c r="F1892" s="2" t="s">
        <v>47</v>
      </c>
      <c r="G1892" s="2" t="s">
        <v>36</v>
      </c>
      <c r="H1892" s="2">
        <v>150000</v>
      </c>
      <c r="I1892" s="2">
        <v>7</v>
      </c>
      <c r="J1892" s="2" t="s">
        <v>50</v>
      </c>
      <c r="K1892" s="2">
        <f t="shared" si="203"/>
        <v>120000</v>
      </c>
      <c r="L1892" s="9">
        <f>Table_1[[#This Row],[Unit Price]]*Table_1[[#This Row],[Quantity]]</f>
        <v>1050000</v>
      </c>
      <c r="M1892" s="8">
        <f>Table_1[[#This Row],[Cost Price]]*Table_1[[#This Row],[Quantity]]</f>
        <v>840000</v>
      </c>
      <c r="N1892">
        <f>Table_1[[#This Row],[Revenue]]-Table_1[[#This Row],[COGS]]</f>
        <v>210000</v>
      </c>
      <c r="O1892" s="11">
        <f t="shared" si="204"/>
        <v>4656740000</v>
      </c>
      <c r="P1892">
        <f t="shared" si="205"/>
        <v>3725392000</v>
      </c>
      <c r="Q1892">
        <f t="shared" si="206"/>
        <v>931348000</v>
      </c>
      <c r="R1892" s="7">
        <f t="shared" si="207"/>
        <v>2098</v>
      </c>
      <c r="S1892" s="7">
        <f t="shared" si="208"/>
        <v>4</v>
      </c>
      <c r="T1892" s="7">
        <f t="shared" si="209"/>
        <v>2098</v>
      </c>
    </row>
    <row r="1893" spans="1:20" ht="14.25" customHeight="1" x14ac:dyDescent="0.35">
      <c r="A1893" s="2" t="s">
        <v>113</v>
      </c>
      <c r="B1893" s="2" t="s">
        <v>29</v>
      </c>
      <c r="C1893" s="2" t="s">
        <v>30</v>
      </c>
      <c r="D1893" s="2" t="s">
        <v>14</v>
      </c>
      <c r="E1893" s="2" t="s">
        <v>15</v>
      </c>
      <c r="F1893" s="2" t="s">
        <v>23</v>
      </c>
      <c r="G1893" s="2" t="s">
        <v>24</v>
      </c>
      <c r="H1893" s="2">
        <v>30000</v>
      </c>
      <c r="I1893" s="2">
        <v>8</v>
      </c>
      <c r="J1893" s="2" t="s">
        <v>32</v>
      </c>
      <c r="K1893" s="2">
        <f t="shared" si="203"/>
        <v>24000</v>
      </c>
      <c r="L1893" s="9">
        <f>Table_1[[#This Row],[Unit Price]]*Table_1[[#This Row],[Quantity]]</f>
        <v>240000</v>
      </c>
      <c r="M1893" s="8">
        <f>Table_1[[#This Row],[Cost Price]]*Table_1[[#This Row],[Quantity]]</f>
        <v>192000</v>
      </c>
      <c r="N1893">
        <f>Table_1[[#This Row],[Revenue]]-Table_1[[#This Row],[COGS]]</f>
        <v>48000</v>
      </c>
      <c r="O1893" s="11">
        <f t="shared" si="204"/>
        <v>4656740000</v>
      </c>
      <c r="P1893">
        <f t="shared" si="205"/>
        <v>3725392000</v>
      </c>
      <c r="Q1893">
        <f t="shared" si="206"/>
        <v>931348000</v>
      </c>
      <c r="R1893" s="7">
        <f t="shared" si="207"/>
        <v>2098</v>
      </c>
      <c r="S1893" s="7">
        <f t="shared" si="208"/>
        <v>3</v>
      </c>
      <c r="T1893" s="7">
        <f t="shared" si="209"/>
        <v>2098</v>
      </c>
    </row>
    <row r="1894" spans="1:20" ht="14.25" customHeight="1" x14ac:dyDescent="0.35">
      <c r="A1894" s="2" t="s">
        <v>124</v>
      </c>
      <c r="B1894" s="2" t="s">
        <v>12</v>
      </c>
      <c r="C1894" s="2" t="s">
        <v>13</v>
      </c>
      <c r="D1894" s="2" t="s">
        <v>26</v>
      </c>
      <c r="E1894" s="2" t="s">
        <v>15</v>
      </c>
      <c r="F1894" s="2" t="s">
        <v>16</v>
      </c>
      <c r="G1894" s="2" t="s">
        <v>17</v>
      </c>
      <c r="H1894" s="2">
        <v>85000</v>
      </c>
      <c r="I1894" s="2">
        <v>2</v>
      </c>
      <c r="J1894" s="2" t="s">
        <v>50</v>
      </c>
      <c r="K1894" s="2">
        <f t="shared" si="203"/>
        <v>68000</v>
      </c>
      <c r="L1894" s="9">
        <f>Table_1[[#This Row],[Unit Price]]*Table_1[[#This Row],[Quantity]]</f>
        <v>170000</v>
      </c>
      <c r="M1894" s="8">
        <f>Table_1[[#This Row],[Cost Price]]*Table_1[[#This Row],[Quantity]]</f>
        <v>136000</v>
      </c>
      <c r="N1894">
        <f>Table_1[[#This Row],[Revenue]]-Table_1[[#This Row],[COGS]]</f>
        <v>34000</v>
      </c>
      <c r="O1894" s="11">
        <f t="shared" si="204"/>
        <v>4656740000</v>
      </c>
      <c r="P1894">
        <f t="shared" si="205"/>
        <v>3725392000</v>
      </c>
      <c r="Q1894">
        <f t="shared" si="206"/>
        <v>931348000</v>
      </c>
      <c r="R1894" s="7">
        <f t="shared" si="207"/>
        <v>2098</v>
      </c>
      <c r="S1894" s="7">
        <f t="shared" si="208"/>
        <v>1</v>
      </c>
      <c r="T1894" s="7">
        <f t="shared" si="209"/>
        <v>2098</v>
      </c>
    </row>
    <row r="1895" spans="1:20" ht="14.25" customHeight="1" x14ac:dyDescent="0.35">
      <c r="A1895" s="2" t="s">
        <v>90</v>
      </c>
      <c r="B1895" s="2" t="s">
        <v>12</v>
      </c>
      <c r="C1895" s="2" t="s">
        <v>38</v>
      </c>
      <c r="D1895" s="2" t="s">
        <v>14</v>
      </c>
      <c r="E1895" s="2" t="s">
        <v>15</v>
      </c>
      <c r="F1895" s="2" t="s">
        <v>39</v>
      </c>
      <c r="G1895" s="2" t="s">
        <v>24</v>
      </c>
      <c r="H1895" s="2">
        <v>180000</v>
      </c>
      <c r="I1895" s="2">
        <v>5</v>
      </c>
      <c r="J1895" s="2" t="s">
        <v>27</v>
      </c>
      <c r="K1895" s="2">
        <f t="shared" si="203"/>
        <v>144000</v>
      </c>
      <c r="L1895" s="9">
        <f>Table_1[[#This Row],[Unit Price]]*Table_1[[#This Row],[Quantity]]</f>
        <v>900000</v>
      </c>
      <c r="M1895" s="8">
        <f>Table_1[[#This Row],[Cost Price]]*Table_1[[#This Row],[Quantity]]</f>
        <v>720000</v>
      </c>
      <c r="N1895">
        <f>Table_1[[#This Row],[Revenue]]-Table_1[[#This Row],[COGS]]</f>
        <v>180000</v>
      </c>
      <c r="O1895" s="11">
        <f t="shared" si="204"/>
        <v>4656740000</v>
      </c>
      <c r="P1895">
        <f t="shared" si="205"/>
        <v>3725392000</v>
      </c>
      <c r="Q1895">
        <f t="shared" si="206"/>
        <v>931348000</v>
      </c>
      <c r="R1895" s="7">
        <f t="shared" si="207"/>
        <v>2098</v>
      </c>
      <c r="S1895" s="7">
        <f t="shared" si="208"/>
        <v>3</v>
      </c>
      <c r="T1895" s="7">
        <f t="shared" si="209"/>
        <v>2098</v>
      </c>
    </row>
    <row r="1896" spans="1:20" ht="14.25" customHeight="1" x14ac:dyDescent="0.35">
      <c r="A1896" s="2" t="s">
        <v>156</v>
      </c>
      <c r="B1896" s="2" t="s">
        <v>12</v>
      </c>
      <c r="C1896" s="2" t="s">
        <v>30</v>
      </c>
      <c r="D1896" s="2" t="s">
        <v>14</v>
      </c>
      <c r="E1896" s="2" t="s">
        <v>15</v>
      </c>
      <c r="F1896" s="2" t="s">
        <v>16</v>
      </c>
      <c r="G1896" s="2" t="s">
        <v>17</v>
      </c>
      <c r="H1896" s="2">
        <v>85000</v>
      </c>
      <c r="I1896" s="2">
        <v>9</v>
      </c>
      <c r="J1896" s="2" t="s">
        <v>50</v>
      </c>
      <c r="K1896" s="2">
        <f t="shared" si="203"/>
        <v>68000</v>
      </c>
      <c r="L1896" s="9">
        <f>Table_1[[#This Row],[Unit Price]]*Table_1[[#This Row],[Quantity]]</f>
        <v>765000</v>
      </c>
      <c r="M1896" s="8">
        <f>Table_1[[#This Row],[Cost Price]]*Table_1[[#This Row],[Quantity]]</f>
        <v>612000</v>
      </c>
      <c r="N1896">
        <f>Table_1[[#This Row],[Revenue]]-Table_1[[#This Row],[COGS]]</f>
        <v>153000</v>
      </c>
      <c r="O1896" s="11">
        <f t="shared" si="204"/>
        <v>4656740000</v>
      </c>
      <c r="P1896">
        <f t="shared" si="205"/>
        <v>3725392000</v>
      </c>
      <c r="Q1896">
        <f t="shared" si="206"/>
        <v>931348000</v>
      </c>
      <c r="R1896" s="7">
        <f t="shared" si="207"/>
        <v>2098</v>
      </c>
      <c r="S1896" s="7">
        <f t="shared" si="208"/>
        <v>3</v>
      </c>
      <c r="T1896" s="7">
        <f t="shared" si="209"/>
        <v>2098</v>
      </c>
    </row>
    <row r="1897" spans="1:20" ht="14.25" customHeight="1" x14ac:dyDescent="0.35">
      <c r="A1897" s="2" t="s">
        <v>131</v>
      </c>
      <c r="B1897" s="2" t="s">
        <v>12</v>
      </c>
      <c r="C1897" s="2" t="s">
        <v>38</v>
      </c>
      <c r="D1897" s="2" t="s">
        <v>26</v>
      </c>
      <c r="E1897" s="2" t="s">
        <v>15</v>
      </c>
      <c r="F1897" s="2" t="s">
        <v>52</v>
      </c>
      <c r="G1897" s="2" t="s">
        <v>36</v>
      </c>
      <c r="H1897" s="2">
        <v>420000</v>
      </c>
      <c r="I1897" s="2">
        <v>9</v>
      </c>
      <c r="J1897" s="2" t="s">
        <v>27</v>
      </c>
      <c r="K1897" s="2">
        <f t="shared" si="203"/>
        <v>336000</v>
      </c>
      <c r="L1897" s="9">
        <f>Table_1[[#This Row],[Unit Price]]*Table_1[[#This Row],[Quantity]]</f>
        <v>3780000</v>
      </c>
      <c r="M1897" s="8">
        <f>Table_1[[#This Row],[Cost Price]]*Table_1[[#This Row],[Quantity]]</f>
        <v>3024000</v>
      </c>
      <c r="N1897">
        <f>Table_1[[#This Row],[Revenue]]-Table_1[[#This Row],[COGS]]</f>
        <v>756000</v>
      </c>
      <c r="O1897" s="11">
        <f t="shared" si="204"/>
        <v>4656740000</v>
      </c>
      <c r="P1897">
        <f t="shared" si="205"/>
        <v>3725392000</v>
      </c>
      <c r="Q1897">
        <f t="shared" si="206"/>
        <v>931348000</v>
      </c>
      <c r="R1897" s="7">
        <f t="shared" si="207"/>
        <v>2098</v>
      </c>
      <c r="S1897" s="7">
        <f t="shared" si="208"/>
        <v>1</v>
      </c>
      <c r="T1897" s="7">
        <f t="shared" si="209"/>
        <v>2098</v>
      </c>
    </row>
    <row r="1898" spans="1:20" ht="14.25" customHeight="1" x14ac:dyDescent="0.35">
      <c r="A1898" s="2" t="s">
        <v>162</v>
      </c>
      <c r="B1898" s="2" t="s">
        <v>34</v>
      </c>
      <c r="C1898" s="2" t="s">
        <v>38</v>
      </c>
      <c r="D1898" s="2" t="s">
        <v>14</v>
      </c>
      <c r="E1898" s="2" t="s">
        <v>15</v>
      </c>
      <c r="F1898" s="2" t="s">
        <v>41</v>
      </c>
      <c r="G1898" s="2" t="s">
        <v>17</v>
      </c>
      <c r="H1898" s="2">
        <v>320000</v>
      </c>
      <c r="I1898" s="2">
        <v>5</v>
      </c>
      <c r="J1898" s="2" t="s">
        <v>18</v>
      </c>
      <c r="K1898" s="2">
        <f t="shared" si="203"/>
        <v>256000</v>
      </c>
      <c r="L1898" s="9">
        <f>Table_1[[#This Row],[Unit Price]]*Table_1[[#This Row],[Quantity]]</f>
        <v>1600000</v>
      </c>
      <c r="M1898" s="8">
        <f>Table_1[[#This Row],[Cost Price]]*Table_1[[#This Row],[Quantity]]</f>
        <v>1280000</v>
      </c>
      <c r="N1898">
        <f>Table_1[[#This Row],[Revenue]]-Table_1[[#This Row],[COGS]]</f>
        <v>320000</v>
      </c>
      <c r="O1898" s="11">
        <f t="shared" si="204"/>
        <v>4656740000</v>
      </c>
      <c r="P1898">
        <f t="shared" si="205"/>
        <v>3725392000</v>
      </c>
      <c r="Q1898">
        <f t="shared" si="206"/>
        <v>931348000</v>
      </c>
      <c r="R1898" s="7">
        <f t="shared" si="207"/>
        <v>2098</v>
      </c>
      <c r="S1898" s="7">
        <f t="shared" si="208"/>
        <v>3</v>
      </c>
      <c r="T1898" s="7">
        <f t="shared" si="209"/>
        <v>2098</v>
      </c>
    </row>
    <row r="1899" spans="1:20" ht="14.25" customHeight="1" x14ac:dyDescent="0.35">
      <c r="A1899" s="2" t="s">
        <v>148</v>
      </c>
      <c r="B1899" s="2" t="s">
        <v>12</v>
      </c>
      <c r="C1899" s="2" t="s">
        <v>21</v>
      </c>
      <c r="D1899" s="2" t="s">
        <v>14</v>
      </c>
      <c r="E1899" s="2" t="s">
        <v>15</v>
      </c>
      <c r="F1899" s="2" t="s">
        <v>41</v>
      </c>
      <c r="G1899" s="2" t="s">
        <v>17</v>
      </c>
      <c r="H1899" s="2">
        <v>320000</v>
      </c>
      <c r="I1899" s="2">
        <v>1</v>
      </c>
      <c r="J1899" s="2" t="s">
        <v>50</v>
      </c>
      <c r="K1899" s="2">
        <f t="shared" si="203"/>
        <v>256000</v>
      </c>
      <c r="L1899" s="9">
        <f>Table_1[[#This Row],[Unit Price]]*Table_1[[#This Row],[Quantity]]</f>
        <v>320000</v>
      </c>
      <c r="M1899" s="8">
        <f>Table_1[[#This Row],[Cost Price]]*Table_1[[#This Row],[Quantity]]</f>
        <v>256000</v>
      </c>
      <c r="N1899">
        <f>Table_1[[#This Row],[Revenue]]-Table_1[[#This Row],[COGS]]</f>
        <v>64000</v>
      </c>
      <c r="O1899" s="11">
        <f t="shared" si="204"/>
        <v>4656740000</v>
      </c>
      <c r="P1899">
        <f t="shared" si="205"/>
        <v>3725392000</v>
      </c>
      <c r="Q1899">
        <f t="shared" si="206"/>
        <v>931348000</v>
      </c>
      <c r="R1899" s="7">
        <f t="shared" si="207"/>
        <v>2098</v>
      </c>
      <c r="S1899" s="7">
        <f t="shared" si="208"/>
        <v>4</v>
      </c>
      <c r="T1899" s="7">
        <f t="shared" si="209"/>
        <v>2098</v>
      </c>
    </row>
    <row r="1900" spans="1:20" ht="14.25" customHeight="1" x14ac:dyDescent="0.35">
      <c r="A1900" s="2" t="s">
        <v>53</v>
      </c>
      <c r="B1900" s="2" t="s">
        <v>34</v>
      </c>
      <c r="C1900" s="2" t="s">
        <v>30</v>
      </c>
      <c r="D1900" s="2" t="s">
        <v>14</v>
      </c>
      <c r="E1900" s="2" t="s">
        <v>15</v>
      </c>
      <c r="F1900" s="2" t="s">
        <v>23</v>
      </c>
      <c r="G1900" s="2" t="s">
        <v>24</v>
      </c>
      <c r="H1900" s="2">
        <v>30000</v>
      </c>
      <c r="I1900" s="2">
        <v>10</v>
      </c>
      <c r="J1900" s="2" t="s">
        <v>43</v>
      </c>
      <c r="K1900" s="2">
        <f t="shared" si="203"/>
        <v>24000</v>
      </c>
      <c r="L1900" s="9">
        <f>Table_1[[#This Row],[Unit Price]]*Table_1[[#This Row],[Quantity]]</f>
        <v>300000</v>
      </c>
      <c r="M1900" s="8">
        <f>Table_1[[#This Row],[Cost Price]]*Table_1[[#This Row],[Quantity]]</f>
        <v>240000</v>
      </c>
      <c r="N1900">
        <f>Table_1[[#This Row],[Revenue]]-Table_1[[#This Row],[COGS]]</f>
        <v>60000</v>
      </c>
      <c r="O1900" s="11">
        <f t="shared" si="204"/>
        <v>4656740000</v>
      </c>
      <c r="P1900">
        <f t="shared" si="205"/>
        <v>3725392000</v>
      </c>
      <c r="Q1900">
        <f t="shared" si="206"/>
        <v>931348000</v>
      </c>
      <c r="R1900" s="7">
        <f t="shared" si="207"/>
        <v>2098</v>
      </c>
      <c r="S1900" s="7">
        <f t="shared" si="208"/>
        <v>3</v>
      </c>
      <c r="T1900" s="7">
        <f t="shared" si="209"/>
        <v>2098</v>
      </c>
    </row>
    <row r="1901" spans="1:20" ht="14.25" customHeight="1" x14ac:dyDescent="0.35">
      <c r="A1901" s="2" t="s">
        <v>141</v>
      </c>
      <c r="B1901" s="2" t="s">
        <v>20</v>
      </c>
      <c r="C1901" s="2" t="s">
        <v>13</v>
      </c>
      <c r="D1901" s="2" t="s">
        <v>14</v>
      </c>
      <c r="E1901" s="2" t="s">
        <v>22</v>
      </c>
      <c r="F1901" s="2" t="s">
        <v>39</v>
      </c>
      <c r="G1901" s="2" t="s">
        <v>24</v>
      </c>
      <c r="H1901" s="2">
        <v>180000</v>
      </c>
      <c r="I1901" s="2">
        <v>10</v>
      </c>
      <c r="J1901" s="2" t="s">
        <v>54</v>
      </c>
      <c r="K1901" s="2">
        <f t="shared" si="203"/>
        <v>144000</v>
      </c>
      <c r="L1901" s="9">
        <f>Table_1[[#This Row],[Unit Price]]*Table_1[[#This Row],[Quantity]]</f>
        <v>1800000</v>
      </c>
      <c r="M1901" s="8">
        <f>Table_1[[#This Row],[Cost Price]]*Table_1[[#This Row],[Quantity]]</f>
        <v>1440000</v>
      </c>
      <c r="N1901">
        <f>Table_1[[#This Row],[Revenue]]-Table_1[[#This Row],[COGS]]</f>
        <v>360000</v>
      </c>
      <c r="O1901" s="11">
        <f t="shared" si="204"/>
        <v>4656740000</v>
      </c>
      <c r="P1901">
        <f t="shared" si="205"/>
        <v>3725392000</v>
      </c>
      <c r="Q1901">
        <f t="shared" si="206"/>
        <v>931348000</v>
      </c>
      <c r="R1901" s="7">
        <f t="shared" si="207"/>
        <v>2098</v>
      </c>
      <c r="S1901" s="7">
        <f t="shared" si="208"/>
        <v>2</v>
      </c>
      <c r="T1901" s="7">
        <f t="shared" si="209"/>
        <v>2098</v>
      </c>
    </row>
    <row r="1902" spans="1:20" ht="14.25" customHeight="1" x14ac:dyDescent="0.35">
      <c r="A1902" s="2" t="s">
        <v>81</v>
      </c>
      <c r="B1902" s="2" t="s">
        <v>12</v>
      </c>
      <c r="C1902" s="2" t="s">
        <v>30</v>
      </c>
      <c r="D1902" s="2" t="s">
        <v>26</v>
      </c>
      <c r="E1902" s="2" t="s">
        <v>15</v>
      </c>
      <c r="F1902" s="2" t="s">
        <v>41</v>
      </c>
      <c r="G1902" s="2" t="s">
        <v>17</v>
      </c>
      <c r="H1902" s="2">
        <v>320000</v>
      </c>
      <c r="I1902" s="2">
        <v>9</v>
      </c>
      <c r="J1902" s="2" t="s">
        <v>32</v>
      </c>
      <c r="K1902" s="2">
        <f t="shared" si="203"/>
        <v>256000</v>
      </c>
      <c r="L1902" s="9">
        <f>Table_1[[#This Row],[Unit Price]]*Table_1[[#This Row],[Quantity]]</f>
        <v>2880000</v>
      </c>
      <c r="M1902" s="8">
        <f>Table_1[[#This Row],[Cost Price]]*Table_1[[#This Row],[Quantity]]</f>
        <v>2304000</v>
      </c>
      <c r="N1902">
        <f>Table_1[[#This Row],[Revenue]]-Table_1[[#This Row],[COGS]]</f>
        <v>576000</v>
      </c>
      <c r="O1902" s="11">
        <f t="shared" si="204"/>
        <v>4656740000</v>
      </c>
      <c r="P1902">
        <f t="shared" si="205"/>
        <v>3725392000</v>
      </c>
      <c r="Q1902">
        <f t="shared" si="206"/>
        <v>931348000</v>
      </c>
      <c r="R1902" s="7">
        <f t="shared" si="207"/>
        <v>2098</v>
      </c>
      <c r="S1902" s="7">
        <f t="shared" si="208"/>
        <v>3</v>
      </c>
      <c r="T1902" s="7">
        <f t="shared" si="209"/>
        <v>2098</v>
      </c>
    </row>
    <row r="1903" spans="1:20" ht="14.25" customHeight="1" x14ac:dyDescent="0.35">
      <c r="A1903" s="2" t="s">
        <v>86</v>
      </c>
      <c r="B1903" s="2" t="s">
        <v>12</v>
      </c>
      <c r="C1903" s="2" t="s">
        <v>38</v>
      </c>
      <c r="D1903" s="2" t="s">
        <v>26</v>
      </c>
      <c r="E1903" s="2" t="s">
        <v>15</v>
      </c>
      <c r="F1903" s="2" t="s">
        <v>52</v>
      </c>
      <c r="G1903" s="2" t="s">
        <v>36</v>
      </c>
      <c r="H1903" s="2">
        <v>420000</v>
      </c>
      <c r="I1903" s="2">
        <v>2</v>
      </c>
      <c r="J1903" s="2" t="s">
        <v>50</v>
      </c>
      <c r="K1903" s="2">
        <f t="shared" si="203"/>
        <v>336000</v>
      </c>
      <c r="L1903" s="9">
        <f>Table_1[[#This Row],[Unit Price]]*Table_1[[#This Row],[Quantity]]</f>
        <v>840000</v>
      </c>
      <c r="M1903" s="8">
        <f>Table_1[[#This Row],[Cost Price]]*Table_1[[#This Row],[Quantity]]</f>
        <v>672000</v>
      </c>
      <c r="N1903">
        <f>Table_1[[#This Row],[Revenue]]-Table_1[[#This Row],[COGS]]</f>
        <v>168000</v>
      </c>
      <c r="O1903" s="11">
        <f t="shared" si="204"/>
        <v>4656740000</v>
      </c>
      <c r="P1903">
        <f t="shared" si="205"/>
        <v>3725392000</v>
      </c>
      <c r="Q1903">
        <f t="shared" si="206"/>
        <v>931348000</v>
      </c>
      <c r="R1903" s="7">
        <f t="shared" si="207"/>
        <v>2098</v>
      </c>
      <c r="S1903" s="7">
        <f t="shared" si="208"/>
        <v>1</v>
      </c>
      <c r="T1903" s="7">
        <f t="shared" si="209"/>
        <v>2098</v>
      </c>
    </row>
    <row r="1904" spans="1:20" ht="14.25" customHeight="1" x14ac:dyDescent="0.35">
      <c r="A1904" s="2" t="s">
        <v>124</v>
      </c>
      <c r="B1904" s="2" t="s">
        <v>34</v>
      </c>
      <c r="C1904" s="2" t="s">
        <v>13</v>
      </c>
      <c r="D1904" s="2" t="s">
        <v>14</v>
      </c>
      <c r="E1904" s="2" t="s">
        <v>15</v>
      </c>
      <c r="F1904" s="2" t="s">
        <v>35</v>
      </c>
      <c r="G1904" s="2" t="s">
        <v>36</v>
      </c>
      <c r="H1904" s="2">
        <v>300000</v>
      </c>
      <c r="I1904" s="2">
        <v>6</v>
      </c>
      <c r="J1904" s="2" t="s">
        <v>32</v>
      </c>
      <c r="K1904" s="2">
        <f t="shared" si="203"/>
        <v>240000</v>
      </c>
      <c r="L1904" s="9">
        <f>Table_1[[#This Row],[Unit Price]]*Table_1[[#This Row],[Quantity]]</f>
        <v>1800000</v>
      </c>
      <c r="M1904" s="8">
        <f>Table_1[[#This Row],[Cost Price]]*Table_1[[#This Row],[Quantity]]</f>
        <v>1440000</v>
      </c>
      <c r="N1904">
        <f>Table_1[[#This Row],[Revenue]]-Table_1[[#This Row],[COGS]]</f>
        <v>360000</v>
      </c>
      <c r="O1904" s="11">
        <f t="shared" si="204"/>
        <v>4656740000</v>
      </c>
      <c r="P1904">
        <f t="shared" si="205"/>
        <v>3725392000</v>
      </c>
      <c r="Q1904">
        <f t="shared" si="206"/>
        <v>931348000</v>
      </c>
      <c r="R1904" s="7">
        <f t="shared" si="207"/>
        <v>2098</v>
      </c>
      <c r="S1904" s="7">
        <f t="shared" si="208"/>
        <v>1</v>
      </c>
      <c r="T1904" s="7">
        <f t="shared" si="209"/>
        <v>2098</v>
      </c>
    </row>
    <row r="1905" spans="1:20" ht="14.25" customHeight="1" x14ac:dyDescent="0.35">
      <c r="A1905" s="2" t="s">
        <v>124</v>
      </c>
      <c r="B1905" s="2" t="s">
        <v>34</v>
      </c>
      <c r="C1905" s="2" t="s">
        <v>30</v>
      </c>
      <c r="D1905" s="2" t="s">
        <v>26</v>
      </c>
      <c r="E1905" s="2" t="s">
        <v>22</v>
      </c>
      <c r="F1905" s="2" t="s">
        <v>23</v>
      </c>
      <c r="G1905" s="2" t="s">
        <v>24</v>
      </c>
      <c r="H1905" s="2">
        <v>30000</v>
      </c>
      <c r="I1905" s="2">
        <v>4</v>
      </c>
      <c r="J1905" s="2" t="s">
        <v>27</v>
      </c>
      <c r="K1905" s="2">
        <f t="shared" si="203"/>
        <v>24000</v>
      </c>
      <c r="L1905" s="9">
        <f>Table_1[[#This Row],[Unit Price]]*Table_1[[#This Row],[Quantity]]</f>
        <v>120000</v>
      </c>
      <c r="M1905" s="8">
        <f>Table_1[[#This Row],[Cost Price]]*Table_1[[#This Row],[Quantity]]</f>
        <v>96000</v>
      </c>
      <c r="N1905">
        <f>Table_1[[#This Row],[Revenue]]-Table_1[[#This Row],[COGS]]</f>
        <v>24000</v>
      </c>
      <c r="O1905" s="11">
        <f t="shared" si="204"/>
        <v>4656740000</v>
      </c>
      <c r="P1905">
        <f t="shared" si="205"/>
        <v>3725392000</v>
      </c>
      <c r="Q1905">
        <f t="shared" si="206"/>
        <v>931348000</v>
      </c>
      <c r="R1905" s="7">
        <f t="shared" si="207"/>
        <v>2098</v>
      </c>
      <c r="S1905" s="7">
        <f t="shared" si="208"/>
        <v>1</v>
      </c>
      <c r="T1905" s="7">
        <f t="shared" si="209"/>
        <v>2098</v>
      </c>
    </row>
    <row r="1906" spans="1:20" ht="14.25" customHeight="1" x14ac:dyDescent="0.35">
      <c r="A1906" s="2" t="s">
        <v>121</v>
      </c>
      <c r="B1906" s="2" t="s">
        <v>29</v>
      </c>
      <c r="C1906" s="2" t="s">
        <v>38</v>
      </c>
      <c r="D1906" s="2" t="s">
        <v>26</v>
      </c>
      <c r="E1906" s="2" t="s">
        <v>22</v>
      </c>
      <c r="F1906" s="2" t="s">
        <v>41</v>
      </c>
      <c r="G1906" s="2" t="s">
        <v>17</v>
      </c>
      <c r="H1906" s="2">
        <v>320000</v>
      </c>
      <c r="I1906" s="2">
        <v>7</v>
      </c>
      <c r="J1906" s="2" t="s">
        <v>32</v>
      </c>
      <c r="K1906" s="2">
        <f t="shared" si="203"/>
        <v>256000</v>
      </c>
      <c r="L1906" s="9">
        <f>Table_1[[#This Row],[Unit Price]]*Table_1[[#This Row],[Quantity]]</f>
        <v>2240000</v>
      </c>
      <c r="M1906" s="8">
        <f>Table_1[[#This Row],[Cost Price]]*Table_1[[#This Row],[Quantity]]</f>
        <v>1792000</v>
      </c>
      <c r="N1906">
        <f>Table_1[[#This Row],[Revenue]]-Table_1[[#This Row],[COGS]]</f>
        <v>448000</v>
      </c>
      <c r="O1906" s="11">
        <f t="shared" si="204"/>
        <v>4656740000</v>
      </c>
      <c r="P1906">
        <f t="shared" si="205"/>
        <v>3725392000</v>
      </c>
      <c r="Q1906">
        <f t="shared" si="206"/>
        <v>931348000</v>
      </c>
      <c r="R1906" s="7">
        <f t="shared" si="207"/>
        <v>2098</v>
      </c>
      <c r="S1906" s="7">
        <f t="shared" si="208"/>
        <v>2</v>
      </c>
      <c r="T1906" s="7">
        <f t="shared" si="209"/>
        <v>2098</v>
      </c>
    </row>
    <row r="1907" spans="1:20" ht="14.25" customHeight="1" x14ac:dyDescent="0.35">
      <c r="A1907" s="2" t="s">
        <v>143</v>
      </c>
      <c r="B1907" s="2" t="s">
        <v>34</v>
      </c>
      <c r="C1907" s="2" t="s">
        <v>30</v>
      </c>
      <c r="D1907" s="2" t="s">
        <v>26</v>
      </c>
      <c r="E1907" s="2" t="s">
        <v>22</v>
      </c>
      <c r="F1907" s="2" t="s">
        <v>41</v>
      </c>
      <c r="G1907" s="2" t="s">
        <v>17</v>
      </c>
      <c r="H1907" s="2">
        <v>320000</v>
      </c>
      <c r="I1907" s="2">
        <v>1</v>
      </c>
      <c r="J1907" s="2" t="s">
        <v>50</v>
      </c>
      <c r="K1907" s="2">
        <f t="shared" si="203"/>
        <v>256000</v>
      </c>
      <c r="L1907" s="9">
        <f>Table_1[[#This Row],[Unit Price]]*Table_1[[#This Row],[Quantity]]</f>
        <v>320000</v>
      </c>
      <c r="M1907" s="8">
        <f>Table_1[[#This Row],[Cost Price]]*Table_1[[#This Row],[Quantity]]</f>
        <v>256000</v>
      </c>
      <c r="N1907">
        <f>Table_1[[#This Row],[Revenue]]-Table_1[[#This Row],[COGS]]</f>
        <v>64000</v>
      </c>
      <c r="O1907" s="11">
        <f t="shared" si="204"/>
        <v>4656740000</v>
      </c>
      <c r="P1907">
        <f t="shared" si="205"/>
        <v>3725392000</v>
      </c>
      <c r="Q1907">
        <f t="shared" si="206"/>
        <v>931348000</v>
      </c>
      <c r="R1907" s="7">
        <f t="shared" si="207"/>
        <v>2098</v>
      </c>
      <c r="S1907" s="7">
        <f t="shared" si="208"/>
        <v>1</v>
      </c>
      <c r="T1907" s="7">
        <f t="shared" si="209"/>
        <v>2098</v>
      </c>
    </row>
    <row r="1908" spans="1:20" ht="14.25" customHeight="1" x14ac:dyDescent="0.35">
      <c r="A1908" s="2" t="s">
        <v>99</v>
      </c>
      <c r="B1908" s="2" t="s">
        <v>34</v>
      </c>
      <c r="C1908" s="2" t="s">
        <v>30</v>
      </c>
      <c r="D1908" s="2" t="s">
        <v>26</v>
      </c>
      <c r="E1908" s="2" t="s">
        <v>15</v>
      </c>
      <c r="F1908" s="2" t="s">
        <v>35</v>
      </c>
      <c r="G1908" s="2" t="s">
        <v>36</v>
      </c>
      <c r="H1908" s="2">
        <v>300000</v>
      </c>
      <c r="I1908" s="2">
        <v>3</v>
      </c>
      <c r="J1908" s="2" t="s">
        <v>43</v>
      </c>
      <c r="K1908" s="2">
        <f t="shared" si="203"/>
        <v>240000</v>
      </c>
      <c r="L1908" s="9">
        <f>Table_1[[#This Row],[Unit Price]]*Table_1[[#This Row],[Quantity]]</f>
        <v>900000</v>
      </c>
      <c r="M1908" s="8">
        <f>Table_1[[#This Row],[Cost Price]]*Table_1[[#This Row],[Quantity]]</f>
        <v>720000</v>
      </c>
      <c r="N1908">
        <f>Table_1[[#This Row],[Revenue]]-Table_1[[#This Row],[COGS]]</f>
        <v>180000</v>
      </c>
      <c r="O1908" s="11">
        <f t="shared" si="204"/>
        <v>4656740000</v>
      </c>
      <c r="P1908">
        <f t="shared" si="205"/>
        <v>3725392000</v>
      </c>
      <c r="Q1908">
        <f t="shared" si="206"/>
        <v>931348000</v>
      </c>
      <c r="R1908" s="7">
        <f t="shared" si="207"/>
        <v>2098</v>
      </c>
      <c r="S1908" s="7">
        <f t="shared" si="208"/>
        <v>4</v>
      </c>
      <c r="T1908" s="7">
        <f t="shared" si="209"/>
        <v>2098</v>
      </c>
    </row>
    <row r="1909" spans="1:20" ht="14.25" customHeight="1" x14ac:dyDescent="0.35">
      <c r="A1909" s="2" t="s">
        <v>74</v>
      </c>
      <c r="B1909" s="2" t="s">
        <v>34</v>
      </c>
      <c r="C1909" s="2" t="s">
        <v>21</v>
      </c>
      <c r="D1909" s="2" t="s">
        <v>26</v>
      </c>
      <c r="E1909" s="2" t="s">
        <v>15</v>
      </c>
      <c r="F1909" s="2" t="s">
        <v>23</v>
      </c>
      <c r="G1909" s="2" t="s">
        <v>24</v>
      </c>
      <c r="H1909" s="2">
        <v>30000</v>
      </c>
      <c r="I1909" s="2">
        <v>6</v>
      </c>
      <c r="J1909" s="2" t="s">
        <v>32</v>
      </c>
      <c r="K1909" s="2">
        <f t="shared" si="203"/>
        <v>24000</v>
      </c>
      <c r="L1909" s="9">
        <f>Table_1[[#This Row],[Unit Price]]*Table_1[[#This Row],[Quantity]]</f>
        <v>180000</v>
      </c>
      <c r="M1909" s="8">
        <f>Table_1[[#This Row],[Cost Price]]*Table_1[[#This Row],[Quantity]]</f>
        <v>144000</v>
      </c>
      <c r="N1909">
        <f>Table_1[[#This Row],[Revenue]]-Table_1[[#This Row],[COGS]]</f>
        <v>36000</v>
      </c>
      <c r="O1909" s="11">
        <f t="shared" si="204"/>
        <v>4656740000</v>
      </c>
      <c r="P1909">
        <f t="shared" si="205"/>
        <v>3725392000</v>
      </c>
      <c r="Q1909">
        <f t="shared" si="206"/>
        <v>931348000</v>
      </c>
      <c r="R1909" s="7">
        <f t="shared" si="207"/>
        <v>2098</v>
      </c>
      <c r="S1909" s="7">
        <f t="shared" si="208"/>
        <v>2</v>
      </c>
      <c r="T1909" s="7">
        <f t="shared" si="209"/>
        <v>2098</v>
      </c>
    </row>
    <row r="1910" spans="1:20" ht="14.25" customHeight="1" x14ac:dyDescent="0.35">
      <c r="A1910" s="2" t="s">
        <v>88</v>
      </c>
      <c r="B1910" s="2" t="s">
        <v>20</v>
      </c>
      <c r="C1910" s="2" t="s">
        <v>30</v>
      </c>
      <c r="D1910" s="2" t="s">
        <v>26</v>
      </c>
      <c r="E1910" s="2" t="s">
        <v>22</v>
      </c>
      <c r="F1910" s="2" t="s">
        <v>58</v>
      </c>
      <c r="G1910" s="2" t="s">
        <v>24</v>
      </c>
      <c r="H1910" s="2">
        <v>220000</v>
      </c>
      <c r="I1910" s="2">
        <v>1</v>
      </c>
      <c r="J1910" s="2" t="s">
        <v>32</v>
      </c>
      <c r="K1910" s="2">
        <f t="shared" si="203"/>
        <v>176000</v>
      </c>
      <c r="L1910" s="9">
        <f>Table_1[[#This Row],[Unit Price]]*Table_1[[#This Row],[Quantity]]</f>
        <v>220000</v>
      </c>
      <c r="M1910" s="8">
        <f>Table_1[[#This Row],[Cost Price]]*Table_1[[#This Row],[Quantity]]</f>
        <v>176000</v>
      </c>
      <c r="N1910">
        <f>Table_1[[#This Row],[Revenue]]-Table_1[[#This Row],[COGS]]</f>
        <v>44000</v>
      </c>
      <c r="O1910" s="11">
        <f t="shared" si="204"/>
        <v>4656740000</v>
      </c>
      <c r="P1910">
        <f t="shared" si="205"/>
        <v>3725392000</v>
      </c>
      <c r="Q1910">
        <f t="shared" si="206"/>
        <v>931348000</v>
      </c>
      <c r="R1910" s="7">
        <f t="shared" si="207"/>
        <v>2098</v>
      </c>
      <c r="S1910" s="7">
        <f t="shared" si="208"/>
        <v>3</v>
      </c>
      <c r="T1910" s="7">
        <f t="shared" si="209"/>
        <v>2098</v>
      </c>
    </row>
    <row r="1911" spans="1:20" ht="14.25" customHeight="1" x14ac:dyDescent="0.35">
      <c r="A1911" s="2" t="s">
        <v>160</v>
      </c>
      <c r="B1911" s="2" t="s">
        <v>34</v>
      </c>
      <c r="C1911" s="2" t="s">
        <v>38</v>
      </c>
      <c r="D1911" s="2" t="s">
        <v>14</v>
      </c>
      <c r="E1911" s="2" t="s">
        <v>15</v>
      </c>
      <c r="F1911" s="2" t="s">
        <v>23</v>
      </c>
      <c r="G1911" s="2" t="s">
        <v>24</v>
      </c>
      <c r="H1911" s="2">
        <v>30000</v>
      </c>
      <c r="I1911" s="2">
        <v>9</v>
      </c>
      <c r="J1911" s="2" t="s">
        <v>43</v>
      </c>
      <c r="K1911" s="2">
        <f t="shared" si="203"/>
        <v>24000</v>
      </c>
      <c r="L1911" s="9">
        <f>Table_1[[#This Row],[Unit Price]]*Table_1[[#This Row],[Quantity]]</f>
        <v>270000</v>
      </c>
      <c r="M1911" s="8">
        <f>Table_1[[#This Row],[Cost Price]]*Table_1[[#This Row],[Quantity]]</f>
        <v>216000</v>
      </c>
      <c r="N1911">
        <f>Table_1[[#This Row],[Revenue]]-Table_1[[#This Row],[COGS]]</f>
        <v>54000</v>
      </c>
      <c r="O1911" s="11">
        <f t="shared" si="204"/>
        <v>4656740000</v>
      </c>
      <c r="P1911">
        <f t="shared" si="205"/>
        <v>3725392000</v>
      </c>
      <c r="Q1911">
        <f t="shared" si="206"/>
        <v>931348000</v>
      </c>
      <c r="R1911" s="7">
        <f t="shared" si="207"/>
        <v>2098</v>
      </c>
      <c r="S1911" s="7">
        <f t="shared" si="208"/>
        <v>1</v>
      </c>
      <c r="T1911" s="7">
        <f t="shared" si="209"/>
        <v>2098</v>
      </c>
    </row>
    <row r="1912" spans="1:20" ht="14.25" customHeight="1" x14ac:dyDescent="0.35">
      <c r="A1912" s="2" t="s">
        <v>116</v>
      </c>
      <c r="B1912" s="2" t="s">
        <v>12</v>
      </c>
      <c r="C1912" s="2" t="s">
        <v>13</v>
      </c>
      <c r="D1912" s="2" t="s">
        <v>26</v>
      </c>
      <c r="E1912" s="2" t="s">
        <v>15</v>
      </c>
      <c r="F1912" s="2" t="s">
        <v>58</v>
      </c>
      <c r="G1912" s="2" t="s">
        <v>24</v>
      </c>
      <c r="H1912" s="2">
        <v>220000</v>
      </c>
      <c r="I1912" s="2">
        <v>10</v>
      </c>
      <c r="J1912" s="2" t="s">
        <v>43</v>
      </c>
      <c r="K1912" s="2">
        <f t="shared" si="203"/>
        <v>176000</v>
      </c>
      <c r="L1912" s="9">
        <f>Table_1[[#This Row],[Unit Price]]*Table_1[[#This Row],[Quantity]]</f>
        <v>2200000</v>
      </c>
      <c r="M1912" s="8">
        <f>Table_1[[#This Row],[Cost Price]]*Table_1[[#This Row],[Quantity]]</f>
        <v>1760000</v>
      </c>
      <c r="N1912">
        <f>Table_1[[#This Row],[Revenue]]-Table_1[[#This Row],[COGS]]</f>
        <v>440000</v>
      </c>
      <c r="O1912" s="11">
        <f t="shared" si="204"/>
        <v>4656740000</v>
      </c>
      <c r="P1912">
        <f t="shared" si="205"/>
        <v>3725392000</v>
      </c>
      <c r="Q1912">
        <f t="shared" si="206"/>
        <v>931348000</v>
      </c>
      <c r="R1912" s="7">
        <f t="shared" si="207"/>
        <v>2098</v>
      </c>
      <c r="S1912" s="7">
        <f t="shared" si="208"/>
        <v>3</v>
      </c>
      <c r="T1912" s="7">
        <f t="shared" si="209"/>
        <v>2098</v>
      </c>
    </row>
    <row r="1913" spans="1:20" ht="14.25" customHeight="1" x14ac:dyDescent="0.35">
      <c r="A1913" s="2" t="s">
        <v>127</v>
      </c>
      <c r="B1913" s="2" t="s">
        <v>20</v>
      </c>
      <c r="C1913" s="2" t="s">
        <v>30</v>
      </c>
      <c r="D1913" s="2" t="s">
        <v>14</v>
      </c>
      <c r="E1913" s="2" t="s">
        <v>15</v>
      </c>
      <c r="F1913" s="2" t="s">
        <v>58</v>
      </c>
      <c r="G1913" s="2" t="s">
        <v>24</v>
      </c>
      <c r="H1913" s="2">
        <v>220000</v>
      </c>
      <c r="I1913" s="2">
        <v>9</v>
      </c>
      <c r="J1913" s="2" t="s">
        <v>18</v>
      </c>
      <c r="K1913" s="2">
        <f t="shared" si="203"/>
        <v>176000</v>
      </c>
      <c r="L1913" s="9">
        <f>Table_1[[#This Row],[Unit Price]]*Table_1[[#This Row],[Quantity]]</f>
        <v>1980000</v>
      </c>
      <c r="M1913" s="8">
        <f>Table_1[[#This Row],[Cost Price]]*Table_1[[#This Row],[Quantity]]</f>
        <v>1584000</v>
      </c>
      <c r="N1913">
        <f>Table_1[[#This Row],[Revenue]]-Table_1[[#This Row],[COGS]]</f>
        <v>396000</v>
      </c>
      <c r="O1913" s="11">
        <f t="shared" si="204"/>
        <v>4656740000</v>
      </c>
      <c r="P1913">
        <f t="shared" si="205"/>
        <v>3725392000</v>
      </c>
      <c r="Q1913">
        <f t="shared" si="206"/>
        <v>931348000</v>
      </c>
      <c r="R1913" s="7">
        <f t="shared" si="207"/>
        <v>2098</v>
      </c>
      <c r="S1913" s="7">
        <f t="shared" si="208"/>
        <v>4</v>
      </c>
      <c r="T1913" s="7">
        <f t="shared" si="209"/>
        <v>2098</v>
      </c>
    </row>
    <row r="1914" spans="1:20" ht="14.25" customHeight="1" x14ac:dyDescent="0.35">
      <c r="A1914" s="2" t="s">
        <v>126</v>
      </c>
      <c r="B1914" s="2" t="s">
        <v>12</v>
      </c>
      <c r="C1914" s="2" t="s">
        <v>38</v>
      </c>
      <c r="D1914" s="2" t="s">
        <v>26</v>
      </c>
      <c r="E1914" s="2" t="s">
        <v>15</v>
      </c>
      <c r="F1914" s="2" t="s">
        <v>31</v>
      </c>
      <c r="G1914" s="2" t="s">
        <v>24</v>
      </c>
      <c r="H1914" s="2">
        <v>60000</v>
      </c>
      <c r="I1914" s="2">
        <v>4</v>
      </c>
      <c r="J1914" s="2" t="s">
        <v>27</v>
      </c>
      <c r="K1914" s="2">
        <f t="shared" si="203"/>
        <v>48000</v>
      </c>
      <c r="L1914" s="9">
        <f>Table_1[[#This Row],[Unit Price]]*Table_1[[#This Row],[Quantity]]</f>
        <v>240000</v>
      </c>
      <c r="M1914" s="8">
        <f>Table_1[[#This Row],[Cost Price]]*Table_1[[#This Row],[Quantity]]</f>
        <v>192000</v>
      </c>
      <c r="N1914">
        <f>Table_1[[#This Row],[Revenue]]-Table_1[[#This Row],[COGS]]</f>
        <v>48000</v>
      </c>
      <c r="O1914" s="11">
        <f t="shared" si="204"/>
        <v>4656740000</v>
      </c>
      <c r="P1914">
        <f t="shared" si="205"/>
        <v>3725392000</v>
      </c>
      <c r="Q1914">
        <f t="shared" si="206"/>
        <v>931348000</v>
      </c>
      <c r="R1914" s="7">
        <f t="shared" si="207"/>
        <v>2098</v>
      </c>
      <c r="S1914" s="7">
        <f t="shared" si="208"/>
        <v>3</v>
      </c>
      <c r="T1914" s="7">
        <f t="shared" si="209"/>
        <v>2098</v>
      </c>
    </row>
    <row r="1915" spans="1:20" ht="14.25" customHeight="1" x14ac:dyDescent="0.35">
      <c r="A1915" s="2" t="s">
        <v>99</v>
      </c>
      <c r="B1915" s="2" t="s">
        <v>29</v>
      </c>
      <c r="C1915" s="2" t="s">
        <v>30</v>
      </c>
      <c r="D1915" s="2" t="s">
        <v>26</v>
      </c>
      <c r="E1915" s="2" t="s">
        <v>22</v>
      </c>
      <c r="F1915" s="2" t="s">
        <v>58</v>
      </c>
      <c r="G1915" s="2" t="s">
        <v>24</v>
      </c>
      <c r="H1915" s="2">
        <v>220000</v>
      </c>
      <c r="I1915" s="2">
        <v>7</v>
      </c>
      <c r="J1915" s="2" t="s">
        <v>27</v>
      </c>
      <c r="K1915" s="2">
        <f t="shared" si="203"/>
        <v>176000</v>
      </c>
      <c r="L1915" s="9">
        <f>Table_1[[#This Row],[Unit Price]]*Table_1[[#This Row],[Quantity]]</f>
        <v>1540000</v>
      </c>
      <c r="M1915" s="8">
        <f>Table_1[[#This Row],[Cost Price]]*Table_1[[#This Row],[Quantity]]</f>
        <v>1232000</v>
      </c>
      <c r="N1915">
        <f>Table_1[[#This Row],[Revenue]]-Table_1[[#This Row],[COGS]]</f>
        <v>308000</v>
      </c>
      <c r="O1915" s="11">
        <f t="shared" si="204"/>
        <v>4656740000</v>
      </c>
      <c r="P1915">
        <f t="shared" si="205"/>
        <v>3725392000</v>
      </c>
      <c r="Q1915">
        <f t="shared" si="206"/>
        <v>931348000</v>
      </c>
      <c r="R1915" s="7">
        <f t="shared" si="207"/>
        <v>2098</v>
      </c>
      <c r="S1915" s="7">
        <f t="shared" si="208"/>
        <v>4</v>
      </c>
      <c r="T1915" s="7">
        <f t="shared" si="209"/>
        <v>2098</v>
      </c>
    </row>
    <row r="1916" spans="1:20" ht="14.25" customHeight="1" x14ac:dyDescent="0.35">
      <c r="A1916" s="2" t="s">
        <v>88</v>
      </c>
      <c r="B1916" s="2" t="s">
        <v>12</v>
      </c>
      <c r="C1916" s="2" t="s">
        <v>30</v>
      </c>
      <c r="D1916" s="2" t="s">
        <v>14</v>
      </c>
      <c r="E1916" s="2" t="s">
        <v>22</v>
      </c>
      <c r="F1916" s="2" t="s">
        <v>41</v>
      </c>
      <c r="G1916" s="2" t="s">
        <v>17</v>
      </c>
      <c r="H1916" s="2">
        <v>320000</v>
      </c>
      <c r="I1916" s="2">
        <v>9</v>
      </c>
      <c r="J1916" s="2" t="s">
        <v>32</v>
      </c>
      <c r="K1916" s="2">
        <f t="shared" si="203"/>
        <v>256000</v>
      </c>
      <c r="L1916" s="9">
        <f>Table_1[[#This Row],[Unit Price]]*Table_1[[#This Row],[Quantity]]</f>
        <v>2880000</v>
      </c>
      <c r="M1916" s="8">
        <f>Table_1[[#This Row],[Cost Price]]*Table_1[[#This Row],[Quantity]]</f>
        <v>2304000</v>
      </c>
      <c r="N1916">
        <f>Table_1[[#This Row],[Revenue]]-Table_1[[#This Row],[COGS]]</f>
        <v>576000</v>
      </c>
      <c r="O1916" s="11">
        <f t="shared" si="204"/>
        <v>4656740000</v>
      </c>
      <c r="P1916">
        <f t="shared" si="205"/>
        <v>3725392000</v>
      </c>
      <c r="Q1916">
        <f t="shared" si="206"/>
        <v>931348000</v>
      </c>
      <c r="R1916" s="7">
        <f t="shared" si="207"/>
        <v>2098</v>
      </c>
      <c r="S1916" s="7">
        <f t="shared" si="208"/>
        <v>3</v>
      </c>
      <c r="T1916" s="7">
        <f t="shared" si="209"/>
        <v>2098</v>
      </c>
    </row>
    <row r="1917" spans="1:20" ht="14.25" customHeight="1" x14ac:dyDescent="0.35">
      <c r="A1917" s="2" t="s">
        <v>140</v>
      </c>
      <c r="B1917" s="2" t="s">
        <v>12</v>
      </c>
      <c r="C1917" s="2" t="s">
        <v>21</v>
      </c>
      <c r="D1917" s="2" t="s">
        <v>26</v>
      </c>
      <c r="E1917" s="2" t="s">
        <v>22</v>
      </c>
      <c r="F1917" s="2" t="s">
        <v>16</v>
      </c>
      <c r="G1917" s="2" t="s">
        <v>17</v>
      </c>
      <c r="H1917" s="2">
        <v>85000</v>
      </c>
      <c r="I1917" s="2">
        <v>5</v>
      </c>
      <c r="J1917" s="2" t="s">
        <v>54</v>
      </c>
      <c r="K1917" s="2">
        <f t="shared" si="203"/>
        <v>68000</v>
      </c>
      <c r="L1917" s="9">
        <f>Table_1[[#This Row],[Unit Price]]*Table_1[[#This Row],[Quantity]]</f>
        <v>425000</v>
      </c>
      <c r="M1917" s="8">
        <f>Table_1[[#This Row],[Cost Price]]*Table_1[[#This Row],[Quantity]]</f>
        <v>340000</v>
      </c>
      <c r="N1917">
        <f>Table_1[[#This Row],[Revenue]]-Table_1[[#This Row],[COGS]]</f>
        <v>85000</v>
      </c>
      <c r="O1917" s="11">
        <f t="shared" si="204"/>
        <v>4656740000</v>
      </c>
      <c r="P1917">
        <f t="shared" si="205"/>
        <v>3725392000</v>
      </c>
      <c r="Q1917">
        <f t="shared" si="206"/>
        <v>931348000</v>
      </c>
      <c r="R1917" s="7">
        <f t="shared" si="207"/>
        <v>2098</v>
      </c>
      <c r="S1917" s="7">
        <f t="shared" si="208"/>
        <v>4</v>
      </c>
      <c r="T1917" s="7">
        <f t="shared" si="209"/>
        <v>2098</v>
      </c>
    </row>
    <row r="1918" spans="1:20" ht="14.25" customHeight="1" x14ac:dyDescent="0.35">
      <c r="A1918" s="2" t="s">
        <v>155</v>
      </c>
      <c r="B1918" s="2" t="s">
        <v>34</v>
      </c>
      <c r="C1918" s="2" t="s">
        <v>38</v>
      </c>
      <c r="D1918" s="2" t="s">
        <v>14</v>
      </c>
      <c r="E1918" s="2" t="s">
        <v>15</v>
      </c>
      <c r="F1918" s="2" t="s">
        <v>56</v>
      </c>
      <c r="G1918" s="2" t="s">
        <v>36</v>
      </c>
      <c r="H1918" s="2">
        <v>250000</v>
      </c>
      <c r="I1918" s="2">
        <v>10</v>
      </c>
      <c r="J1918" s="2" t="s">
        <v>50</v>
      </c>
      <c r="K1918" s="2">
        <f t="shared" si="203"/>
        <v>200000</v>
      </c>
      <c r="L1918" s="9">
        <f>Table_1[[#This Row],[Unit Price]]*Table_1[[#This Row],[Quantity]]</f>
        <v>2500000</v>
      </c>
      <c r="M1918" s="8">
        <f>Table_1[[#This Row],[Cost Price]]*Table_1[[#This Row],[Quantity]]</f>
        <v>2000000</v>
      </c>
      <c r="N1918">
        <f>Table_1[[#This Row],[Revenue]]-Table_1[[#This Row],[COGS]]</f>
        <v>500000</v>
      </c>
      <c r="O1918" s="11">
        <f t="shared" si="204"/>
        <v>4656740000</v>
      </c>
      <c r="P1918">
        <f t="shared" si="205"/>
        <v>3725392000</v>
      </c>
      <c r="Q1918">
        <f t="shared" si="206"/>
        <v>931348000</v>
      </c>
      <c r="R1918" s="7">
        <f t="shared" si="207"/>
        <v>2098</v>
      </c>
      <c r="S1918" s="7">
        <f t="shared" si="208"/>
        <v>1</v>
      </c>
      <c r="T1918" s="7">
        <f t="shared" si="209"/>
        <v>2098</v>
      </c>
    </row>
    <row r="1919" spans="1:20" ht="14.25" customHeight="1" x14ac:dyDescent="0.35">
      <c r="A1919" s="2" t="s">
        <v>98</v>
      </c>
      <c r="B1919" s="2" t="s">
        <v>20</v>
      </c>
      <c r="C1919" s="2" t="s">
        <v>38</v>
      </c>
      <c r="D1919" s="2" t="s">
        <v>14</v>
      </c>
      <c r="E1919" s="2" t="s">
        <v>22</v>
      </c>
      <c r="F1919" s="2" t="s">
        <v>41</v>
      </c>
      <c r="G1919" s="2" t="s">
        <v>17</v>
      </c>
      <c r="H1919" s="2">
        <v>320000</v>
      </c>
      <c r="I1919" s="2">
        <v>8</v>
      </c>
      <c r="J1919" s="2" t="s">
        <v>32</v>
      </c>
      <c r="K1919" s="2">
        <f t="shared" si="203"/>
        <v>256000</v>
      </c>
      <c r="L1919" s="9">
        <f>Table_1[[#This Row],[Unit Price]]*Table_1[[#This Row],[Quantity]]</f>
        <v>2560000</v>
      </c>
      <c r="M1919" s="8">
        <f>Table_1[[#This Row],[Cost Price]]*Table_1[[#This Row],[Quantity]]</f>
        <v>2048000</v>
      </c>
      <c r="N1919">
        <f>Table_1[[#This Row],[Revenue]]-Table_1[[#This Row],[COGS]]</f>
        <v>512000</v>
      </c>
      <c r="O1919" s="11">
        <f t="shared" si="204"/>
        <v>4656740000</v>
      </c>
      <c r="P1919">
        <f t="shared" si="205"/>
        <v>3725392000</v>
      </c>
      <c r="Q1919">
        <f t="shared" si="206"/>
        <v>931348000</v>
      </c>
      <c r="R1919" s="7">
        <f t="shared" si="207"/>
        <v>2098</v>
      </c>
      <c r="S1919" s="7">
        <f t="shared" si="208"/>
        <v>4</v>
      </c>
      <c r="T1919" s="7">
        <f t="shared" si="209"/>
        <v>2098</v>
      </c>
    </row>
    <row r="1920" spans="1:20" ht="14.25" customHeight="1" x14ac:dyDescent="0.35">
      <c r="A1920" s="2" t="s">
        <v>145</v>
      </c>
      <c r="B1920" s="2" t="s">
        <v>34</v>
      </c>
      <c r="C1920" s="2" t="s">
        <v>13</v>
      </c>
      <c r="D1920" s="2" t="s">
        <v>26</v>
      </c>
      <c r="E1920" s="2" t="s">
        <v>22</v>
      </c>
      <c r="F1920" s="2" t="s">
        <v>47</v>
      </c>
      <c r="G1920" s="2" t="s">
        <v>36</v>
      </c>
      <c r="H1920" s="2">
        <v>150000</v>
      </c>
      <c r="I1920" s="2">
        <v>7</v>
      </c>
      <c r="J1920" s="2" t="s">
        <v>43</v>
      </c>
      <c r="K1920" s="2">
        <f t="shared" si="203"/>
        <v>120000</v>
      </c>
      <c r="L1920" s="9">
        <f>Table_1[[#This Row],[Unit Price]]*Table_1[[#This Row],[Quantity]]</f>
        <v>1050000</v>
      </c>
      <c r="M1920" s="8">
        <f>Table_1[[#This Row],[Cost Price]]*Table_1[[#This Row],[Quantity]]</f>
        <v>840000</v>
      </c>
      <c r="N1920">
        <f>Table_1[[#This Row],[Revenue]]-Table_1[[#This Row],[COGS]]</f>
        <v>210000</v>
      </c>
      <c r="O1920" s="11">
        <f t="shared" si="204"/>
        <v>4656740000</v>
      </c>
      <c r="P1920">
        <f t="shared" si="205"/>
        <v>3725392000</v>
      </c>
      <c r="Q1920">
        <f t="shared" si="206"/>
        <v>931348000</v>
      </c>
      <c r="R1920" s="7">
        <f t="shared" si="207"/>
        <v>2098</v>
      </c>
      <c r="S1920" s="7">
        <f t="shared" si="208"/>
        <v>1</v>
      </c>
      <c r="T1920" s="7">
        <f t="shared" si="209"/>
        <v>2098</v>
      </c>
    </row>
    <row r="1921" spans="1:20" ht="14.25" customHeight="1" x14ac:dyDescent="0.35">
      <c r="A1921" s="2" t="s">
        <v>155</v>
      </c>
      <c r="B1921" s="2" t="s">
        <v>34</v>
      </c>
      <c r="C1921" s="2" t="s">
        <v>30</v>
      </c>
      <c r="D1921" s="2" t="s">
        <v>14</v>
      </c>
      <c r="E1921" s="2" t="s">
        <v>22</v>
      </c>
      <c r="F1921" s="2" t="s">
        <v>39</v>
      </c>
      <c r="G1921" s="2" t="s">
        <v>24</v>
      </c>
      <c r="H1921" s="2">
        <v>180000</v>
      </c>
      <c r="I1921" s="2">
        <v>8</v>
      </c>
      <c r="J1921" s="2" t="s">
        <v>43</v>
      </c>
      <c r="K1921" s="2">
        <f t="shared" si="203"/>
        <v>144000</v>
      </c>
      <c r="L1921" s="9">
        <f>Table_1[[#This Row],[Unit Price]]*Table_1[[#This Row],[Quantity]]</f>
        <v>1440000</v>
      </c>
      <c r="M1921" s="8">
        <f>Table_1[[#This Row],[Cost Price]]*Table_1[[#This Row],[Quantity]]</f>
        <v>1152000</v>
      </c>
      <c r="N1921">
        <f>Table_1[[#This Row],[Revenue]]-Table_1[[#This Row],[COGS]]</f>
        <v>288000</v>
      </c>
      <c r="O1921" s="11">
        <f t="shared" si="204"/>
        <v>4656740000</v>
      </c>
      <c r="P1921">
        <f t="shared" si="205"/>
        <v>3725392000</v>
      </c>
      <c r="Q1921">
        <f t="shared" si="206"/>
        <v>931348000</v>
      </c>
      <c r="R1921" s="7">
        <f t="shared" si="207"/>
        <v>2098</v>
      </c>
      <c r="S1921" s="7">
        <f t="shared" si="208"/>
        <v>1</v>
      </c>
      <c r="T1921" s="7">
        <f t="shared" si="209"/>
        <v>2098</v>
      </c>
    </row>
    <row r="1922" spans="1:20" ht="14.25" customHeight="1" x14ac:dyDescent="0.35">
      <c r="A1922" s="2" t="s">
        <v>84</v>
      </c>
      <c r="B1922" s="2" t="s">
        <v>12</v>
      </c>
      <c r="C1922" s="2" t="s">
        <v>38</v>
      </c>
      <c r="D1922" s="2" t="s">
        <v>14</v>
      </c>
      <c r="E1922" s="2" t="s">
        <v>15</v>
      </c>
      <c r="F1922" s="2" t="s">
        <v>41</v>
      </c>
      <c r="G1922" s="2" t="s">
        <v>17</v>
      </c>
      <c r="H1922" s="2">
        <v>320000</v>
      </c>
      <c r="I1922" s="2">
        <v>10</v>
      </c>
      <c r="J1922" s="2" t="s">
        <v>32</v>
      </c>
      <c r="K1922" s="2">
        <f t="shared" ref="K1922:K1985" si="210">H1922-H1922*0.2</f>
        <v>256000</v>
      </c>
      <c r="L1922" s="9">
        <f>Table_1[[#This Row],[Unit Price]]*Table_1[[#This Row],[Quantity]]</f>
        <v>3200000</v>
      </c>
      <c r="M1922" s="8">
        <f>Table_1[[#This Row],[Cost Price]]*Table_1[[#This Row],[Quantity]]</f>
        <v>2560000</v>
      </c>
      <c r="N1922">
        <f>Table_1[[#This Row],[Revenue]]-Table_1[[#This Row],[COGS]]</f>
        <v>640000</v>
      </c>
      <c r="O1922" s="11">
        <f t="shared" ref="O1922:O1985" si="211">SUM(L$2:L$1048576)</f>
        <v>4656740000</v>
      </c>
      <c r="P1922">
        <f t="shared" ref="P1922:P1985" si="212">SUM(M:M)</f>
        <v>3725392000</v>
      </c>
      <c r="Q1922">
        <f t="shared" ref="Q1922:Q1985" si="213">SUM(N:N)</f>
        <v>931348000</v>
      </c>
      <c r="R1922" s="7">
        <f t="shared" ref="R1922:R1985" si="214">COUNTA(A$2:A$1048576)</f>
        <v>2098</v>
      </c>
      <c r="S1922" s="7">
        <f t="shared" ref="S1922:S1985" si="215">MONTH(A1922:A3410)</f>
        <v>4</v>
      </c>
      <c r="T1922" s="7">
        <f t="shared" ref="T1922:T1985" si="216">COUNTA(A:A)-1</f>
        <v>2098</v>
      </c>
    </row>
    <row r="1923" spans="1:20" ht="14.25" customHeight="1" x14ac:dyDescent="0.35">
      <c r="A1923" s="2" t="s">
        <v>92</v>
      </c>
      <c r="B1923" s="2" t="s">
        <v>34</v>
      </c>
      <c r="C1923" s="2" t="s">
        <v>13</v>
      </c>
      <c r="D1923" s="2" t="s">
        <v>26</v>
      </c>
      <c r="E1923" s="2" t="s">
        <v>22</v>
      </c>
      <c r="F1923" s="2" t="s">
        <v>47</v>
      </c>
      <c r="G1923" s="2" t="s">
        <v>36</v>
      </c>
      <c r="H1923" s="2">
        <v>150000</v>
      </c>
      <c r="I1923" s="2">
        <v>7</v>
      </c>
      <c r="J1923" s="2" t="s">
        <v>54</v>
      </c>
      <c r="K1923" s="2">
        <f t="shared" si="210"/>
        <v>120000</v>
      </c>
      <c r="L1923" s="9">
        <f>Table_1[[#This Row],[Unit Price]]*Table_1[[#This Row],[Quantity]]</f>
        <v>1050000</v>
      </c>
      <c r="M1923" s="8">
        <f>Table_1[[#This Row],[Cost Price]]*Table_1[[#This Row],[Quantity]]</f>
        <v>840000</v>
      </c>
      <c r="N1923">
        <f>Table_1[[#This Row],[Revenue]]-Table_1[[#This Row],[COGS]]</f>
        <v>210000</v>
      </c>
      <c r="O1923" s="11">
        <f t="shared" si="211"/>
        <v>4656740000</v>
      </c>
      <c r="P1923">
        <f t="shared" si="212"/>
        <v>3725392000</v>
      </c>
      <c r="Q1923">
        <f t="shared" si="213"/>
        <v>931348000</v>
      </c>
      <c r="R1923" s="7">
        <f t="shared" si="214"/>
        <v>2098</v>
      </c>
      <c r="S1923" s="7">
        <f t="shared" si="215"/>
        <v>2</v>
      </c>
      <c r="T1923" s="7">
        <f t="shared" si="216"/>
        <v>2098</v>
      </c>
    </row>
    <row r="1924" spans="1:20" ht="14.25" customHeight="1" x14ac:dyDescent="0.35">
      <c r="A1924" s="2" t="s">
        <v>114</v>
      </c>
      <c r="B1924" s="2" t="s">
        <v>29</v>
      </c>
      <c r="C1924" s="2" t="s">
        <v>21</v>
      </c>
      <c r="D1924" s="2" t="s">
        <v>26</v>
      </c>
      <c r="E1924" s="2" t="s">
        <v>22</v>
      </c>
      <c r="F1924" s="2" t="s">
        <v>58</v>
      </c>
      <c r="G1924" s="2" t="s">
        <v>24</v>
      </c>
      <c r="H1924" s="2">
        <v>220000</v>
      </c>
      <c r="I1924" s="2">
        <v>1</v>
      </c>
      <c r="J1924" s="2" t="s">
        <v>27</v>
      </c>
      <c r="K1924" s="2">
        <f t="shared" si="210"/>
        <v>176000</v>
      </c>
      <c r="L1924" s="9">
        <f>Table_1[[#This Row],[Unit Price]]*Table_1[[#This Row],[Quantity]]</f>
        <v>220000</v>
      </c>
      <c r="M1924" s="8">
        <f>Table_1[[#This Row],[Cost Price]]*Table_1[[#This Row],[Quantity]]</f>
        <v>176000</v>
      </c>
      <c r="N1924">
        <f>Table_1[[#This Row],[Revenue]]-Table_1[[#This Row],[COGS]]</f>
        <v>44000</v>
      </c>
      <c r="O1924" s="11">
        <f t="shared" si="211"/>
        <v>4656740000</v>
      </c>
      <c r="P1924">
        <f t="shared" si="212"/>
        <v>3725392000</v>
      </c>
      <c r="Q1924">
        <f t="shared" si="213"/>
        <v>931348000</v>
      </c>
      <c r="R1924" s="7">
        <f t="shared" si="214"/>
        <v>2098</v>
      </c>
      <c r="S1924" s="7">
        <f t="shared" si="215"/>
        <v>3</v>
      </c>
      <c r="T1924" s="7">
        <f t="shared" si="216"/>
        <v>2098</v>
      </c>
    </row>
    <row r="1925" spans="1:20" ht="14.25" customHeight="1" x14ac:dyDescent="0.35">
      <c r="A1925" s="2" t="s">
        <v>151</v>
      </c>
      <c r="B1925" s="2" t="s">
        <v>34</v>
      </c>
      <c r="C1925" s="2" t="s">
        <v>38</v>
      </c>
      <c r="D1925" s="2" t="s">
        <v>26</v>
      </c>
      <c r="E1925" s="2" t="s">
        <v>15</v>
      </c>
      <c r="F1925" s="2" t="s">
        <v>58</v>
      </c>
      <c r="G1925" s="2" t="s">
        <v>24</v>
      </c>
      <c r="H1925" s="2">
        <v>220000</v>
      </c>
      <c r="I1925" s="2">
        <v>7</v>
      </c>
      <c r="J1925" s="2" t="s">
        <v>27</v>
      </c>
      <c r="K1925" s="2">
        <f t="shared" si="210"/>
        <v>176000</v>
      </c>
      <c r="L1925" s="9">
        <f>Table_1[[#This Row],[Unit Price]]*Table_1[[#This Row],[Quantity]]</f>
        <v>1540000</v>
      </c>
      <c r="M1925" s="8">
        <f>Table_1[[#This Row],[Cost Price]]*Table_1[[#This Row],[Quantity]]</f>
        <v>1232000</v>
      </c>
      <c r="N1925">
        <f>Table_1[[#This Row],[Revenue]]-Table_1[[#This Row],[COGS]]</f>
        <v>308000</v>
      </c>
      <c r="O1925" s="11">
        <f t="shared" si="211"/>
        <v>4656740000</v>
      </c>
      <c r="P1925">
        <f t="shared" si="212"/>
        <v>3725392000</v>
      </c>
      <c r="Q1925">
        <f t="shared" si="213"/>
        <v>931348000</v>
      </c>
      <c r="R1925" s="7">
        <f t="shared" si="214"/>
        <v>2098</v>
      </c>
      <c r="S1925" s="7">
        <f t="shared" si="215"/>
        <v>1</v>
      </c>
      <c r="T1925" s="7">
        <f t="shared" si="216"/>
        <v>2098</v>
      </c>
    </row>
    <row r="1926" spans="1:20" ht="14.25" customHeight="1" x14ac:dyDescent="0.35">
      <c r="A1926" s="2" t="s">
        <v>159</v>
      </c>
      <c r="B1926" s="2" t="s">
        <v>29</v>
      </c>
      <c r="C1926" s="2" t="s">
        <v>38</v>
      </c>
      <c r="D1926" s="2" t="s">
        <v>26</v>
      </c>
      <c r="E1926" s="2" t="s">
        <v>22</v>
      </c>
      <c r="F1926" s="2" t="s">
        <v>47</v>
      </c>
      <c r="G1926" s="2" t="s">
        <v>36</v>
      </c>
      <c r="H1926" s="2">
        <v>150000</v>
      </c>
      <c r="I1926" s="2">
        <v>6</v>
      </c>
      <c r="J1926" s="2" t="s">
        <v>27</v>
      </c>
      <c r="K1926" s="2">
        <f t="shared" si="210"/>
        <v>120000</v>
      </c>
      <c r="L1926" s="9">
        <f>Table_1[[#This Row],[Unit Price]]*Table_1[[#This Row],[Quantity]]</f>
        <v>900000</v>
      </c>
      <c r="M1926" s="8">
        <f>Table_1[[#This Row],[Cost Price]]*Table_1[[#This Row],[Quantity]]</f>
        <v>720000</v>
      </c>
      <c r="N1926">
        <f>Table_1[[#This Row],[Revenue]]-Table_1[[#This Row],[COGS]]</f>
        <v>180000</v>
      </c>
      <c r="O1926" s="11">
        <f t="shared" si="211"/>
        <v>4656740000</v>
      </c>
      <c r="P1926">
        <f t="shared" si="212"/>
        <v>3725392000</v>
      </c>
      <c r="Q1926">
        <f t="shared" si="213"/>
        <v>931348000</v>
      </c>
      <c r="R1926" s="7">
        <f t="shared" si="214"/>
        <v>2098</v>
      </c>
      <c r="S1926" s="7">
        <f t="shared" si="215"/>
        <v>2</v>
      </c>
      <c r="T1926" s="7">
        <f t="shared" si="216"/>
        <v>2098</v>
      </c>
    </row>
    <row r="1927" spans="1:20" ht="14.25" customHeight="1" x14ac:dyDescent="0.35">
      <c r="A1927" s="2" t="s">
        <v>42</v>
      </c>
      <c r="B1927" s="2" t="s">
        <v>20</v>
      </c>
      <c r="C1927" s="2" t="s">
        <v>13</v>
      </c>
      <c r="D1927" s="2" t="s">
        <v>14</v>
      </c>
      <c r="E1927" s="2" t="s">
        <v>15</v>
      </c>
      <c r="F1927" s="2" t="s">
        <v>35</v>
      </c>
      <c r="G1927" s="2" t="s">
        <v>36</v>
      </c>
      <c r="H1927" s="2">
        <v>300000</v>
      </c>
      <c r="I1927" s="2">
        <v>8</v>
      </c>
      <c r="J1927" s="2" t="s">
        <v>32</v>
      </c>
      <c r="K1927" s="2">
        <f t="shared" si="210"/>
        <v>240000</v>
      </c>
      <c r="L1927" s="9">
        <f>Table_1[[#This Row],[Unit Price]]*Table_1[[#This Row],[Quantity]]</f>
        <v>2400000</v>
      </c>
      <c r="M1927" s="8">
        <f>Table_1[[#This Row],[Cost Price]]*Table_1[[#This Row],[Quantity]]</f>
        <v>1920000</v>
      </c>
      <c r="N1927">
        <f>Table_1[[#This Row],[Revenue]]-Table_1[[#This Row],[COGS]]</f>
        <v>480000</v>
      </c>
      <c r="O1927" s="11">
        <f t="shared" si="211"/>
        <v>4656740000</v>
      </c>
      <c r="P1927">
        <f t="shared" si="212"/>
        <v>3725392000</v>
      </c>
      <c r="Q1927">
        <f t="shared" si="213"/>
        <v>931348000</v>
      </c>
      <c r="R1927" s="7">
        <f t="shared" si="214"/>
        <v>2098</v>
      </c>
      <c r="S1927" s="7">
        <f t="shared" si="215"/>
        <v>2</v>
      </c>
      <c r="T1927" s="7">
        <f t="shared" si="216"/>
        <v>2098</v>
      </c>
    </row>
    <row r="1928" spans="1:20" ht="14.25" customHeight="1" x14ac:dyDescent="0.35">
      <c r="A1928" s="2" t="s">
        <v>102</v>
      </c>
      <c r="B1928" s="2" t="s">
        <v>20</v>
      </c>
      <c r="C1928" s="2" t="s">
        <v>38</v>
      </c>
      <c r="D1928" s="2" t="s">
        <v>26</v>
      </c>
      <c r="E1928" s="2" t="s">
        <v>22</v>
      </c>
      <c r="F1928" s="2" t="s">
        <v>52</v>
      </c>
      <c r="G1928" s="2" t="s">
        <v>36</v>
      </c>
      <c r="H1928" s="2">
        <v>420000</v>
      </c>
      <c r="I1928" s="2">
        <v>10</v>
      </c>
      <c r="J1928" s="2" t="s">
        <v>54</v>
      </c>
      <c r="K1928" s="2">
        <f t="shared" si="210"/>
        <v>336000</v>
      </c>
      <c r="L1928" s="9">
        <f>Table_1[[#This Row],[Unit Price]]*Table_1[[#This Row],[Quantity]]</f>
        <v>4200000</v>
      </c>
      <c r="M1928" s="8">
        <f>Table_1[[#This Row],[Cost Price]]*Table_1[[#This Row],[Quantity]]</f>
        <v>3360000</v>
      </c>
      <c r="N1928">
        <f>Table_1[[#This Row],[Revenue]]-Table_1[[#This Row],[COGS]]</f>
        <v>840000</v>
      </c>
      <c r="O1928" s="11">
        <f t="shared" si="211"/>
        <v>4656740000</v>
      </c>
      <c r="P1928">
        <f t="shared" si="212"/>
        <v>3725392000</v>
      </c>
      <c r="Q1928">
        <f t="shared" si="213"/>
        <v>931348000</v>
      </c>
      <c r="R1928" s="7">
        <f t="shared" si="214"/>
        <v>2098</v>
      </c>
      <c r="S1928" s="7">
        <f t="shared" si="215"/>
        <v>1</v>
      </c>
      <c r="T1928" s="7">
        <f t="shared" si="216"/>
        <v>2098</v>
      </c>
    </row>
    <row r="1929" spans="1:20" ht="14.25" customHeight="1" x14ac:dyDescent="0.35">
      <c r="A1929" s="2" t="s">
        <v>140</v>
      </c>
      <c r="B1929" s="2" t="s">
        <v>34</v>
      </c>
      <c r="C1929" s="2" t="s">
        <v>21</v>
      </c>
      <c r="D1929" s="2" t="s">
        <v>14</v>
      </c>
      <c r="E1929" s="2" t="s">
        <v>22</v>
      </c>
      <c r="F1929" s="2" t="s">
        <v>23</v>
      </c>
      <c r="G1929" s="2" t="s">
        <v>24</v>
      </c>
      <c r="H1929" s="2">
        <v>30000</v>
      </c>
      <c r="I1929" s="2">
        <v>1</v>
      </c>
      <c r="J1929" s="2" t="s">
        <v>27</v>
      </c>
      <c r="K1929" s="2">
        <f t="shared" si="210"/>
        <v>24000</v>
      </c>
      <c r="L1929" s="9">
        <f>Table_1[[#This Row],[Unit Price]]*Table_1[[#This Row],[Quantity]]</f>
        <v>30000</v>
      </c>
      <c r="M1929" s="8">
        <f>Table_1[[#This Row],[Cost Price]]*Table_1[[#This Row],[Quantity]]</f>
        <v>24000</v>
      </c>
      <c r="N1929">
        <f>Table_1[[#This Row],[Revenue]]-Table_1[[#This Row],[COGS]]</f>
        <v>6000</v>
      </c>
      <c r="O1929" s="11">
        <f t="shared" si="211"/>
        <v>4656740000</v>
      </c>
      <c r="P1929">
        <f t="shared" si="212"/>
        <v>3725392000</v>
      </c>
      <c r="Q1929">
        <f t="shared" si="213"/>
        <v>931348000</v>
      </c>
      <c r="R1929" s="7">
        <f t="shared" si="214"/>
        <v>2098</v>
      </c>
      <c r="S1929" s="7">
        <f t="shared" si="215"/>
        <v>4</v>
      </c>
      <c r="T1929" s="7">
        <f t="shared" si="216"/>
        <v>2098</v>
      </c>
    </row>
    <row r="1930" spans="1:20" ht="14.25" customHeight="1" x14ac:dyDescent="0.35">
      <c r="A1930" s="2" t="s">
        <v>83</v>
      </c>
      <c r="B1930" s="2" t="s">
        <v>20</v>
      </c>
      <c r="C1930" s="2" t="s">
        <v>13</v>
      </c>
      <c r="D1930" s="2" t="s">
        <v>26</v>
      </c>
      <c r="E1930" s="2" t="s">
        <v>15</v>
      </c>
      <c r="F1930" s="2" t="s">
        <v>52</v>
      </c>
      <c r="G1930" s="2" t="s">
        <v>36</v>
      </c>
      <c r="H1930" s="2">
        <v>420000</v>
      </c>
      <c r="I1930" s="2">
        <v>7</v>
      </c>
      <c r="J1930" s="2" t="s">
        <v>18</v>
      </c>
      <c r="K1930" s="2">
        <f t="shared" si="210"/>
        <v>336000</v>
      </c>
      <c r="L1930" s="9">
        <f>Table_1[[#This Row],[Unit Price]]*Table_1[[#This Row],[Quantity]]</f>
        <v>2940000</v>
      </c>
      <c r="M1930" s="8">
        <f>Table_1[[#This Row],[Cost Price]]*Table_1[[#This Row],[Quantity]]</f>
        <v>2352000</v>
      </c>
      <c r="N1930">
        <f>Table_1[[#This Row],[Revenue]]-Table_1[[#This Row],[COGS]]</f>
        <v>588000</v>
      </c>
      <c r="O1930" s="11">
        <f t="shared" si="211"/>
        <v>4656740000</v>
      </c>
      <c r="P1930">
        <f t="shared" si="212"/>
        <v>3725392000</v>
      </c>
      <c r="Q1930">
        <f t="shared" si="213"/>
        <v>931348000</v>
      </c>
      <c r="R1930" s="7">
        <f t="shared" si="214"/>
        <v>2098</v>
      </c>
      <c r="S1930" s="7">
        <f t="shared" si="215"/>
        <v>1</v>
      </c>
      <c r="T1930" s="7">
        <f t="shared" si="216"/>
        <v>2098</v>
      </c>
    </row>
    <row r="1931" spans="1:20" ht="14.25" customHeight="1" x14ac:dyDescent="0.35">
      <c r="A1931" s="2" t="s">
        <v>144</v>
      </c>
      <c r="B1931" s="2" t="s">
        <v>34</v>
      </c>
      <c r="C1931" s="2" t="s">
        <v>13</v>
      </c>
      <c r="D1931" s="2" t="s">
        <v>26</v>
      </c>
      <c r="E1931" s="2" t="s">
        <v>22</v>
      </c>
      <c r="F1931" s="2" t="s">
        <v>39</v>
      </c>
      <c r="G1931" s="2" t="s">
        <v>24</v>
      </c>
      <c r="H1931" s="2">
        <v>180000</v>
      </c>
      <c r="I1931" s="2">
        <v>6</v>
      </c>
      <c r="J1931" s="2" t="s">
        <v>43</v>
      </c>
      <c r="K1931" s="2">
        <f t="shared" si="210"/>
        <v>144000</v>
      </c>
      <c r="L1931" s="9">
        <f>Table_1[[#This Row],[Unit Price]]*Table_1[[#This Row],[Quantity]]</f>
        <v>1080000</v>
      </c>
      <c r="M1931" s="8">
        <f>Table_1[[#This Row],[Cost Price]]*Table_1[[#This Row],[Quantity]]</f>
        <v>864000</v>
      </c>
      <c r="N1931">
        <f>Table_1[[#This Row],[Revenue]]-Table_1[[#This Row],[COGS]]</f>
        <v>216000</v>
      </c>
      <c r="O1931" s="11">
        <f t="shared" si="211"/>
        <v>4656740000</v>
      </c>
      <c r="P1931">
        <f t="shared" si="212"/>
        <v>3725392000</v>
      </c>
      <c r="Q1931">
        <f t="shared" si="213"/>
        <v>931348000</v>
      </c>
      <c r="R1931" s="7">
        <f t="shared" si="214"/>
        <v>2098</v>
      </c>
      <c r="S1931" s="7">
        <f t="shared" si="215"/>
        <v>2</v>
      </c>
      <c r="T1931" s="7">
        <f t="shared" si="216"/>
        <v>2098</v>
      </c>
    </row>
    <row r="1932" spans="1:20" ht="14.25" customHeight="1" x14ac:dyDescent="0.35">
      <c r="A1932" s="2" t="s">
        <v>44</v>
      </c>
      <c r="B1932" s="2" t="s">
        <v>29</v>
      </c>
      <c r="C1932" s="2" t="s">
        <v>30</v>
      </c>
      <c r="D1932" s="2" t="s">
        <v>14</v>
      </c>
      <c r="E1932" s="2" t="s">
        <v>15</v>
      </c>
      <c r="F1932" s="2" t="s">
        <v>23</v>
      </c>
      <c r="G1932" s="2" t="s">
        <v>24</v>
      </c>
      <c r="H1932" s="2">
        <v>30000</v>
      </c>
      <c r="I1932" s="2">
        <v>10</v>
      </c>
      <c r="J1932" s="2" t="s">
        <v>54</v>
      </c>
      <c r="K1932" s="2">
        <f t="shared" si="210"/>
        <v>24000</v>
      </c>
      <c r="L1932" s="9">
        <f>Table_1[[#This Row],[Unit Price]]*Table_1[[#This Row],[Quantity]]</f>
        <v>300000</v>
      </c>
      <c r="M1932" s="8">
        <f>Table_1[[#This Row],[Cost Price]]*Table_1[[#This Row],[Quantity]]</f>
        <v>240000</v>
      </c>
      <c r="N1932">
        <f>Table_1[[#This Row],[Revenue]]-Table_1[[#This Row],[COGS]]</f>
        <v>60000</v>
      </c>
      <c r="O1932" s="11">
        <f t="shared" si="211"/>
        <v>4656740000</v>
      </c>
      <c r="P1932">
        <f t="shared" si="212"/>
        <v>3725392000</v>
      </c>
      <c r="Q1932">
        <f t="shared" si="213"/>
        <v>931348000</v>
      </c>
      <c r="R1932" s="7">
        <f t="shared" si="214"/>
        <v>2098</v>
      </c>
      <c r="S1932" s="7">
        <f t="shared" si="215"/>
        <v>3</v>
      </c>
      <c r="T1932" s="7">
        <f t="shared" si="216"/>
        <v>2098</v>
      </c>
    </row>
    <row r="1933" spans="1:20" ht="14.25" customHeight="1" x14ac:dyDescent="0.35">
      <c r="A1933" s="2" t="s">
        <v>121</v>
      </c>
      <c r="B1933" s="2" t="s">
        <v>12</v>
      </c>
      <c r="C1933" s="2" t="s">
        <v>13</v>
      </c>
      <c r="D1933" s="2" t="s">
        <v>14</v>
      </c>
      <c r="E1933" s="2" t="s">
        <v>22</v>
      </c>
      <c r="F1933" s="2" t="s">
        <v>58</v>
      </c>
      <c r="G1933" s="2" t="s">
        <v>24</v>
      </c>
      <c r="H1933" s="2">
        <v>220000</v>
      </c>
      <c r="I1933" s="2">
        <v>1</v>
      </c>
      <c r="J1933" s="2" t="s">
        <v>54</v>
      </c>
      <c r="K1933" s="2">
        <f t="shared" si="210"/>
        <v>176000</v>
      </c>
      <c r="L1933" s="9">
        <f>Table_1[[#This Row],[Unit Price]]*Table_1[[#This Row],[Quantity]]</f>
        <v>220000</v>
      </c>
      <c r="M1933" s="8">
        <f>Table_1[[#This Row],[Cost Price]]*Table_1[[#This Row],[Quantity]]</f>
        <v>176000</v>
      </c>
      <c r="N1933">
        <f>Table_1[[#This Row],[Revenue]]-Table_1[[#This Row],[COGS]]</f>
        <v>44000</v>
      </c>
      <c r="O1933" s="11">
        <f t="shared" si="211"/>
        <v>4656740000</v>
      </c>
      <c r="P1933">
        <f t="shared" si="212"/>
        <v>3725392000</v>
      </c>
      <c r="Q1933">
        <f t="shared" si="213"/>
        <v>931348000</v>
      </c>
      <c r="R1933" s="7">
        <f t="shared" si="214"/>
        <v>2098</v>
      </c>
      <c r="S1933" s="7">
        <f t="shared" si="215"/>
        <v>2</v>
      </c>
      <c r="T1933" s="7">
        <f t="shared" si="216"/>
        <v>2098</v>
      </c>
    </row>
    <row r="1934" spans="1:20" ht="14.25" customHeight="1" x14ac:dyDescent="0.35">
      <c r="A1934" s="2" t="s">
        <v>122</v>
      </c>
      <c r="B1934" s="2" t="s">
        <v>29</v>
      </c>
      <c r="C1934" s="2" t="s">
        <v>30</v>
      </c>
      <c r="D1934" s="2" t="s">
        <v>14</v>
      </c>
      <c r="E1934" s="2" t="s">
        <v>15</v>
      </c>
      <c r="F1934" s="2" t="s">
        <v>41</v>
      </c>
      <c r="G1934" s="2" t="s">
        <v>17</v>
      </c>
      <c r="H1934" s="2">
        <v>320000</v>
      </c>
      <c r="I1934" s="2">
        <v>6</v>
      </c>
      <c r="J1934" s="2" t="s">
        <v>43</v>
      </c>
      <c r="K1934" s="2">
        <f t="shared" si="210"/>
        <v>256000</v>
      </c>
      <c r="L1934" s="9">
        <f>Table_1[[#This Row],[Unit Price]]*Table_1[[#This Row],[Quantity]]</f>
        <v>1920000</v>
      </c>
      <c r="M1934" s="8">
        <f>Table_1[[#This Row],[Cost Price]]*Table_1[[#This Row],[Quantity]]</f>
        <v>1536000</v>
      </c>
      <c r="N1934">
        <f>Table_1[[#This Row],[Revenue]]-Table_1[[#This Row],[COGS]]</f>
        <v>384000</v>
      </c>
      <c r="O1934" s="11">
        <f t="shared" si="211"/>
        <v>4656740000</v>
      </c>
      <c r="P1934">
        <f t="shared" si="212"/>
        <v>3725392000</v>
      </c>
      <c r="Q1934">
        <f t="shared" si="213"/>
        <v>931348000</v>
      </c>
      <c r="R1934" s="7">
        <f t="shared" si="214"/>
        <v>2098</v>
      </c>
      <c r="S1934" s="7">
        <f t="shared" si="215"/>
        <v>4</v>
      </c>
      <c r="T1934" s="7">
        <f t="shared" si="216"/>
        <v>2098</v>
      </c>
    </row>
    <row r="1935" spans="1:20" ht="14.25" customHeight="1" x14ac:dyDescent="0.35">
      <c r="A1935" s="2" t="s">
        <v>90</v>
      </c>
      <c r="B1935" s="2" t="s">
        <v>29</v>
      </c>
      <c r="C1935" s="2" t="s">
        <v>38</v>
      </c>
      <c r="D1935" s="2" t="s">
        <v>26</v>
      </c>
      <c r="E1935" s="2" t="s">
        <v>22</v>
      </c>
      <c r="F1935" s="2" t="s">
        <v>31</v>
      </c>
      <c r="G1935" s="2" t="s">
        <v>24</v>
      </c>
      <c r="H1935" s="2">
        <v>60000</v>
      </c>
      <c r="I1935" s="2">
        <v>10</v>
      </c>
      <c r="J1935" s="2" t="s">
        <v>27</v>
      </c>
      <c r="K1935" s="2">
        <f t="shared" si="210"/>
        <v>48000</v>
      </c>
      <c r="L1935" s="9">
        <f>Table_1[[#This Row],[Unit Price]]*Table_1[[#This Row],[Quantity]]</f>
        <v>600000</v>
      </c>
      <c r="M1935" s="8">
        <f>Table_1[[#This Row],[Cost Price]]*Table_1[[#This Row],[Quantity]]</f>
        <v>480000</v>
      </c>
      <c r="N1935">
        <f>Table_1[[#This Row],[Revenue]]-Table_1[[#This Row],[COGS]]</f>
        <v>120000</v>
      </c>
      <c r="O1935" s="11">
        <f t="shared" si="211"/>
        <v>4656740000</v>
      </c>
      <c r="P1935">
        <f t="shared" si="212"/>
        <v>3725392000</v>
      </c>
      <c r="Q1935">
        <f t="shared" si="213"/>
        <v>931348000</v>
      </c>
      <c r="R1935" s="7">
        <f t="shared" si="214"/>
        <v>2098</v>
      </c>
      <c r="S1935" s="7">
        <f t="shared" si="215"/>
        <v>3</v>
      </c>
      <c r="T1935" s="7">
        <f t="shared" si="216"/>
        <v>2098</v>
      </c>
    </row>
    <row r="1936" spans="1:20" ht="14.25" customHeight="1" x14ac:dyDescent="0.35">
      <c r="A1936" s="2" t="s">
        <v>93</v>
      </c>
      <c r="B1936" s="2" t="s">
        <v>12</v>
      </c>
      <c r="C1936" s="2" t="s">
        <v>38</v>
      </c>
      <c r="D1936" s="2" t="s">
        <v>14</v>
      </c>
      <c r="E1936" s="2" t="s">
        <v>15</v>
      </c>
      <c r="F1936" s="2" t="s">
        <v>16</v>
      </c>
      <c r="G1936" s="2" t="s">
        <v>17</v>
      </c>
      <c r="H1936" s="2">
        <v>85000</v>
      </c>
      <c r="I1936" s="2">
        <v>7</v>
      </c>
      <c r="J1936" s="2" t="s">
        <v>54</v>
      </c>
      <c r="K1936" s="2">
        <f t="shared" si="210"/>
        <v>68000</v>
      </c>
      <c r="L1936" s="9">
        <f>Table_1[[#This Row],[Unit Price]]*Table_1[[#This Row],[Quantity]]</f>
        <v>595000</v>
      </c>
      <c r="M1936" s="8">
        <f>Table_1[[#This Row],[Cost Price]]*Table_1[[#This Row],[Quantity]]</f>
        <v>476000</v>
      </c>
      <c r="N1936">
        <f>Table_1[[#This Row],[Revenue]]-Table_1[[#This Row],[COGS]]</f>
        <v>119000</v>
      </c>
      <c r="O1936" s="11">
        <f t="shared" si="211"/>
        <v>4656740000</v>
      </c>
      <c r="P1936">
        <f t="shared" si="212"/>
        <v>3725392000</v>
      </c>
      <c r="Q1936">
        <f t="shared" si="213"/>
        <v>931348000</v>
      </c>
      <c r="R1936" s="7">
        <f t="shared" si="214"/>
        <v>2098</v>
      </c>
      <c r="S1936" s="7">
        <f t="shared" si="215"/>
        <v>4</v>
      </c>
      <c r="T1936" s="7">
        <f t="shared" si="216"/>
        <v>2098</v>
      </c>
    </row>
    <row r="1937" spans="1:20" ht="14.25" customHeight="1" x14ac:dyDescent="0.35">
      <c r="A1937" s="2" t="s">
        <v>142</v>
      </c>
      <c r="B1937" s="2" t="s">
        <v>20</v>
      </c>
      <c r="C1937" s="2" t="s">
        <v>38</v>
      </c>
      <c r="D1937" s="2" t="s">
        <v>26</v>
      </c>
      <c r="E1937" s="2" t="s">
        <v>15</v>
      </c>
      <c r="F1937" s="2" t="s">
        <v>56</v>
      </c>
      <c r="G1937" s="2" t="s">
        <v>36</v>
      </c>
      <c r="H1937" s="2">
        <v>250000</v>
      </c>
      <c r="I1937" s="2">
        <v>1</v>
      </c>
      <c r="J1937" s="2" t="s">
        <v>54</v>
      </c>
      <c r="K1937" s="2">
        <f t="shared" si="210"/>
        <v>200000</v>
      </c>
      <c r="L1937" s="9">
        <f>Table_1[[#This Row],[Unit Price]]*Table_1[[#This Row],[Quantity]]</f>
        <v>250000</v>
      </c>
      <c r="M1937" s="8">
        <f>Table_1[[#This Row],[Cost Price]]*Table_1[[#This Row],[Quantity]]</f>
        <v>200000</v>
      </c>
      <c r="N1937">
        <f>Table_1[[#This Row],[Revenue]]-Table_1[[#This Row],[COGS]]</f>
        <v>50000</v>
      </c>
      <c r="O1937" s="11">
        <f t="shared" si="211"/>
        <v>4656740000</v>
      </c>
      <c r="P1937">
        <f t="shared" si="212"/>
        <v>3725392000</v>
      </c>
      <c r="Q1937">
        <f t="shared" si="213"/>
        <v>931348000</v>
      </c>
      <c r="R1937" s="7">
        <f t="shared" si="214"/>
        <v>2098</v>
      </c>
      <c r="S1937" s="7">
        <f t="shared" si="215"/>
        <v>4</v>
      </c>
      <c r="T1937" s="7">
        <f t="shared" si="216"/>
        <v>2098</v>
      </c>
    </row>
    <row r="1938" spans="1:20" ht="14.25" customHeight="1" x14ac:dyDescent="0.35">
      <c r="A1938" s="2" t="s">
        <v>101</v>
      </c>
      <c r="B1938" s="2" t="s">
        <v>34</v>
      </c>
      <c r="C1938" s="2" t="s">
        <v>38</v>
      </c>
      <c r="D1938" s="2" t="s">
        <v>26</v>
      </c>
      <c r="E1938" s="2" t="s">
        <v>22</v>
      </c>
      <c r="F1938" s="2" t="s">
        <v>58</v>
      </c>
      <c r="G1938" s="2" t="s">
        <v>24</v>
      </c>
      <c r="H1938" s="2">
        <v>220000</v>
      </c>
      <c r="I1938" s="2">
        <v>8</v>
      </c>
      <c r="J1938" s="2" t="s">
        <v>27</v>
      </c>
      <c r="K1938" s="2">
        <f t="shared" si="210"/>
        <v>176000</v>
      </c>
      <c r="L1938" s="9">
        <f>Table_1[[#This Row],[Unit Price]]*Table_1[[#This Row],[Quantity]]</f>
        <v>1760000</v>
      </c>
      <c r="M1938" s="8">
        <f>Table_1[[#This Row],[Cost Price]]*Table_1[[#This Row],[Quantity]]</f>
        <v>1408000</v>
      </c>
      <c r="N1938">
        <f>Table_1[[#This Row],[Revenue]]-Table_1[[#This Row],[COGS]]</f>
        <v>352000</v>
      </c>
      <c r="O1938" s="11">
        <f t="shared" si="211"/>
        <v>4656740000</v>
      </c>
      <c r="P1938">
        <f t="shared" si="212"/>
        <v>3725392000</v>
      </c>
      <c r="Q1938">
        <f t="shared" si="213"/>
        <v>931348000</v>
      </c>
      <c r="R1938" s="7">
        <f t="shared" si="214"/>
        <v>2098</v>
      </c>
      <c r="S1938" s="7">
        <f t="shared" si="215"/>
        <v>4</v>
      </c>
      <c r="T1938" s="7">
        <f t="shared" si="216"/>
        <v>2098</v>
      </c>
    </row>
    <row r="1939" spans="1:20" ht="14.25" customHeight="1" x14ac:dyDescent="0.35">
      <c r="A1939" s="2" t="s">
        <v>96</v>
      </c>
      <c r="B1939" s="2" t="s">
        <v>34</v>
      </c>
      <c r="C1939" s="2" t="s">
        <v>21</v>
      </c>
      <c r="D1939" s="2" t="s">
        <v>14</v>
      </c>
      <c r="E1939" s="2" t="s">
        <v>15</v>
      </c>
      <c r="F1939" s="2" t="s">
        <v>56</v>
      </c>
      <c r="G1939" s="2" t="s">
        <v>36</v>
      </c>
      <c r="H1939" s="2">
        <v>250000</v>
      </c>
      <c r="I1939" s="2">
        <v>6</v>
      </c>
      <c r="J1939" s="2" t="s">
        <v>43</v>
      </c>
      <c r="K1939" s="2">
        <f t="shared" si="210"/>
        <v>200000</v>
      </c>
      <c r="L1939" s="9">
        <f>Table_1[[#This Row],[Unit Price]]*Table_1[[#This Row],[Quantity]]</f>
        <v>1500000</v>
      </c>
      <c r="M1939" s="8">
        <f>Table_1[[#This Row],[Cost Price]]*Table_1[[#This Row],[Quantity]]</f>
        <v>1200000</v>
      </c>
      <c r="N1939">
        <f>Table_1[[#This Row],[Revenue]]-Table_1[[#This Row],[COGS]]</f>
        <v>300000</v>
      </c>
      <c r="O1939" s="11">
        <f t="shared" si="211"/>
        <v>4656740000</v>
      </c>
      <c r="P1939">
        <f t="shared" si="212"/>
        <v>3725392000</v>
      </c>
      <c r="Q1939">
        <f t="shared" si="213"/>
        <v>931348000</v>
      </c>
      <c r="R1939" s="7">
        <f t="shared" si="214"/>
        <v>2098</v>
      </c>
      <c r="S1939" s="7">
        <f t="shared" si="215"/>
        <v>2</v>
      </c>
      <c r="T1939" s="7">
        <f t="shared" si="216"/>
        <v>2098</v>
      </c>
    </row>
    <row r="1940" spans="1:20" ht="14.25" customHeight="1" x14ac:dyDescent="0.35">
      <c r="A1940" s="2" t="s">
        <v>51</v>
      </c>
      <c r="B1940" s="2" t="s">
        <v>34</v>
      </c>
      <c r="C1940" s="2" t="s">
        <v>38</v>
      </c>
      <c r="D1940" s="2" t="s">
        <v>14</v>
      </c>
      <c r="E1940" s="2" t="s">
        <v>15</v>
      </c>
      <c r="F1940" s="2" t="s">
        <v>16</v>
      </c>
      <c r="G1940" s="2" t="s">
        <v>17</v>
      </c>
      <c r="H1940" s="2">
        <v>85000</v>
      </c>
      <c r="I1940" s="2">
        <v>7</v>
      </c>
      <c r="J1940" s="2" t="s">
        <v>43</v>
      </c>
      <c r="K1940" s="2">
        <f t="shared" si="210"/>
        <v>68000</v>
      </c>
      <c r="L1940" s="9">
        <f>Table_1[[#This Row],[Unit Price]]*Table_1[[#This Row],[Quantity]]</f>
        <v>595000</v>
      </c>
      <c r="M1940" s="8">
        <f>Table_1[[#This Row],[Cost Price]]*Table_1[[#This Row],[Quantity]]</f>
        <v>476000</v>
      </c>
      <c r="N1940">
        <f>Table_1[[#This Row],[Revenue]]-Table_1[[#This Row],[COGS]]</f>
        <v>119000</v>
      </c>
      <c r="O1940" s="11">
        <f t="shared" si="211"/>
        <v>4656740000</v>
      </c>
      <c r="P1940">
        <f t="shared" si="212"/>
        <v>3725392000</v>
      </c>
      <c r="Q1940">
        <f t="shared" si="213"/>
        <v>931348000</v>
      </c>
      <c r="R1940" s="7">
        <f t="shared" si="214"/>
        <v>2098</v>
      </c>
      <c r="S1940" s="7">
        <f t="shared" si="215"/>
        <v>3</v>
      </c>
      <c r="T1940" s="7">
        <f t="shared" si="216"/>
        <v>2098</v>
      </c>
    </row>
    <row r="1941" spans="1:20" ht="14.25" customHeight="1" x14ac:dyDescent="0.35">
      <c r="A1941" s="2" t="s">
        <v>104</v>
      </c>
      <c r="B1941" s="2" t="s">
        <v>29</v>
      </c>
      <c r="C1941" s="2" t="s">
        <v>30</v>
      </c>
      <c r="D1941" s="2" t="s">
        <v>14</v>
      </c>
      <c r="E1941" s="2" t="s">
        <v>22</v>
      </c>
      <c r="F1941" s="2" t="s">
        <v>16</v>
      </c>
      <c r="G1941" s="2" t="s">
        <v>17</v>
      </c>
      <c r="H1941" s="2">
        <v>85000</v>
      </c>
      <c r="I1941" s="2">
        <v>4</v>
      </c>
      <c r="J1941" s="2" t="s">
        <v>32</v>
      </c>
      <c r="K1941" s="2">
        <f t="shared" si="210"/>
        <v>68000</v>
      </c>
      <c r="L1941" s="9">
        <f>Table_1[[#This Row],[Unit Price]]*Table_1[[#This Row],[Quantity]]</f>
        <v>340000</v>
      </c>
      <c r="M1941" s="8">
        <f>Table_1[[#This Row],[Cost Price]]*Table_1[[#This Row],[Quantity]]</f>
        <v>272000</v>
      </c>
      <c r="N1941">
        <f>Table_1[[#This Row],[Revenue]]-Table_1[[#This Row],[COGS]]</f>
        <v>68000</v>
      </c>
      <c r="O1941" s="11">
        <f t="shared" si="211"/>
        <v>4656740000</v>
      </c>
      <c r="P1941">
        <f t="shared" si="212"/>
        <v>3725392000</v>
      </c>
      <c r="Q1941">
        <f t="shared" si="213"/>
        <v>931348000</v>
      </c>
      <c r="R1941" s="7">
        <f t="shared" si="214"/>
        <v>2098</v>
      </c>
      <c r="S1941" s="7">
        <f t="shared" si="215"/>
        <v>2</v>
      </c>
      <c r="T1941" s="7">
        <f t="shared" si="216"/>
        <v>2098</v>
      </c>
    </row>
    <row r="1942" spans="1:20" ht="14.25" customHeight="1" x14ac:dyDescent="0.35">
      <c r="A1942" s="2" t="s">
        <v>73</v>
      </c>
      <c r="B1942" s="2" t="s">
        <v>20</v>
      </c>
      <c r="C1942" s="2" t="s">
        <v>38</v>
      </c>
      <c r="D1942" s="2" t="s">
        <v>26</v>
      </c>
      <c r="E1942" s="2" t="s">
        <v>22</v>
      </c>
      <c r="F1942" s="2" t="s">
        <v>52</v>
      </c>
      <c r="G1942" s="2" t="s">
        <v>36</v>
      </c>
      <c r="H1942" s="2">
        <v>420000</v>
      </c>
      <c r="I1942" s="2">
        <v>6</v>
      </c>
      <c r="J1942" s="2" t="s">
        <v>18</v>
      </c>
      <c r="K1942" s="2">
        <f t="shared" si="210"/>
        <v>336000</v>
      </c>
      <c r="L1942" s="9">
        <f>Table_1[[#This Row],[Unit Price]]*Table_1[[#This Row],[Quantity]]</f>
        <v>2520000</v>
      </c>
      <c r="M1942" s="8">
        <f>Table_1[[#This Row],[Cost Price]]*Table_1[[#This Row],[Quantity]]</f>
        <v>2016000</v>
      </c>
      <c r="N1942">
        <f>Table_1[[#This Row],[Revenue]]-Table_1[[#This Row],[COGS]]</f>
        <v>504000</v>
      </c>
      <c r="O1942" s="11">
        <f t="shared" si="211"/>
        <v>4656740000</v>
      </c>
      <c r="P1942">
        <f t="shared" si="212"/>
        <v>3725392000</v>
      </c>
      <c r="Q1942">
        <f t="shared" si="213"/>
        <v>931348000</v>
      </c>
      <c r="R1942" s="7">
        <f t="shared" si="214"/>
        <v>2098</v>
      </c>
      <c r="S1942" s="7">
        <f t="shared" si="215"/>
        <v>2</v>
      </c>
      <c r="T1942" s="7">
        <f t="shared" si="216"/>
        <v>2098</v>
      </c>
    </row>
    <row r="1943" spans="1:20" ht="14.25" customHeight="1" x14ac:dyDescent="0.35">
      <c r="A1943" s="2" t="s">
        <v>42</v>
      </c>
      <c r="B1943" s="2" t="s">
        <v>20</v>
      </c>
      <c r="C1943" s="2" t="s">
        <v>13</v>
      </c>
      <c r="D1943" s="2" t="s">
        <v>26</v>
      </c>
      <c r="E1943" s="2" t="s">
        <v>22</v>
      </c>
      <c r="F1943" s="2" t="s">
        <v>56</v>
      </c>
      <c r="G1943" s="2" t="s">
        <v>36</v>
      </c>
      <c r="H1943" s="2">
        <v>250000</v>
      </c>
      <c r="I1943" s="2">
        <v>4</v>
      </c>
      <c r="J1943" s="2" t="s">
        <v>32</v>
      </c>
      <c r="K1943" s="2">
        <f t="shared" si="210"/>
        <v>200000</v>
      </c>
      <c r="L1943" s="9">
        <f>Table_1[[#This Row],[Unit Price]]*Table_1[[#This Row],[Quantity]]</f>
        <v>1000000</v>
      </c>
      <c r="M1943" s="8">
        <f>Table_1[[#This Row],[Cost Price]]*Table_1[[#This Row],[Quantity]]</f>
        <v>800000</v>
      </c>
      <c r="N1943">
        <f>Table_1[[#This Row],[Revenue]]-Table_1[[#This Row],[COGS]]</f>
        <v>200000</v>
      </c>
      <c r="O1943" s="11">
        <f t="shared" si="211"/>
        <v>4656740000</v>
      </c>
      <c r="P1943">
        <f t="shared" si="212"/>
        <v>3725392000</v>
      </c>
      <c r="Q1943">
        <f t="shared" si="213"/>
        <v>931348000</v>
      </c>
      <c r="R1943" s="7">
        <f t="shared" si="214"/>
        <v>2098</v>
      </c>
      <c r="S1943" s="7">
        <f t="shared" si="215"/>
        <v>2</v>
      </c>
      <c r="T1943" s="7">
        <f t="shared" si="216"/>
        <v>2098</v>
      </c>
    </row>
    <row r="1944" spans="1:20" ht="14.25" customHeight="1" x14ac:dyDescent="0.35">
      <c r="A1944" s="2" t="s">
        <v>114</v>
      </c>
      <c r="B1944" s="2" t="s">
        <v>12</v>
      </c>
      <c r="C1944" s="2" t="s">
        <v>13</v>
      </c>
      <c r="D1944" s="2" t="s">
        <v>14</v>
      </c>
      <c r="E1944" s="2" t="s">
        <v>22</v>
      </c>
      <c r="F1944" s="2" t="s">
        <v>23</v>
      </c>
      <c r="G1944" s="2" t="s">
        <v>24</v>
      </c>
      <c r="H1944" s="2">
        <v>30000</v>
      </c>
      <c r="I1944" s="2">
        <v>3</v>
      </c>
      <c r="J1944" s="2" t="s">
        <v>50</v>
      </c>
      <c r="K1944" s="2">
        <f t="shared" si="210"/>
        <v>24000</v>
      </c>
      <c r="L1944" s="9">
        <f>Table_1[[#This Row],[Unit Price]]*Table_1[[#This Row],[Quantity]]</f>
        <v>90000</v>
      </c>
      <c r="M1944" s="8">
        <f>Table_1[[#This Row],[Cost Price]]*Table_1[[#This Row],[Quantity]]</f>
        <v>72000</v>
      </c>
      <c r="N1944">
        <f>Table_1[[#This Row],[Revenue]]-Table_1[[#This Row],[COGS]]</f>
        <v>18000</v>
      </c>
      <c r="O1944" s="11">
        <f t="shared" si="211"/>
        <v>4656740000</v>
      </c>
      <c r="P1944">
        <f t="shared" si="212"/>
        <v>3725392000</v>
      </c>
      <c r="Q1944">
        <f t="shared" si="213"/>
        <v>931348000</v>
      </c>
      <c r="R1944" s="7">
        <f t="shared" si="214"/>
        <v>2098</v>
      </c>
      <c r="S1944" s="7">
        <f t="shared" si="215"/>
        <v>3</v>
      </c>
      <c r="T1944" s="7">
        <f t="shared" si="216"/>
        <v>2098</v>
      </c>
    </row>
    <row r="1945" spans="1:20" ht="14.25" customHeight="1" x14ac:dyDescent="0.35">
      <c r="A1945" s="2" t="s">
        <v>131</v>
      </c>
      <c r="B1945" s="2" t="s">
        <v>34</v>
      </c>
      <c r="C1945" s="2" t="s">
        <v>38</v>
      </c>
      <c r="D1945" s="2" t="s">
        <v>26</v>
      </c>
      <c r="E1945" s="2" t="s">
        <v>15</v>
      </c>
      <c r="F1945" s="2" t="s">
        <v>41</v>
      </c>
      <c r="G1945" s="2" t="s">
        <v>17</v>
      </c>
      <c r="H1945" s="2">
        <v>320000</v>
      </c>
      <c r="I1945" s="2">
        <v>9</v>
      </c>
      <c r="J1945" s="2" t="s">
        <v>43</v>
      </c>
      <c r="K1945" s="2">
        <f t="shared" si="210"/>
        <v>256000</v>
      </c>
      <c r="L1945" s="9">
        <f>Table_1[[#This Row],[Unit Price]]*Table_1[[#This Row],[Quantity]]</f>
        <v>2880000</v>
      </c>
      <c r="M1945" s="8">
        <f>Table_1[[#This Row],[Cost Price]]*Table_1[[#This Row],[Quantity]]</f>
        <v>2304000</v>
      </c>
      <c r="N1945">
        <f>Table_1[[#This Row],[Revenue]]-Table_1[[#This Row],[COGS]]</f>
        <v>576000</v>
      </c>
      <c r="O1945" s="11">
        <f t="shared" si="211"/>
        <v>4656740000</v>
      </c>
      <c r="P1945">
        <f t="shared" si="212"/>
        <v>3725392000</v>
      </c>
      <c r="Q1945">
        <f t="shared" si="213"/>
        <v>931348000</v>
      </c>
      <c r="R1945" s="7">
        <f t="shared" si="214"/>
        <v>2098</v>
      </c>
      <c r="S1945" s="7">
        <f t="shared" si="215"/>
        <v>1</v>
      </c>
      <c r="T1945" s="7">
        <f t="shared" si="216"/>
        <v>2098</v>
      </c>
    </row>
    <row r="1946" spans="1:20" ht="14.25" customHeight="1" x14ac:dyDescent="0.35">
      <c r="A1946" s="2" t="s">
        <v>11</v>
      </c>
      <c r="B1946" s="2" t="s">
        <v>34</v>
      </c>
      <c r="C1946" s="2" t="s">
        <v>13</v>
      </c>
      <c r="D1946" s="2" t="s">
        <v>14</v>
      </c>
      <c r="E1946" s="2" t="s">
        <v>22</v>
      </c>
      <c r="F1946" s="2" t="s">
        <v>58</v>
      </c>
      <c r="G1946" s="2" t="s">
        <v>24</v>
      </c>
      <c r="H1946" s="2">
        <v>220000</v>
      </c>
      <c r="I1946" s="2">
        <v>7</v>
      </c>
      <c r="J1946" s="2" t="s">
        <v>32</v>
      </c>
      <c r="K1946" s="2">
        <f t="shared" si="210"/>
        <v>176000</v>
      </c>
      <c r="L1946" s="9">
        <f>Table_1[[#This Row],[Unit Price]]*Table_1[[#This Row],[Quantity]]</f>
        <v>1540000</v>
      </c>
      <c r="M1946" s="8">
        <f>Table_1[[#This Row],[Cost Price]]*Table_1[[#This Row],[Quantity]]</f>
        <v>1232000</v>
      </c>
      <c r="N1946">
        <f>Table_1[[#This Row],[Revenue]]-Table_1[[#This Row],[COGS]]</f>
        <v>308000</v>
      </c>
      <c r="O1946" s="11">
        <f t="shared" si="211"/>
        <v>4656740000</v>
      </c>
      <c r="P1946">
        <f t="shared" si="212"/>
        <v>3725392000</v>
      </c>
      <c r="Q1946">
        <f t="shared" si="213"/>
        <v>931348000</v>
      </c>
      <c r="R1946" s="7">
        <f t="shared" si="214"/>
        <v>2098</v>
      </c>
      <c r="S1946" s="7">
        <f t="shared" si="215"/>
        <v>1</v>
      </c>
      <c r="T1946" s="7">
        <f t="shared" si="216"/>
        <v>2098</v>
      </c>
    </row>
    <row r="1947" spans="1:20" ht="14.25" customHeight="1" x14ac:dyDescent="0.35">
      <c r="A1947" s="2" t="s">
        <v>146</v>
      </c>
      <c r="B1947" s="2" t="s">
        <v>29</v>
      </c>
      <c r="C1947" s="2" t="s">
        <v>21</v>
      </c>
      <c r="D1947" s="2" t="s">
        <v>26</v>
      </c>
      <c r="E1947" s="2" t="s">
        <v>15</v>
      </c>
      <c r="F1947" s="2" t="s">
        <v>47</v>
      </c>
      <c r="G1947" s="2" t="s">
        <v>36</v>
      </c>
      <c r="H1947" s="2">
        <v>150000</v>
      </c>
      <c r="I1947" s="2">
        <v>5</v>
      </c>
      <c r="J1947" s="2" t="s">
        <v>18</v>
      </c>
      <c r="K1947" s="2">
        <f t="shared" si="210"/>
        <v>120000</v>
      </c>
      <c r="L1947" s="9">
        <f>Table_1[[#This Row],[Unit Price]]*Table_1[[#This Row],[Quantity]]</f>
        <v>750000</v>
      </c>
      <c r="M1947" s="8">
        <f>Table_1[[#This Row],[Cost Price]]*Table_1[[#This Row],[Quantity]]</f>
        <v>600000</v>
      </c>
      <c r="N1947">
        <f>Table_1[[#This Row],[Revenue]]-Table_1[[#This Row],[COGS]]</f>
        <v>150000</v>
      </c>
      <c r="O1947" s="11">
        <f t="shared" si="211"/>
        <v>4656740000</v>
      </c>
      <c r="P1947">
        <f t="shared" si="212"/>
        <v>3725392000</v>
      </c>
      <c r="Q1947">
        <f t="shared" si="213"/>
        <v>931348000</v>
      </c>
      <c r="R1947" s="7">
        <f t="shared" si="214"/>
        <v>2098</v>
      </c>
      <c r="S1947" s="7">
        <f t="shared" si="215"/>
        <v>3</v>
      </c>
      <c r="T1947" s="7">
        <f t="shared" si="216"/>
        <v>2098</v>
      </c>
    </row>
    <row r="1948" spans="1:20" ht="14.25" customHeight="1" x14ac:dyDescent="0.35">
      <c r="A1948" s="2" t="s">
        <v>138</v>
      </c>
      <c r="B1948" s="2" t="s">
        <v>29</v>
      </c>
      <c r="C1948" s="2" t="s">
        <v>13</v>
      </c>
      <c r="D1948" s="2" t="s">
        <v>26</v>
      </c>
      <c r="E1948" s="2" t="s">
        <v>22</v>
      </c>
      <c r="F1948" s="2" t="s">
        <v>16</v>
      </c>
      <c r="G1948" s="2" t="s">
        <v>17</v>
      </c>
      <c r="H1948" s="2">
        <v>85000</v>
      </c>
      <c r="I1948" s="2">
        <v>9</v>
      </c>
      <c r="J1948" s="2" t="s">
        <v>43</v>
      </c>
      <c r="K1948" s="2">
        <f t="shared" si="210"/>
        <v>68000</v>
      </c>
      <c r="L1948" s="9">
        <f>Table_1[[#This Row],[Unit Price]]*Table_1[[#This Row],[Quantity]]</f>
        <v>765000</v>
      </c>
      <c r="M1948" s="8">
        <f>Table_1[[#This Row],[Cost Price]]*Table_1[[#This Row],[Quantity]]</f>
        <v>612000</v>
      </c>
      <c r="N1948">
        <f>Table_1[[#This Row],[Revenue]]-Table_1[[#This Row],[COGS]]</f>
        <v>153000</v>
      </c>
      <c r="O1948" s="11">
        <f t="shared" si="211"/>
        <v>4656740000</v>
      </c>
      <c r="P1948">
        <f t="shared" si="212"/>
        <v>3725392000</v>
      </c>
      <c r="Q1948">
        <f t="shared" si="213"/>
        <v>931348000</v>
      </c>
      <c r="R1948" s="7">
        <f t="shared" si="214"/>
        <v>2098</v>
      </c>
      <c r="S1948" s="7">
        <f t="shared" si="215"/>
        <v>3</v>
      </c>
      <c r="T1948" s="7">
        <f t="shared" si="216"/>
        <v>2098</v>
      </c>
    </row>
    <row r="1949" spans="1:20" ht="14.25" customHeight="1" x14ac:dyDescent="0.35">
      <c r="A1949" s="2" t="s">
        <v>82</v>
      </c>
      <c r="B1949" s="2" t="s">
        <v>34</v>
      </c>
      <c r="C1949" s="2" t="s">
        <v>38</v>
      </c>
      <c r="D1949" s="2" t="s">
        <v>26</v>
      </c>
      <c r="E1949" s="2" t="s">
        <v>15</v>
      </c>
      <c r="F1949" s="2" t="s">
        <v>56</v>
      </c>
      <c r="G1949" s="2" t="s">
        <v>36</v>
      </c>
      <c r="H1949" s="2">
        <v>250000</v>
      </c>
      <c r="I1949" s="2">
        <v>10</v>
      </c>
      <c r="J1949" s="2" t="s">
        <v>18</v>
      </c>
      <c r="K1949" s="2">
        <f t="shared" si="210"/>
        <v>200000</v>
      </c>
      <c r="L1949" s="9">
        <f>Table_1[[#This Row],[Unit Price]]*Table_1[[#This Row],[Quantity]]</f>
        <v>2500000</v>
      </c>
      <c r="M1949" s="8">
        <f>Table_1[[#This Row],[Cost Price]]*Table_1[[#This Row],[Quantity]]</f>
        <v>2000000</v>
      </c>
      <c r="N1949">
        <f>Table_1[[#This Row],[Revenue]]-Table_1[[#This Row],[COGS]]</f>
        <v>500000</v>
      </c>
      <c r="O1949" s="11">
        <f t="shared" si="211"/>
        <v>4656740000</v>
      </c>
      <c r="P1949">
        <f t="shared" si="212"/>
        <v>3725392000</v>
      </c>
      <c r="Q1949">
        <f t="shared" si="213"/>
        <v>931348000</v>
      </c>
      <c r="R1949" s="7">
        <f t="shared" si="214"/>
        <v>2098</v>
      </c>
      <c r="S1949" s="7">
        <f t="shared" si="215"/>
        <v>1</v>
      </c>
      <c r="T1949" s="7">
        <f t="shared" si="216"/>
        <v>2098</v>
      </c>
    </row>
    <row r="1950" spans="1:20" ht="14.25" customHeight="1" x14ac:dyDescent="0.35">
      <c r="A1950" s="2" t="s">
        <v>93</v>
      </c>
      <c r="B1950" s="2" t="s">
        <v>20</v>
      </c>
      <c r="C1950" s="2" t="s">
        <v>13</v>
      </c>
      <c r="D1950" s="2" t="s">
        <v>26</v>
      </c>
      <c r="E1950" s="2" t="s">
        <v>15</v>
      </c>
      <c r="F1950" s="2" t="s">
        <v>16</v>
      </c>
      <c r="G1950" s="2" t="s">
        <v>17</v>
      </c>
      <c r="H1950" s="2">
        <v>85000</v>
      </c>
      <c r="I1950" s="2">
        <v>7</v>
      </c>
      <c r="J1950" s="2" t="s">
        <v>27</v>
      </c>
      <c r="K1950" s="2">
        <f t="shared" si="210"/>
        <v>68000</v>
      </c>
      <c r="L1950" s="9">
        <f>Table_1[[#This Row],[Unit Price]]*Table_1[[#This Row],[Quantity]]</f>
        <v>595000</v>
      </c>
      <c r="M1950" s="8">
        <f>Table_1[[#This Row],[Cost Price]]*Table_1[[#This Row],[Quantity]]</f>
        <v>476000</v>
      </c>
      <c r="N1950">
        <f>Table_1[[#This Row],[Revenue]]-Table_1[[#This Row],[COGS]]</f>
        <v>119000</v>
      </c>
      <c r="O1950" s="11">
        <f t="shared" si="211"/>
        <v>4656740000</v>
      </c>
      <c r="P1950">
        <f t="shared" si="212"/>
        <v>3725392000</v>
      </c>
      <c r="Q1950">
        <f t="shared" si="213"/>
        <v>931348000</v>
      </c>
      <c r="R1950" s="7">
        <f t="shared" si="214"/>
        <v>2098</v>
      </c>
      <c r="S1950" s="7">
        <f t="shared" si="215"/>
        <v>4</v>
      </c>
      <c r="T1950" s="7">
        <f t="shared" si="216"/>
        <v>2098</v>
      </c>
    </row>
    <row r="1951" spans="1:20" ht="14.25" customHeight="1" x14ac:dyDescent="0.35">
      <c r="A1951" s="2" t="s">
        <v>126</v>
      </c>
      <c r="B1951" s="2" t="s">
        <v>20</v>
      </c>
      <c r="C1951" s="2" t="s">
        <v>21</v>
      </c>
      <c r="D1951" s="2" t="s">
        <v>14</v>
      </c>
      <c r="E1951" s="2" t="s">
        <v>15</v>
      </c>
      <c r="F1951" s="2" t="s">
        <v>35</v>
      </c>
      <c r="G1951" s="2" t="s">
        <v>36</v>
      </c>
      <c r="H1951" s="2">
        <v>300000</v>
      </c>
      <c r="I1951" s="2">
        <v>6</v>
      </c>
      <c r="J1951" s="2" t="s">
        <v>50</v>
      </c>
      <c r="K1951" s="2">
        <f t="shared" si="210"/>
        <v>240000</v>
      </c>
      <c r="L1951" s="9">
        <f>Table_1[[#This Row],[Unit Price]]*Table_1[[#This Row],[Quantity]]</f>
        <v>1800000</v>
      </c>
      <c r="M1951" s="8">
        <f>Table_1[[#This Row],[Cost Price]]*Table_1[[#This Row],[Quantity]]</f>
        <v>1440000</v>
      </c>
      <c r="N1951">
        <f>Table_1[[#This Row],[Revenue]]-Table_1[[#This Row],[COGS]]</f>
        <v>360000</v>
      </c>
      <c r="O1951" s="11">
        <f t="shared" si="211"/>
        <v>4656740000</v>
      </c>
      <c r="P1951">
        <f t="shared" si="212"/>
        <v>3725392000</v>
      </c>
      <c r="Q1951">
        <f t="shared" si="213"/>
        <v>931348000</v>
      </c>
      <c r="R1951" s="7">
        <f t="shared" si="214"/>
        <v>2098</v>
      </c>
      <c r="S1951" s="7">
        <f t="shared" si="215"/>
        <v>3</v>
      </c>
      <c r="T1951" s="7">
        <f t="shared" si="216"/>
        <v>2098</v>
      </c>
    </row>
    <row r="1952" spans="1:20" ht="14.25" customHeight="1" x14ac:dyDescent="0.35">
      <c r="A1952" s="2" t="s">
        <v>107</v>
      </c>
      <c r="B1952" s="2" t="s">
        <v>12</v>
      </c>
      <c r="C1952" s="2" t="s">
        <v>13</v>
      </c>
      <c r="D1952" s="2" t="s">
        <v>14</v>
      </c>
      <c r="E1952" s="2" t="s">
        <v>22</v>
      </c>
      <c r="F1952" s="2" t="s">
        <v>35</v>
      </c>
      <c r="G1952" s="2" t="s">
        <v>36</v>
      </c>
      <c r="H1952" s="2">
        <v>300000</v>
      </c>
      <c r="I1952" s="2">
        <v>10</v>
      </c>
      <c r="J1952" s="2" t="s">
        <v>27</v>
      </c>
      <c r="K1952" s="2">
        <f t="shared" si="210"/>
        <v>240000</v>
      </c>
      <c r="L1952" s="9">
        <f>Table_1[[#This Row],[Unit Price]]*Table_1[[#This Row],[Quantity]]</f>
        <v>3000000</v>
      </c>
      <c r="M1952" s="8">
        <f>Table_1[[#This Row],[Cost Price]]*Table_1[[#This Row],[Quantity]]</f>
        <v>2400000</v>
      </c>
      <c r="N1952">
        <f>Table_1[[#This Row],[Revenue]]-Table_1[[#This Row],[COGS]]</f>
        <v>600000</v>
      </c>
      <c r="O1952" s="11">
        <f t="shared" si="211"/>
        <v>4656740000</v>
      </c>
      <c r="P1952">
        <f t="shared" si="212"/>
        <v>3725392000</v>
      </c>
      <c r="Q1952">
        <f t="shared" si="213"/>
        <v>931348000</v>
      </c>
      <c r="R1952" s="7">
        <f t="shared" si="214"/>
        <v>2098</v>
      </c>
      <c r="S1952" s="7">
        <f t="shared" si="215"/>
        <v>3</v>
      </c>
      <c r="T1952" s="7">
        <f t="shared" si="216"/>
        <v>2098</v>
      </c>
    </row>
    <row r="1953" spans="1:20" ht="14.25" customHeight="1" x14ac:dyDescent="0.35">
      <c r="A1953" s="2" t="s">
        <v>66</v>
      </c>
      <c r="B1953" s="2" t="s">
        <v>20</v>
      </c>
      <c r="C1953" s="2" t="s">
        <v>21</v>
      </c>
      <c r="D1953" s="2" t="s">
        <v>26</v>
      </c>
      <c r="E1953" s="2" t="s">
        <v>15</v>
      </c>
      <c r="F1953" s="2" t="s">
        <v>39</v>
      </c>
      <c r="G1953" s="2" t="s">
        <v>24</v>
      </c>
      <c r="H1953" s="2">
        <v>180000</v>
      </c>
      <c r="I1953" s="2">
        <v>1</v>
      </c>
      <c r="J1953" s="2" t="s">
        <v>32</v>
      </c>
      <c r="K1953" s="2">
        <f t="shared" si="210"/>
        <v>144000</v>
      </c>
      <c r="L1953" s="9">
        <f>Table_1[[#This Row],[Unit Price]]*Table_1[[#This Row],[Quantity]]</f>
        <v>180000</v>
      </c>
      <c r="M1953" s="8">
        <f>Table_1[[#This Row],[Cost Price]]*Table_1[[#This Row],[Quantity]]</f>
        <v>144000</v>
      </c>
      <c r="N1953">
        <f>Table_1[[#This Row],[Revenue]]-Table_1[[#This Row],[COGS]]</f>
        <v>36000</v>
      </c>
      <c r="O1953" s="11">
        <f t="shared" si="211"/>
        <v>4656740000</v>
      </c>
      <c r="P1953">
        <f t="shared" si="212"/>
        <v>3725392000</v>
      </c>
      <c r="Q1953">
        <f t="shared" si="213"/>
        <v>931348000</v>
      </c>
      <c r="R1953" s="7">
        <f t="shared" si="214"/>
        <v>2098</v>
      </c>
      <c r="S1953" s="7">
        <f t="shared" si="215"/>
        <v>3</v>
      </c>
      <c r="T1953" s="7">
        <f t="shared" si="216"/>
        <v>2098</v>
      </c>
    </row>
    <row r="1954" spans="1:20" ht="14.25" customHeight="1" x14ac:dyDescent="0.35">
      <c r="A1954" s="2" t="s">
        <v>131</v>
      </c>
      <c r="B1954" s="2" t="s">
        <v>29</v>
      </c>
      <c r="C1954" s="2" t="s">
        <v>38</v>
      </c>
      <c r="D1954" s="2" t="s">
        <v>14</v>
      </c>
      <c r="E1954" s="2" t="s">
        <v>15</v>
      </c>
      <c r="F1954" s="2" t="s">
        <v>47</v>
      </c>
      <c r="G1954" s="2" t="s">
        <v>36</v>
      </c>
      <c r="H1954" s="2">
        <v>150000</v>
      </c>
      <c r="I1954" s="2">
        <v>7</v>
      </c>
      <c r="J1954" s="2" t="s">
        <v>50</v>
      </c>
      <c r="K1954" s="2">
        <f t="shared" si="210"/>
        <v>120000</v>
      </c>
      <c r="L1954" s="9">
        <f>Table_1[[#This Row],[Unit Price]]*Table_1[[#This Row],[Quantity]]</f>
        <v>1050000</v>
      </c>
      <c r="M1954" s="8">
        <f>Table_1[[#This Row],[Cost Price]]*Table_1[[#This Row],[Quantity]]</f>
        <v>840000</v>
      </c>
      <c r="N1954">
        <f>Table_1[[#This Row],[Revenue]]-Table_1[[#This Row],[COGS]]</f>
        <v>210000</v>
      </c>
      <c r="O1954" s="11">
        <f t="shared" si="211"/>
        <v>4656740000</v>
      </c>
      <c r="P1954">
        <f t="shared" si="212"/>
        <v>3725392000</v>
      </c>
      <c r="Q1954">
        <f t="shared" si="213"/>
        <v>931348000</v>
      </c>
      <c r="R1954" s="7">
        <f t="shared" si="214"/>
        <v>2098</v>
      </c>
      <c r="S1954" s="7">
        <f t="shared" si="215"/>
        <v>1</v>
      </c>
      <c r="T1954" s="7">
        <f t="shared" si="216"/>
        <v>2098</v>
      </c>
    </row>
    <row r="1955" spans="1:20" ht="14.25" customHeight="1" x14ac:dyDescent="0.35">
      <c r="A1955" s="2" t="s">
        <v>89</v>
      </c>
      <c r="B1955" s="2" t="s">
        <v>34</v>
      </c>
      <c r="C1955" s="2" t="s">
        <v>13</v>
      </c>
      <c r="D1955" s="2" t="s">
        <v>14</v>
      </c>
      <c r="E1955" s="2" t="s">
        <v>15</v>
      </c>
      <c r="F1955" s="2" t="s">
        <v>58</v>
      </c>
      <c r="G1955" s="2" t="s">
        <v>24</v>
      </c>
      <c r="H1955" s="2">
        <v>220000</v>
      </c>
      <c r="I1955" s="2">
        <v>5</v>
      </c>
      <c r="J1955" s="2" t="s">
        <v>27</v>
      </c>
      <c r="K1955" s="2">
        <f t="shared" si="210"/>
        <v>176000</v>
      </c>
      <c r="L1955" s="9">
        <f>Table_1[[#This Row],[Unit Price]]*Table_1[[#This Row],[Quantity]]</f>
        <v>1100000</v>
      </c>
      <c r="M1955" s="8">
        <f>Table_1[[#This Row],[Cost Price]]*Table_1[[#This Row],[Quantity]]</f>
        <v>880000</v>
      </c>
      <c r="N1955">
        <f>Table_1[[#This Row],[Revenue]]-Table_1[[#This Row],[COGS]]</f>
        <v>220000</v>
      </c>
      <c r="O1955" s="11">
        <f t="shared" si="211"/>
        <v>4656740000</v>
      </c>
      <c r="P1955">
        <f t="shared" si="212"/>
        <v>3725392000</v>
      </c>
      <c r="Q1955">
        <f t="shared" si="213"/>
        <v>931348000</v>
      </c>
      <c r="R1955" s="7">
        <f t="shared" si="214"/>
        <v>2098</v>
      </c>
      <c r="S1955" s="7">
        <f t="shared" si="215"/>
        <v>3</v>
      </c>
      <c r="T1955" s="7">
        <f t="shared" si="216"/>
        <v>2098</v>
      </c>
    </row>
    <row r="1956" spans="1:20" ht="14.25" customHeight="1" x14ac:dyDescent="0.35">
      <c r="A1956" s="2" t="s">
        <v>121</v>
      </c>
      <c r="B1956" s="2" t="s">
        <v>20</v>
      </c>
      <c r="C1956" s="2" t="s">
        <v>13</v>
      </c>
      <c r="D1956" s="2" t="s">
        <v>14</v>
      </c>
      <c r="E1956" s="2" t="s">
        <v>15</v>
      </c>
      <c r="F1956" s="2" t="s">
        <v>52</v>
      </c>
      <c r="G1956" s="2" t="s">
        <v>36</v>
      </c>
      <c r="H1956" s="2">
        <v>420000</v>
      </c>
      <c r="I1956" s="2">
        <v>2</v>
      </c>
      <c r="J1956" s="2" t="s">
        <v>50</v>
      </c>
      <c r="K1956" s="2">
        <f t="shared" si="210"/>
        <v>336000</v>
      </c>
      <c r="L1956" s="9">
        <f>Table_1[[#This Row],[Unit Price]]*Table_1[[#This Row],[Quantity]]</f>
        <v>840000</v>
      </c>
      <c r="M1956" s="8">
        <f>Table_1[[#This Row],[Cost Price]]*Table_1[[#This Row],[Quantity]]</f>
        <v>672000</v>
      </c>
      <c r="N1956">
        <f>Table_1[[#This Row],[Revenue]]-Table_1[[#This Row],[COGS]]</f>
        <v>168000</v>
      </c>
      <c r="O1956" s="11">
        <f t="shared" si="211"/>
        <v>4656740000</v>
      </c>
      <c r="P1956">
        <f t="shared" si="212"/>
        <v>3725392000</v>
      </c>
      <c r="Q1956">
        <f t="shared" si="213"/>
        <v>931348000</v>
      </c>
      <c r="R1956" s="7">
        <f t="shared" si="214"/>
        <v>2098</v>
      </c>
      <c r="S1956" s="7">
        <f t="shared" si="215"/>
        <v>2</v>
      </c>
      <c r="T1956" s="7">
        <f t="shared" si="216"/>
        <v>2098</v>
      </c>
    </row>
    <row r="1957" spans="1:20" ht="14.25" customHeight="1" x14ac:dyDescent="0.35">
      <c r="A1957" s="2" t="s">
        <v>161</v>
      </c>
      <c r="B1957" s="2" t="s">
        <v>12</v>
      </c>
      <c r="C1957" s="2" t="s">
        <v>30</v>
      </c>
      <c r="D1957" s="2" t="s">
        <v>14</v>
      </c>
      <c r="E1957" s="2" t="s">
        <v>15</v>
      </c>
      <c r="F1957" s="2" t="s">
        <v>39</v>
      </c>
      <c r="G1957" s="2" t="s">
        <v>24</v>
      </c>
      <c r="H1957" s="2">
        <v>180000</v>
      </c>
      <c r="I1957" s="2">
        <v>9</v>
      </c>
      <c r="J1957" s="2" t="s">
        <v>43</v>
      </c>
      <c r="K1957" s="2">
        <f t="shared" si="210"/>
        <v>144000</v>
      </c>
      <c r="L1957" s="9">
        <f>Table_1[[#This Row],[Unit Price]]*Table_1[[#This Row],[Quantity]]</f>
        <v>1620000</v>
      </c>
      <c r="M1957" s="8">
        <f>Table_1[[#This Row],[Cost Price]]*Table_1[[#This Row],[Quantity]]</f>
        <v>1296000</v>
      </c>
      <c r="N1957">
        <f>Table_1[[#This Row],[Revenue]]-Table_1[[#This Row],[COGS]]</f>
        <v>324000</v>
      </c>
      <c r="O1957" s="11">
        <f t="shared" si="211"/>
        <v>4656740000</v>
      </c>
      <c r="P1957">
        <f t="shared" si="212"/>
        <v>3725392000</v>
      </c>
      <c r="Q1957">
        <f t="shared" si="213"/>
        <v>931348000</v>
      </c>
      <c r="R1957" s="7">
        <f t="shared" si="214"/>
        <v>2098</v>
      </c>
      <c r="S1957" s="7">
        <f t="shared" si="215"/>
        <v>1</v>
      </c>
      <c r="T1957" s="7">
        <f t="shared" si="216"/>
        <v>2098</v>
      </c>
    </row>
    <row r="1958" spans="1:20" ht="14.25" customHeight="1" x14ac:dyDescent="0.35">
      <c r="A1958" s="2" t="s">
        <v>68</v>
      </c>
      <c r="B1958" s="2" t="s">
        <v>34</v>
      </c>
      <c r="C1958" s="2" t="s">
        <v>38</v>
      </c>
      <c r="D1958" s="2" t="s">
        <v>14</v>
      </c>
      <c r="E1958" s="2" t="s">
        <v>15</v>
      </c>
      <c r="F1958" s="2" t="s">
        <v>58</v>
      </c>
      <c r="G1958" s="2" t="s">
        <v>24</v>
      </c>
      <c r="H1958" s="2">
        <v>220000</v>
      </c>
      <c r="I1958" s="2">
        <v>5</v>
      </c>
      <c r="J1958" s="2" t="s">
        <v>43</v>
      </c>
      <c r="K1958" s="2">
        <f t="shared" si="210"/>
        <v>176000</v>
      </c>
      <c r="L1958" s="9">
        <f>Table_1[[#This Row],[Unit Price]]*Table_1[[#This Row],[Quantity]]</f>
        <v>1100000</v>
      </c>
      <c r="M1958" s="8">
        <f>Table_1[[#This Row],[Cost Price]]*Table_1[[#This Row],[Quantity]]</f>
        <v>880000</v>
      </c>
      <c r="N1958">
        <f>Table_1[[#This Row],[Revenue]]-Table_1[[#This Row],[COGS]]</f>
        <v>220000</v>
      </c>
      <c r="O1958" s="11">
        <f t="shared" si="211"/>
        <v>4656740000</v>
      </c>
      <c r="P1958">
        <f t="shared" si="212"/>
        <v>3725392000</v>
      </c>
      <c r="Q1958">
        <f t="shared" si="213"/>
        <v>931348000</v>
      </c>
      <c r="R1958" s="7">
        <f t="shared" si="214"/>
        <v>2098</v>
      </c>
      <c r="S1958" s="7">
        <f t="shared" si="215"/>
        <v>1</v>
      </c>
      <c r="T1958" s="7">
        <f t="shared" si="216"/>
        <v>2098</v>
      </c>
    </row>
    <row r="1959" spans="1:20" ht="14.25" customHeight="1" x14ac:dyDescent="0.35">
      <c r="A1959" s="2" t="s">
        <v>153</v>
      </c>
      <c r="B1959" s="2" t="s">
        <v>34</v>
      </c>
      <c r="C1959" s="2" t="s">
        <v>30</v>
      </c>
      <c r="D1959" s="2" t="s">
        <v>14</v>
      </c>
      <c r="E1959" s="2" t="s">
        <v>15</v>
      </c>
      <c r="F1959" s="2" t="s">
        <v>39</v>
      </c>
      <c r="G1959" s="2" t="s">
        <v>24</v>
      </c>
      <c r="H1959" s="2">
        <v>180000</v>
      </c>
      <c r="I1959" s="2">
        <v>1</v>
      </c>
      <c r="J1959" s="2" t="s">
        <v>54</v>
      </c>
      <c r="K1959" s="2">
        <f t="shared" si="210"/>
        <v>144000</v>
      </c>
      <c r="L1959" s="9">
        <f>Table_1[[#This Row],[Unit Price]]*Table_1[[#This Row],[Quantity]]</f>
        <v>180000</v>
      </c>
      <c r="M1959" s="8">
        <f>Table_1[[#This Row],[Cost Price]]*Table_1[[#This Row],[Quantity]]</f>
        <v>144000</v>
      </c>
      <c r="N1959">
        <f>Table_1[[#This Row],[Revenue]]-Table_1[[#This Row],[COGS]]</f>
        <v>36000</v>
      </c>
      <c r="O1959" s="11">
        <f t="shared" si="211"/>
        <v>4656740000</v>
      </c>
      <c r="P1959">
        <f t="shared" si="212"/>
        <v>3725392000</v>
      </c>
      <c r="Q1959">
        <f t="shared" si="213"/>
        <v>931348000</v>
      </c>
      <c r="R1959" s="7">
        <f t="shared" si="214"/>
        <v>2098</v>
      </c>
      <c r="S1959" s="7">
        <f t="shared" si="215"/>
        <v>4</v>
      </c>
      <c r="T1959" s="7">
        <f t="shared" si="216"/>
        <v>2098</v>
      </c>
    </row>
    <row r="1960" spans="1:20" ht="14.25" customHeight="1" x14ac:dyDescent="0.35">
      <c r="A1960" s="2" t="s">
        <v>93</v>
      </c>
      <c r="B1960" s="2" t="s">
        <v>20</v>
      </c>
      <c r="C1960" s="2" t="s">
        <v>30</v>
      </c>
      <c r="D1960" s="2" t="s">
        <v>26</v>
      </c>
      <c r="E1960" s="2" t="s">
        <v>22</v>
      </c>
      <c r="F1960" s="2" t="s">
        <v>31</v>
      </c>
      <c r="G1960" s="2" t="s">
        <v>24</v>
      </c>
      <c r="H1960" s="2">
        <v>60000</v>
      </c>
      <c r="I1960" s="2">
        <v>2</v>
      </c>
      <c r="J1960" s="2" t="s">
        <v>54</v>
      </c>
      <c r="K1960" s="2">
        <f t="shared" si="210"/>
        <v>48000</v>
      </c>
      <c r="L1960" s="9">
        <f>Table_1[[#This Row],[Unit Price]]*Table_1[[#This Row],[Quantity]]</f>
        <v>120000</v>
      </c>
      <c r="M1960" s="8">
        <f>Table_1[[#This Row],[Cost Price]]*Table_1[[#This Row],[Quantity]]</f>
        <v>96000</v>
      </c>
      <c r="N1960">
        <f>Table_1[[#This Row],[Revenue]]-Table_1[[#This Row],[COGS]]</f>
        <v>24000</v>
      </c>
      <c r="O1960" s="11">
        <f t="shared" si="211"/>
        <v>4656740000</v>
      </c>
      <c r="P1960">
        <f t="shared" si="212"/>
        <v>3725392000</v>
      </c>
      <c r="Q1960">
        <f t="shared" si="213"/>
        <v>931348000</v>
      </c>
      <c r="R1960" s="7">
        <f t="shared" si="214"/>
        <v>2098</v>
      </c>
      <c r="S1960" s="7">
        <f t="shared" si="215"/>
        <v>4</v>
      </c>
      <c r="T1960" s="7">
        <f t="shared" si="216"/>
        <v>2098</v>
      </c>
    </row>
    <row r="1961" spans="1:20" ht="14.25" customHeight="1" x14ac:dyDescent="0.35">
      <c r="A1961" s="2" t="s">
        <v>138</v>
      </c>
      <c r="B1961" s="2" t="s">
        <v>34</v>
      </c>
      <c r="C1961" s="2" t="s">
        <v>30</v>
      </c>
      <c r="D1961" s="2" t="s">
        <v>14</v>
      </c>
      <c r="E1961" s="2" t="s">
        <v>15</v>
      </c>
      <c r="F1961" s="2" t="s">
        <v>35</v>
      </c>
      <c r="G1961" s="2" t="s">
        <v>36</v>
      </c>
      <c r="H1961" s="2">
        <v>300000</v>
      </c>
      <c r="I1961" s="2">
        <v>5</v>
      </c>
      <c r="J1961" s="2" t="s">
        <v>27</v>
      </c>
      <c r="K1961" s="2">
        <f t="shared" si="210"/>
        <v>240000</v>
      </c>
      <c r="L1961" s="9">
        <f>Table_1[[#This Row],[Unit Price]]*Table_1[[#This Row],[Quantity]]</f>
        <v>1500000</v>
      </c>
      <c r="M1961" s="8">
        <f>Table_1[[#This Row],[Cost Price]]*Table_1[[#This Row],[Quantity]]</f>
        <v>1200000</v>
      </c>
      <c r="N1961">
        <f>Table_1[[#This Row],[Revenue]]-Table_1[[#This Row],[COGS]]</f>
        <v>300000</v>
      </c>
      <c r="O1961" s="11">
        <f t="shared" si="211"/>
        <v>4656740000</v>
      </c>
      <c r="P1961">
        <f t="shared" si="212"/>
        <v>3725392000</v>
      </c>
      <c r="Q1961">
        <f t="shared" si="213"/>
        <v>931348000</v>
      </c>
      <c r="R1961" s="7">
        <f t="shared" si="214"/>
        <v>2098</v>
      </c>
      <c r="S1961" s="7">
        <f t="shared" si="215"/>
        <v>3</v>
      </c>
      <c r="T1961" s="7">
        <f t="shared" si="216"/>
        <v>2098</v>
      </c>
    </row>
    <row r="1962" spans="1:20" ht="14.25" customHeight="1" x14ac:dyDescent="0.35">
      <c r="A1962" s="2" t="s">
        <v>83</v>
      </c>
      <c r="B1962" s="2" t="s">
        <v>34</v>
      </c>
      <c r="C1962" s="2" t="s">
        <v>30</v>
      </c>
      <c r="D1962" s="2" t="s">
        <v>14</v>
      </c>
      <c r="E1962" s="2" t="s">
        <v>22</v>
      </c>
      <c r="F1962" s="2" t="s">
        <v>35</v>
      </c>
      <c r="G1962" s="2" t="s">
        <v>36</v>
      </c>
      <c r="H1962" s="2">
        <v>300000</v>
      </c>
      <c r="I1962" s="2">
        <v>9</v>
      </c>
      <c r="J1962" s="2" t="s">
        <v>50</v>
      </c>
      <c r="K1962" s="2">
        <f t="shared" si="210"/>
        <v>240000</v>
      </c>
      <c r="L1962" s="9">
        <f>Table_1[[#This Row],[Unit Price]]*Table_1[[#This Row],[Quantity]]</f>
        <v>2700000</v>
      </c>
      <c r="M1962" s="8">
        <f>Table_1[[#This Row],[Cost Price]]*Table_1[[#This Row],[Quantity]]</f>
        <v>2160000</v>
      </c>
      <c r="N1962">
        <f>Table_1[[#This Row],[Revenue]]-Table_1[[#This Row],[COGS]]</f>
        <v>540000</v>
      </c>
      <c r="O1962" s="11">
        <f t="shared" si="211"/>
        <v>4656740000</v>
      </c>
      <c r="P1962">
        <f t="shared" si="212"/>
        <v>3725392000</v>
      </c>
      <c r="Q1962">
        <f t="shared" si="213"/>
        <v>931348000</v>
      </c>
      <c r="R1962" s="7">
        <f t="shared" si="214"/>
        <v>2098</v>
      </c>
      <c r="S1962" s="7">
        <f t="shared" si="215"/>
        <v>1</v>
      </c>
      <c r="T1962" s="7">
        <f t="shared" si="216"/>
        <v>2098</v>
      </c>
    </row>
    <row r="1963" spans="1:20" ht="14.25" customHeight="1" x14ac:dyDescent="0.35">
      <c r="A1963" s="2" t="s">
        <v>72</v>
      </c>
      <c r="B1963" s="2" t="s">
        <v>29</v>
      </c>
      <c r="C1963" s="2" t="s">
        <v>38</v>
      </c>
      <c r="D1963" s="2" t="s">
        <v>14</v>
      </c>
      <c r="E1963" s="2" t="s">
        <v>15</v>
      </c>
      <c r="F1963" s="2" t="s">
        <v>58</v>
      </c>
      <c r="G1963" s="2" t="s">
        <v>24</v>
      </c>
      <c r="H1963" s="2">
        <v>220000</v>
      </c>
      <c r="I1963" s="2">
        <v>1</v>
      </c>
      <c r="J1963" s="2" t="s">
        <v>50</v>
      </c>
      <c r="K1963" s="2">
        <f t="shared" si="210"/>
        <v>176000</v>
      </c>
      <c r="L1963" s="9">
        <f>Table_1[[#This Row],[Unit Price]]*Table_1[[#This Row],[Quantity]]</f>
        <v>220000</v>
      </c>
      <c r="M1963" s="8">
        <f>Table_1[[#This Row],[Cost Price]]*Table_1[[#This Row],[Quantity]]</f>
        <v>176000</v>
      </c>
      <c r="N1963">
        <f>Table_1[[#This Row],[Revenue]]-Table_1[[#This Row],[COGS]]</f>
        <v>44000</v>
      </c>
      <c r="O1963" s="11">
        <f t="shared" si="211"/>
        <v>4656740000</v>
      </c>
      <c r="P1963">
        <f t="shared" si="212"/>
        <v>3725392000</v>
      </c>
      <c r="Q1963">
        <f t="shared" si="213"/>
        <v>931348000</v>
      </c>
      <c r="R1963" s="7">
        <f t="shared" si="214"/>
        <v>2098</v>
      </c>
      <c r="S1963" s="7">
        <f t="shared" si="215"/>
        <v>3</v>
      </c>
      <c r="T1963" s="7">
        <f t="shared" si="216"/>
        <v>2098</v>
      </c>
    </row>
    <row r="1964" spans="1:20" ht="14.25" customHeight="1" x14ac:dyDescent="0.35">
      <c r="A1964" s="2" t="s">
        <v>107</v>
      </c>
      <c r="B1964" s="2" t="s">
        <v>12</v>
      </c>
      <c r="C1964" s="2" t="s">
        <v>38</v>
      </c>
      <c r="D1964" s="2" t="s">
        <v>26</v>
      </c>
      <c r="E1964" s="2" t="s">
        <v>22</v>
      </c>
      <c r="F1964" s="2" t="s">
        <v>23</v>
      </c>
      <c r="G1964" s="2" t="s">
        <v>24</v>
      </c>
      <c r="H1964" s="2">
        <v>30000</v>
      </c>
      <c r="I1964" s="2">
        <v>5</v>
      </c>
      <c r="J1964" s="2" t="s">
        <v>50</v>
      </c>
      <c r="K1964" s="2">
        <f t="shared" si="210"/>
        <v>24000</v>
      </c>
      <c r="L1964" s="9">
        <f>Table_1[[#This Row],[Unit Price]]*Table_1[[#This Row],[Quantity]]</f>
        <v>150000</v>
      </c>
      <c r="M1964" s="8">
        <f>Table_1[[#This Row],[Cost Price]]*Table_1[[#This Row],[Quantity]]</f>
        <v>120000</v>
      </c>
      <c r="N1964">
        <f>Table_1[[#This Row],[Revenue]]-Table_1[[#This Row],[COGS]]</f>
        <v>30000</v>
      </c>
      <c r="O1964" s="11">
        <f t="shared" si="211"/>
        <v>4656740000</v>
      </c>
      <c r="P1964">
        <f t="shared" si="212"/>
        <v>3725392000</v>
      </c>
      <c r="Q1964">
        <f t="shared" si="213"/>
        <v>931348000</v>
      </c>
      <c r="R1964" s="7">
        <f t="shared" si="214"/>
        <v>2098</v>
      </c>
      <c r="S1964" s="7">
        <f t="shared" si="215"/>
        <v>3</v>
      </c>
      <c r="T1964" s="7">
        <f t="shared" si="216"/>
        <v>2098</v>
      </c>
    </row>
    <row r="1965" spans="1:20" ht="14.25" customHeight="1" x14ac:dyDescent="0.35">
      <c r="A1965" s="2" t="s">
        <v>94</v>
      </c>
      <c r="B1965" s="2" t="s">
        <v>29</v>
      </c>
      <c r="C1965" s="2" t="s">
        <v>13</v>
      </c>
      <c r="D1965" s="2" t="s">
        <v>26</v>
      </c>
      <c r="E1965" s="2" t="s">
        <v>15</v>
      </c>
      <c r="F1965" s="2" t="s">
        <v>39</v>
      </c>
      <c r="G1965" s="2" t="s">
        <v>24</v>
      </c>
      <c r="H1965" s="2">
        <v>180000</v>
      </c>
      <c r="I1965" s="2">
        <v>1</v>
      </c>
      <c r="J1965" s="2" t="s">
        <v>18</v>
      </c>
      <c r="K1965" s="2">
        <f t="shared" si="210"/>
        <v>144000</v>
      </c>
      <c r="L1965" s="9">
        <f>Table_1[[#This Row],[Unit Price]]*Table_1[[#This Row],[Quantity]]</f>
        <v>180000</v>
      </c>
      <c r="M1965" s="8">
        <f>Table_1[[#This Row],[Cost Price]]*Table_1[[#This Row],[Quantity]]</f>
        <v>144000</v>
      </c>
      <c r="N1965">
        <f>Table_1[[#This Row],[Revenue]]-Table_1[[#This Row],[COGS]]</f>
        <v>36000</v>
      </c>
      <c r="O1965" s="11">
        <f t="shared" si="211"/>
        <v>4656740000</v>
      </c>
      <c r="P1965">
        <f t="shared" si="212"/>
        <v>3725392000</v>
      </c>
      <c r="Q1965">
        <f t="shared" si="213"/>
        <v>931348000</v>
      </c>
      <c r="R1965" s="7">
        <f t="shared" si="214"/>
        <v>2098</v>
      </c>
      <c r="S1965" s="7">
        <f t="shared" si="215"/>
        <v>3</v>
      </c>
      <c r="T1965" s="7">
        <f t="shared" si="216"/>
        <v>2098</v>
      </c>
    </row>
    <row r="1966" spans="1:20" ht="14.25" customHeight="1" x14ac:dyDescent="0.35">
      <c r="A1966" s="2" t="s">
        <v>106</v>
      </c>
      <c r="B1966" s="2" t="s">
        <v>34</v>
      </c>
      <c r="C1966" s="2" t="s">
        <v>30</v>
      </c>
      <c r="D1966" s="2" t="s">
        <v>14</v>
      </c>
      <c r="E1966" s="2" t="s">
        <v>15</v>
      </c>
      <c r="F1966" s="2" t="s">
        <v>35</v>
      </c>
      <c r="G1966" s="2" t="s">
        <v>36</v>
      </c>
      <c r="H1966" s="2">
        <v>300000</v>
      </c>
      <c r="I1966" s="2">
        <v>6</v>
      </c>
      <c r="J1966" s="2" t="s">
        <v>50</v>
      </c>
      <c r="K1966" s="2">
        <f t="shared" si="210"/>
        <v>240000</v>
      </c>
      <c r="L1966" s="9">
        <f>Table_1[[#This Row],[Unit Price]]*Table_1[[#This Row],[Quantity]]</f>
        <v>1800000</v>
      </c>
      <c r="M1966" s="8">
        <f>Table_1[[#This Row],[Cost Price]]*Table_1[[#This Row],[Quantity]]</f>
        <v>1440000</v>
      </c>
      <c r="N1966">
        <f>Table_1[[#This Row],[Revenue]]-Table_1[[#This Row],[COGS]]</f>
        <v>360000</v>
      </c>
      <c r="O1966" s="11">
        <f t="shared" si="211"/>
        <v>4656740000</v>
      </c>
      <c r="P1966">
        <f t="shared" si="212"/>
        <v>3725392000</v>
      </c>
      <c r="Q1966">
        <f t="shared" si="213"/>
        <v>931348000</v>
      </c>
      <c r="R1966" s="7">
        <f t="shared" si="214"/>
        <v>2098</v>
      </c>
      <c r="S1966" s="7">
        <f t="shared" si="215"/>
        <v>4</v>
      </c>
      <c r="T1966" s="7">
        <f t="shared" si="216"/>
        <v>2098</v>
      </c>
    </row>
    <row r="1967" spans="1:20" ht="14.25" customHeight="1" x14ac:dyDescent="0.35">
      <c r="A1967" s="2" t="s">
        <v>69</v>
      </c>
      <c r="B1967" s="2" t="s">
        <v>12</v>
      </c>
      <c r="C1967" s="2" t="s">
        <v>30</v>
      </c>
      <c r="D1967" s="2" t="s">
        <v>14</v>
      </c>
      <c r="E1967" s="2" t="s">
        <v>22</v>
      </c>
      <c r="F1967" s="2" t="s">
        <v>58</v>
      </c>
      <c r="G1967" s="2" t="s">
        <v>24</v>
      </c>
      <c r="H1967" s="2">
        <v>220000</v>
      </c>
      <c r="I1967" s="2">
        <v>3</v>
      </c>
      <c r="J1967" s="2" t="s">
        <v>54</v>
      </c>
      <c r="K1967" s="2">
        <f t="shared" si="210"/>
        <v>176000</v>
      </c>
      <c r="L1967" s="9">
        <f>Table_1[[#This Row],[Unit Price]]*Table_1[[#This Row],[Quantity]]</f>
        <v>660000</v>
      </c>
      <c r="M1967" s="8">
        <f>Table_1[[#This Row],[Cost Price]]*Table_1[[#This Row],[Quantity]]</f>
        <v>528000</v>
      </c>
      <c r="N1967">
        <f>Table_1[[#This Row],[Revenue]]-Table_1[[#This Row],[COGS]]</f>
        <v>132000</v>
      </c>
      <c r="O1967" s="11">
        <f t="shared" si="211"/>
        <v>4656740000</v>
      </c>
      <c r="P1967">
        <f t="shared" si="212"/>
        <v>3725392000</v>
      </c>
      <c r="Q1967">
        <f t="shared" si="213"/>
        <v>931348000</v>
      </c>
      <c r="R1967" s="7">
        <f t="shared" si="214"/>
        <v>2098</v>
      </c>
      <c r="S1967" s="7">
        <f t="shared" si="215"/>
        <v>1</v>
      </c>
      <c r="T1967" s="7">
        <f t="shared" si="216"/>
        <v>2098</v>
      </c>
    </row>
    <row r="1968" spans="1:20" ht="14.25" customHeight="1" x14ac:dyDescent="0.35">
      <c r="A1968" s="2" t="s">
        <v>128</v>
      </c>
      <c r="B1968" s="2" t="s">
        <v>34</v>
      </c>
      <c r="C1968" s="2" t="s">
        <v>13</v>
      </c>
      <c r="D1968" s="2" t="s">
        <v>14</v>
      </c>
      <c r="E1968" s="2" t="s">
        <v>22</v>
      </c>
      <c r="F1968" s="2" t="s">
        <v>41</v>
      </c>
      <c r="G1968" s="2" t="s">
        <v>17</v>
      </c>
      <c r="H1968" s="2">
        <v>320000</v>
      </c>
      <c r="I1968" s="2">
        <v>5</v>
      </c>
      <c r="J1968" s="2" t="s">
        <v>43</v>
      </c>
      <c r="K1968" s="2">
        <f t="shared" si="210"/>
        <v>256000</v>
      </c>
      <c r="L1968" s="9">
        <f>Table_1[[#This Row],[Unit Price]]*Table_1[[#This Row],[Quantity]]</f>
        <v>1600000</v>
      </c>
      <c r="M1968" s="8">
        <f>Table_1[[#This Row],[Cost Price]]*Table_1[[#This Row],[Quantity]]</f>
        <v>1280000</v>
      </c>
      <c r="N1968">
        <f>Table_1[[#This Row],[Revenue]]-Table_1[[#This Row],[COGS]]</f>
        <v>320000</v>
      </c>
      <c r="O1968" s="11">
        <f t="shared" si="211"/>
        <v>4656740000</v>
      </c>
      <c r="P1968">
        <f t="shared" si="212"/>
        <v>3725392000</v>
      </c>
      <c r="Q1968">
        <f t="shared" si="213"/>
        <v>931348000</v>
      </c>
      <c r="R1968" s="7">
        <f t="shared" si="214"/>
        <v>2098</v>
      </c>
      <c r="S1968" s="7">
        <f t="shared" si="215"/>
        <v>4</v>
      </c>
      <c r="T1968" s="7">
        <f t="shared" si="216"/>
        <v>2098</v>
      </c>
    </row>
    <row r="1969" spans="1:20" ht="14.25" customHeight="1" x14ac:dyDescent="0.35">
      <c r="A1969" s="2" t="s">
        <v>126</v>
      </c>
      <c r="B1969" s="2" t="s">
        <v>29</v>
      </c>
      <c r="C1969" s="2" t="s">
        <v>30</v>
      </c>
      <c r="D1969" s="2" t="s">
        <v>14</v>
      </c>
      <c r="E1969" s="2" t="s">
        <v>15</v>
      </c>
      <c r="F1969" s="2" t="s">
        <v>47</v>
      </c>
      <c r="G1969" s="2" t="s">
        <v>36</v>
      </c>
      <c r="H1969" s="2">
        <v>150000</v>
      </c>
      <c r="I1969" s="2">
        <v>2</v>
      </c>
      <c r="J1969" s="2" t="s">
        <v>43</v>
      </c>
      <c r="K1969" s="2">
        <f t="shared" si="210"/>
        <v>120000</v>
      </c>
      <c r="L1969" s="9">
        <f>Table_1[[#This Row],[Unit Price]]*Table_1[[#This Row],[Quantity]]</f>
        <v>300000</v>
      </c>
      <c r="M1969" s="8">
        <f>Table_1[[#This Row],[Cost Price]]*Table_1[[#This Row],[Quantity]]</f>
        <v>240000</v>
      </c>
      <c r="N1969">
        <f>Table_1[[#This Row],[Revenue]]-Table_1[[#This Row],[COGS]]</f>
        <v>60000</v>
      </c>
      <c r="O1969" s="11">
        <f t="shared" si="211"/>
        <v>4656740000</v>
      </c>
      <c r="P1969">
        <f t="shared" si="212"/>
        <v>3725392000</v>
      </c>
      <c r="Q1969">
        <f t="shared" si="213"/>
        <v>931348000</v>
      </c>
      <c r="R1969" s="7">
        <f t="shared" si="214"/>
        <v>2098</v>
      </c>
      <c r="S1969" s="7">
        <f t="shared" si="215"/>
        <v>3</v>
      </c>
      <c r="T1969" s="7">
        <f t="shared" si="216"/>
        <v>2098</v>
      </c>
    </row>
    <row r="1970" spans="1:20" ht="14.25" customHeight="1" x14ac:dyDescent="0.35">
      <c r="A1970" s="2" t="s">
        <v>75</v>
      </c>
      <c r="B1970" s="2" t="s">
        <v>12</v>
      </c>
      <c r="C1970" s="2" t="s">
        <v>13</v>
      </c>
      <c r="D1970" s="2" t="s">
        <v>14</v>
      </c>
      <c r="E1970" s="2" t="s">
        <v>15</v>
      </c>
      <c r="F1970" s="2" t="s">
        <v>39</v>
      </c>
      <c r="G1970" s="2" t="s">
        <v>24</v>
      </c>
      <c r="H1970" s="2">
        <v>180000</v>
      </c>
      <c r="I1970" s="2">
        <v>1</v>
      </c>
      <c r="J1970" s="2" t="s">
        <v>27</v>
      </c>
      <c r="K1970" s="2">
        <f t="shared" si="210"/>
        <v>144000</v>
      </c>
      <c r="L1970" s="9">
        <f>Table_1[[#This Row],[Unit Price]]*Table_1[[#This Row],[Quantity]]</f>
        <v>180000</v>
      </c>
      <c r="M1970" s="8">
        <f>Table_1[[#This Row],[Cost Price]]*Table_1[[#This Row],[Quantity]]</f>
        <v>144000</v>
      </c>
      <c r="N1970">
        <f>Table_1[[#This Row],[Revenue]]-Table_1[[#This Row],[COGS]]</f>
        <v>36000</v>
      </c>
      <c r="O1970" s="11">
        <f t="shared" si="211"/>
        <v>4656740000</v>
      </c>
      <c r="P1970">
        <f t="shared" si="212"/>
        <v>3725392000</v>
      </c>
      <c r="Q1970">
        <f t="shared" si="213"/>
        <v>931348000</v>
      </c>
      <c r="R1970" s="7">
        <f t="shared" si="214"/>
        <v>2098</v>
      </c>
      <c r="S1970" s="7">
        <f t="shared" si="215"/>
        <v>2</v>
      </c>
      <c r="T1970" s="7">
        <f t="shared" si="216"/>
        <v>2098</v>
      </c>
    </row>
    <row r="1971" spans="1:20" ht="14.25" customHeight="1" x14ac:dyDescent="0.35">
      <c r="A1971" s="2" t="s">
        <v>125</v>
      </c>
      <c r="B1971" s="2" t="s">
        <v>12</v>
      </c>
      <c r="C1971" s="2" t="s">
        <v>21</v>
      </c>
      <c r="D1971" s="2" t="s">
        <v>26</v>
      </c>
      <c r="E1971" s="2" t="s">
        <v>22</v>
      </c>
      <c r="F1971" s="2" t="s">
        <v>23</v>
      </c>
      <c r="G1971" s="2" t="s">
        <v>24</v>
      </c>
      <c r="H1971" s="2">
        <v>30000</v>
      </c>
      <c r="I1971" s="2">
        <v>10</v>
      </c>
      <c r="J1971" s="2" t="s">
        <v>50</v>
      </c>
      <c r="K1971" s="2">
        <f t="shared" si="210"/>
        <v>24000</v>
      </c>
      <c r="L1971" s="9">
        <f>Table_1[[#This Row],[Unit Price]]*Table_1[[#This Row],[Quantity]]</f>
        <v>300000</v>
      </c>
      <c r="M1971" s="8">
        <f>Table_1[[#This Row],[Cost Price]]*Table_1[[#This Row],[Quantity]]</f>
        <v>240000</v>
      </c>
      <c r="N1971">
        <f>Table_1[[#This Row],[Revenue]]-Table_1[[#This Row],[COGS]]</f>
        <v>60000</v>
      </c>
      <c r="O1971" s="11">
        <f t="shared" si="211"/>
        <v>4656740000</v>
      </c>
      <c r="P1971">
        <f t="shared" si="212"/>
        <v>3725392000</v>
      </c>
      <c r="Q1971">
        <f t="shared" si="213"/>
        <v>931348000</v>
      </c>
      <c r="R1971" s="7">
        <f t="shared" si="214"/>
        <v>2098</v>
      </c>
      <c r="S1971" s="7">
        <f t="shared" si="215"/>
        <v>4</v>
      </c>
      <c r="T1971" s="7">
        <f t="shared" si="216"/>
        <v>2098</v>
      </c>
    </row>
    <row r="1972" spans="1:20" ht="14.25" customHeight="1" x14ac:dyDescent="0.35">
      <c r="A1972" s="2" t="s">
        <v>79</v>
      </c>
      <c r="B1972" s="2" t="s">
        <v>34</v>
      </c>
      <c r="C1972" s="2" t="s">
        <v>21</v>
      </c>
      <c r="D1972" s="2" t="s">
        <v>14</v>
      </c>
      <c r="E1972" s="2" t="s">
        <v>22</v>
      </c>
      <c r="F1972" s="2" t="s">
        <v>47</v>
      </c>
      <c r="G1972" s="2" t="s">
        <v>36</v>
      </c>
      <c r="H1972" s="2">
        <v>150000</v>
      </c>
      <c r="I1972" s="2">
        <v>4</v>
      </c>
      <c r="J1972" s="2" t="s">
        <v>27</v>
      </c>
      <c r="K1972" s="2">
        <f t="shared" si="210"/>
        <v>120000</v>
      </c>
      <c r="L1972" s="9">
        <f>Table_1[[#This Row],[Unit Price]]*Table_1[[#This Row],[Quantity]]</f>
        <v>600000</v>
      </c>
      <c r="M1972" s="8">
        <f>Table_1[[#This Row],[Cost Price]]*Table_1[[#This Row],[Quantity]]</f>
        <v>480000</v>
      </c>
      <c r="N1972">
        <f>Table_1[[#This Row],[Revenue]]-Table_1[[#This Row],[COGS]]</f>
        <v>120000</v>
      </c>
      <c r="O1972" s="11">
        <f t="shared" si="211"/>
        <v>4656740000</v>
      </c>
      <c r="P1972">
        <f t="shared" si="212"/>
        <v>3725392000</v>
      </c>
      <c r="Q1972">
        <f t="shared" si="213"/>
        <v>931348000</v>
      </c>
      <c r="R1972" s="7">
        <f t="shared" si="214"/>
        <v>2098</v>
      </c>
      <c r="S1972" s="7">
        <f t="shared" si="215"/>
        <v>1</v>
      </c>
      <c r="T1972" s="7">
        <f t="shared" si="216"/>
        <v>2098</v>
      </c>
    </row>
    <row r="1973" spans="1:20" ht="14.25" customHeight="1" x14ac:dyDescent="0.35">
      <c r="A1973" s="2" t="s">
        <v>69</v>
      </c>
      <c r="B1973" s="2" t="s">
        <v>34</v>
      </c>
      <c r="C1973" s="2" t="s">
        <v>30</v>
      </c>
      <c r="D1973" s="2" t="s">
        <v>14</v>
      </c>
      <c r="E1973" s="2" t="s">
        <v>15</v>
      </c>
      <c r="F1973" s="2" t="s">
        <v>23</v>
      </c>
      <c r="G1973" s="2" t="s">
        <v>24</v>
      </c>
      <c r="H1973" s="2">
        <v>30000</v>
      </c>
      <c r="I1973" s="2">
        <v>1</v>
      </c>
      <c r="J1973" s="2" t="s">
        <v>27</v>
      </c>
      <c r="K1973" s="2">
        <f t="shared" si="210"/>
        <v>24000</v>
      </c>
      <c r="L1973" s="9">
        <f>Table_1[[#This Row],[Unit Price]]*Table_1[[#This Row],[Quantity]]</f>
        <v>30000</v>
      </c>
      <c r="M1973" s="8">
        <f>Table_1[[#This Row],[Cost Price]]*Table_1[[#This Row],[Quantity]]</f>
        <v>24000</v>
      </c>
      <c r="N1973">
        <f>Table_1[[#This Row],[Revenue]]-Table_1[[#This Row],[COGS]]</f>
        <v>6000</v>
      </c>
      <c r="O1973" s="11">
        <f t="shared" si="211"/>
        <v>4656740000</v>
      </c>
      <c r="P1973">
        <f t="shared" si="212"/>
        <v>3725392000</v>
      </c>
      <c r="Q1973">
        <f t="shared" si="213"/>
        <v>931348000</v>
      </c>
      <c r="R1973" s="7">
        <f t="shared" si="214"/>
        <v>2098</v>
      </c>
      <c r="S1973" s="7">
        <f t="shared" si="215"/>
        <v>1</v>
      </c>
      <c r="T1973" s="7">
        <f t="shared" si="216"/>
        <v>2098</v>
      </c>
    </row>
    <row r="1974" spans="1:20" ht="14.25" customHeight="1" x14ac:dyDescent="0.35">
      <c r="A1974" s="2" t="s">
        <v>45</v>
      </c>
      <c r="B1974" s="2" t="s">
        <v>34</v>
      </c>
      <c r="C1974" s="2" t="s">
        <v>21</v>
      </c>
      <c r="D1974" s="2" t="s">
        <v>14</v>
      </c>
      <c r="E1974" s="2" t="s">
        <v>15</v>
      </c>
      <c r="F1974" s="2" t="s">
        <v>23</v>
      </c>
      <c r="G1974" s="2" t="s">
        <v>24</v>
      </c>
      <c r="H1974" s="2">
        <v>30000</v>
      </c>
      <c r="I1974" s="2">
        <v>6</v>
      </c>
      <c r="J1974" s="2" t="s">
        <v>43</v>
      </c>
      <c r="K1974" s="2">
        <f t="shared" si="210"/>
        <v>24000</v>
      </c>
      <c r="L1974" s="9">
        <f>Table_1[[#This Row],[Unit Price]]*Table_1[[#This Row],[Quantity]]</f>
        <v>180000</v>
      </c>
      <c r="M1974" s="8">
        <f>Table_1[[#This Row],[Cost Price]]*Table_1[[#This Row],[Quantity]]</f>
        <v>144000</v>
      </c>
      <c r="N1974">
        <f>Table_1[[#This Row],[Revenue]]-Table_1[[#This Row],[COGS]]</f>
        <v>36000</v>
      </c>
      <c r="O1974" s="11">
        <f t="shared" si="211"/>
        <v>4656740000</v>
      </c>
      <c r="P1974">
        <f t="shared" si="212"/>
        <v>3725392000</v>
      </c>
      <c r="Q1974">
        <f t="shared" si="213"/>
        <v>931348000</v>
      </c>
      <c r="R1974" s="7">
        <f t="shared" si="214"/>
        <v>2098</v>
      </c>
      <c r="S1974" s="7">
        <f t="shared" si="215"/>
        <v>3</v>
      </c>
      <c r="T1974" s="7">
        <f t="shared" si="216"/>
        <v>2098</v>
      </c>
    </row>
    <row r="1975" spans="1:20" ht="14.25" customHeight="1" x14ac:dyDescent="0.35">
      <c r="A1975" s="2" t="s">
        <v>125</v>
      </c>
      <c r="B1975" s="2" t="s">
        <v>29</v>
      </c>
      <c r="C1975" s="2" t="s">
        <v>13</v>
      </c>
      <c r="D1975" s="2" t="s">
        <v>26</v>
      </c>
      <c r="E1975" s="2" t="s">
        <v>15</v>
      </c>
      <c r="F1975" s="2" t="s">
        <v>39</v>
      </c>
      <c r="G1975" s="2" t="s">
        <v>24</v>
      </c>
      <c r="H1975" s="2">
        <v>180000</v>
      </c>
      <c r="I1975" s="2">
        <v>7</v>
      </c>
      <c r="J1975" s="2" t="s">
        <v>18</v>
      </c>
      <c r="K1975" s="2">
        <f t="shared" si="210"/>
        <v>144000</v>
      </c>
      <c r="L1975" s="9">
        <f>Table_1[[#This Row],[Unit Price]]*Table_1[[#This Row],[Quantity]]</f>
        <v>1260000</v>
      </c>
      <c r="M1975" s="8">
        <f>Table_1[[#This Row],[Cost Price]]*Table_1[[#This Row],[Quantity]]</f>
        <v>1008000</v>
      </c>
      <c r="N1975">
        <f>Table_1[[#This Row],[Revenue]]-Table_1[[#This Row],[COGS]]</f>
        <v>252000</v>
      </c>
      <c r="O1975" s="11">
        <f t="shared" si="211"/>
        <v>4656740000</v>
      </c>
      <c r="P1975">
        <f t="shared" si="212"/>
        <v>3725392000</v>
      </c>
      <c r="Q1975">
        <f t="shared" si="213"/>
        <v>931348000</v>
      </c>
      <c r="R1975" s="7">
        <f t="shared" si="214"/>
        <v>2098</v>
      </c>
      <c r="S1975" s="7">
        <f t="shared" si="215"/>
        <v>4</v>
      </c>
      <c r="T1975" s="7">
        <f t="shared" si="216"/>
        <v>2098</v>
      </c>
    </row>
    <row r="1976" spans="1:20" ht="14.25" customHeight="1" x14ac:dyDescent="0.35">
      <c r="A1976" s="2" t="s">
        <v>124</v>
      </c>
      <c r="B1976" s="2" t="s">
        <v>29</v>
      </c>
      <c r="C1976" s="2" t="s">
        <v>38</v>
      </c>
      <c r="D1976" s="2" t="s">
        <v>14</v>
      </c>
      <c r="E1976" s="2" t="s">
        <v>15</v>
      </c>
      <c r="F1976" s="2" t="s">
        <v>31</v>
      </c>
      <c r="G1976" s="2" t="s">
        <v>24</v>
      </c>
      <c r="H1976" s="2">
        <v>60000</v>
      </c>
      <c r="I1976" s="2">
        <v>8</v>
      </c>
      <c r="J1976" s="2" t="s">
        <v>54</v>
      </c>
      <c r="K1976" s="2">
        <f t="shared" si="210"/>
        <v>48000</v>
      </c>
      <c r="L1976" s="9">
        <f>Table_1[[#This Row],[Unit Price]]*Table_1[[#This Row],[Quantity]]</f>
        <v>480000</v>
      </c>
      <c r="M1976" s="8">
        <f>Table_1[[#This Row],[Cost Price]]*Table_1[[#This Row],[Quantity]]</f>
        <v>384000</v>
      </c>
      <c r="N1976">
        <f>Table_1[[#This Row],[Revenue]]-Table_1[[#This Row],[COGS]]</f>
        <v>96000</v>
      </c>
      <c r="O1976" s="11">
        <f t="shared" si="211"/>
        <v>4656740000</v>
      </c>
      <c r="P1976">
        <f t="shared" si="212"/>
        <v>3725392000</v>
      </c>
      <c r="Q1976">
        <f t="shared" si="213"/>
        <v>931348000</v>
      </c>
      <c r="R1976" s="7">
        <f t="shared" si="214"/>
        <v>2098</v>
      </c>
      <c r="S1976" s="7">
        <f t="shared" si="215"/>
        <v>1</v>
      </c>
      <c r="T1976" s="7">
        <f t="shared" si="216"/>
        <v>2098</v>
      </c>
    </row>
    <row r="1977" spans="1:20" ht="14.25" customHeight="1" x14ac:dyDescent="0.35">
      <c r="A1977" s="2" t="s">
        <v>98</v>
      </c>
      <c r="B1977" s="2" t="s">
        <v>29</v>
      </c>
      <c r="C1977" s="2" t="s">
        <v>21</v>
      </c>
      <c r="D1977" s="2" t="s">
        <v>14</v>
      </c>
      <c r="E1977" s="2" t="s">
        <v>15</v>
      </c>
      <c r="F1977" s="2" t="s">
        <v>31</v>
      </c>
      <c r="G1977" s="2" t="s">
        <v>24</v>
      </c>
      <c r="H1977" s="2">
        <v>60000</v>
      </c>
      <c r="I1977" s="2">
        <v>2</v>
      </c>
      <c r="J1977" s="2" t="s">
        <v>50</v>
      </c>
      <c r="K1977" s="2">
        <f t="shared" si="210"/>
        <v>48000</v>
      </c>
      <c r="L1977" s="9">
        <f>Table_1[[#This Row],[Unit Price]]*Table_1[[#This Row],[Quantity]]</f>
        <v>120000</v>
      </c>
      <c r="M1977" s="8">
        <f>Table_1[[#This Row],[Cost Price]]*Table_1[[#This Row],[Quantity]]</f>
        <v>96000</v>
      </c>
      <c r="N1977">
        <f>Table_1[[#This Row],[Revenue]]-Table_1[[#This Row],[COGS]]</f>
        <v>24000</v>
      </c>
      <c r="O1977" s="11">
        <f t="shared" si="211"/>
        <v>4656740000</v>
      </c>
      <c r="P1977">
        <f t="shared" si="212"/>
        <v>3725392000</v>
      </c>
      <c r="Q1977">
        <f t="shared" si="213"/>
        <v>931348000</v>
      </c>
      <c r="R1977" s="7">
        <f t="shared" si="214"/>
        <v>2098</v>
      </c>
      <c r="S1977" s="7">
        <f t="shared" si="215"/>
        <v>4</v>
      </c>
      <c r="T1977" s="7">
        <f t="shared" si="216"/>
        <v>2098</v>
      </c>
    </row>
    <row r="1978" spans="1:20" ht="14.25" customHeight="1" x14ac:dyDescent="0.35">
      <c r="A1978" s="2" t="s">
        <v>97</v>
      </c>
      <c r="B1978" s="2" t="s">
        <v>29</v>
      </c>
      <c r="C1978" s="2" t="s">
        <v>30</v>
      </c>
      <c r="D1978" s="2" t="s">
        <v>14</v>
      </c>
      <c r="E1978" s="2" t="s">
        <v>22</v>
      </c>
      <c r="F1978" s="2" t="s">
        <v>16</v>
      </c>
      <c r="G1978" s="2" t="s">
        <v>17</v>
      </c>
      <c r="H1978" s="2">
        <v>85000</v>
      </c>
      <c r="I1978" s="2">
        <v>1</v>
      </c>
      <c r="J1978" s="2" t="s">
        <v>43</v>
      </c>
      <c r="K1978" s="2">
        <f t="shared" si="210"/>
        <v>68000</v>
      </c>
      <c r="L1978" s="9">
        <f>Table_1[[#This Row],[Unit Price]]*Table_1[[#This Row],[Quantity]]</f>
        <v>85000</v>
      </c>
      <c r="M1978" s="8">
        <f>Table_1[[#This Row],[Cost Price]]*Table_1[[#This Row],[Quantity]]</f>
        <v>68000</v>
      </c>
      <c r="N1978">
        <f>Table_1[[#This Row],[Revenue]]-Table_1[[#This Row],[COGS]]</f>
        <v>17000</v>
      </c>
      <c r="O1978" s="11">
        <f t="shared" si="211"/>
        <v>4656740000</v>
      </c>
      <c r="P1978">
        <f t="shared" si="212"/>
        <v>3725392000</v>
      </c>
      <c r="Q1978">
        <f t="shared" si="213"/>
        <v>931348000</v>
      </c>
      <c r="R1978" s="7">
        <f t="shared" si="214"/>
        <v>2098</v>
      </c>
      <c r="S1978" s="7">
        <f t="shared" si="215"/>
        <v>2</v>
      </c>
      <c r="T1978" s="7">
        <f t="shared" si="216"/>
        <v>2098</v>
      </c>
    </row>
    <row r="1979" spans="1:20" ht="14.25" customHeight="1" x14ac:dyDescent="0.35">
      <c r="A1979" s="2" t="s">
        <v>128</v>
      </c>
      <c r="B1979" s="2" t="s">
        <v>34</v>
      </c>
      <c r="C1979" s="2" t="s">
        <v>30</v>
      </c>
      <c r="D1979" s="2" t="s">
        <v>26</v>
      </c>
      <c r="E1979" s="2" t="s">
        <v>15</v>
      </c>
      <c r="F1979" s="2" t="s">
        <v>23</v>
      </c>
      <c r="G1979" s="2" t="s">
        <v>24</v>
      </c>
      <c r="H1979" s="2">
        <v>30000</v>
      </c>
      <c r="I1979" s="2">
        <v>8</v>
      </c>
      <c r="J1979" s="2" t="s">
        <v>50</v>
      </c>
      <c r="K1979" s="2">
        <f t="shared" si="210"/>
        <v>24000</v>
      </c>
      <c r="L1979" s="9">
        <f>Table_1[[#This Row],[Unit Price]]*Table_1[[#This Row],[Quantity]]</f>
        <v>240000</v>
      </c>
      <c r="M1979" s="8">
        <f>Table_1[[#This Row],[Cost Price]]*Table_1[[#This Row],[Quantity]]</f>
        <v>192000</v>
      </c>
      <c r="N1979">
        <f>Table_1[[#This Row],[Revenue]]-Table_1[[#This Row],[COGS]]</f>
        <v>48000</v>
      </c>
      <c r="O1979" s="11">
        <f t="shared" si="211"/>
        <v>4656740000</v>
      </c>
      <c r="P1979">
        <f t="shared" si="212"/>
        <v>3725392000</v>
      </c>
      <c r="Q1979">
        <f t="shared" si="213"/>
        <v>931348000</v>
      </c>
      <c r="R1979" s="7">
        <f t="shared" si="214"/>
        <v>2098</v>
      </c>
      <c r="S1979" s="7">
        <f t="shared" si="215"/>
        <v>4</v>
      </c>
      <c r="T1979" s="7">
        <f t="shared" si="216"/>
        <v>2098</v>
      </c>
    </row>
    <row r="1980" spans="1:20" ht="14.25" customHeight="1" x14ac:dyDescent="0.35">
      <c r="A1980" s="2" t="s">
        <v>159</v>
      </c>
      <c r="B1980" s="2" t="s">
        <v>34</v>
      </c>
      <c r="C1980" s="2" t="s">
        <v>38</v>
      </c>
      <c r="D1980" s="2" t="s">
        <v>14</v>
      </c>
      <c r="E1980" s="2" t="s">
        <v>22</v>
      </c>
      <c r="F1980" s="2" t="s">
        <v>31</v>
      </c>
      <c r="G1980" s="2" t="s">
        <v>24</v>
      </c>
      <c r="H1980" s="2">
        <v>60000</v>
      </c>
      <c r="I1980" s="2">
        <v>10</v>
      </c>
      <c r="J1980" s="2" t="s">
        <v>50</v>
      </c>
      <c r="K1980" s="2">
        <f t="shared" si="210"/>
        <v>48000</v>
      </c>
      <c r="L1980" s="9">
        <f>Table_1[[#This Row],[Unit Price]]*Table_1[[#This Row],[Quantity]]</f>
        <v>600000</v>
      </c>
      <c r="M1980" s="8">
        <f>Table_1[[#This Row],[Cost Price]]*Table_1[[#This Row],[Quantity]]</f>
        <v>480000</v>
      </c>
      <c r="N1980">
        <f>Table_1[[#This Row],[Revenue]]-Table_1[[#This Row],[COGS]]</f>
        <v>120000</v>
      </c>
      <c r="O1980" s="11">
        <f t="shared" si="211"/>
        <v>4656740000</v>
      </c>
      <c r="P1980">
        <f t="shared" si="212"/>
        <v>3725392000</v>
      </c>
      <c r="Q1980">
        <f t="shared" si="213"/>
        <v>931348000</v>
      </c>
      <c r="R1980" s="7">
        <f t="shared" si="214"/>
        <v>2098</v>
      </c>
      <c r="S1980" s="7">
        <f t="shared" si="215"/>
        <v>2</v>
      </c>
      <c r="T1980" s="7">
        <f t="shared" si="216"/>
        <v>2098</v>
      </c>
    </row>
    <row r="1981" spans="1:20" ht="14.25" customHeight="1" x14ac:dyDescent="0.35">
      <c r="A1981" s="2" t="s">
        <v>62</v>
      </c>
      <c r="B1981" s="2" t="s">
        <v>12</v>
      </c>
      <c r="C1981" s="2" t="s">
        <v>13</v>
      </c>
      <c r="D1981" s="2" t="s">
        <v>26</v>
      </c>
      <c r="E1981" s="2" t="s">
        <v>22</v>
      </c>
      <c r="F1981" s="2" t="s">
        <v>47</v>
      </c>
      <c r="G1981" s="2" t="s">
        <v>36</v>
      </c>
      <c r="H1981" s="2">
        <v>150000</v>
      </c>
      <c r="I1981" s="2">
        <v>1</v>
      </c>
      <c r="J1981" s="2" t="s">
        <v>18</v>
      </c>
      <c r="K1981" s="2">
        <f t="shared" si="210"/>
        <v>120000</v>
      </c>
      <c r="L1981" s="9">
        <f>Table_1[[#This Row],[Unit Price]]*Table_1[[#This Row],[Quantity]]</f>
        <v>150000</v>
      </c>
      <c r="M1981" s="8">
        <f>Table_1[[#This Row],[Cost Price]]*Table_1[[#This Row],[Quantity]]</f>
        <v>120000</v>
      </c>
      <c r="N1981">
        <f>Table_1[[#This Row],[Revenue]]-Table_1[[#This Row],[COGS]]</f>
        <v>30000</v>
      </c>
      <c r="O1981" s="11">
        <f t="shared" si="211"/>
        <v>4656740000</v>
      </c>
      <c r="P1981">
        <f t="shared" si="212"/>
        <v>3725392000</v>
      </c>
      <c r="Q1981">
        <f t="shared" si="213"/>
        <v>931348000</v>
      </c>
      <c r="R1981" s="7">
        <f t="shared" si="214"/>
        <v>2098</v>
      </c>
      <c r="S1981" s="7">
        <f t="shared" si="215"/>
        <v>4</v>
      </c>
      <c r="T1981" s="7">
        <f t="shared" si="216"/>
        <v>2098</v>
      </c>
    </row>
    <row r="1982" spans="1:20" ht="14.25" customHeight="1" x14ac:dyDescent="0.35">
      <c r="A1982" s="2" t="s">
        <v>94</v>
      </c>
      <c r="B1982" s="2" t="s">
        <v>29</v>
      </c>
      <c r="C1982" s="2" t="s">
        <v>13</v>
      </c>
      <c r="D1982" s="2" t="s">
        <v>26</v>
      </c>
      <c r="E1982" s="2" t="s">
        <v>22</v>
      </c>
      <c r="F1982" s="2" t="s">
        <v>31</v>
      </c>
      <c r="G1982" s="2" t="s">
        <v>24</v>
      </c>
      <c r="H1982" s="2">
        <v>60000</v>
      </c>
      <c r="I1982" s="2">
        <v>9</v>
      </c>
      <c r="J1982" s="2" t="s">
        <v>54</v>
      </c>
      <c r="K1982" s="2">
        <f t="shared" si="210"/>
        <v>48000</v>
      </c>
      <c r="L1982" s="9">
        <f>Table_1[[#This Row],[Unit Price]]*Table_1[[#This Row],[Quantity]]</f>
        <v>540000</v>
      </c>
      <c r="M1982" s="8">
        <f>Table_1[[#This Row],[Cost Price]]*Table_1[[#This Row],[Quantity]]</f>
        <v>432000</v>
      </c>
      <c r="N1982">
        <f>Table_1[[#This Row],[Revenue]]-Table_1[[#This Row],[COGS]]</f>
        <v>108000</v>
      </c>
      <c r="O1982" s="11">
        <f t="shared" si="211"/>
        <v>4656740000</v>
      </c>
      <c r="P1982">
        <f t="shared" si="212"/>
        <v>3725392000</v>
      </c>
      <c r="Q1982">
        <f t="shared" si="213"/>
        <v>931348000</v>
      </c>
      <c r="R1982" s="7">
        <f t="shared" si="214"/>
        <v>2098</v>
      </c>
      <c r="S1982" s="7">
        <f t="shared" si="215"/>
        <v>3</v>
      </c>
      <c r="T1982" s="7">
        <f t="shared" si="216"/>
        <v>2098</v>
      </c>
    </row>
    <row r="1983" spans="1:20" ht="14.25" customHeight="1" x14ac:dyDescent="0.35">
      <c r="A1983" s="2" t="s">
        <v>55</v>
      </c>
      <c r="B1983" s="2" t="s">
        <v>34</v>
      </c>
      <c r="C1983" s="2" t="s">
        <v>38</v>
      </c>
      <c r="D1983" s="2" t="s">
        <v>14</v>
      </c>
      <c r="E1983" s="2" t="s">
        <v>15</v>
      </c>
      <c r="F1983" s="2" t="s">
        <v>31</v>
      </c>
      <c r="G1983" s="2" t="s">
        <v>24</v>
      </c>
      <c r="H1983" s="2">
        <v>60000</v>
      </c>
      <c r="I1983" s="2">
        <v>5</v>
      </c>
      <c r="J1983" s="2" t="s">
        <v>54</v>
      </c>
      <c r="K1983" s="2">
        <f t="shared" si="210"/>
        <v>48000</v>
      </c>
      <c r="L1983" s="9">
        <f>Table_1[[#This Row],[Unit Price]]*Table_1[[#This Row],[Quantity]]</f>
        <v>300000</v>
      </c>
      <c r="M1983" s="8">
        <f>Table_1[[#This Row],[Cost Price]]*Table_1[[#This Row],[Quantity]]</f>
        <v>240000</v>
      </c>
      <c r="N1983">
        <f>Table_1[[#This Row],[Revenue]]-Table_1[[#This Row],[COGS]]</f>
        <v>60000</v>
      </c>
      <c r="O1983" s="11">
        <f t="shared" si="211"/>
        <v>4656740000</v>
      </c>
      <c r="P1983">
        <f t="shared" si="212"/>
        <v>3725392000</v>
      </c>
      <c r="Q1983">
        <f t="shared" si="213"/>
        <v>931348000</v>
      </c>
      <c r="R1983" s="7">
        <f t="shared" si="214"/>
        <v>2098</v>
      </c>
      <c r="S1983" s="7">
        <f t="shared" si="215"/>
        <v>4</v>
      </c>
      <c r="T1983" s="7">
        <f t="shared" si="216"/>
        <v>2098</v>
      </c>
    </row>
    <row r="1984" spans="1:20" ht="14.25" customHeight="1" x14ac:dyDescent="0.35">
      <c r="A1984" s="2" t="s">
        <v>148</v>
      </c>
      <c r="B1984" s="2" t="s">
        <v>20</v>
      </c>
      <c r="C1984" s="2" t="s">
        <v>13</v>
      </c>
      <c r="D1984" s="2" t="s">
        <v>14</v>
      </c>
      <c r="E1984" s="2" t="s">
        <v>22</v>
      </c>
      <c r="F1984" s="2" t="s">
        <v>58</v>
      </c>
      <c r="G1984" s="2" t="s">
        <v>24</v>
      </c>
      <c r="H1984" s="2">
        <v>220000</v>
      </c>
      <c r="I1984" s="2">
        <v>8</v>
      </c>
      <c r="J1984" s="2" t="s">
        <v>18</v>
      </c>
      <c r="K1984" s="2">
        <f t="shared" si="210"/>
        <v>176000</v>
      </c>
      <c r="L1984" s="9">
        <f>Table_1[[#This Row],[Unit Price]]*Table_1[[#This Row],[Quantity]]</f>
        <v>1760000</v>
      </c>
      <c r="M1984" s="8">
        <f>Table_1[[#This Row],[Cost Price]]*Table_1[[#This Row],[Quantity]]</f>
        <v>1408000</v>
      </c>
      <c r="N1984">
        <f>Table_1[[#This Row],[Revenue]]-Table_1[[#This Row],[COGS]]</f>
        <v>352000</v>
      </c>
      <c r="O1984" s="11">
        <f t="shared" si="211"/>
        <v>4656740000</v>
      </c>
      <c r="P1984">
        <f t="shared" si="212"/>
        <v>3725392000</v>
      </c>
      <c r="Q1984">
        <f t="shared" si="213"/>
        <v>931348000</v>
      </c>
      <c r="R1984" s="7">
        <f t="shared" si="214"/>
        <v>2098</v>
      </c>
      <c r="S1984" s="7">
        <f t="shared" si="215"/>
        <v>4</v>
      </c>
      <c r="T1984" s="7">
        <f t="shared" si="216"/>
        <v>2098</v>
      </c>
    </row>
    <row r="1985" spans="1:20" ht="14.25" customHeight="1" x14ac:dyDescent="0.35">
      <c r="A1985" s="2" t="s">
        <v>75</v>
      </c>
      <c r="B1985" s="2" t="s">
        <v>12</v>
      </c>
      <c r="C1985" s="2" t="s">
        <v>13</v>
      </c>
      <c r="D1985" s="2" t="s">
        <v>14</v>
      </c>
      <c r="E1985" s="2" t="s">
        <v>22</v>
      </c>
      <c r="F1985" s="2" t="s">
        <v>16</v>
      </c>
      <c r="G1985" s="2" t="s">
        <v>17</v>
      </c>
      <c r="H1985" s="2">
        <v>85000</v>
      </c>
      <c r="I1985" s="2">
        <v>2</v>
      </c>
      <c r="J1985" s="2" t="s">
        <v>50</v>
      </c>
      <c r="K1985" s="2">
        <f t="shared" si="210"/>
        <v>68000</v>
      </c>
      <c r="L1985" s="9">
        <f>Table_1[[#This Row],[Unit Price]]*Table_1[[#This Row],[Quantity]]</f>
        <v>170000</v>
      </c>
      <c r="M1985" s="8">
        <f>Table_1[[#This Row],[Cost Price]]*Table_1[[#This Row],[Quantity]]</f>
        <v>136000</v>
      </c>
      <c r="N1985">
        <f>Table_1[[#This Row],[Revenue]]-Table_1[[#This Row],[COGS]]</f>
        <v>34000</v>
      </c>
      <c r="O1985" s="11">
        <f t="shared" si="211"/>
        <v>4656740000</v>
      </c>
      <c r="P1985">
        <f t="shared" si="212"/>
        <v>3725392000</v>
      </c>
      <c r="Q1985">
        <f t="shared" si="213"/>
        <v>931348000</v>
      </c>
      <c r="R1985" s="7">
        <f t="shared" si="214"/>
        <v>2098</v>
      </c>
      <c r="S1985" s="7">
        <f t="shared" si="215"/>
        <v>2</v>
      </c>
      <c r="T1985" s="7">
        <f t="shared" si="216"/>
        <v>2098</v>
      </c>
    </row>
    <row r="1986" spans="1:20" ht="14.25" customHeight="1" x14ac:dyDescent="0.35">
      <c r="A1986" s="2" t="s">
        <v>33</v>
      </c>
      <c r="B1986" s="2" t="s">
        <v>29</v>
      </c>
      <c r="C1986" s="2" t="s">
        <v>38</v>
      </c>
      <c r="D1986" s="2" t="s">
        <v>14</v>
      </c>
      <c r="E1986" s="2" t="s">
        <v>22</v>
      </c>
      <c r="F1986" s="2" t="s">
        <v>41</v>
      </c>
      <c r="G1986" s="2" t="s">
        <v>17</v>
      </c>
      <c r="H1986" s="2">
        <v>320000</v>
      </c>
      <c r="I1986" s="2">
        <v>7</v>
      </c>
      <c r="J1986" s="2" t="s">
        <v>50</v>
      </c>
      <c r="K1986" s="2">
        <f t="shared" ref="K1986:K2049" si="217">H1986-H1986*0.2</f>
        <v>256000</v>
      </c>
      <c r="L1986" s="9">
        <f>Table_1[[#This Row],[Unit Price]]*Table_1[[#This Row],[Quantity]]</f>
        <v>2240000</v>
      </c>
      <c r="M1986" s="8">
        <f>Table_1[[#This Row],[Cost Price]]*Table_1[[#This Row],[Quantity]]</f>
        <v>1792000</v>
      </c>
      <c r="N1986">
        <f>Table_1[[#This Row],[Revenue]]-Table_1[[#This Row],[COGS]]</f>
        <v>448000</v>
      </c>
      <c r="O1986" s="11">
        <f t="shared" ref="O1986:O2049" si="218">SUM(L$2:L$1048576)</f>
        <v>4656740000</v>
      </c>
      <c r="P1986">
        <f t="shared" ref="P1986:P2049" si="219">SUM(M:M)</f>
        <v>3725392000</v>
      </c>
      <c r="Q1986">
        <f t="shared" ref="Q1986:Q2049" si="220">SUM(N:N)</f>
        <v>931348000</v>
      </c>
      <c r="R1986" s="7">
        <f t="shared" ref="R1986:R2049" si="221">COUNTA(A$2:A$1048576)</f>
        <v>2098</v>
      </c>
      <c r="S1986" s="7">
        <f t="shared" ref="S1986:S2049" si="222">MONTH(A1986:A3474)</f>
        <v>4</v>
      </c>
      <c r="T1986" s="7">
        <f t="shared" ref="T1986:T2049" si="223">COUNTA(A:A)-1</f>
        <v>2098</v>
      </c>
    </row>
    <row r="1987" spans="1:20" ht="14.25" customHeight="1" x14ac:dyDescent="0.35">
      <c r="A1987" s="2" t="s">
        <v>59</v>
      </c>
      <c r="B1987" s="2" t="s">
        <v>29</v>
      </c>
      <c r="C1987" s="2" t="s">
        <v>38</v>
      </c>
      <c r="D1987" s="2" t="s">
        <v>14</v>
      </c>
      <c r="E1987" s="2" t="s">
        <v>15</v>
      </c>
      <c r="F1987" s="2" t="s">
        <v>56</v>
      </c>
      <c r="G1987" s="2" t="s">
        <v>36</v>
      </c>
      <c r="H1987" s="2">
        <v>250000</v>
      </c>
      <c r="I1987" s="2">
        <v>4</v>
      </c>
      <c r="J1987" s="2" t="s">
        <v>18</v>
      </c>
      <c r="K1987" s="2">
        <f t="shared" si="217"/>
        <v>200000</v>
      </c>
      <c r="L1987" s="9">
        <f>Table_1[[#This Row],[Unit Price]]*Table_1[[#This Row],[Quantity]]</f>
        <v>1000000</v>
      </c>
      <c r="M1987" s="8">
        <f>Table_1[[#This Row],[Cost Price]]*Table_1[[#This Row],[Quantity]]</f>
        <v>800000</v>
      </c>
      <c r="N1987">
        <f>Table_1[[#This Row],[Revenue]]-Table_1[[#This Row],[COGS]]</f>
        <v>200000</v>
      </c>
      <c r="O1987" s="11">
        <f t="shared" si="218"/>
        <v>4656740000</v>
      </c>
      <c r="P1987">
        <f t="shared" si="219"/>
        <v>3725392000</v>
      </c>
      <c r="Q1987">
        <f t="shared" si="220"/>
        <v>931348000</v>
      </c>
      <c r="R1987" s="7">
        <f t="shared" si="221"/>
        <v>2098</v>
      </c>
      <c r="S1987" s="7">
        <f t="shared" si="222"/>
        <v>2</v>
      </c>
      <c r="T1987" s="7">
        <f t="shared" si="223"/>
        <v>2098</v>
      </c>
    </row>
    <row r="1988" spans="1:20" ht="14.25" customHeight="1" x14ac:dyDescent="0.35">
      <c r="A1988" s="2" t="s">
        <v>49</v>
      </c>
      <c r="B1988" s="2" t="s">
        <v>20</v>
      </c>
      <c r="C1988" s="2" t="s">
        <v>13</v>
      </c>
      <c r="D1988" s="2" t="s">
        <v>26</v>
      </c>
      <c r="E1988" s="2" t="s">
        <v>22</v>
      </c>
      <c r="F1988" s="2" t="s">
        <v>47</v>
      </c>
      <c r="G1988" s="2" t="s">
        <v>36</v>
      </c>
      <c r="H1988" s="2">
        <v>150000</v>
      </c>
      <c r="I1988" s="2">
        <v>6</v>
      </c>
      <c r="J1988" s="2" t="s">
        <v>27</v>
      </c>
      <c r="K1988" s="2">
        <f t="shared" si="217"/>
        <v>120000</v>
      </c>
      <c r="L1988" s="9">
        <f>Table_1[[#This Row],[Unit Price]]*Table_1[[#This Row],[Quantity]]</f>
        <v>900000</v>
      </c>
      <c r="M1988" s="8">
        <f>Table_1[[#This Row],[Cost Price]]*Table_1[[#This Row],[Quantity]]</f>
        <v>720000</v>
      </c>
      <c r="N1988">
        <f>Table_1[[#This Row],[Revenue]]-Table_1[[#This Row],[COGS]]</f>
        <v>180000</v>
      </c>
      <c r="O1988" s="11">
        <f t="shared" si="218"/>
        <v>4656740000</v>
      </c>
      <c r="P1988">
        <f t="shared" si="219"/>
        <v>3725392000</v>
      </c>
      <c r="Q1988">
        <f t="shared" si="220"/>
        <v>931348000</v>
      </c>
      <c r="R1988" s="7">
        <f t="shared" si="221"/>
        <v>2098</v>
      </c>
      <c r="S1988" s="7">
        <f t="shared" si="222"/>
        <v>4</v>
      </c>
      <c r="T1988" s="7">
        <f t="shared" si="223"/>
        <v>2098</v>
      </c>
    </row>
    <row r="1989" spans="1:20" ht="14.25" customHeight="1" x14ac:dyDescent="0.35">
      <c r="A1989" s="2" t="s">
        <v>157</v>
      </c>
      <c r="B1989" s="2" t="s">
        <v>34</v>
      </c>
      <c r="C1989" s="2" t="s">
        <v>38</v>
      </c>
      <c r="D1989" s="2" t="s">
        <v>14</v>
      </c>
      <c r="E1989" s="2" t="s">
        <v>15</v>
      </c>
      <c r="F1989" s="2" t="s">
        <v>35</v>
      </c>
      <c r="G1989" s="2" t="s">
        <v>36</v>
      </c>
      <c r="H1989" s="2">
        <v>300000</v>
      </c>
      <c r="I1989" s="2">
        <v>8</v>
      </c>
      <c r="J1989" s="2" t="s">
        <v>27</v>
      </c>
      <c r="K1989" s="2">
        <f t="shared" si="217"/>
        <v>240000</v>
      </c>
      <c r="L1989" s="9">
        <f>Table_1[[#This Row],[Unit Price]]*Table_1[[#This Row],[Quantity]]</f>
        <v>2400000</v>
      </c>
      <c r="M1989" s="8">
        <f>Table_1[[#This Row],[Cost Price]]*Table_1[[#This Row],[Quantity]]</f>
        <v>1920000</v>
      </c>
      <c r="N1989">
        <f>Table_1[[#This Row],[Revenue]]-Table_1[[#This Row],[COGS]]</f>
        <v>480000</v>
      </c>
      <c r="O1989" s="11">
        <f t="shared" si="218"/>
        <v>4656740000</v>
      </c>
      <c r="P1989">
        <f t="shared" si="219"/>
        <v>3725392000</v>
      </c>
      <c r="Q1989">
        <f t="shared" si="220"/>
        <v>931348000</v>
      </c>
      <c r="R1989" s="7">
        <f t="shared" si="221"/>
        <v>2098</v>
      </c>
      <c r="S1989" s="7">
        <f t="shared" si="222"/>
        <v>3</v>
      </c>
      <c r="T1989" s="7">
        <f t="shared" si="223"/>
        <v>2098</v>
      </c>
    </row>
    <row r="1990" spans="1:20" ht="14.25" customHeight="1" x14ac:dyDescent="0.35">
      <c r="A1990" s="2" t="s">
        <v>37</v>
      </c>
      <c r="B1990" s="2" t="s">
        <v>12</v>
      </c>
      <c r="C1990" s="2" t="s">
        <v>21</v>
      </c>
      <c r="D1990" s="2" t="s">
        <v>14</v>
      </c>
      <c r="E1990" s="2" t="s">
        <v>22</v>
      </c>
      <c r="F1990" s="2" t="s">
        <v>35</v>
      </c>
      <c r="G1990" s="2" t="s">
        <v>36</v>
      </c>
      <c r="H1990" s="2">
        <v>300000</v>
      </c>
      <c r="I1990" s="2">
        <v>10</v>
      </c>
      <c r="J1990" s="2" t="s">
        <v>18</v>
      </c>
      <c r="K1990" s="2">
        <f t="shared" si="217"/>
        <v>240000</v>
      </c>
      <c r="L1990" s="9">
        <f>Table_1[[#This Row],[Unit Price]]*Table_1[[#This Row],[Quantity]]</f>
        <v>3000000</v>
      </c>
      <c r="M1990" s="8">
        <f>Table_1[[#This Row],[Cost Price]]*Table_1[[#This Row],[Quantity]]</f>
        <v>2400000</v>
      </c>
      <c r="N1990">
        <f>Table_1[[#This Row],[Revenue]]-Table_1[[#This Row],[COGS]]</f>
        <v>600000</v>
      </c>
      <c r="O1990" s="11">
        <f t="shared" si="218"/>
        <v>4656740000</v>
      </c>
      <c r="P1990">
        <f t="shared" si="219"/>
        <v>3725392000</v>
      </c>
      <c r="Q1990">
        <f t="shared" si="220"/>
        <v>931348000</v>
      </c>
      <c r="R1990" s="7">
        <f t="shared" si="221"/>
        <v>2098</v>
      </c>
      <c r="S1990" s="7">
        <f t="shared" si="222"/>
        <v>3</v>
      </c>
      <c r="T1990" s="7">
        <f t="shared" si="223"/>
        <v>2098</v>
      </c>
    </row>
    <row r="1991" spans="1:20" ht="14.25" customHeight="1" x14ac:dyDescent="0.35">
      <c r="A1991" s="2" t="s">
        <v>55</v>
      </c>
      <c r="B1991" s="2" t="s">
        <v>34</v>
      </c>
      <c r="C1991" s="2" t="s">
        <v>30</v>
      </c>
      <c r="D1991" s="2" t="s">
        <v>26</v>
      </c>
      <c r="E1991" s="2" t="s">
        <v>22</v>
      </c>
      <c r="F1991" s="2" t="s">
        <v>41</v>
      </c>
      <c r="G1991" s="2" t="s">
        <v>17</v>
      </c>
      <c r="H1991" s="2">
        <v>320000</v>
      </c>
      <c r="I1991" s="2">
        <v>1</v>
      </c>
      <c r="J1991" s="2" t="s">
        <v>32</v>
      </c>
      <c r="K1991" s="2">
        <f t="shared" si="217"/>
        <v>256000</v>
      </c>
      <c r="L1991" s="9">
        <f>Table_1[[#This Row],[Unit Price]]*Table_1[[#This Row],[Quantity]]</f>
        <v>320000</v>
      </c>
      <c r="M1991" s="8">
        <f>Table_1[[#This Row],[Cost Price]]*Table_1[[#This Row],[Quantity]]</f>
        <v>256000</v>
      </c>
      <c r="N1991">
        <f>Table_1[[#This Row],[Revenue]]-Table_1[[#This Row],[COGS]]</f>
        <v>64000</v>
      </c>
      <c r="O1991" s="11">
        <f t="shared" si="218"/>
        <v>4656740000</v>
      </c>
      <c r="P1991">
        <f t="shared" si="219"/>
        <v>3725392000</v>
      </c>
      <c r="Q1991">
        <f t="shared" si="220"/>
        <v>931348000</v>
      </c>
      <c r="R1991" s="7">
        <f t="shared" si="221"/>
        <v>2098</v>
      </c>
      <c r="S1991" s="7">
        <f t="shared" si="222"/>
        <v>4</v>
      </c>
      <c r="T1991" s="7">
        <f t="shared" si="223"/>
        <v>2098</v>
      </c>
    </row>
    <row r="1992" spans="1:20" ht="14.25" customHeight="1" x14ac:dyDescent="0.35">
      <c r="A1992" s="2" t="s">
        <v>125</v>
      </c>
      <c r="B1992" s="2" t="s">
        <v>29</v>
      </c>
      <c r="C1992" s="2" t="s">
        <v>21</v>
      </c>
      <c r="D1992" s="2" t="s">
        <v>26</v>
      </c>
      <c r="E1992" s="2" t="s">
        <v>22</v>
      </c>
      <c r="F1992" s="2" t="s">
        <v>41</v>
      </c>
      <c r="G1992" s="2" t="s">
        <v>17</v>
      </c>
      <c r="H1992" s="2">
        <v>320000</v>
      </c>
      <c r="I1992" s="2">
        <v>3</v>
      </c>
      <c r="J1992" s="2" t="s">
        <v>32</v>
      </c>
      <c r="K1992" s="2">
        <f t="shared" si="217"/>
        <v>256000</v>
      </c>
      <c r="L1992" s="9">
        <f>Table_1[[#This Row],[Unit Price]]*Table_1[[#This Row],[Quantity]]</f>
        <v>960000</v>
      </c>
      <c r="M1992" s="8">
        <f>Table_1[[#This Row],[Cost Price]]*Table_1[[#This Row],[Quantity]]</f>
        <v>768000</v>
      </c>
      <c r="N1992">
        <f>Table_1[[#This Row],[Revenue]]-Table_1[[#This Row],[COGS]]</f>
        <v>192000</v>
      </c>
      <c r="O1992" s="11">
        <f t="shared" si="218"/>
        <v>4656740000</v>
      </c>
      <c r="P1992">
        <f t="shared" si="219"/>
        <v>3725392000</v>
      </c>
      <c r="Q1992">
        <f t="shared" si="220"/>
        <v>931348000</v>
      </c>
      <c r="R1992" s="7">
        <f t="shared" si="221"/>
        <v>2098</v>
      </c>
      <c r="S1992" s="7">
        <f t="shared" si="222"/>
        <v>4</v>
      </c>
      <c r="T1992" s="7">
        <f t="shared" si="223"/>
        <v>2098</v>
      </c>
    </row>
    <row r="1993" spans="1:20" ht="14.25" customHeight="1" x14ac:dyDescent="0.35">
      <c r="A1993" s="2" t="s">
        <v>88</v>
      </c>
      <c r="B1993" s="2" t="s">
        <v>12</v>
      </c>
      <c r="C1993" s="2" t="s">
        <v>13</v>
      </c>
      <c r="D1993" s="2" t="s">
        <v>26</v>
      </c>
      <c r="E1993" s="2" t="s">
        <v>15</v>
      </c>
      <c r="F1993" s="2" t="s">
        <v>47</v>
      </c>
      <c r="G1993" s="2" t="s">
        <v>36</v>
      </c>
      <c r="H1993" s="2">
        <v>150000</v>
      </c>
      <c r="I1993" s="2">
        <v>6</v>
      </c>
      <c r="J1993" s="2" t="s">
        <v>43</v>
      </c>
      <c r="K1993" s="2">
        <f t="shared" si="217"/>
        <v>120000</v>
      </c>
      <c r="L1993" s="9">
        <f>Table_1[[#This Row],[Unit Price]]*Table_1[[#This Row],[Quantity]]</f>
        <v>900000</v>
      </c>
      <c r="M1993" s="8">
        <f>Table_1[[#This Row],[Cost Price]]*Table_1[[#This Row],[Quantity]]</f>
        <v>720000</v>
      </c>
      <c r="N1993">
        <f>Table_1[[#This Row],[Revenue]]-Table_1[[#This Row],[COGS]]</f>
        <v>180000</v>
      </c>
      <c r="O1993" s="11">
        <f t="shared" si="218"/>
        <v>4656740000</v>
      </c>
      <c r="P1993">
        <f t="shared" si="219"/>
        <v>3725392000</v>
      </c>
      <c r="Q1993">
        <f t="shared" si="220"/>
        <v>931348000</v>
      </c>
      <c r="R1993" s="7">
        <f t="shared" si="221"/>
        <v>2098</v>
      </c>
      <c r="S1993" s="7">
        <f t="shared" si="222"/>
        <v>3</v>
      </c>
      <c r="T1993" s="7">
        <f t="shared" si="223"/>
        <v>2098</v>
      </c>
    </row>
    <row r="1994" spans="1:20" ht="14.25" customHeight="1" x14ac:dyDescent="0.35">
      <c r="A1994" s="2" t="s">
        <v>118</v>
      </c>
      <c r="B1994" s="2" t="s">
        <v>20</v>
      </c>
      <c r="C1994" s="2" t="s">
        <v>21</v>
      </c>
      <c r="D1994" s="2" t="s">
        <v>14</v>
      </c>
      <c r="E1994" s="2" t="s">
        <v>15</v>
      </c>
      <c r="F1994" s="2" t="s">
        <v>39</v>
      </c>
      <c r="G1994" s="2" t="s">
        <v>24</v>
      </c>
      <c r="H1994" s="2">
        <v>180000</v>
      </c>
      <c r="I1994" s="2">
        <v>9</v>
      </c>
      <c r="J1994" s="2" t="s">
        <v>54</v>
      </c>
      <c r="K1994" s="2">
        <f t="shared" si="217"/>
        <v>144000</v>
      </c>
      <c r="L1994" s="9">
        <f>Table_1[[#This Row],[Unit Price]]*Table_1[[#This Row],[Quantity]]</f>
        <v>1620000</v>
      </c>
      <c r="M1994" s="8">
        <f>Table_1[[#This Row],[Cost Price]]*Table_1[[#This Row],[Quantity]]</f>
        <v>1296000</v>
      </c>
      <c r="N1994">
        <f>Table_1[[#This Row],[Revenue]]-Table_1[[#This Row],[COGS]]</f>
        <v>324000</v>
      </c>
      <c r="O1994" s="11">
        <f t="shared" si="218"/>
        <v>4656740000</v>
      </c>
      <c r="P1994">
        <f t="shared" si="219"/>
        <v>3725392000</v>
      </c>
      <c r="Q1994">
        <f t="shared" si="220"/>
        <v>931348000</v>
      </c>
      <c r="R1994" s="7">
        <f t="shared" si="221"/>
        <v>2098</v>
      </c>
      <c r="S1994" s="7">
        <f t="shared" si="222"/>
        <v>1</v>
      </c>
      <c r="T1994" s="7">
        <f t="shared" si="223"/>
        <v>2098</v>
      </c>
    </row>
    <row r="1995" spans="1:20" ht="14.25" customHeight="1" x14ac:dyDescent="0.35">
      <c r="A1995" s="2" t="s">
        <v>94</v>
      </c>
      <c r="B1995" s="2" t="s">
        <v>29</v>
      </c>
      <c r="C1995" s="2" t="s">
        <v>38</v>
      </c>
      <c r="D1995" s="2" t="s">
        <v>14</v>
      </c>
      <c r="E1995" s="2" t="s">
        <v>15</v>
      </c>
      <c r="F1995" s="2" t="s">
        <v>31</v>
      </c>
      <c r="G1995" s="2" t="s">
        <v>24</v>
      </c>
      <c r="H1995" s="2">
        <v>60000</v>
      </c>
      <c r="I1995" s="2">
        <v>2</v>
      </c>
      <c r="J1995" s="2" t="s">
        <v>43</v>
      </c>
      <c r="K1995" s="2">
        <f t="shared" si="217"/>
        <v>48000</v>
      </c>
      <c r="L1995" s="9">
        <f>Table_1[[#This Row],[Unit Price]]*Table_1[[#This Row],[Quantity]]</f>
        <v>120000</v>
      </c>
      <c r="M1995" s="8">
        <f>Table_1[[#This Row],[Cost Price]]*Table_1[[#This Row],[Quantity]]</f>
        <v>96000</v>
      </c>
      <c r="N1995">
        <f>Table_1[[#This Row],[Revenue]]-Table_1[[#This Row],[COGS]]</f>
        <v>24000</v>
      </c>
      <c r="O1995" s="11">
        <f t="shared" si="218"/>
        <v>4656740000</v>
      </c>
      <c r="P1995">
        <f t="shared" si="219"/>
        <v>3725392000</v>
      </c>
      <c r="Q1995">
        <f t="shared" si="220"/>
        <v>931348000</v>
      </c>
      <c r="R1995" s="7">
        <f t="shared" si="221"/>
        <v>2098</v>
      </c>
      <c r="S1995" s="7">
        <f t="shared" si="222"/>
        <v>3</v>
      </c>
      <c r="T1995" s="7">
        <f t="shared" si="223"/>
        <v>2098</v>
      </c>
    </row>
    <row r="1996" spans="1:20" ht="14.25" customHeight="1" x14ac:dyDescent="0.35">
      <c r="A1996" s="2" t="s">
        <v>110</v>
      </c>
      <c r="B1996" s="2" t="s">
        <v>20</v>
      </c>
      <c r="C1996" s="2" t="s">
        <v>30</v>
      </c>
      <c r="D1996" s="2" t="s">
        <v>14</v>
      </c>
      <c r="E1996" s="2" t="s">
        <v>22</v>
      </c>
      <c r="F1996" s="2" t="s">
        <v>47</v>
      </c>
      <c r="G1996" s="2" t="s">
        <v>36</v>
      </c>
      <c r="H1996" s="2">
        <v>150000</v>
      </c>
      <c r="I1996" s="2">
        <v>5</v>
      </c>
      <c r="J1996" s="2" t="s">
        <v>43</v>
      </c>
      <c r="K1996" s="2">
        <f t="shared" si="217"/>
        <v>120000</v>
      </c>
      <c r="L1996" s="9">
        <f>Table_1[[#This Row],[Unit Price]]*Table_1[[#This Row],[Quantity]]</f>
        <v>750000</v>
      </c>
      <c r="M1996" s="8">
        <f>Table_1[[#This Row],[Cost Price]]*Table_1[[#This Row],[Quantity]]</f>
        <v>600000</v>
      </c>
      <c r="N1996">
        <f>Table_1[[#This Row],[Revenue]]-Table_1[[#This Row],[COGS]]</f>
        <v>150000</v>
      </c>
      <c r="O1996" s="11">
        <f t="shared" si="218"/>
        <v>4656740000</v>
      </c>
      <c r="P1996">
        <f t="shared" si="219"/>
        <v>3725392000</v>
      </c>
      <c r="Q1996">
        <f t="shared" si="220"/>
        <v>931348000</v>
      </c>
      <c r="R1996" s="7">
        <f t="shared" si="221"/>
        <v>2098</v>
      </c>
      <c r="S1996" s="7">
        <f t="shared" si="222"/>
        <v>2</v>
      </c>
      <c r="T1996" s="7">
        <f t="shared" si="223"/>
        <v>2098</v>
      </c>
    </row>
    <row r="1997" spans="1:20" ht="14.25" customHeight="1" x14ac:dyDescent="0.35">
      <c r="A1997" s="2" t="s">
        <v>55</v>
      </c>
      <c r="B1997" s="2" t="s">
        <v>20</v>
      </c>
      <c r="C1997" s="2" t="s">
        <v>30</v>
      </c>
      <c r="D1997" s="2" t="s">
        <v>14</v>
      </c>
      <c r="E1997" s="2" t="s">
        <v>22</v>
      </c>
      <c r="F1997" s="2" t="s">
        <v>39</v>
      </c>
      <c r="G1997" s="2" t="s">
        <v>24</v>
      </c>
      <c r="H1997" s="2">
        <v>180000</v>
      </c>
      <c r="I1997" s="2">
        <v>10</v>
      </c>
      <c r="J1997" s="2" t="s">
        <v>43</v>
      </c>
      <c r="K1997" s="2">
        <f t="shared" si="217"/>
        <v>144000</v>
      </c>
      <c r="L1997" s="9">
        <f>Table_1[[#This Row],[Unit Price]]*Table_1[[#This Row],[Quantity]]</f>
        <v>1800000</v>
      </c>
      <c r="M1997" s="8">
        <f>Table_1[[#This Row],[Cost Price]]*Table_1[[#This Row],[Quantity]]</f>
        <v>1440000</v>
      </c>
      <c r="N1997">
        <f>Table_1[[#This Row],[Revenue]]-Table_1[[#This Row],[COGS]]</f>
        <v>360000</v>
      </c>
      <c r="O1997" s="11">
        <f t="shared" si="218"/>
        <v>4656740000</v>
      </c>
      <c r="P1997">
        <f t="shared" si="219"/>
        <v>3725392000</v>
      </c>
      <c r="Q1997">
        <f t="shared" si="220"/>
        <v>931348000</v>
      </c>
      <c r="R1997" s="7">
        <f t="shared" si="221"/>
        <v>2098</v>
      </c>
      <c r="S1997" s="7">
        <f t="shared" si="222"/>
        <v>4</v>
      </c>
      <c r="T1997" s="7">
        <f t="shared" si="223"/>
        <v>2098</v>
      </c>
    </row>
    <row r="1998" spans="1:20" ht="14.25" customHeight="1" x14ac:dyDescent="0.35">
      <c r="A1998" s="2" t="s">
        <v>92</v>
      </c>
      <c r="B1998" s="2" t="s">
        <v>12</v>
      </c>
      <c r="C1998" s="2" t="s">
        <v>13</v>
      </c>
      <c r="D1998" s="2" t="s">
        <v>14</v>
      </c>
      <c r="E1998" s="2" t="s">
        <v>15</v>
      </c>
      <c r="F1998" s="2" t="s">
        <v>16</v>
      </c>
      <c r="G1998" s="2" t="s">
        <v>17</v>
      </c>
      <c r="H1998" s="2">
        <v>85000</v>
      </c>
      <c r="I1998" s="2">
        <v>7</v>
      </c>
      <c r="J1998" s="2" t="s">
        <v>50</v>
      </c>
      <c r="K1998" s="2">
        <f t="shared" si="217"/>
        <v>68000</v>
      </c>
      <c r="L1998" s="9">
        <f>Table_1[[#This Row],[Unit Price]]*Table_1[[#This Row],[Quantity]]</f>
        <v>595000</v>
      </c>
      <c r="M1998" s="8">
        <f>Table_1[[#This Row],[Cost Price]]*Table_1[[#This Row],[Quantity]]</f>
        <v>476000</v>
      </c>
      <c r="N1998">
        <f>Table_1[[#This Row],[Revenue]]-Table_1[[#This Row],[COGS]]</f>
        <v>119000</v>
      </c>
      <c r="O1998" s="11">
        <f t="shared" si="218"/>
        <v>4656740000</v>
      </c>
      <c r="P1998">
        <f t="shared" si="219"/>
        <v>3725392000</v>
      </c>
      <c r="Q1998">
        <f t="shared" si="220"/>
        <v>931348000</v>
      </c>
      <c r="R1998" s="7">
        <f t="shared" si="221"/>
        <v>2098</v>
      </c>
      <c r="S1998" s="7">
        <f t="shared" si="222"/>
        <v>2</v>
      </c>
      <c r="T1998" s="7">
        <f t="shared" si="223"/>
        <v>2098</v>
      </c>
    </row>
    <row r="1999" spans="1:20" ht="14.25" customHeight="1" x14ac:dyDescent="0.35">
      <c r="A1999" s="2" t="s">
        <v>11</v>
      </c>
      <c r="B1999" s="2" t="s">
        <v>20</v>
      </c>
      <c r="C1999" s="2" t="s">
        <v>38</v>
      </c>
      <c r="D1999" s="2" t="s">
        <v>26</v>
      </c>
      <c r="E1999" s="2" t="s">
        <v>22</v>
      </c>
      <c r="F1999" s="2" t="s">
        <v>52</v>
      </c>
      <c r="G1999" s="2" t="s">
        <v>36</v>
      </c>
      <c r="H1999" s="2">
        <v>420000</v>
      </c>
      <c r="I1999" s="2">
        <v>3</v>
      </c>
      <c r="J1999" s="2" t="s">
        <v>27</v>
      </c>
      <c r="K1999" s="2">
        <f t="shared" si="217"/>
        <v>336000</v>
      </c>
      <c r="L1999" s="9">
        <f>Table_1[[#This Row],[Unit Price]]*Table_1[[#This Row],[Quantity]]</f>
        <v>1260000</v>
      </c>
      <c r="M1999" s="8">
        <f>Table_1[[#This Row],[Cost Price]]*Table_1[[#This Row],[Quantity]]</f>
        <v>1008000</v>
      </c>
      <c r="N1999">
        <f>Table_1[[#This Row],[Revenue]]-Table_1[[#This Row],[COGS]]</f>
        <v>252000</v>
      </c>
      <c r="O1999" s="11">
        <f t="shared" si="218"/>
        <v>4656740000</v>
      </c>
      <c r="P1999">
        <f t="shared" si="219"/>
        <v>3725392000</v>
      </c>
      <c r="Q1999">
        <f t="shared" si="220"/>
        <v>931348000</v>
      </c>
      <c r="R1999" s="7">
        <f t="shared" si="221"/>
        <v>2098</v>
      </c>
      <c r="S1999" s="7">
        <f t="shared" si="222"/>
        <v>1</v>
      </c>
      <c r="T1999" s="7">
        <f t="shared" si="223"/>
        <v>2098</v>
      </c>
    </row>
    <row r="2000" spans="1:20" ht="14.25" customHeight="1" x14ac:dyDescent="0.35">
      <c r="A2000" s="2" t="s">
        <v>126</v>
      </c>
      <c r="B2000" s="2" t="s">
        <v>20</v>
      </c>
      <c r="C2000" s="2" t="s">
        <v>38</v>
      </c>
      <c r="D2000" s="2" t="s">
        <v>26</v>
      </c>
      <c r="E2000" s="2" t="s">
        <v>15</v>
      </c>
      <c r="F2000" s="2" t="s">
        <v>35</v>
      </c>
      <c r="G2000" s="2" t="s">
        <v>36</v>
      </c>
      <c r="H2000" s="2">
        <v>300000</v>
      </c>
      <c r="I2000" s="2">
        <v>2</v>
      </c>
      <c r="J2000" s="2" t="s">
        <v>50</v>
      </c>
      <c r="K2000" s="2">
        <f t="shared" si="217"/>
        <v>240000</v>
      </c>
      <c r="L2000" s="9">
        <f>Table_1[[#This Row],[Unit Price]]*Table_1[[#This Row],[Quantity]]</f>
        <v>600000</v>
      </c>
      <c r="M2000" s="8">
        <f>Table_1[[#This Row],[Cost Price]]*Table_1[[#This Row],[Quantity]]</f>
        <v>480000</v>
      </c>
      <c r="N2000">
        <f>Table_1[[#This Row],[Revenue]]-Table_1[[#This Row],[COGS]]</f>
        <v>120000</v>
      </c>
      <c r="O2000" s="11">
        <f t="shared" si="218"/>
        <v>4656740000</v>
      </c>
      <c r="P2000">
        <f t="shared" si="219"/>
        <v>3725392000</v>
      </c>
      <c r="Q2000">
        <f t="shared" si="220"/>
        <v>931348000</v>
      </c>
      <c r="R2000" s="7">
        <f t="shared" si="221"/>
        <v>2098</v>
      </c>
      <c r="S2000" s="7">
        <f t="shared" si="222"/>
        <v>3</v>
      </c>
      <c r="T2000" s="7">
        <f t="shared" si="223"/>
        <v>2098</v>
      </c>
    </row>
    <row r="2001" spans="1:20" ht="14.25" customHeight="1" x14ac:dyDescent="0.35">
      <c r="A2001" s="2" t="s">
        <v>128</v>
      </c>
      <c r="B2001" s="2" t="s">
        <v>20</v>
      </c>
      <c r="C2001" s="2" t="s">
        <v>21</v>
      </c>
      <c r="D2001" s="2" t="s">
        <v>26</v>
      </c>
      <c r="E2001" s="2" t="s">
        <v>15</v>
      </c>
      <c r="F2001" s="2" t="s">
        <v>56</v>
      </c>
      <c r="G2001" s="2" t="s">
        <v>36</v>
      </c>
      <c r="H2001" s="2">
        <v>250000</v>
      </c>
      <c r="I2001" s="2">
        <v>3</v>
      </c>
      <c r="J2001" s="2" t="s">
        <v>50</v>
      </c>
      <c r="K2001" s="2">
        <f t="shared" si="217"/>
        <v>200000</v>
      </c>
      <c r="L2001" s="9">
        <f>Table_1[[#This Row],[Unit Price]]*Table_1[[#This Row],[Quantity]]</f>
        <v>750000</v>
      </c>
      <c r="M2001" s="8">
        <f>Table_1[[#This Row],[Cost Price]]*Table_1[[#This Row],[Quantity]]</f>
        <v>600000</v>
      </c>
      <c r="N2001">
        <f>Table_1[[#This Row],[Revenue]]-Table_1[[#This Row],[COGS]]</f>
        <v>150000</v>
      </c>
      <c r="O2001" s="11">
        <f t="shared" si="218"/>
        <v>4656740000</v>
      </c>
      <c r="P2001">
        <f t="shared" si="219"/>
        <v>3725392000</v>
      </c>
      <c r="Q2001">
        <f t="shared" si="220"/>
        <v>931348000</v>
      </c>
      <c r="R2001" s="7">
        <f t="shared" si="221"/>
        <v>2098</v>
      </c>
      <c r="S2001" s="7">
        <f t="shared" si="222"/>
        <v>4</v>
      </c>
      <c r="T2001" s="7">
        <f t="shared" si="223"/>
        <v>2098</v>
      </c>
    </row>
    <row r="2002" spans="1:20" ht="14.25" customHeight="1" x14ac:dyDescent="0.35">
      <c r="A2002" s="2" t="s">
        <v>141</v>
      </c>
      <c r="B2002" s="2" t="s">
        <v>20</v>
      </c>
      <c r="C2002" s="2" t="s">
        <v>13</v>
      </c>
      <c r="D2002" s="2" t="s">
        <v>14</v>
      </c>
      <c r="E2002" s="2" t="s">
        <v>22</v>
      </c>
      <c r="F2002" s="2" t="s">
        <v>47</v>
      </c>
      <c r="G2002" s="2" t="s">
        <v>36</v>
      </c>
      <c r="H2002" s="2">
        <v>150000</v>
      </c>
      <c r="I2002" s="2">
        <v>7</v>
      </c>
      <c r="J2002" s="2" t="s">
        <v>27</v>
      </c>
      <c r="K2002" s="2">
        <f t="shared" si="217"/>
        <v>120000</v>
      </c>
      <c r="L2002" s="9">
        <f>Table_1[[#This Row],[Unit Price]]*Table_1[[#This Row],[Quantity]]</f>
        <v>1050000</v>
      </c>
      <c r="M2002" s="8">
        <f>Table_1[[#This Row],[Cost Price]]*Table_1[[#This Row],[Quantity]]</f>
        <v>840000</v>
      </c>
      <c r="N2002">
        <f>Table_1[[#This Row],[Revenue]]-Table_1[[#This Row],[COGS]]</f>
        <v>210000</v>
      </c>
      <c r="O2002" s="11">
        <f t="shared" si="218"/>
        <v>4656740000</v>
      </c>
      <c r="P2002">
        <f t="shared" si="219"/>
        <v>3725392000</v>
      </c>
      <c r="Q2002">
        <f t="shared" si="220"/>
        <v>931348000</v>
      </c>
      <c r="R2002" s="7">
        <f t="shared" si="221"/>
        <v>2098</v>
      </c>
      <c r="S2002" s="7">
        <f t="shared" si="222"/>
        <v>2</v>
      </c>
      <c r="T2002" s="7">
        <f t="shared" si="223"/>
        <v>2098</v>
      </c>
    </row>
    <row r="2003" spans="1:20" ht="14.25" customHeight="1" x14ac:dyDescent="0.35">
      <c r="A2003" s="2" t="s">
        <v>153</v>
      </c>
      <c r="B2003" s="2" t="s">
        <v>12</v>
      </c>
      <c r="C2003" s="2" t="s">
        <v>13</v>
      </c>
      <c r="D2003" s="2" t="s">
        <v>26</v>
      </c>
      <c r="E2003" s="2" t="s">
        <v>15</v>
      </c>
      <c r="F2003" s="2" t="s">
        <v>52</v>
      </c>
      <c r="G2003" s="2" t="s">
        <v>36</v>
      </c>
      <c r="H2003" s="2">
        <v>420000</v>
      </c>
      <c r="I2003" s="2">
        <v>7</v>
      </c>
      <c r="J2003" s="2" t="s">
        <v>43</v>
      </c>
      <c r="K2003" s="2">
        <f t="shared" si="217"/>
        <v>336000</v>
      </c>
      <c r="L2003" s="9">
        <f>Table_1[[#This Row],[Unit Price]]*Table_1[[#This Row],[Quantity]]</f>
        <v>2940000</v>
      </c>
      <c r="M2003" s="8">
        <f>Table_1[[#This Row],[Cost Price]]*Table_1[[#This Row],[Quantity]]</f>
        <v>2352000</v>
      </c>
      <c r="N2003">
        <f>Table_1[[#This Row],[Revenue]]-Table_1[[#This Row],[COGS]]</f>
        <v>588000</v>
      </c>
      <c r="O2003" s="11">
        <f t="shared" si="218"/>
        <v>4656740000</v>
      </c>
      <c r="P2003">
        <f t="shared" si="219"/>
        <v>3725392000</v>
      </c>
      <c r="Q2003">
        <f t="shared" si="220"/>
        <v>931348000</v>
      </c>
      <c r="R2003" s="7">
        <f t="shared" si="221"/>
        <v>2098</v>
      </c>
      <c r="S2003" s="7">
        <f t="shared" si="222"/>
        <v>4</v>
      </c>
      <c r="T2003" s="7">
        <f t="shared" si="223"/>
        <v>2098</v>
      </c>
    </row>
    <row r="2004" spans="1:20" ht="14.25" customHeight="1" x14ac:dyDescent="0.35">
      <c r="A2004" s="2" t="s">
        <v>57</v>
      </c>
      <c r="B2004" s="2" t="s">
        <v>29</v>
      </c>
      <c r="C2004" s="2" t="s">
        <v>21</v>
      </c>
      <c r="D2004" s="2" t="s">
        <v>14</v>
      </c>
      <c r="E2004" s="2" t="s">
        <v>22</v>
      </c>
      <c r="F2004" s="2" t="s">
        <v>39</v>
      </c>
      <c r="G2004" s="2" t="s">
        <v>24</v>
      </c>
      <c r="H2004" s="2">
        <v>180000</v>
      </c>
      <c r="I2004" s="2">
        <v>7</v>
      </c>
      <c r="J2004" s="2" t="s">
        <v>32</v>
      </c>
      <c r="K2004" s="2">
        <f t="shared" si="217"/>
        <v>144000</v>
      </c>
      <c r="L2004" s="9">
        <f>Table_1[[#This Row],[Unit Price]]*Table_1[[#This Row],[Quantity]]</f>
        <v>1260000</v>
      </c>
      <c r="M2004" s="8">
        <f>Table_1[[#This Row],[Cost Price]]*Table_1[[#This Row],[Quantity]]</f>
        <v>1008000</v>
      </c>
      <c r="N2004">
        <f>Table_1[[#This Row],[Revenue]]-Table_1[[#This Row],[COGS]]</f>
        <v>252000</v>
      </c>
      <c r="O2004" s="11">
        <f t="shared" si="218"/>
        <v>4656740000</v>
      </c>
      <c r="P2004">
        <f t="shared" si="219"/>
        <v>3725392000</v>
      </c>
      <c r="Q2004">
        <f t="shared" si="220"/>
        <v>931348000</v>
      </c>
      <c r="R2004" s="7">
        <f t="shared" si="221"/>
        <v>2098</v>
      </c>
      <c r="S2004" s="7">
        <f t="shared" si="222"/>
        <v>2</v>
      </c>
      <c r="T2004" s="7">
        <f t="shared" si="223"/>
        <v>2098</v>
      </c>
    </row>
    <row r="2005" spans="1:20" ht="14.25" customHeight="1" x14ac:dyDescent="0.35">
      <c r="A2005" s="2" t="s">
        <v>115</v>
      </c>
      <c r="B2005" s="2" t="s">
        <v>12</v>
      </c>
      <c r="C2005" s="2" t="s">
        <v>13</v>
      </c>
      <c r="D2005" s="2" t="s">
        <v>14</v>
      </c>
      <c r="E2005" s="2" t="s">
        <v>22</v>
      </c>
      <c r="F2005" s="2" t="s">
        <v>41</v>
      </c>
      <c r="G2005" s="2" t="s">
        <v>17</v>
      </c>
      <c r="H2005" s="2">
        <v>320000</v>
      </c>
      <c r="I2005" s="2">
        <v>2</v>
      </c>
      <c r="J2005" s="2" t="s">
        <v>54</v>
      </c>
      <c r="K2005" s="2">
        <f t="shared" si="217"/>
        <v>256000</v>
      </c>
      <c r="L2005" s="9">
        <f>Table_1[[#This Row],[Unit Price]]*Table_1[[#This Row],[Quantity]]</f>
        <v>640000</v>
      </c>
      <c r="M2005" s="8">
        <f>Table_1[[#This Row],[Cost Price]]*Table_1[[#This Row],[Quantity]]</f>
        <v>512000</v>
      </c>
      <c r="N2005">
        <f>Table_1[[#This Row],[Revenue]]-Table_1[[#This Row],[COGS]]</f>
        <v>128000</v>
      </c>
      <c r="O2005" s="11">
        <f t="shared" si="218"/>
        <v>4656740000</v>
      </c>
      <c r="P2005">
        <f t="shared" si="219"/>
        <v>3725392000</v>
      </c>
      <c r="Q2005">
        <f t="shared" si="220"/>
        <v>931348000</v>
      </c>
      <c r="R2005" s="7">
        <f t="shared" si="221"/>
        <v>2098</v>
      </c>
      <c r="S2005" s="7">
        <f t="shared" si="222"/>
        <v>1</v>
      </c>
      <c r="T2005" s="7">
        <f t="shared" si="223"/>
        <v>2098</v>
      </c>
    </row>
    <row r="2006" spans="1:20" ht="14.25" customHeight="1" x14ac:dyDescent="0.35">
      <c r="A2006" s="2" t="s">
        <v>107</v>
      </c>
      <c r="B2006" s="2" t="s">
        <v>34</v>
      </c>
      <c r="C2006" s="2" t="s">
        <v>13</v>
      </c>
      <c r="D2006" s="2" t="s">
        <v>26</v>
      </c>
      <c r="E2006" s="2" t="s">
        <v>22</v>
      </c>
      <c r="F2006" s="2" t="s">
        <v>41</v>
      </c>
      <c r="G2006" s="2" t="s">
        <v>17</v>
      </c>
      <c r="H2006" s="2">
        <v>320000</v>
      </c>
      <c r="I2006" s="2">
        <v>6</v>
      </c>
      <c r="J2006" s="2" t="s">
        <v>54</v>
      </c>
      <c r="K2006" s="2">
        <f t="shared" si="217"/>
        <v>256000</v>
      </c>
      <c r="L2006" s="9">
        <f>Table_1[[#This Row],[Unit Price]]*Table_1[[#This Row],[Quantity]]</f>
        <v>1920000</v>
      </c>
      <c r="M2006" s="8">
        <f>Table_1[[#This Row],[Cost Price]]*Table_1[[#This Row],[Quantity]]</f>
        <v>1536000</v>
      </c>
      <c r="N2006">
        <f>Table_1[[#This Row],[Revenue]]-Table_1[[#This Row],[COGS]]</f>
        <v>384000</v>
      </c>
      <c r="O2006" s="11">
        <f t="shared" si="218"/>
        <v>4656740000</v>
      </c>
      <c r="P2006">
        <f t="shared" si="219"/>
        <v>3725392000</v>
      </c>
      <c r="Q2006">
        <f t="shared" si="220"/>
        <v>931348000</v>
      </c>
      <c r="R2006" s="7">
        <f t="shared" si="221"/>
        <v>2098</v>
      </c>
      <c r="S2006" s="7">
        <f t="shared" si="222"/>
        <v>3</v>
      </c>
      <c r="T2006" s="7">
        <f t="shared" si="223"/>
        <v>2098</v>
      </c>
    </row>
    <row r="2007" spans="1:20" ht="14.25" customHeight="1" x14ac:dyDescent="0.35">
      <c r="A2007" s="2" t="s">
        <v>113</v>
      </c>
      <c r="B2007" s="2" t="s">
        <v>20</v>
      </c>
      <c r="C2007" s="2" t="s">
        <v>30</v>
      </c>
      <c r="D2007" s="2" t="s">
        <v>26</v>
      </c>
      <c r="E2007" s="2" t="s">
        <v>15</v>
      </c>
      <c r="F2007" s="2" t="s">
        <v>23</v>
      </c>
      <c r="G2007" s="2" t="s">
        <v>24</v>
      </c>
      <c r="H2007" s="2">
        <v>30000</v>
      </c>
      <c r="I2007" s="2">
        <v>3</v>
      </c>
      <c r="J2007" s="2" t="s">
        <v>50</v>
      </c>
      <c r="K2007" s="2">
        <f t="shared" si="217"/>
        <v>24000</v>
      </c>
      <c r="L2007" s="9">
        <f>Table_1[[#This Row],[Unit Price]]*Table_1[[#This Row],[Quantity]]</f>
        <v>90000</v>
      </c>
      <c r="M2007" s="8">
        <f>Table_1[[#This Row],[Cost Price]]*Table_1[[#This Row],[Quantity]]</f>
        <v>72000</v>
      </c>
      <c r="N2007">
        <f>Table_1[[#This Row],[Revenue]]-Table_1[[#This Row],[COGS]]</f>
        <v>18000</v>
      </c>
      <c r="O2007" s="11">
        <f t="shared" si="218"/>
        <v>4656740000</v>
      </c>
      <c r="P2007">
        <f t="shared" si="219"/>
        <v>3725392000</v>
      </c>
      <c r="Q2007">
        <f t="shared" si="220"/>
        <v>931348000</v>
      </c>
      <c r="R2007" s="7">
        <f t="shared" si="221"/>
        <v>2098</v>
      </c>
      <c r="S2007" s="7">
        <f t="shared" si="222"/>
        <v>3</v>
      </c>
      <c r="T2007" s="7">
        <f t="shared" si="223"/>
        <v>2098</v>
      </c>
    </row>
    <row r="2008" spans="1:20" ht="14.25" customHeight="1" x14ac:dyDescent="0.35">
      <c r="A2008" s="2" t="s">
        <v>112</v>
      </c>
      <c r="B2008" s="2" t="s">
        <v>34</v>
      </c>
      <c r="C2008" s="2" t="s">
        <v>13</v>
      </c>
      <c r="D2008" s="2" t="s">
        <v>14</v>
      </c>
      <c r="E2008" s="2" t="s">
        <v>15</v>
      </c>
      <c r="F2008" s="2" t="s">
        <v>52</v>
      </c>
      <c r="G2008" s="2" t="s">
        <v>36</v>
      </c>
      <c r="H2008" s="2">
        <v>420000</v>
      </c>
      <c r="I2008" s="2">
        <v>3</v>
      </c>
      <c r="J2008" s="2" t="s">
        <v>18</v>
      </c>
      <c r="K2008" s="2">
        <f t="shared" si="217"/>
        <v>336000</v>
      </c>
      <c r="L2008" s="9">
        <f>Table_1[[#This Row],[Unit Price]]*Table_1[[#This Row],[Quantity]]</f>
        <v>1260000</v>
      </c>
      <c r="M2008" s="8">
        <f>Table_1[[#This Row],[Cost Price]]*Table_1[[#This Row],[Quantity]]</f>
        <v>1008000</v>
      </c>
      <c r="N2008">
        <f>Table_1[[#This Row],[Revenue]]-Table_1[[#This Row],[COGS]]</f>
        <v>252000</v>
      </c>
      <c r="O2008" s="11">
        <f t="shared" si="218"/>
        <v>4656740000</v>
      </c>
      <c r="P2008">
        <f t="shared" si="219"/>
        <v>3725392000</v>
      </c>
      <c r="Q2008">
        <f t="shared" si="220"/>
        <v>931348000</v>
      </c>
      <c r="R2008" s="7">
        <f t="shared" si="221"/>
        <v>2098</v>
      </c>
      <c r="S2008" s="7">
        <f t="shared" si="222"/>
        <v>1</v>
      </c>
      <c r="T2008" s="7">
        <f t="shared" si="223"/>
        <v>2098</v>
      </c>
    </row>
    <row r="2009" spans="1:20" ht="14.25" customHeight="1" x14ac:dyDescent="0.35">
      <c r="A2009" s="2" t="s">
        <v>127</v>
      </c>
      <c r="B2009" s="2" t="s">
        <v>29</v>
      </c>
      <c r="C2009" s="2" t="s">
        <v>21</v>
      </c>
      <c r="D2009" s="2" t="s">
        <v>14</v>
      </c>
      <c r="E2009" s="2" t="s">
        <v>22</v>
      </c>
      <c r="F2009" s="2" t="s">
        <v>23</v>
      </c>
      <c r="G2009" s="2" t="s">
        <v>24</v>
      </c>
      <c r="H2009" s="2">
        <v>30000</v>
      </c>
      <c r="I2009" s="2">
        <v>9</v>
      </c>
      <c r="J2009" s="2" t="s">
        <v>43</v>
      </c>
      <c r="K2009" s="2">
        <f t="shared" si="217"/>
        <v>24000</v>
      </c>
      <c r="L2009" s="9">
        <f>Table_1[[#This Row],[Unit Price]]*Table_1[[#This Row],[Quantity]]</f>
        <v>270000</v>
      </c>
      <c r="M2009" s="8">
        <f>Table_1[[#This Row],[Cost Price]]*Table_1[[#This Row],[Quantity]]</f>
        <v>216000</v>
      </c>
      <c r="N2009">
        <f>Table_1[[#This Row],[Revenue]]-Table_1[[#This Row],[COGS]]</f>
        <v>54000</v>
      </c>
      <c r="O2009" s="11">
        <f t="shared" si="218"/>
        <v>4656740000</v>
      </c>
      <c r="P2009">
        <f t="shared" si="219"/>
        <v>3725392000</v>
      </c>
      <c r="Q2009">
        <f t="shared" si="220"/>
        <v>931348000</v>
      </c>
      <c r="R2009" s="7">
        <f t="shared" si="221"/>
        <v>2098</v>
      </c>
      <c r="S2009" s="7">
        <f t="shared" si="222"/>
        <v>4</v>
      </c>
      <c r="T2009" s="7">
        <f t="shared" si="223"/>
        <v>2098</v>
      </c>
    </row>
    <row r="2010" spans="1:20" ht="14.25" customHeight="1" x14ac:dyDescent="0.35">
      <c r="A2010" s="2" t="s">
        <v>78</v>
      </c>
      <c r="B2010" s="2" t="s">
        <v>20</v>
      </c>
      <c r="C2010" s="2" t="s">
        <v>13</v>
      </c>
      <c r="D2010" s="2" t="s">
        <v>26</v>
      </c>
      <c r="E2010" s="2" t="s">
        <v>22</v>
      </c>
      <c r="F2010" s="2" t="s">
        <v>41</v>
      </c>
      <c r="G2010" s="2" t="s">
        <v>17</v>
      </c>
      <c r="H2010" s="2">
        <v>320000</v>
      </c>
      <c r="I2010" s="2">
        <v>4</v>
      </c>
      <c r="J2010" s="2" t="s">
        <v>18</v>
      </c>
      <c r="K2010" s="2">
        <f t="shared" si="217"/>
        <v>256000</v>
      </c>
      <c r="L2010" s="9">
        <f>Table_1[[#This Row],[Unit Price]]*Table_1[[#This Row],[Quantity]]</f>
        <v>1280000</v>
      </c>
      <c r="M2010" s="8">
        <f>Table_1[[#This Row],[Cost Price]]*Table_1[[#This Row],[Quantity]]</f>
        <v>1024000</v>
      </c>
      <c r="N2010">
        <f>Table_1[[#This Row],[Revenue]]-Table_1[[#This Row],[COGS]]</f>
        <v>256000</v>
      </c>
      <c r="O2010" s="11">
        <f t="shared" si="218"/>
        <v>4656740000</v>
      </c>
      <c r="P2010">
        <f t="shared" si="219"/>
        <v>3725392000</v>
      </c>
      <c r="Q2010">
        <f t="shared" si="220"/>
        <v>931348000</v>
      </c>
      <c r="R2010" s="7">
        <f t="shared" si="221"/>
        <v>2098</v>
      </c>
      <c r="S2010" s="7">
        <f t="shared" si="222"/>
        <v>4</v>
      </c>
      <c r="T2010" s="7">
        <f t="shared" si="223"/>
        <v>2098</v>
      </c>
    </row>
    <row r="2011" spans="1:20" ht="14.25" customHeight="1" x14ac:dyDescent="0.35">
      <c r="A2011" s="2" t="s">
        <v>128</v>
      </c>
      <c r="B2011" s="2" t="s">
        <v>34</v>
      </c>
      <c r="C2011" s="2" t="s">
        <v>38</v>
      </c>
      <c r="D2011" s="2" t="s">
        <v>26</v>
      </c>
      <c r="E2011" s="2" t="s">
        <v>22</v>
      </c>
      <c r="F2011" s="2" t="s">
        <v>47</v>
      </c>
      <c r="G2011" s="2" t="s">
        <v>36</v>
      </c>
      <c r="H2011" s="2">
        <v>150000</v>
      </c>
      <c r="I2011" s="2">
        <v>5</v>
      </c>
      <c r="J2011" s="2" t="s">
        <v>27</v>
      </c>
      <c r="K2011" s="2">
        <f t="shared" si="217"/>
        <v>120000</v>
      </c>
      <c r="L2011" s="9">
        <f>Table_1[[#This Row],[Unit Price]]*Table_1[[#This Row],[Quantity]]</f>
        <v>750000</v>
      </c>
      <c r="M2011" s="8">
        <f>Table_1[[#This Row],[Cost Price]]*Table_1[[#This Row],[Quantity]]</f>
        <v>600000</v>
      </c>
      <c r="N2011">
        <f>Table_1[[#This Row],[Revenue]]-Table_1[[#This Row],[COGS]]</f>
        <v>150000</v>
      </c>
      <c r="O2011" s="11">
        <f t="shared" si="218"/>
        <v>4656740000</v>
      </c>
      <c r="P2011">
        <f t="shared" si="219"/>
        <v>3725392000</v>
      </c>
      <c r="Q2011">
        <f t="shared" si="220"/>
        <v>931348000</v>
      </c>
      <c r="R2011" s="7">
        <f t="shared" si="221"/>
        <v>2098</v>
      </c>
      <c r="S2011" s="7">
        <f t="shared" si="222"/>
        <v>4</v>
      </c>
      <c r="T2011" s="7">
        <f t="shared" si="223"/>
        <v>2098</v>
      </c>
    </row>
    <row r="2012" spans="1:20" ht="14.25" customHeight="1" x14ac:dyDescent="0.35">
      <c r="A2012" s="2" t="s">
        <v>141</v>
      </c>
      <c r="B2012" s="2" t="s">
        <v>29</v>
      </c>
      <c r="C2012" s="2" t="s">
        <v>13</v>
      </c>
      <c r="D2012" s="2" t="s">
        <v>26</v>
      </c>
      <c r="E2012" s="2" t="s">
        <v>22</v>
      </c>
      <c r="F2012" s="2" t="s">
        <v>16</v>
      </c>
      <c r="G2012" s="2" t="s">
        <v>17</v>
      </c>
      <c r="H2012" s="2">
        <v>85000</v>
      </c>
      <c r="I2012" s="2">
        <v>8</v>
      </c>
      <c r="J2012" s="2" t="s">
        <v>43</v>
      </c>
      <c r="K2012" s="2">
        <f t="shared" si="217"/>
        <v>68000</v>
      </c>
      <c r="L2012" s="9">
        <f>Table_1[[#This Row],[Unit Price]]*Table_1[[#This Row],[Quantity]]</f>
        <v>680000</v>
      </c>
      <c r="M2012" s="8">
        <f>Table_1[[#This Row],[Cost Price]]*Table_1[[#This Row],[Quantity]]</f>
        <v>544000</v>
      </c>
      <c r="N2012">
        <f>Table_1[[#This Row],[Revenue]]-Table_1[[#This Row],[COGS]]</f>
        <v>136000</v>
      </c>
      <c r="O2012" s="11">
        <f t="shared" si="218"/>
        <v>4656740000</v>
      </c>
      <c r="P2012">
        <f t="shared" si="219"/>
        <v>3725392000</v>
      </c>
      <c r="Q2012">
        <f t="shared" si="220"/>
        <v>931348000</v>
      </c>
      <c r="R2012" s="7">
        <f t="shared" si="221"/>
        <v>2098</v>
      </c>
      <c r="S2012" s="7">
        <f t="shared" si="222"/>
        <v>2</v>
      </c>
      <c r="T2012" s="7">
        <f t="shared" si="223"/>
        <v>2098</v>
      </c>
    </row>
    <row r="2013" spans="1:20" ht="14.25" customHeight="1" x14ac:dyDescent="0.35">
      <c r="A2013" s="2" t="s">
        <v>99</v>
      </c>
      <c r="B2013" s="2" t="s">
        <v>34</v>
      </c>
      <c r="C2013" s="2" t="s">
        <v>38</v>
      </c>
      <c r="D2013" s="2" t="s">
        <v>14</v>
      </c>
      <c r="E2013" s="2" t="s">
        <v>22</v>
      </c>
      <c r="F2013" s="2" t="s">
        <v>31</v>
      </c>
      <c r="G2013" s="2" t="s">
        <v>24</v>
      </c>
      <c r="H2013" s="2">
        <v>60000</v>
      </c>
      <c r="I2013" s="2">
        <v>1</v>
      </c>
      <c r="J2013" s="2" t="s">
        <v>18</v>
      </c>
      <c r="K2013" s="2">
        <f t="shared" si="217"/>
        <v>48000</v>
      </c>
      <c r="L2013" s="9">
        <f>Table_1[[#This Row],[Unit Price]]*Table_1[[#This Row],[Quantity]]</f>
        <v>60000</v>
      </c>
      <c r="M2013" s="8">
        <f>Table_1[[#This Row],[Cost Price]]*Table_1[[#This Row],[Quantity]]</f>
        <v>48000</v>
      </c>
      <c r="N2013">
        <f>Table_1[[#This Row],[Revenue]]-Table_1[[#This Row],[COGS]]</f>
        <v>12000</v>
      </c>
      <c r="O2013" s="11">
        <f t="shared" si="218"/>
        <v>4656740000</v>
      </c>
      <c r="P2013">
        <f t="shared" si="219"/>
        <v>3725392000</v>
      </c>
      <c r="Q2013">
        <f t="shared" si="220"/>
        <v>931348000</v>
      </c>
      <c r="R2013" s="7">
        <f t="shared" si="221"/>
        <v>2098</v>
      </c>
      <c r="S2013" s="7">
        <f t="shared" si="222"/>
        <v>4</v>
      </c>
      <c r="T2013" s="7">
        <f t="shared" si="223"/>
        <v>2098</v>
      </c>
    </row>
    <row r="2014" spans="1:20" ht="14.25" customHeight="1" x14ac:dyDescent="0.35">
      <c r="A2014" s="2" t="s">
        <v>94</v>
      </c>
      <c r="B2014" s="2" t="s">
        <v>29</v>
      </c>
      <c r="C2014" s="2" t="s">
        <v>21</v>
      </c>
      <c r="D2014" s="2" t="s">
        <v>14</v>
      </c>
      <c r="E2014" s="2" t="s">
        <v>15</v>
      </c>
      <c r="F2014" s="2" t="s">
        <v>58</v>
      </c>
      <c r="G2014" s="2" t="s">
        <v>24</v>
      </c>
      <c r="H2014" s="2">
        <v>220000</v>
      </c>
      <c r="I2014" s="2">
        <v>3</v>
      </c>
      <c r="J2014" s="2" t="s">
        <v>32</v>
      </c>
      <c r="K2014" s="2">
        <f t="shared" si="217"/>
        <v>176000</v>
      </c>
      <c r="L2014" s="9">
        <f>Table_1[[#This Row],[Unit Price]]*Table_1[[#This Row],[Quantity]]</f>
        <v>660000</v>
      </c>
      <c r="M2014" s="8">
        <f>Table_1[[#This Row],[Cost Price]]*Table_1[[#This Row],[Quantity]]</f>
        <v>528000</v>
      </c>
      <c r="N2014">
        <f>Table_1[[#This Row],[Revenue]]-Table_1[[#This Row],[COGS]]</f>
        <v>132000</v>
      </c>
      <c r="O2014" s="11">
        <f t="shared" si="218"/>
        <v>4656740000</v>
      </c>
      <c r="P2014">
        <f t="shared" si="219"/>
        <v>3725392000</v>
      </c>
      <c r="Q2014">
        <f t="shared" si="220"/>
        <v>931348000</v>
      </c>
      <c r="R2014" s="7">
        <f t="shared" si="221"/>
        <v>2098</v>
      </c>
      <c r="S2014" s="7">
        <f t="shared" si="222"/>
        <v>3</v>
      </c>
      <c r="T2014" s="7">
        <f t="shared" si="223"/>
        <v>2098</v>
      </c>
    </row>
    <row r="2015" spans="1:20" ht="14.25" customHeight="1" x14ac:dyDescent="0.35">
      <c r="A2015" s="2" t="s">
        <v>110</v>
      </c>
      <c r="B2015" s="2" t="s">
        <v>12</v>
      </c>
      <c r="C2015" s="2" t="s">
        <v>38</v>
      </c>
      <c r="D2015" s="2" t="s">
        <v>26</v>
      </c>
      <c r="E2015" s="2" t="s">
        <v>15</v>
      </c>
      <c r="F2015" s="2" t="s">
        <v>39</v>
      </c>
      <c r="G2015" s="2" t="s">
        <v>24</v>
      </c>
      <c r="H2015" s="2">
        <v>180000</v>
      </c>
      <c r="I2015" s="2">
        <v>2</v>
      </c>
      <c r="J2015" s="2" t="s">
        <v>50</v>
      </c>
      <c r="K2015" s="2">
        <f t="shared" si="217"/>
        <v>144000</v>
      </c>
      <c r="L2015" s="9">
        <f>Table_1[[#This Row],[Unit Price]]*Table_1[[#This Row],[Quantity]]</f>
        <v>360000</v>
      </c>
      <c r="M2015" s="8">
        <f>Table_1[[#This Row],[Cost Price]]*Table_1[[#This Row],[Quantity]]</f>
        <v>288000</v>
      </c>
      <c r="N2015">
        <f>Table_1[[#This Row],[Revenue]]-Table_1[[#This Row],[COGS]]</f>
        <v>72000</v>
      </c>
      <c r="O2015" s="11">
        <f t="shared" si="218"/>
        <v>4656740000</v>
      </c>
      <c r="P2015">
        <f t="shared" si="219"/>
        <v>3725392000</v>
      </c>
      <c r="Q2015">
        <f t="shared" si="220"/>
        <v>931348000</v>
      </c>
      <c r="R2015" s="7">
        <f t="shared" si="221"/>
        <v>2098</v>
      </c>
      <c r="S2015" s="7">
        <f t="shared" si="222"/>
        <v>2</v>
      </c>
      <c r="T2015" s="7">
        <f t="shared" si="223"/>
        <v>2098</v>
      </c>
    </row>
    <row r="2016" spans="1:20" ht="14.25" customHeight="1" x14ac:dyDescent="0.35">
      <c r="A2016" s="2" t="s">
        <v>53</v>
      </c>
      <c r="B2016" s="2" t="s">
        <v>29</v>
      </c>
      <c r="C2016" s="2" t="s">
        <v>13</v>
      </c>
      <c r="D2016" s="2" t="s">
        <v>26</v>
      </c>
      <c r="E2016" s="2" t="s">
        <v>15</v>
      </c>
      <c r="F2016" s="2" t="s">
        <v>56</v>
      </c>
      <c r="G2016" s="2" t="s">
        <v>36</v>
      </c>
      <c r="H2016" s="2">
        <v>250000</v>
      </c>
      <c r="I2016" s="2">
        <v>9</v>
      </c>
      <c r="J2016" s="2" t="s">
        <v>27</v>
      </c>
      <c r="K2016" s="2">
        <f t="shared" si="217"/>
        <v>200000</v>
      </c>
      <c r="L2016" s="9">
        <f>Table_1[[#This Row],[Unit Price]]*Table_1[[#This Row],[Quantity]]</f>
        <v>2250000</v>
      </c>
      <c r="M2016" s="8">
        <f>Table_1[[#This Row],[Cost Price]]*Table_1[[#This Row],[Quantity]]</f>
        <v>1800000</v>
      </c>
      <c r="N2016">
        <f>Table_1[[#This Row],[Revenue]]-Table_1[[#This Row],[COGS]]</f>
        <v>450000</v>
      </c>
      <c r="O2016" s="11">
        <f t="shared" si="218"/>
        <v>4656740000</v>
      </c>
      <c r="P2016">
        <f t="shared" si="219"/>
        <v>3725392000</v>
      </c>
      <c r="Q2016">
        <f t="shared" si="220"/>
        <v>931348000</v>
      </c>
      <c r="R2016" s="7">
        <f t="shared" si="221"/>
        <v>2098</v>
      </c>
      <c r="S2016" s="7">
        <f t="shared" si="222"/>
        <v>3</v>
      </c>
      <c r="T2016" s="7">
        <f t="shared" si="223"/>
        <v>2098</v>
      </c>
    </row>
    <row r="2017" spans="1:20" ht="14.25" customHeight="1" x14ac:dyDescent="0.35">
      <c r="A2017" s="2" t="s">
        <v>148</v>
      </c>
      <c r="B2017" s="2" t="s">
        <v>12</v>
      </c>
      <c r="C2017" s="2" t="s">
        <v>13</v>
      </c>
      <c r="D2017" s="2" t="s">
        <v>26</v>
      </c>
      <c r="E2017" s="2" t="s">
        <v>15</v>
      </c>
      <c r="F2017" s="2" t="s">
        <v>35</v>
      </c>
      <c r="G2017" s="2" t="s">
        <v>36</v>
      </c>
      <c r="H2017" s="2">
        <v>300000</v>
      </c>
      <c r="I2017" s="2">
        <v>8</v>
      </c>
      <c r="J2017" s="2" t="s">
        <v>50</v>
      </c>
      <c r="K2017" s="2">
        <f t="shared" si="217"/>
        <v>240000</v>
      </c>
      <c r="L2017" s="9">
        <f>Table_1[[#This Row],[Unit Price]]*Table_1[[#This Row],[Quantity]]</f>
        <v>2400000</v>
      </c>
      <c r="M2017" s="8">
        <f>Table_1[[#This Row],[Cost Price]]*Table_1[[#This Row],[Quantity]]</f>
        <v>1920000</v>
      </c>
      <c r="N2017">
        <f>Table_1[[#This Row],[Revenue]]-Table_1[[#This Row],[COGS]]</f>
        <v>480000</v>
      </c>
      <c r="O2017" s="11">
        <f t="shared" si="218"/>
        <v>4656740000</v>
      </c>
      <c r="P2017">
        <f t="shared" si="219"/>
        <v>3725392000</v>
      </c>
      <c r="Q2017">
        <f t="shared" si="220"/>
        <v>931348000</v>
      </c>
      <c r="R2017" s="7">
        <f t="shared" si="221"/>
        <v>2098</v>
      </c>
      <c r="S2017" s="7">
        <f t="shared" si="222"/>
        <v>4</v>
      </c>
      <c r="T2017" s="7">
        <f t="shared" si="223"/>
        <v>2098</v>
      </c>
    </row>
    <row r="2018" spans="1:20" ht="14.25" customHeight="1" x14ac:dyDescent="0.35">
      <c r="A2018" s="2" t="s">
        <v>108</v>
      </c>
      <c r="B2018" s="2" t="s">
        <v>12</v>
      </c>
      <c r="C2018" s="2" t="s">
        <v>21</v>
      </c>
      <c r="D2018" s="2" t="s">
        <v>14</v>
      </c>
      <c r="E2018" s="2" t="s">
        <v>15</v>
      </c>
      <c r="F2018" s="2" t="s">
        <v>47</v>
      </c>
      <c r="G2018" s="2" t="s">
        <v>36</v>
      </c>
      <c r="H2018" s="2">
        <v>150000</v>
      </c>
      <c r="I2018" s="2">
        <v>6</v>
      </c>
      <c r="J2018" s="2" t="s">
        <v>18</v>
      </c>
      <c r="K2018" s="2">
        <f t="shared" si="217"/>
        <v>120000</v>
      </c>
      <c r="L2018" s="9">
        <f>Table_1[[#This Row],[Unit Price]]*Table_1[[#This Row],[Quantity]]</f>
        <v>900000</v>
      </c>
      <c r="M2018" s="8">
        <f>Table_1[[#This Row],[Cost Price]]*Table_1[[#This Row],[Quantity]]</f>
        <v>720000</v>
      </c>
      <c r="N2018">
        <f>Table_1[[#This Row],[Revenue]]-Table_1[[#This Row],[COGS]]</f>
        <v>180000</v>
      </c>
      <c r="O2018" s="11">
        <f t="shared" si="218"/>
        <v>4656740000</v>
      </c>
      <c r="P2018">
        <f t="shared" si="219"/>
        <v>3725392000</v>
      </c>
      <c r="Q2018">
        <f t="shared" si="220"/>
        <v>931348000</v>
      </c>
      <c r="R2018" s="7">
        <f t="shared" si="221"/>
        <v>2098</v>
      </c>
      <c r="S2018" s="7">
        <f t="shared" si="222"/>
        <v>4</v>
      </c>
      <c r="T2018" s="7">
        <f t="shared" si="223"/>
        <v>2098</v>
      </c>
    </row>
    <row r="2019" spans="1:20" ht="14.25" customHeight="1" x14ac:dyDescent="0.35">
      <c r="A2019" s="2" t="s">
        <v>71</v>
      </c>
      <c r="B2019" s="2" t="s">
        <v>34</v>
      </c>
      <c r="C2019" s="2" t="s">
        <v>38</v>
      </c>
      <c r="D2019" s="2" t="s">
        <v>26</v>
      </c>
      <c r="E2019" s="2" t="s">
        <v>22</v>
      </c>
      <c r="F2019" s="2" t="s">
        <v>16</v>
      </c>
      <c r="G2019" s="2" t="s">
        <v>17</v>
      </c>
      <c r="H2019" s="2">
        <v>85000</v>
      </c>
      <c r="I2019" s="2">
        <v>9</v>
      </c>
      <c r="J2019" s="2" t="s">
        <v>32</v>
      </c>
      <c r="K2019" s="2">
        <f t="shared" si="217"/>
        <v>68000</v>
      </c>
      <c r="L2019" s="9">
        <f>Table_1[[#This Row],[Unit Price]]*Table_1[[#This Row],[Quantity]]</f>
        <v>765000</v>
      </c>
      <c r="M2019" s="8">
        <f>Table_1[[#This Row],[Cost Price]]*Table_1[[#This Row],[Quantity]]</f>
        <v>612000</v>
      </c>
      <c r="N2019">
        <f>Table_1[[#This Row],[Revenue]]-Table_1[[#This Row],[COGS]]</f>
        <v>153000</v>
      </c>
      <c r="O2019" s="11">
        <f t="shared" si="218"/>
        <v>4656740000</v>
      </c>
      <c r="P2019">
        <f t="shared" si="219"/>
        <v>3725392000</v>
      </c>
      <c r="Q2019">
        <f t="shared" si="220"/>
        <v>931348000</v>
      </c>
      <c r="R2019" s="7">
        <f t="shared" si="221"/>
        <v>2098</v>
      </c>
      <c r="S2019" s="7">
        <f t="shared" si="222"/>
        <v>2</v>
      </c>
      <c r="T2019" s="7">
        <f t="shared" si="223"/>
        <v>2098</v>
      </c>
    </row>
    <row r="2020" spans="1:20" ht="14.25" customHeight="1" x14ac:dyDescent="0.35">
      <c r="A2020" s="2" t="s">
        <v>71</v>
      </c>
      <c r="B2020" s="2" t="s">
        <v>34</v>
      </c>
      <c r="C2020" s="2" t="s">
        <v>30</v>
      </c>
      <c r="D2020" s="2" t="s">
        <v>26</v>
      </c>
      <c r="E2020" s="2" t="s">
        <v>15</v>
      </c>
      <c r="F2020" s="2" t="s">
        <v>31</v>
      </c>
      <c r="G2020" s="2" t="s">
        <v>24</v>
      </c>
      <c r="H2020" s="2">
        <v>60000</v>
      </c>
      <c r="I2020" s="2">
        <v>3</v>
      </c>
      <c r="J2020" s="2" t="s">
        <v>27</v>
      </c>
      <c r="K2020" s="2">
        <f t="shared" si="217"/>
        <v>48000</v>
      </c>
      <c r="L2020" s="9">
        <f>Table_1[[#This Row],[Unit Price]]*Table_1[[#This Row],[Quantity]]</f>
        <v>180000</v>
      </c>
      <c r="M2020" s="8">
        <f>Table_1[[#This Row],[Cost Price]]*Table_1[[#This Row],[Quantity]]</f>
        <v>144000</v>
      </c>
      <c r="N2020">
        <f>Table_1[[#This Row],[Revenue]]-Table_1[[#This Row],[COGS]]</f>
        <v>36000</v>
      </c>
      <c r="O2020" s="11">
        <f t="shared" si="218"/>
        <v>4656740000</v>
      </c>
      <c r="P2020">
        <f t="shared" si="219"/>
        <v>3725392000</v>
      </c>
      <c r="Q2020">
        <f t="shared" si="220"/>
        <v>931348000</v>
      </c>
      <c r="R2020" s="7">
        <f t="shared" si="221"/>
        <v>2098</v>
      </c>
      <c r="S2020" s="7">
        <f t="shared" si="222"/>
        <v>2</v>
      </c>
      <c r="T2020" s="7">
        <f t="shared" si="223"/>
        <v>2098</v>
      </c>
    </row>
    <row r="2021" spans="1:20" ht="14.25" customHeight="1" x14ac:dyDescent="0.35">
      <c r="A2021" s="2" t="s">
        <v>127</v>
      </c>
      <c r="B2021" s="2" t="s">
        <v>29</v>
      </c>
      <c r="C2021" s="2" t="s">
        <v>38</v>
      </c>
      <c r="D2021" s="2" t="s">
        <v>14</v>
      </c>
      <c r="E2021" s="2" t="s">
        <v>22</v>
      </c>
      <c r="F2021" s="2" t="s">
        <v>52</v>
      </c>
      <c r="G2021" s="2" t="s">
        <v>36</v>
      </c>
      <c r="H2021" s="2">
        <v>420000</v>
      </c>
      <c r="I2021" s="2">
        <v>7</v>
      </c>
      <c r="J2021" s="2" t="s">
        <v>43</v>
      </c>
      <c r="K2021" s="2">
        <f t="shared" si="217"/>
        <v>336000</v>
      </c>
      <c r="L2021" s="9">
        <f>Table_1[[#This Row],[Unit Price]]*Table_1[[#This Row],[Quantity]]</f>
        <v>2940000</v>
      </c>
      <c r="M2021" s="8">
        <f>Table_1[[#This Row],[Cost Price]]*Table_1[[#This Row],[Quantity]]</f>
        <v>2352000</v>
      </c>
      <c r="N2021">
        <f>Table_1[[#This Row],[Revenue]]-Table_1[[#This Row],[COGS]]</f>
        <v>588000</v>
      </c>
      <c r="O2021" s="11">
        <f t="shared" si="218"/>
        <v>4656740000</v>
      </c>
      <c r="P2021">
        <f t="shared" si="219"/>
        <v>3725392000</v>
      </c>
      <c r="Q2021">
        <f t="shared" si="220"/>
        <v>931348000</v>
      </c>
      <c r="R2021" s="7">
        <f t="shared" si="221"/>
        <v>2098</v>
      </c>
      <c r="S2021" s="7">
        <f t="shared" si="222"/>
        <v>4</v>
      </c>
      <c r="T2021" s="7">
        <f t="shared" si="223"/>
        <v>2098</v>
      </c>
    </row>
    <row r="2022" spans="1:20" ht="14.25" customHeight="1" x14ac:dyDescent="0.35">
      <c r="A2022" s="2" t="s">
        <v>128</v>
      </c>
      <c r="B2022" s="2" t="s">
        <v>29</v>
      </c>
      <c r="C2022" s="2" t="s">
        <v>13</v>
      </c>
      <c r="D2022" s="2" t="s">
        <v>26</v>
      </c>
      <c r="E2022" s="2" t="s">
        <v>15</v>
      </c>
      <c r="F2022" s="2" t="s">
        <v>16</v>
      </c>
      <c r="G2022" s="2" t="s">
        <v>17</v>
      </c>
      <c r="H2022" s="2">
        <v>85000</v>
      </c>
      <c r="I2022" s="2">
        <v>5</v>
      </c>
      <c r="J2022" s="2" t="s">
        <v>27</v>
      </c>
      <c r="K2022" s="2">
        <f t="shared" si="217"/>
        <v>68000</v>
      </c>
      <c r="L2022" s="9">
        <f>Table_1[[#This Row],[Unit Price]]*Table_1[[#This Row],[Quantity]]</f>
        <v>425000</v>
      </c>
      <c r="M2022" s="8">
        <f>Table_1[[#This Row],[Cost Price]]*Table_1[[#This Row],[Quantity]]</f>
        <v>340000</v>
      </c>
      <c r="N2022">
        <f>Table_1[[#This Row],[Revenue]]-Table_1[[#This Row],[COGS]]</f>
        <v>85000</v>
      </c>
      <c r="O2022" s="11">
        <f t="shared" si="218"/>
        <v>4656740000</v>
      </c>
      <c r="P2022">
        <f t="shared" si="219"/>
        <v>3725392000</v>
      </c>
      <c r="Q2022">
        <f t="shared" si="220"/>
        <v>931348000</v>
      </c>
      <c r="R2022" s="7">
        <f t="shared" si="221"/>
        <v>2098</v>
      </c>
      <c r="S2022" s="7">
        <f t="shared" si="222"/>
        <v>4</v>
      </c>
      <c r="T2022" s="7">
        <f t="shared" si="223"/>
        <v>2098</v>
      </c>
    </row>
    <row r="2023" spans="1:20" ht="14.25" customHeight="1" x14ac:dyDescent="0.35">
      <c r="A2023" s="2" t="s">
        <v>126</v>
      </c>
      <c r="B2023" s="2" t="s">
        <v>20</v>
      </c>
      <c r="C2023" s="2" t="s">
        <v>13</v>
      </c>
      <c r="D2023" s="2" t="s">
        <v>26</v>
      </c>
      <c r="E2023" s="2" t="s">
        <v>15</v>
      </c>
      <c r="F2023" s="2" t="s">
        <v>31</v>
      </c>
      <c r="G2023" s="2" t="s">
        <v>24</v>
      </c>
      <c r="H2023" s="2">
        <v>60000</v>
      </c>
      <c r="I2023" s="2">
        <v>7</v>
      </c>
      <c r="J2023" s="2" t="s">
        <v>27</v>
      </c>
      <c r="K2023" s="2">
        <f t="shared" si="217"/>
        <v>48000</v>
      </c>
      <c r="L2023" s="9">
        <f>Table_1[[#This Row],[Unit Price]]*Table_1[[#This Row],[Quantity]]</f>
        <v>420000</v>
      </c>
      <c r="M2023" s="8">
        <f>Table_1[[#This Row],[Cost Price]]*Table_1[[#This Row],[Quantity]]</f>
        <v>336000</v>
      </c>
      <c r="N2023">
        <f>Table_1[[#This Row],[Revenue]]-Table_1[[#This Row],[COGS]]</f>
        <v>84000</v>
      </c>
      <c r="O2023" s="11">
        <f t="shared" si="218"/>
        <v>4656740000</v>
      </c>
      <c r="P2023">
        <f t="shared" si="219"/>
        <v>3725392000</v>
      </c>
      <c r="Q2023">
        <f t="shared" si="220"/>
        <v>931348000</v>
      </c>
      <c r="R2023" s="7">
        <f t="shared" si="221"/>
        <v>2098</v>
      </c>
      <c r="S2023" s="7">
        <f t="shared" si="222"/>
        <v>3</v>
      </c>
      <c r="T2023" s="7">
        <f t="shared" si="223"/>
        <v>2098</v>
      </c>
    </row>
    <row r="2024" spans="1:20" ht="14.25" customHeight="1" x14ac:dyDescent="0.35">
      <c r="A2024" s="2" t="s">
        <v>151</v>
      </c>
      <c r="B2024" s="2" t="s">
        <v>20</v>
      </c>
      <c r="C2024" s="2" t="s">
        <v>38</v>
      </c>
      <c r="D2024" s="2" t="s">
        <v>14</v>
      </c>
      <c r="E2024" s="2" t="s">
        <v>15</v>
      </c>
      <c r="F2024" s="2" t="s">
        <v>39</v>
      </c>
      <c r="G2024" s="2" t="s">
        <v>24</v>
      </c>
      <c r="H2024" s="2">
        <v>180000</v>
      </c>
      <c r="I2024" s="2">
        <v>2</v>
      </c>
      <c r="J2024" s="2" t="s">
        <v>43</v>
      </c>
      <c r="K2024" s="2">
        <f t="shared" si="217"/>
        <v>144000</v>
      </c>
      <c r="L2024" s="9">
        <f>Table_1[[#This Row],[Unit Price]]*Table_1[[#This Row],[Quantity]]</f>
        <v>360000</v>
      </c>
      <c r="M2024" s="8">
        <f>Table_1[[#This Row],[Cost Price]]*Table_1[[#This Row],[Quantity]]</f>
        <v>288000</v>
      </c>
      <c r="N2024">
        <f>Table_1[[#This Row],[Revenue]]-Table_1[[#This Row],[COGS]]</f>
        <v>72000</v>
      </c>
      <c r="O2024" s="11">
        <f t="shared" si="218"/>
        <v>4656740000</v>
      </c>
      <c r="P2024">
        <f t="shared" si="219"/>
        <v>3725392000</v>
      </c>
      <c r="Q2024">
        <f t="shared" si="220"/>
        <v>931348000</v>
      </c>
      <c r="R2024" s="7">
        <f t="shared" si="221"/>
        <v>2098</v>
      </c>
      <c r="S2024" s="7">
        <f t="shared" si="222"/>
        <v>1</v>
      </c>
      <c r="T2024" s="7">
        <f t="shared" si="223"/>
        <v>2098</v>
      </c>
    </row>
    <row r="2025" spans="1:20" ht="14.25" customHeight="1" x14ac:dyDescent="0.35">
      <c r="A2025" s="2" t="s">
        <v>112</v>
      </c>
      <c r="B2025" s="2" t="s">
        <v>12</v>
      </c>
      <c r="C2025" s="2" t="s">
        <v>13</v>
      </c>
      <c r="D2025" s="2" t="s">
        <v>26</v>
      </c>
      <c r="E2025" s="2" t="s">
        <v>22</v>
      </c>
      <c r="F2025" s="2" t="s">
        <v>56</v>
      </c>
      <c r="G2025" s="2" t="s">
        <v>36</v>
      </c>
      <c r="H2025" s="2">
        <v>250000</v>
      </c>
      <c r="I2025" s="2">
        <v>3</v>
      </c>
      <c r="J2025" s="2" t="s">
        <v>50</v>
      </c>
      <c r="K2025" s="2">
        <f t="shared" si="217"/>
        <v>200000</v>
      </c>
      <c r="L2025" s="9">
        <f>Table_1[[#This Row],[Unit Price]]*Table_1[[#This Row],[Quantity]]</f>
        <v>750000</v>
      </c>
      <c r="M2025" s="8">
        <f>Table_1[[#This Row],[Cost Price]]*Table_1[[#This Row],[Quantity]]</f>
        <v>600000</v>
      </c>
      <c r="N2025">
        <f>Table_1[[#This Row],[Revenue]]-Table_1[[#This Row],[COGS]]</f>
        <v>150000</v>
      </c>
      <c r="O2025" s="11">
        <f t="shared" si="218"/>
        <v>4656740000</v>
      </c>
      <c r="P2025">
        <f t="shared" si="219"/>
        <v>3725392000</v>
      </c>
      <c r="Q2025">
        <f t="shared" si="220"/>
        <v>931348000</v>
      </c>
      <c r="R2025" s="7">
        <f t="shared" si="221"/>
        <v>2098</v>
      </c>
      <c r="S2025" s="7">
        <f t="shared" si="222"/>
        <v>1</v>
      </c>
      <c r="T2025" s="7">
        <f t="shared" si="223"/>
        <v>2098</v>
      </c>
    </row>
    <row r="2026" spans="1:20" ht="14.25" customHeight="1" x14ac:dyDescent="0.35">
      <c r="A2026" s="2" t="s">
        <v>111</v>
      </c>
      <c r="B2026" s="2" t="s">
        <v>20</v>
      </c>
      <c r="C2026" s="2" t="s">
        <v>30</v>
      </c>
      <c r="D2026" s="2" t="s">
        <v>26</v>
      </c>
      <c r="E2026" s="2" t="s">
        <v>15</v>
      </c>
      <c r="F2026" s="2" t="s">
        <v>39</v>
      </c>
      <c r="G2026" s="2" t="s">
        <v>24</v>
      </c>
      <c r="H2026" s="2">
        <v>180000</v>
      </c>
      <c r="I2026" s="2">
        <v>6</v>
      </c>
      <c r="J2026" s="2" t="s">
        <v>54</v>
      </c>
      <c r="K2026" s="2">
        <f t="shared" si="217"/>
        <v>144000</v>
      </c>
      <c r="L2026" s="9">
        <f>Table_1[[#This Row],[Unit Price]]*Table_1[[#This Row],[Quantity]]</f>
        <v>1080000</v>
      </c>
      <c r="M2026" s="8">
        <f>Table_1[[#This Row],[Cost Price]]*Table_1[[#This Row],[Quantity]]</f>
        <v>864000</v>
      </c>
      <c r="N2026">
        <f>Table_1[[#This Row],[Revenue]]-Table_1[[#This Row],[COGS]]</f>
        <v>216000</v>
      </c>
      <c r="O2026" s="11">
        <f t="shared" si="218"/>
        <v>4656740000</v>
      </c>
      <c r="P2026">
        <f t="shared" si="219"/>
        <v>3725392000</v>
      </c>
      <c r="Q2026">
        <f t="shared" si="220"/>
        <v>931348000</v>
      </c>
      <c r="R2026" s="7">
        <f t="shared" si="221"/>
        <v>2098</v>
      </c>
      <c r="S2026" s="7">
        <f t="shared" si="222"/>
        <v>1</v>
      </c>
      <c r="T2026" s="7">
        <f t="shared" si="223"/>
        <v>2098</v>
      </c>
    </row>
    <row r="2027" spans="1:20" ht="14.25" customHeight="1" x14ac:dyDescent="0.35">
      <c r="A2027" s="2" t="s">
        <v>122</v>
      </c>
      <c r="B2027" s="2" t="s">
        <v>20</v>
      </c>
      <c r="C2027" s="2" t="s">
        <v>38</v>
      </c>
      <c r="D2027" s="2" t="s">
        <v>14</v>
      </c>
      <c r="E2027" s="2" t="s">
        <v>22</v>
      </c>
      <c r="F2027" s="2" t="s">
        <v>16</v>
      </c>
      <c r="G2027" s="2" t="s">
        <v>17</v>
      </c>
      <c r="H2027" s="2">
        <v>85000</v>
      </c>
      <c r="I2027" s="2">
        <v>2</v>
      </c>
      <c r="J2027" s="2" t="s">
        <v>54</v>
      </c>
      <c r="K2027" s="2">
        <f t="shared" si="217"/>
        <v>68000</v>
      </c>
      <c r="L2027" s="9">
        <f>Table_1[[#This Row],[Unit Price]]*Table_1[[#This Row],[Quantity]]</f>
        <v>170000</v>
      </c>
      <c r="M2027" s="8">
        <f>Table_1[[#This Row],[Cost Price]]*Table_1[[#This Row],[Quantity]]</f>
        <v>136000</v>
      </c>
      <c r="N2027">
        <f>Table_1[[#This Row],[Revenue]]-Table_1[[#This Row],[COGS]]</f>
        <v>34000</v>
      </c>
      <c r="O2027" s="11">
        <f t="shared" si="218"/>
        <v>4656740000</v>
      </c>
      <c r="P2027">
        <f t="shared" si="219"/>
        <v>3725392000</v>
      </c>
      <c r="Q2027">
        <f t="shared" si="220"/>
        <v>931348000</v>
      </c>
      <c r="R2027" s="7">
        <f t="shared" si="221"/>
        <v>2098</v>
      </c>
      <c r="S2027" s="7">
        <f t="shared" si="222"/>
        <v>4</v>
      </c>
      <c r="T2027" s="7">
        <f t="shared" si="223"/>
        <v>2098</v>
      </c>
    </row>
    <row r="2028" spans="1:20" ht="14.25" customHeight="1" x14ac:dyDescent="0.35">
      <c r="A2028" s="2" t="s">
        <v>141</v>
      </c>
      <c r="B2028" s="2" t="s">
        <v>34</v>
      </c>
      <c r="C2028" s="2" t="s">
        <v>38</v>
      </c>
      <c r="D2028" s="2" t="s">
        <v>26</v>
      </c>
      <c r="E2028" s="2" t="s">
        <v>22</v>
      </c>
      <c r="F2028" s="2" t="s">
        <v>56</v>
      </c>
      <c r="G2028" s="2" t="s">
        <v>36</v>
      </c>
      <c r="H2028" s="2">
        <v>250000</v>
      </c>
      <c r="I2028" s="2">
        <v>5</v>
      </c>
      <c r="J2028" s="2" t="s">
        <v>32</v>
      </c>
      <c r="K2028" s="2">
        <f t="shared" si="217"/>
        <v>200000</v>
      </c>
      <c r="L2028" s="9">
        <f>Table_1[[#This Row],[Unit Price]]*Table_1[[#This Row],[Quantity]]</f>
        <v>1250000</v>
      </c>
      <c r="M2028" s="8">
        <f>Table_1[[#This Row],[Cost Price]]*Table_1[[#This Row],[Quantity]]</f>
        <v>1000000</v>
      </c>
      <c r="N2028">
        <f>Table_1[[#This Row],[Revenue]]-Table_1[[#This Row],[COGS]]</f>
        <v>250000</v>
      </c>
      <c r="O2028" s="11">
        <f t="shared" si="218"/>
        <v>4656740000</v>
      </c>
      <c r="P2028">
        <f t="shared" si="219"/>
        <v>3725392000</v>
      </c>
      <c r="Q2028">
        <f t="shared" si="220"/>
        <v>931348000</v>
      </c>
      <c r="R2028" s="7">
        <f t="shared" si="221"/>
        <v>2098</v>
      </c>
      <c r="S2028" s="7">
        <f t="shared" si="222"/>
        <v>2</v>
      </c>
      <c r="T2028" s="7">
        <f t="shared" si="223"/>
        <v>2098</v>
      </c>
    </row>
    <row r="2029" spans="1:20" ht="14.25" customHeight="1" x14ac:dyDescent="0.35">
      <c r="A2029" s="2" t="s">
        <v>65</v>
      </c>
      <c r="B2029" s="2" t="s">
        <v>12</v>
      </c>
      <c r="C2029" s="2" t="s">
        <v>13</v>
      </c>
      <c r="D2029" s="2" t="s">
        <v>26</v>
      </c>
      <c r="E2029" s="2" t="s">
        <v>22</v>
      </c>
      <c r="F2029" s="2" t="s">
        <v>58</v>
      </c>
      <c r="G2029" s="2" t="s">
        <v>24</v>
      </c>
      <c r="H2029" s="2">
        <v>220000</v>
      </c>
      <c r="I2029" s="2">
        <v>2</v>
      </c>
      <c r="J2029" s="2" t="s">
        <v>50</v>
      </c>
      <c r="K2029" s="2">
        <f t="shared" si="217"/>
        <v>176000</v>
      </c>
      <c r="L2029" s="9">
        <f>Table_1[[#This Row],[Unit Price]]*Table_1[[#This Row],[Quantity]]</f>
        <v>440000</v>
      </c>
      <c r="M2029" s="8">
        <f>Table_1[[#This Row],[Cost Price]]*Table_1[[#This Row],[Quantity]]</f>
        <v>352000</v>
      </c>
      <c r="N2029">
        <f>Table_1[[#This Row],[Revenue]]-Table_1[[#This Row],[COGS]]</f>
        <v>88000</v>
      </c>
      <c r="O2029" s="11">
        <f t="shared" si="218"/>
        <v>4656740000</v>
      </c>
      <c r="P2029">
        <f t="shared" si="219"/>
        <v>3725392000</v>
      </c>
      <c r="Q2029">
        <f t="shared" si="220"/>
        <v>931348000</v>
      </c>
      <c r="R2029" s="7">
        <f t="shared" si="221"/>
        <v>2098</v>
      </c>
      <c r="S2029" s="7">
        <f t="shared" si="222"/>
        <v>2</v>
      </c>
      <c r="T2029" s="7">
        <f t="shared" si="223"/>
        <v>2098</v>
      </c>
    </row>
    <row r="2030" spans="1:20" ht="14.25" customHeight="1" x14ac:dyDescent="0.35">
      <c r="A2030" s="2" t="s">
        <v>123</v>
      </c>
      <c r="B2030" s="2" t="s">
        <v>29</v>
      </c>
      <c r="C2030" s="2" t="s">
        <v>38</v>
      </c>
      <c r="D2030" s="2" t="s">
        <v>14</v>
      </c>
      <c r="E2030" s="2" t="s">
        <v>15</v>
      </c>
      <c r="F2030" s="2" t="s">
        <v>23</v>
      </c>
      <c r="G2030" s="2" t="s">
        <v>24</v>
      </c>
      <c r="H2030" s="2">
        <v>30000</v>
      </c>
      <c r="I2030" s="2">
        <v>2</v>
      </c>
      <c r="J2030" s="2" t="s">
        <v>27</v>
      </c>
      <c r="K2030" s="2">
        <f t="shared" si="217"/>
        <v>24000</v>
      </c>
      <c r="L2030" s="9">
        <f>Table_1[[#This Row],[Unit Price]]*Table_1[[#This Row],[Quantity]]</f>
        <v>60000</v>
      </c>
      <c r="M2030" s="8">
        <f>Table_1[[#This Row],[Cost Price]]*Table_1[[#This Row],[Quantity]]</f>
        <v>48000</v>
      </c>
      <c r="N2030">
        <f>Table_1[[#This Row],[Revenue]]-Table_1[[#This Row],[COGS]]</f>
        <v>12000</v>
      </c>
      <c r="O2030" s="11">
        <f t="shared" si="218"/>
        <v>4656740000</v>
      </c>
      <c r="P2030">
        <f t="shared" si="219"/>
        <v>3725392000</v>
      </c>
      <c r="Q2030">
        <f t="shared" si="220"/>
        <v>931348000</v>
      </c>
      <c r="R2030" s="7">
        <f t="shared" si="221"/>
        <v>2098</v>
      </c>
      <c r="S2030" s="7">
        <f t="shared" si="222"/>
        <v>4</v>
      </c>
      <c r="T2030" s="7">
        <f t="shared" si="223"/>
        <v>2098</v>
      </c>
    </row>
    <row r="2031" spans="1:20" ht="14.25" customHeight="1" x14ac:dyDescent="0.35">
      <c r="A2031" s="2" t="s">
        <v>157</v>
      </c>
      <c r="B2031" s="2" t="s">
        <v>20</v>
      </c>
      <c r="C2031" s="2" t="s">
        <v>30</v>
      </c>
      <c r="D2031" s="2" t="s">
        <v>26</v>
      </c>
      <c r="E2031" s="2" t="s">
        <v>22</v>
      </c>
      <c r="F2031" s="2" t="s">
        <v>52</v>
      </c>
      <c r="G2031" s="2" t="s">
        <v>36</v>
      </c>
      <c r="H2031" s="2">
        <v>420000</v>
      </c>
      <c r="I2031" s="2">
        <v>10</v>
      </c>
      <c r="J2031" s="2" t="s">
        <v>50</v>
      </c>
      <c r="K2031" s="2">
        <f t="shared" si="217"/>
        <v>336000</v>
      </c>
      <c r="L2031" s="9">
        <f>Table_1[[#This Row],[Unit Price]]*Table_1[[#This Row],[Quantity]]</f>
        <v>4200000</v>
      </c>
      <c r="M2031" s="8">
        <f>Table_1[[#This Row],[Cost Price]]*Table_1[[#This Row],[Quantity]]</f>
        <v>3360000</v>
      </c>
      <c r="N2031">
        <f>Table_1[[#This Row],[Revenue]]-Table_1[[#This Row],[COGS]]</f>
        <v>840000</v>
      </c>
      <c r="O2031" s="11">
        <f t="shared" si="218"/>
        <v>4656740000</v>
      </c>
      <c r="P2031">
        <f t="shared" si="219"/>
        <v>3725392000</v>
      </c>
      <c r="Q2031">
        <f t="shared" si="220"/>
        <v>931348000</v>
      </c>
      <c r="R2031" s="7">
        <f t="shared" si="221"/>
        <v>2098</v>
      </c>
      <c r="S2031" s="7">
        <f t="shared" si="222"/>
        <v>3</v>
      </c>
      <c r="T2031" s="7">
        <f t="shared" si="223"/>
        <v>2098</v>
      </c>
    </row>
    <row r="2032" spans="1:20" ht="14.25" customHeight="1" x14ac:dyDescent="0.35">
      <c r="A2032" s="2" t="s">
        <v>59</v>
      </c>
      <c r="B2032" s="2" t="s">
        <v>34</v>
      </c>
      <c r="C2032" s="2" t="s">
        <v>38</v>
      </c>
      <c r="D2032" s="2" t="s">
        <v>26</v>
      </c>
      <c r="E2032" s="2" t="s">
        <v>15</v>
      </c>
      <c r="F2032" s="2" t="s">
        <v>58</v>
      </c>
      <c r="G2032" s="2" t="s">
        <v>24</v>
      </c>
      <c r="H2032" s="2">
        <v>220000</v>
      </c>
      <c r="I2032" s="2">
        <v>2</v>
      </c>
      <c r="J2032" s="2" t="s">
        <v>43</v>
      </c>
      <c r="K2032" s="2">
        <f t="shared" si="217"/>
        <v>176000</v>
      </c>
      <c r="L2032" s="9">
        <f>Table_1[[#This Row],[Unit Price]]*Table_1[[#This Row],[Quantity]]</f>
        <v>440000</v>
      </c>
      <c r="M2032" s="8">
        <f>Table_1[[#This Row],[Cost Price]]*Table_1[[#This Row],[Quantity]]</f>
        <v>352000</v>
      </c>
      <c r="N2032">
        <f>Table_1[[#This Row],[Revenue]]-Table_1[[#This Row],[COGS]]</f>
        <v>88000</v>
      </c>
      <c r="O2032" s="11">
        <f t="shared" si="218"/>
        <v>4656740000</v>
      </c>
      <c r="P2032">
        <f t="shared" si="219"/>
        <v>3725392000</v>
      </c>
      <c r="Q2032">
        <f t="shared" si="220"/>
        <v>931348000</v>
      </c>
      <c r="R2032" s="7">
        <f t="shared" si="221"/>
        <v>2098</v>
      </c>
      <c r="S2032" s="7">
        <f t="shared" si="222"/>
        <v>2</v>
      </c>
      <c r="T2032" s="7">
        <f t="shared" si="223"/>
        <v>2098</v>
      </c>
    </row>
    <row r="2033" spans="1:20" ht="14.25" customHeight="1" x14ac:dyDescent="0.35">
      <c r="A2033" s="2" t="s">
        <v>42</v>
      </c>
      <c r="B2033" s="2" t="s">
        <v>29</v>
      </c>
      <c r="C2033" s="2" t="s">
        <v>30</v>
      </c>
      <c r="D2033" s="2" t="s">
        <v>26</v>
      </c>
      <c r="E2033" s="2" t="s">
        <v>22</v>
      </c>
      <c r="F2033" s="2" t="s">
        <v>58</v>
      </c>
      <c r="G2033" s="2" t="s">
        <v>24</v>
      </c>
      <c r="H2033" s="2">
        <v>220000</v>
      </c>
      <c r="I2033" s="2">
        <v>10</v>
      </c>
      <c r="J2033" s="2" t="s">
        <v>27</v>
      </c>
      <c r="K2033" s="2">
        <f t="shared" si="217"/>
        <v>176000</v>
      </c>
      <c r="L2033" s="9">
        <f>Table_1[[#This Row],[Unit Price]]*Table_1[[#This Row],[Quantity]]</f>
        <v>2200000</v>
      </c>
      <c r="M2033" s="8">
        <f>Table_1[[#This Row],[Cost Price]]*Table_1[[#This Row],[Quantity]]</f>
        <v>1760000</v>
      </c>
      <c r="N2033">
        <f>Table_1[[#This Row],[Revenue]]-Table_1[[#This Row],[COGS]]</f>
        <v>440000</v>
      </c>
      <c r="O2033" s="11">
        <f t="shared" si="218"/>
        <v>4656740000</v>
      </c>
      <c r="P2033">
        <f t="shared" si="219"/>
        <v>3725392000</v>
      </c>
      <c r="Q2033">
        <f t="shared" si="220"/>
        <v>931348000</v>
      </c>
      <c r="R2033" s="7">
        <f t="shared" si="221"/>
        <v>2098</v>
      </c>
      <c r="S2033" s="7">
        <f t="shared" si="222"/>
        <v>2</v>
      </c>
      <c r="T2033" s="7">
        <f t="shared" si="223"/>
        <v>2098</v>
      </c>
    </row>
    <row r="2034" spans="1:20" ht="14.25" customHeight="1" x14ac:dyDescent="0.35">
      <c r="A2034" s="2" t="s">
        <v>25</v>
      </c>
      <c r="B2034" s="2" t="s">
        <v>12</v>
      </c>
      <c r="C2034" s="2" t="s">
        <v>21</v>
      </c>
      <c r="D2034" s="2" t="s">
        <v>26</v>
      </c>
      <c r="E2034" s="2" t="s">
        <v>22</v>
      </c>
      <c r="F2034" s="2" t="s">
        <v>41</v>
      </c>
      <c r="G2034" s="2" t="s">
        <v>17</v>
      </c>
      <c r="H2034" s="2">
        <v>320000</v>
      </c>
      <c r="I2034" s="2">
        <v>6</v>
      </c>
      <c r="J2034" s="2" t="s">
        <v>43</v>
      </c>
      <c r="K2034" s="2">
        <f t="shared" si="217"/>
        <v>256000</v>
      </c>
      <c r="L2034" s="9">
        <f>Table_1[[#This Row],[Unit Price]]*Table_1[[#This Row],[Quantity]]</f>
        <v>1920000</v>
      </c>
      <c r="M2034" s="8">
        <f>Table_1[[#This Row],[Cost Price]]*Table_1[[#This Row],[Quantity]]</f>
        <v>1536000</v>
      </c>
      <c r="N2034">
        <f>Table_1[[#This Row],[Revenue]]-Table_1[[#This Row],[COGS]]</f>
        <v>384000</v>
      </c>
      <c r="O2034" s="11">
        <f t="shared" si="218"/>
        <v>4656740000</v>
      </c>
      <c r="P2034">
        <f t="shared" si="219"/>
        <v>3725392000</v>
      </c>
      <c r="Q2034">
        <f t="shared" si="220"/>
        <v>931348000</v>
      </c>
      <c r="R2034" s="7">
        <f t="shared" si="221"/>
        <v>2098</v>
      </c>
      <c r="S2034" s="7">
        <f t="shared" si="222"/>
        <v>2</v>
      </c>
      <c r="T2034" s="7">
        <f t="shared" si="223"/>
        <v>2098</v>
      </c>
    </row>
    <row r="2035" spans="1:20" ht="14.25" customHeight="1" x14ac:dyDescent="0.35">
      <c r="A2035" s="2" t="s">
        <v>156</v>
      </c>
      <c r="B2035" s="2" t="s">
        <v>34</v>
      </c>
      <c r="C2035" s="2" t="s">
        <v>13</v>
      </c>
      <c r="D2035" s="2" t="s">
        <v>26</v>
      </c>
      <c r="E2035" s="2" t="s">
        <v>22</v>
      </c>
      <c r="F2035" s="2" t="s">
        <v>52</v>
      </c>
      <c r="G2035" s="2" t="s">
        <v>36</v>
      </c>
      <c r="H2035" s="2">
        <v>420000</v>
      </c>
      <c r="I2035" s="2">
        <v>8</v>
      </c>
      <c r="J2035" s="2" t="s">
        <v>43</v>
      </c>
      <c r="K2035" s="2">
        <f t="shared" si="217"/>
        <v>336000</v>
      </c>
      <c r="L2035" s="9">
        <f>Table_1[[#This Row],[Unit Price]]*Table_1[[#This Row],[Quantity]]</f>
        <v>3360000</v>
      </c>
      <c r="M2035" s="8">
        <f>Table_1[[#This Row],[Cost Price]]*Table_1[[#This Row],[Quantity]]</f>
        <v>2688000</v>
      </c>
      <c r="N2035">
        <f>Table_1[[#This Row],[Revenue]]-Table_1[[#This Row],[COGS]]</f>
        <v>672000</v>
      </c>
      <c r="O2035" s="11">
        <f t="shared" si="218"/>
        <v>4656740000</v>
      </c>
      <c r="P2035">
        <f t="shared" si="219"/>
        <v>3725392000</v>
      </c>
      <c r="Q2035">
        <f t="shared" si="220"/>
        <v>931348000</v>
      </c>
      <c r="R2035" s="7">
        <f t="shared" si="221"/>
        <v>2098</v>
      </c>
      <c r="S2035" s="7">
        <f t="shared" si="222"/>
        <v>3</v>
      </c>
      <c r="T2035" s="7">
        <f t="shared" si="223"/>
        <v>2098</v>
      </c>
    </row>
    <row r="2036" spans="1:20" ht="14.25" customHeight="1" x14ac:dyDescent="0.35">
      <c r="A2036" s="2" t="s">
        <v>99</v>
      </c>
      <c r="B2036" s="2" t="s">
        <v>20</v>
      </c>
      <c r="C2036" s="2" t="s">
        <v>38</v>
      </c>
      <c r="D2036" s="2" t="s">
        <v>14</v>
      </c>
      <c r="E2036" s="2" t="s">
        <v>22</v>
      </c>
      <c r="F2036" s="2" t="s">
        <v>58</v>
      </c>
      <c r="G2036" s="2" t="s">
        <v>24</v>
      </c>
      <c r="H2036" s="2">
        <v>220000</v>
      </c>
      <c r="I2036" s="2">
        <v>9</v>
      </c>
      <c r="J2036" s="2" t="s">
        <v>43</v>
      </c>
      <c r="K2036" s="2">
        <f t="shared" si="217"/>
        <v>176000</v>
      </c>
      <c r="L2036" s="9">
        <f>Table_1[[#This Row],[Unit Price]]*Table_1[[#This Row],[Quantity]]</f>
        <v>1980000</v>
      </c>
      <c r="M2036" s="8">
        <f>Table_1[[#This Row],[Cost Price]]*Table_1[[#This Row],[Quantity]]</f>
        <v>1584000</v>
      </c>
      <c r="N2036">
        <f>Table_1[[#This Row],[Revenue]]-Table_1[[#This Row],[COGS]]</f>
        <v>396000</v>
      </c>
      <c r="O2036" s="11">
        <f t="shared" si="218"/>
        <v>4656740000</v>
      </c>
      <c r="P2036">
        <f t="shared" si="219"/>
        <v>3725392000</v>
      </c>
      <c r="Q2036">
        <f t="shared" si="220"/>
        <v>931348000</v>
      </c>
      <c r="R2036" s="7">
        <f t="shared" si="221"/>
        <v>2098</v>
      </c>
      <c r="S2036" s="7">
        <f t="shared" si="222"/>
        <v>4</v>
      </c>
      <c r="T2036" s="7">
        <f t="shared" si="223"/>
        <v>2098</v>
      </c>
    </row>
    <row r="2037" spans="1:20" ht="14.25" customHeight="1" x14ac:dyDescent="0.35">
      <c r="A2037" s="2" t="s">
        <v>25</v>
      </c>
      <c r="B2037" s="2" t="s">
        <v>34</v>
      </c>
      <c r="C2037" s="2" t="s">
        <v>21</v>
      </c>
      <c r="D2037" s="2" t="s">
        <v>26</v>
      </c>
      <c r="E2037" s="2" t="s">
        <v>15</v>
      </c>
      <c r="F2037" s="2" t="s">
        <v>58</v>
      </c>
      <c r="G2037" s="2" t="s">
        <v>24</v>
      </c>
      <c r="H2037" s="2">
        <v>220000</v>
      </c>
      <c r="I2037" s="2">
        <v>2</v>
      </c>
      <c r="J2037" s="2" t="s">
        <v>54</v>
      </c>
      <c r="K2037" s="2">
        <f t="shared" si="217"/>
        <v>176000</v>
      </c>
      <c r="L2037" s="9">
        <f>Table_1[[#This Row],[Unit Price]]*Table_1[[#This Row],[Quantity]]</f>
        <v>440000</v>
      </c>
      <c r="M2037" s="8">
        <f>Table_1[[#This Row],[Cost Price]]*Table_1[[#This Row],[Quantity]]</f>
        <v>352000</v>
      </c>
      <c r="N2037">
        <f>Table_1[[#This Row],[Revenue]]-Table_1[[#This Row],[COGS]]</f>
        <v>88000</v>
      </c>
      <c r="O2037" s="11">
        <f t="shared" si="218"/>
        <v>4656740000</v>
      </c>
      <c r="P2037">
        <f t="shared" si="219"/>
        <v>3725392000</v>
      </c>
      <c r="Q2037">
        <f t="shared" si="220"/>
        <v>931348000</v>
      </c>
      <c r="R2037" s="7">
        <f t="shared" si="221"/>
        <v>2098</v>
      </c>
      <c r="S2037" s="7">
        <f t="shared" si="222"/>
        <v>2</v>
      </c>
      <c r="T2037" s="7">
        <f t="shared" si="223"/>
        <v>2098</v>
      </c>
    </row>
    <row r="2038" spans="1:20" ht="14.25" customHeight="1" x14ac:dyDescent="0.35">
      <c r="A2038" s="2" t="s">
        <v>105</v>
      </c>
      <c r="B2038" s="2" t="s">
        <v>29</v>
      </c>
      <c r="C2038" s="2" t="s">
        <v>38</v>
      </c>
      <c r="D2038" s="2" t="s">
        <v>14</v>
      </c>
      <c r="E2038" s="2" t="s">
        <v>15</v>
      </c>
      <c r="F2038" s="2" t="s">
        <v>47</v>
      </c>
      <c r="G2038" s="2" t="s">
        <v>36</v>
      </c>
      <c r="H2038" s="2">
        <v>150000</v>
      </c>
      <c r="I2038" s="2">
        <v>4</v>
      </c>
      <c r="J2038" s="2" t="s">
        <v>50</v>
      </c>
      <c r="K2038" s="2">
        <f t="shared" si="217"/>
        <v>120000</v>
      </c>
      <c r="L2038" s="9">
        <f>Table_1[[#This Row],[Unit Price]]*Table_1[[#This Row],[Quantity]]</f>
        <v>600000</v>
      </c>
      <c r="M2038" s="8">
        <f>Table_1[[#This Row],[Cost Price]]*Table_1[[#This Row],[Quantity]]</f>
        <v>480000</v>
      </c>
      <c r="N2038">
        <f>Table_1[[#This Row],[Revenue]]-Table_1[[#This Row],[COGS]]</f>
        <v>120000</v>
      </c>
      <c r="O2038" s="11">
        <f t="shared" si="218"/>
        <v>4656740000</v>
      </c>
      <c r="P2038">
        <f t="shared" si="219"/>
        <v>3725392000</v>
      </c>
      <c r="Q2038">
        <f t="shared" si="220"/>
        <v>931348000</v>
      </c>
      <c r="R2038" s="7">
        <f t="shared" si="221"/>
        <v>2098</v>
      </c>
      <c r="S2038" s="7">
        <f t="shared" si="222"/>
        <v>3</v>
      </c>
      <c r="T2038" s="7">
        <f t="shared" si="223"/>
        <v>2098</v>
      </c>
    </row>
    <row r="2039" spans="1:20" ht="14.25" customHeight="1" x14ac:dyDescent="0.35">
      <c r="A2039" s="2" t="s">
        <v>109</v>
      </c>
      <c r="B2039" s="2" t="s">
        <v>20</v>
      </c>
      <c r="C2039" s="2" t="s">
        <v>30</v>
      </c>
      <c r="D2039" s="2" t="s">
        <v>14</v>
      </c>
      <c r="E2039" s="2" t="s">
        <v>22</v>
      </c>
      <c r="F2039" s="2" t="s">
        <v>35</v>
      </c>
      <c r="G2039" s="2" t="s">
        <v>36</v>
      </c>
      <c r="H2039" s="2">
        <v>300000</v>
      </c>
      <c r="I2039" s="2">
        <v>7</v>
      </c>
      <c r="J2039" s="2" t="s">
        <v>54</v>
      </c>
      <c r="K2039" s="2">
        <f t="shared" si="217"/>
        <v>240000</v>
      </c>
      <c r="L2039" s="9">
        <f>Table_1[[#This Row],[Unit Price]]*Table_1[[#This Row],[Quantity]]</f>
        <v>2100000</v>
      </c>
      <c r="M2039" s="8">
        <f>Table_1[[#This Row],[Cost Price]]*Table_1[[#This Row],[Quantity]]</f>
        <v>1680000</v>
      </c>
      <c r="N2039">
        <f>Table_1[[#This Row],[Revenue]]-Table_1[[#This Row],[COGS]]</f>
        <v>420000</v>
      </c>
      <c r="O2039" s="11">
        <f t="shared" si="218"/>
        <v>4656740000</v>
      </c>
      <c r="P2039">
        <f t="shared" si="219"/>
        <v>3725392000</v>
      </c>
      <c r="Q2039">
        <f t="shared" si="220"/>
        <v>931348000</v>
      </c>
      <c r="R2039" s="7">
        <f t="shared" si="221"/>
        <v>2098</v>
      </c>
      <c r="S2039" s="7">
        <f t="shared" si="222"/>
        <v>2</v>
      </c>
      <c r="T2039" s="7">
        <f t="shared" si="223"/>
        <v>2098</v>
      </c>
    </row>
    <row r="2040" spans="1:20" ht="14.25" customHeight="1" x14ac:dyDescent="0.35">
      <c r="A2040" s="2" t="s">
        <v>130</v>
      </c>
      <c r="B2040" s="2" t="s">
        <v>29</v>
      </c>
      <c r="C2040" s="2" t="s">
        <v>21</v>
      </c>
      <c r="D2040" s="2" t="s">
        <v>26</v>
      </c>
      <c r="E2040" s="2" t="s">
        <v>15</v>
      </c>
      <c r="F2040" s="2" t="s">
        <v>52</v>
      </c>
      <c r="G2040" s="2" t="s">
        <v>36</v>
      </c>
      <c r="H2040" s="2">
        <v>420000</v>
      </c>
      <c r="I2040" s="2">
        <v>4</v>
      </c>
      <c r="J2040" s="2" t="s">
        <v>54</v>
      </c>
      <c r="K2040" s="2">
        <f t="shared" si="217"/>
        <v>336000</v>
      </c>
      <c r="L2040" s="9">
        <f>Table_1[[#This Row],[Unit Price]]*Table_1[[#This Row],[Quantity]]</f>
        <v>1680000</v>
      </c>
      <c r="M2040" s="8">
        <f>Table_1[[#This Row],[Cost Price]]*Table_1[[#This Row],[Quantity]]</f>
        <v>1344000</v>
      </c>
      <c r="N2040">
        <f>Table_1[[#This Row],[Revenue]]-Table_1[[#This Row],[COGS]]</f>
        <v>336000</v>
      </c>
      <c r="O2040" s="11">
        <f t="shared" si="218"/>
        <v>4656740000</v>
      </c>
      <c r="P2040">
        <f t="shared" si="219"/>
        <v>3725392000</v>
      </c>
      <c r="Q2040">
        <f t="shared" si="220"/>
        <v>931348000</v>
      </c>
      <c r="R2040" s="7">
        <f t="shared" si="221"/>
        <v>2098</v>
      </c>
      <c r="S2040" s="7">
        <f t="shared" si="222"/>
        <v>1</v>
      </c>
      <c r="T2040" s="7">
        <f t="shared" si="223"/>
        <v>2098</v>
      </c>
    </row>
    <row r="2041" spans="1:20" ht="14.25" customHeight="1" x14ac:dyDescent="0.35">
      <c r="A2041" s="2" t="s">
        <v>97</v>
      </c>
      <c r="B2041" s="2" t="s">
        <v>12</v>
      </c>
      <c r="C2041" s="2" t="s">
        <v>30</v>
      </c>
      <c r="D2041" s="2" t="s">
        <v>26</v>
      </c>
      <c r="E2041" s="2" t="s">
        <v>22</v>
      </c>
      <c r="F2041" s="2" t="s">
        <v>31</v>
      </c>
      <c r="G2041" s="2" t="s">
        <v>24</v>
      </c>
      <c r="H2041" s="2">
        <v>60000</v>
      </c>
      <c r="I2041" s="2">
        <v>4</v>
      </c>
      <c r="J2041" s="2" t="s">
        <v>50</v>
      </c>
      <c r="K2041" s="2">
        <f t="shared" si="217"/>
        <v>48000</v>
      </c>
      <c r="L2041" s="9">
        <f>Table_1[[#This Row],[Unit Price]]*Table_1[[#This Row],[Quantity]]</f>
        <v>240000</v>
      </c>
      <c r="M2041" s="8">
        <f>Table_1[[#This Row],[Cost Price]]*Table_1[[#This Row],[Quantity]]</f>
        <v>192000</v>
      </c>
      <c r="N2041">
        <f>Table_1[[#This Row],[Revenue]]-Table_1[[#This Row],[COGS]]</f>
        <v>48000</v>
      </c>
      <c r="O2041" s="11">
        <f t="shared" si="218"/>
        <v>4656740000</v>
      </c>
      <c r="P2041">
        <f t="shared" si="219"/>
        <v>3725392000</v>
      </c>
      <c r="Q2041">
        <f t="shared" si="220"/>
        <v>931348000</v>
      </c>
      <c r="R2041" s="7">
        <f t="shared" si="221"/>
        <v>2098</v>
      </c>
      <c r="S2041" s="7">
        <f t="shared" si="222"/>
        <v>2</v>
      </c>
      <c r="T2041" s="7">
        <f t="shared" si="223"/>
        <v>2098</v>
      </c>
    </row>
    <row r="2042" spans="1:20" ht="14.25" customHeight="1" x14ac:dyDescent="0.35">
      <c r="A2042" s="2" t="s">
        <v>92</v>
      </c>
      <c r="B2042" s="2" t="s">
        <v>34</v>
      </c>
      <c r="C2042" s="2" t="s">
        <v>30</v>
      </c>
      <c r="D2042" s="2" t="s">
        <v>14</v>
      </c>
      <c r="E2042" s="2" t="s">
        <v>15</v>
      </c>
      <c r="F2042" s="2" t="s">
        <v>39</v>
      </c>
      <c r="G2042" s="2" t="s">
        <v>24</v>
      </c>
      <c r="H2042" s="2">
        <v>180000</v>
      </c>
      <c r="I2042" s="2">
        <v>6</v>
      </c>
      <c r="J2042" s="2" t="s">
        <v>18</v>
      </c>
      <c r="K2042" s="2">
        <f t="shared" si="217"/>
        <v>144000</v>
      </c>
      <c r="L2042" s="9">
        <f>Table_1[[#This Row],[Unit Price]]*Table_1[[#This Row],[Quantity]]</f>
        <v>1080000</v>
      </c>
      <c r="M2042" s="8">
        <f>Table_1[[#This Row],[Cost Price]]*Table_1[[#This Row],[Quantity]]</f>
        <v>864000</v>
      </c>
      <c r="N2042">
        <f>Table_1[[#This Row],[Revenue]]-Table_1[[#This Row],[COGS]]</f>
        <v>216000</v>
      </c>
      <c r="O2042" s="11">
        <f t="shared" si="218"/>
        <v>4656740000</v>
      </c>
      <c r="P2042">
        <f t="shared" si="219"/>
        <v>3725392000</v>
      </c>
      <c r="Q2042">
        <f t="shared" si="220"/>
        <v>931348000</v>
      </c>
      <c r="R2042" s="7">
        <f t="shared" si="221"/>
        <v>2098</v>
      </c>
      <c r="S2042" s="7">
        <f t="shared" si="222"/>
        <v>2</v>
      </c>
      <c r="T2042" s="7">
        <f t="shared" si="223"/>
        <v>2098</v>
      </c>
    </row>
    <row r="2043" spans="1:20" ht="14.25" customHeight="1" x14ac:dyDescent="0.35">
      <c r="A2043" s="2" t="s">
        <v>144</v>
      </c>
      <c r="B2043" s="2" t="s">
        <v>29</v>
      </c>
      <c r="C2043" s="2" t="s">
        <v>30</v>
      </c>
      <c r="D2043" s="2" t="s">
        <v>26</v>
      </c>
      <c r="E2043" s="2" t="s">
        <v>15</v>
      </c>
      <c r="F2043" s="2" t="s">
        <v>35</v>
      </c>
      <c r="G2043" s="2" t="s">
        <v>36</v>
      </c>
      <c r="H2043" s="2">
        <v>300000</v>
      </c>
      <c r="I2043" s="2">
        <v>8</v>
      </c>
      <c r="J2043" s="2" t="s">
        <v>43</v>
      </c>
      <c r="K2043" s="2">
        <f t="shared" si="217"/>
        <v>240000</v>
      </c>
      <c r="L2043" s="9">
        <f>Table_1[[#This Row],[Unit Price]]*Table_1[[#This Row],[Quantity]]</f>
        <v>2400000</v>
      </c>
      <c r="M2043" s="8">
        <f>Table_1[[#This Row],[Cost Price]]*Table_1[[#This Row],[Quantity]]</f>
        <v>1920000</v>
      </c>
      <c r="N2043">
        <f>Table_1[[#This Row],[Revenue]]-Table_1[[#This Row],[COGS]]</f>
        <v>480000</v>
      </c>
      <c r="O2043" s="11">
        <f t="shared" si="218"/>
        <v>4656740000</v>
      </c>
      <c r="P2043">
        <f t="shared" si="219"/>
        <v>3725392000</v>
      </c>
      <c r="Q2043">
        <f t="shared" si="220"/>
        <v>931348000</v>
      </c>
      <c r="R2043" s="7">
        <f t="shared" si="221"/>
        <v>2098</v>
      </c>
      <c r="S2043" s="7">
        <f t="shared" si="222"/>
        <v>2</v>
      </c>
      <c r="T2043" s="7">
        <f t="shared" si="223"/>
        <v>2098</v>
      </c>
    </row>
    <row r="2044" spans="1:20" ht="14.25" customHeight="1" x14ac:dyDescent="0.35">
      <c r="A2044" s="2" t="s">
        <v>109</v>
      </c>
      <c r="B2044" s="2" t="s">
        <v>12</v>
      </c>
      <c r="C2044" s="2" t="s">
        <v>13</v>
      </c>
      <c r="D2044" s="2" t="s">
        <v>14</v>
      </c>
      <c r="E2044" s="2" t="s">
        <v>22</v>
      </c>
      <c r="F2044" s="2" t="s">
        <v>41</v>
      </c>
      <c r="G2044" s="2" t="s">
        <v>17</v>
      </c>
      <c r="H2044" s="2">
        <v>320000</v>
      </c>
      <c r="I2044" s="2">
        <v>10</v>
      </c>
      <c r="J2044" s="2" t="s">
        <v>18</v>
      </c>
      <c r="K2044" s="2">
        <f t="shared" si="217"/>
        <v>256000</v>
      </c>
      <c r="L2044" s="9">
        <f>Table_1[[#This Row],[Unit Price]]*Table_1[[#This Row],[Quantity]]</f>
        <v>3200000</v>
      </c>
      <c r="M2044" s="8">
        <f>Table_1[[#This Row],[Cost Price]]*Table_1[[#This Row],[Quantity]]</f>
        <v>2560000</v>
      </c>
      <c r="N2044">
        <f>Table_1[[#This Row],[Revenue]]-Table_1[[#This Row],[COGS]]</f>
        <v>640000</v>
      </c>
      <c r="O2044" s="11">
        <f t="shared" si="218"/>
        <v>4656740000</v>
      </c>
      <c r="P2044">
        <f t="shared" si="219"/>
        <v>3725392000</v>
      </c>
      <c r="Q2044">
        <f t="shared" si="220"/>
        <v>931348000</v>
      </c>
      <c r="R2044" s="7">
        <f t="shared" si="221"/>
        <v>2098</v>
      </c>
      <c r="S2044" s="7">
        <f t="shared" si="222"/>
        <v>2</v>
      </c>
      <c r="T2044" s="7">
        <f t="shared" si="223"/>
        <v>2098</v>
      </c>
    </row>
    <row r="2045" spans="1:20" ht="14.25" customHeight="1" x14ac:dyDescent="0.35">
      <c r="A2045" s="2" t="s">
        <v>158</v>
      </c>
      <c r="B2045" s="2" t="s">
        <v>12</v>
      </c>
      <c r="C2045" s="2" t="s">
        <v>21</v>
      </c>
      <c r="D2045" s="2" t="s">
        <v>14</v>
      </c>
      <c r="E2045" s="2" t="s">
        <v>22</v>
      </c>
      <c r="F2045" s="2" t="s">
        <v>23</v>
      </c>
      <c r="G2045" s="2" t="s">
        <v>24</v>
      </c>
      <c r="H2045" s="2">
        <v>30000</v>
      </c>
      <c r="I2045" s="2">
        <v>1</v>
      </c>
      <c r="J2045" s="2" t="s">
        <v>18</v>
      </c>
      <c r="K2045" s="2">
        <f t="shared" si="217"/>
        <v>24000</v>
      </c>
      <c r="L2045" s="9">
        <f>Table_1[[#This Row],[Unit Price]]*Table_1[[#This Row],[Quantity]]</f>
        <v>30000</v>
      </c>
      <c r="M2045" s="8">
        <f>Table_1[[#This Row],[Cost Price]]*Table_1[[#This Row],[Quantity]]</f>
        <v>24000</v>
      </c>
      <c r="N2045">
        <f>Table_1[[#This Row],[Revenue]]-Table_1[[#This Row],[COGS]]</f>
        <v>6000</v>
      </c>
      <c r="O2045" s="11">
        <f t="shared" si="218"/>
        <v>4656740000</v>
      </c>
      <c r="P2045">
        <f t="shared" si="219"/>
        <v>3725392000</v>
      </c>
      <c r="Q2045">
        <f t="shared" si="220"/>
        <v>931348000</v>
      </c>
      <c r="R2045" s="7">
        <f t="shared" si="221"/>
        <v>2098</v>
      </c>
      <c r="S2045" s="7">
        <f t="shared" si="222"/>
        <v>3</v>
      </c>
      <c r="T2045" s="7">
        <f t="shared" si="223"/>
        <v>2098</v>
      </c>
    </row>
    <row r="2046" spans="1:20" ht="14.25" customHeight="1" x14ac:dyDescent="0.35">
      <c r="A2046" s="2" t="s">
        <v>131</v>
      </c>
      <c r="B2046" s="2" t="s">
        <v>20</v>
      </c>
      <c r="C2046" s="2" t="s">
        <v>21</v>
      </c>
      <c r="D2046" s="2" t="s">
        <v>26</v>
      </c>
      <c r="E2046" s="2" t="s">
        <v>22</v>
      </c>
      <c r="F2046" s="2" t="s">
        <v>16</v>
      </c>
      <c r="G2046" s="2" t="s">
        <v>17</v>
      </c>
      <c r="H2046" s="2">
        <v>85000</v>
      </c>
      <c r="I2046" s="2">
        <v>2</v>
      </c>
      <c r="J2046" s="2" t="s">
        <v>43</v>
      </c>
      <c r="K2046" s="2">
        <f t="shared" si="217"/>
        <v>68000</v>
      </c>
      <c r="L2046" s="9">
        <f>Table_1[[#This Row],[Unit Price]]*Table_1[[#This Row],[Quantity]]</f>
        <v>170000</v>
      </c>
      <c r="M2046" s="8">
        <f>Table_1[[#This Row],[Cost Price]]*Table_1[[#This Row],[Quantity]]</f>
        <v>136000</v>
      </c>
      <c r="N2046">
        <f>Table_1[[#This Row],[Revenue]]-Table_1[[#This Row],[COGS]]</f>
        <v>34000</v>
      </c>
      <c r="O2046" s="11">
        <f t="shared" si="218"/>
        <v>4656740000</v>
      </c>
      <c r="P2046">
        <f t="shared" si="219"/>
        <v>3725392000</v>
      </c>
      <c r="Q2046">
        <f t="shared" si="220"/>
        <v>931348000</v>
      </c>
      <c r="R2046" s="7">
        <f t="shared" si="221"/>
        <v>2098</v>
      </c>
      <c r="S2046" s="7">
        <f t="shared" si="222"/>
        <v>1</v>
      </c>
      <c r="T2046" s="7">
        <f t="shared" si="223"/>
        <v>2098</v>
      </c>
    </row>
    <row r="2047" spans="1:20" ht="14.25" customHeight="1" x14ac:dyDescent="0.35">
      <c r="A2047" s="2" t="s">
        <v>28</v>
      </c>
      <c r="B2047" s="2" t="s">
        <v>12</v>
      </c>
      <c r="C2047" s="2" t="s">
        <v>13</v>
      </c>
      <c r="D2047" s="2" t="s">
        <v>26</v>
      </c>
      <c r="E2047" s="2" t="s">
        <v>15</v>
      </c>
      <c r="F2047" s="2" t="s">
        <v>16</v>
      </c>
      <c r="G2047" s="2" t="s">
        <v>17</v>
      </c>
      <c r="H2047" s="2">
        <v>85000</v>
      </c>
      <c r="I2047" s="2">
        <v>5</v>
      </c>
      <c r="J2047" s="2" t="s">
        <v>50</v>
      </c>
      <c r="K2047" s="2">
        <f t="shared" si="217"/>
        <v>68000</v>
      </c>
      <c r="L2047" s="9">
        <f>Table_1[[#This Row],[Unit Price]]*Table_1[[#This Row],[Quantity]]</f>
        <v>425000</v>
      </c>
      <c r="M2047" s="8">
        <f>Table_1[[#This Row],[Cost Price]]*Table_1[[#This Row],[Quantity]]</f>
        <v>340000</v>
      </c>
      <c r="N2047">
        <f>Table_1[[#This Row],[Revenue]]-Table_1[[#This Row],[COGS]]</f>
        <v>85000</v>
      </c>
      <c r="O2047" s="11">
        <f t="shared" si="218"/>
        <v>4656740000</v>
      </c>
      <c r="P2047">
        <f t="shared" si="219"/>
        <v>3725392000</v>
      </c>
      <c r="Q2047">
        <f t="shared" si="220"/>
        <v>931348000</v>
      </c>
      <c r="R2047" s="7">
        <f t="shared" si="221"/>
        <v>2098</v>
      </c>
      <c r="S2047" s="7">
        <f t="shared" si="222"/>
        <v>4</v>
      </c>
      <c r="T2047" s="7">
        <f t="shared" si="223"/>
        <v>2098</v>
      </c>
    </row>
    <row r="2048" spans="1:20" ht="14.25" customHeight="1" x14ac:dyDescent="0.35">
      <c r="A2048" s="2" t="s">
        <v>121</v>
      </c>
      <c r="B2048" s="2" t="s">
        <v>29</v>
      </c>
      <c r="C2048" s="2" t="s">
        <v>13</v>
      </c>
      <c r="D2048" s="2" t="s">
        <v>14</v>
      </c>
      <c r="E2048" s="2" t="s">
        <v>22</v>
      </c>
      <c r="F2048" s="2" t="s">
        <v>56</v>
      </c>
      <c r="G2048" s="2" t="s">
        <v>36</v>
      </c>
      <c r="H2048" s="2">
        <v>250000</v>
      </c>
      <c r="I2048" s="2">
        <v>8</v>
      </c>
      <c r="J2048" s="2" t="s">
        <v>50</v>
      </c>
      <c r="K2048" s="2">
        <f t="shared" si="217"/>
        <v>200000</v>
      </c>
      <c r="L2048" s="9">
        <f>Table_1[[#This Row],[Unit Price]]*Table_1[[#This Row],[Quantity]]</f>
        <v>2000000</v>
      </c>
      <c r="M2048" s="8">
        <f>Table_1[[#This Row],[Cost Price]]*Table_1[[#This Row],[Quantity]]</f>
        <v>1600000</v>
      </c>
      <c r="N2048">
        <f>Table_1[[#This Row],[Revenue]]-Table_1[[#This Row],[COGS]]</f>
        <v>400000</v>
      </c>
      <c r="O2048" s="11">
        <f t="shared" si="218"/>
        <v>4656740000</v>
      </c>
      <c r="P2048">
        <f t="shared" si="219"/>
        <v>3725392000</v>
      </c>
      <c r="Q2048">
        <f t="shared" si="220"/>
        <v>931348000</v>
      </c>
      <c r="R2048" s="7">
        <f t="shared" si="221"/>
        <v>2098</v>
      </c>
      <c r="S2048" s="7">
        <f t="shared" si="222"/>
        <v>2</v>
      </c>
      <c r="T2048" s="7">
        <f t="shared" si="223"/>
        <v>2098</v>
      </c>
    </row>
    <row r="2049" spans="1:20" ht="14.25" customHeight="1" x14ac:dyDescent="0.35">
      <c r="A2049" s="2" t="s">
        <v>92</v>
      </c>
      <c r="B2049" s="2" t="s">
        <v>34</v>
      </c>
      <c r="C2049" s="2" t="s">
        <v>30</v>
      </c>
      <c r="D2049" s="2" t="s">
        <v>26</v>
      </c>
      <c r="E2049" s="2" t="s">
        <v>15</v>
      </c>
      <c r="F2049" s="2" t="s">
        <v>35</v>
      </c>
      <c r="G2049" s="2" t="s">
        <v>36</v>
      </c>
      <c r="H2049" s="2">
        <v>300000</v>
      </c>
      <c r="I2049" s="2">
        <v>8</v>
      </c>
      <c r="J2049" s="2" t="s">
        <v>43</v>
      </c>
      <c r="K2049" s="2">
        <f t="shared" si="217"/>
        <v>240000</v>
      </c>
      <c r="L2049" s="9">
        <f>Table_1[[#This Row],[Unit Price]]*Table_1[[#This Row],[Quantity]]</f>
        <v>2400000</v>
      </c>
      <c r="M2049" s="8">
        <f>Table_1[[#This Row],[Cost Price]]*Table_1[[#This Row],[Quantity]]</f>
        <v>1920000</v>
      </c>
      <c r="N2049">
        <f>Table_1[[#This Row],[Revenue]]-Table_1[[#This Row],[COGS]]</f>
        <v>480000</v>
      </c>
      <c r="O2049" s="11">
        <f t="shared" si="218"/>
        <v>4656740000</v>
      </c>
      <c r="P2049">
        <f t="shared" si="219"/>
        <v>3725392000</v>
      </c>
      <c r="Q2049">
        <f t="shared" si="220"/>
        <v>931348000</v>
      </c>
      <c r="R2049" s="7">
        <f t="shared" si="221"/>
        <v>2098</v>
      </c>
      <c r="S2049" s="7">
        <f t="shared" si="222"/>
        <v>2</v>
      </c>
      <c r="T2049" s="7">
        <f t="shared" si="223"/>
        <v>2098</v>
      </c>
    </row>
    <row r="2050" spans="1:20" ht="14.25" customHeight="1" x14ac:dyDescent="0.35">
      <c r="A2050" s="2" t="s">
        <v>101</v>
      </c>
      <c r="B2050" s="2" t="s">
        <v>12</v>
      </c>
      <c r="C2050" s="2" t="s">
        <v>21</v>
      </c>
      <c r="D2050" s="2" t="s">
        <v>26</v>
      </c>
      <c r="E2050" s="2" t="s">
        <v>22</v>
      </c>
      <c r="F2050" s="2" t="s">
        <v>39</v>
      </c>
      <c r="G2050" s="2" t="s">
        <v>24</v>
      </c>
      <c r="H2050" s="2">
        <v>180000</v>
      </c>
      <c r="I2050" s="2">
        <v>9</v>
      </c>
      <c r="J2050" s="2" t="s">
        <v>32</v>
      </c>
      <c r="K2050" s="2">
        <f t="shared" ref="K2050:K2099" si="224">H2050-H2050*0.2</f>
        <v>144000</v>
      </c>
      <c r="L2050" s="9">
        <f>Table_1[[#This Row],[Unit Price]]*Table_1[[#This Row],[Quantity]]</f>
        <v>1620000</v>
      </c>
      <c r="M2050" s="8">
        <f>Table_1[[#This Row],[Cost Price]]*Table_1[[#This Row],[Quantity]]</f>
        <v>1296000</v>
      </c>
      <c r="N2050">
        <f>Table_1[[#This Row],[Revenue]]-Table_1[[#This Row],[COGS]]</f>
        <v>324000</v>
      </c>
      <c r="O2050" s="11">
        <f t="shared" ref="O2050:O2099" si="225">SUM(L$2:L$1048576)</f>
        <v>4656740000</v>
      </c>
      <c r="P2050">
        <f t="shared" ref="P2050:P2099" si="226">SUM(M:M)</f>
        <v>3725392000</v>
      </c>
      <c r="Q2050">
        <f t="shared" ref="Q2050:Q2099" si="227">SUM(N:N)</f>
        <v>931348000</v>
      </c>
      <c r="R2050" s="7">
        <f t="shared" ref="R2050:R2099" si="228">COUNTA(A$2:A$1048576)</f>
        <v>2098</v>
      </c>
      <c r="S2050" s="7">
        <f t="shared" ref="S2050:S2099" si="229">MONTH(A2050:A3538)</f>
        <v>4</v>
      </c>
      <c r="T2050" s="7">
        <f t="shared" ref="T2050:T2099" si="230">COUNTA(A:A)-1</f>
        <v>2098</v>
      </c>
    </row>
    <row r="2051" spans="1:20" ht="14.25" customHeight="1" x14ac:dyDescent="0.35">
      <c r="A2051" s="2" t="s">
        <v>78</v>
      </c>
      <c r="B2051" s="2" t="s">
        <v>34</v>
      </c>
      <c r="C2051" s="2" t="s">
        <v>38</v>
      </c>
      <c r="D2051" s="2" t="s">
        <v>26</v>
      </c>
      <c r="E2051" s="2" t="s">
        <v>15</v>
      </c>
      <c r="F2051" s="2" t="s">
        <v>31</v>
      </c>
      <c r="G2051" s="2" t="s">
        <v>24</v>
      </c>
      <c r="H2051" s="2">
        <v>60000</v>
      </c>
      <c r="I2051" s="2">
        <v>4</v>
      </c>
      <c r="J2051" s="2" t="s">
        <v>43</v>
      </c>
      <c r="K2051" s="2">
        <f t="shared" si="224"/>
        <v>48000</v>
      </c>
      <c r="L2051" s="9">
        <f>Table_1[[#This Row],[Unit Price]]*Table_1[[#This Row],[Quantity]]</f>
        <v>240000</v>
      </c>
      <c r="M2051" s="8">
        <f>Table_1[[#This Row],[Cost Price]]*Table_1[[#This Row],[Quantity]]</f>
        <v>192000</v>
      </c>
      <c r="N2051">
        <f>Table_1[[#This Row],[Revenue]]-Table_1[[#This Row],[COGS]]</f>
        <v>48000</v>
      </c>
      <c r="O2051" s="11">
        <f t="shared" si="225"/>
        <v>4656740000</v>
      </c>
      <c r="P2051">
        <f t="shared" si="226"/>
        <v>3725392000</v>
      </c>
      <c r="Q2051">
        <f t="shared" si="227"/>
        <v>931348000</v>
      </c>
      <c r="R2051" s="7">
        <f t="shared" si="228"/>
        <v>2098</v>
      </c>
      <c r="S2051" s="7">
        <f t="shared" si="229"/>
        <v>4</v>
      </c>
      <c r="T2051" s="7">
        <f t="shared" si="230"/>
        <v>2098</v>
      </c>
    </row>
    <row r="2052" spans="1:20" ht="14.25" customHeight="1" x14ac:dyDescent="0.35">
      <c r="A2052" s="2" t="s">
        <v>119</v>
      </c>
      <c r="B2052" s="2" t="s">
        <v>29</v>
      </c>
      <c r="C2052" s="2" t="s">
        <v>13</v>
      </c>
      <c r="D2052" s="2" t="s">
        <v>14</v>
      </c>
      <c r="E2052" s="2" t="s">
        <v>22</v>
      </c>
      <c r="F2052" s="2" t="s">
        <v>31</v>
      </c>
      <c r="G2052" s="2" t="s">
        <v>24</v>
      </c>
      <c r="H2052" s="2">
        <v>60000</v>
      </c>
      <c r="I2052" s="2">
        <v>3</v>
      </c>
      <c r="J2052" s="2" t="s">
        <v>43</v>
      </c>
      <c r="K2052" s="2">
        <f t="shared" si="224"/>
        <v>48000</v>
      </c>
      <c r="L2052" s="9">
        <f>Table_1[[#This Row],[Unit Price]]*Table_1[[#This Row],[Quantity]]</f>
        <v>180000</v>
      </c>
      <c r="M2052" s="8">
        <f>Table_1[[#This Row],[Cost Price]]*Table_1[[#This Row],[Quantity]]</f>
        <v>144000</v>
      </c>
      <c r="N2052">
        <f>Table_1[[#This Row],[Revenue]]-Table_1[[#This Row],[COGS]]</f>
        <v>36000</v>
      </c>
      <c r="O2052" s="11">
        <f t="shared" si="225"/>
        <v>4656740000</v>
      </c>
      <c r="P2052">
        <f t="shared" si="226"/>
        <v>3725392000</v>
      </c>
      <c r="Q2052">
        <f t="shared" si="227"/>
        <v>931348000</v>
      </c>
      <c r="R2052" s="7">
        <f t="shared" si="228"/>
        <v>2098</v>
      </c>
      <c r="S2052" s="7">
        <f t="shared" si="229"/>
        <v>1</v>
      </c>
      <c r="T2052" s="7">
        <f t="shared" si="230"/>
        <v>2098</v>
      </c>
    </row>
    <row r="2053" spans="1:20" ht="14.25" customHeight="1" x14ac:dyDescent="0.35">
      <c r="A2053" s="2" t="s">
        <v>91</v>
      </c>
      <c r="B2053" s="2" t="s">
        <v>29</v>
      </c>
      <c r="C2053" s="2" t="s">
        <v>13</v>
      </c>
      <c r="D2053" s="2" t="s">
        <v>14</v>
      </c>
      <c r="E2053" s="2" t="s">
        <v>15</v>
      </c>
      <c r="F2053" s="2" t="s">
        <v>58</v>
      </c>
      <c r="G2053" s="2" t="s">
        <v>24</v>
      </c>
      <c r="H2053" s="2">
        <v>220000</v>
      </c>
      <c r="I2053" s="2">
        <v>6</v>
      </c>
      <c r="J2053" s="2" t="s">
        <v>50</v>
      </c>
      <c r="K2053" s="2">
        <f t="shared" si="224"/>
        <v>176000</v>
      </c>
      <c r="L2053" s="9">
        <f>Table_1[[#This Row],[Unit Price]]*Table_1[[#This Row],[Quantity]]</f>
        <v>1320000</v>
      </c>
      <c r="M2053" s="8">
        <f>Table_1[[#This Row],[Cost Price]]*Table_1[[#This Row],[Quantity]]</f>
        <v>1056000</v>
      </c>
      <c r="N2053">
        <f>Table_1[[#This Row],[Revenue]]-Table_1[[#This Row],[COGS]]</f>
        <v>264000</v>
      </c>
      <c r="O2053" s="11">
        <f t="shared" si="225"/>
        <v>4656740000</v>
      </c>
      <c r="P2053">
        <f t="shared" si="226"/>
        <v>3725392000</v>
      </c>
      <c r="Q2053">
        <f t="shared" si="227"/>
        <v>931348000</v>
      </c>
      <c r="R2053" s="7">
        <f t="shared" si="228"/>
        <v>2098</v>
      </c>
      <c r="S2053" s="7">
        <f t="shared" si="229"/>
        <v>4</v>
      </c>
      <c r="T2053" s="7">
        <f t="shared" si="230"/>
        <v>2098</v>
      </c>
    </row>
    <row r="2054" spans="1:20" ht="14.25" customHeight="1" x14ac:dyDescent="0.35">
      <c r="A2054" s="2" t="s">
        <v>40</v>
      </c>
      <c r="B2054" s="2" t="s">
        <v>20</v>
      </c>
      <c r="C2054" s="2" t="s">
        <v>30</v>
      </c>
      <c r="D2054" s="2" t="s">
        <v>14</v>
      </c>
      <c r="E2054" s="2" t="s">
        <v>22</v>
      </c>
      <c r="F2054" s="2" t="s">
        <v>41</v>
      </c>
      <c r="G2054" s="2" t="s">
        <v>17</v>
      </c>
      <c r="H2054" s="2">
        <v>320000</v>
      </c>
      <c r="I2054" s="2">
        <v>9</v>
      </c>
      <c r="J2054" s="2" t="s">
        <v>43</v>
      </c>
      <c r="K2054" s="2">
        <f t="shared" si="224"/>
        <v>256000</v>
      </c>
      <c r="L2054" s="9">
        <f>Table_1[[#This Row],[Unit Price]]*Table_1[[#This Row],[Quantity]]</f>
        <v>2880000</v>
      </c>
      <c r="M2054" s="8">
        <f>Table_1[[#This Row],[Cost Price]]*Table_1[[#This Row],[Quantity]]</f>
        <v>2304000</v>
      </c>
      <c r="N2054">
        <f>Table_1[[#This Row],[Revenue]]-Table_1[[#This Row],[COGS]]</f>
        <v>576000</v>
      </c>
      <c r="O2054" s="11">
        <f t="shared" si="225"/>
        <v>4656740000</v>
      </c>
      <c r="P2054">
        <f t="shared" si="226"/>
        <v>3725392000</v>
      </c>
      <c r="Q2054">
        <f t="shared" si="227"/>
        <v>931348000</v>
      </c>
      <c r="R2054" s="7">
        <f t="shared" si="228"/>
        <v>2098</v>
      </c>
      <c r="S2054" s="7">
        <f t="shared" si="229"/>
        <v>3</v>
      </c>
      <c r="T2054" s="7">
        <f t="shared" si="230"/>
        <v>2098</v>
      </c>
    </row>
    <row r="2055" spans="1:20" ht="14.25" customHeight="1" x14ac:dyDescent="0.35">
      <c r="A2055" s="2" t="s">
        <v>11</v>
      </c>
      <c r="B2055" s="2" t="s">
        <v>29</v>
      </c>
      <c r="C2055" s="2" t="s">
        <v>30</v>
      </c>
      <c r="D2055" s="2" t="s">
        <v>14</v>
      </c>
      <c r="E2055" s="2" t="s">
        <v>22</v>
      </c>
      <c r="F2055" s="2" t="s">
        <v>52</v>
      </c>
      <c r="G2055" s="2" t="s">
        <v>36</v>
      </c>
      <c r="H2055" s="2">
        <v>420000</v>
      </c>
      <c r="I2055" s="2">
        <v>3</v>
      </c>
      <c r="J2055" s="2" t="s">
        <v>27</v>
      </c>
      <c r="K2055" s="2">
        <f t="shared" si="224"/>
        <v>336000</v>
      </c>
      <c r="L2055" s="9">
        <f>Table_1[[#This Row],[Unit Price]]*Table_1[[#This Row],[Quantity]]</f>
        <v>1260000</v>
      </c>
      <c r="M2055" s="8">
        <f>Table_1[[#This Row],[Cost Price]]*Table_1[[#This Row],[Quantity]]</f>
        <v>1008000</v>
      </c>
      <c r="N2055">
        <f>Table_1[[#This Row],[Revenue]]-Table_1[[#This Row],[COGS]]</f>
        <v>252000</v>
      </c>
      <c r="O2055" s="11">
        <f t="shared" si="225"/>
        <v>4656740000</v>
      </c>
      <c r="P2055">
        <f t="shared" si="226"/>
        <v>3725392000</v>
      </c>
      <c r="Q2055">
        <f t="shared" si="227"/>
        <v>931348000</v>
      </c>
      <c r="R2055" s="7">
        <f t="shared" si="228"/>
        <v>2098</v>
      </c>
      <c r="S2055" s="7">
        <f t="shared" si="229"/>
        <v>1</v>
      </c>
      <c r="T2055" s="7">
        <f t="shared" si="230"/>
        <v>2098</v>
      </c>
    </row>
    <row r="2056" spans="1:20" ht="14.25" customHeight="1" x14ac:dyDescent="0.35">
      <c r="A2056" s="2" t="s">
        <v>108</v>
      </c>
      <c r="B2056" s="2" t="s">
        <v>20</v>
      </c>
      <c r="C2056" s="2" t="s">
        <v>38</v>
      </c>
      <c r="D2056" s="2" t="s">
        <v>26</v>
      </c>
      <c r="E2056" s="2" t="s">
        <v>22</v>
      </c>
      <c r="F2056" s="2" t="s">
        <v>39</v>
      </c>
      <c r="G2056" s="2" t="s">
        <v>24</v>
      </c>
      <c r="H2056" s="2">
        <v>180000</v>
      </c>
      <c r="I2056" s="2">
        <v>9</v>
      </c>
      <c r="J2056" s="2" t="s">
        <v>18</v>
      </c>
      <c r="K2056" s="2">
        <f t="shared" si="224"/>
        <v>144000</v>
      </c>
      <c r="L2056" s="9">
        <f>Table_1[[#This Row],[Unit Price]]*Table_1[[#This Row],[Quantity]]</f>
        <v>1620000</v>
      </c>
      <c r="M2056" s="8">
        <f>Table_1[[#This Row],[Cost Price]]*Table_1[[#This Row],[Quantity]]</f>
        <v>1296000</v>
      </c>
      <c r="N2056">
        <f>Table_1[[#This Row],[Revenue]]-Table_1[[#This Row],[COGS]]</f>
        <v>324000</v>
      </c>
      <c r="O2056" s="11">
        <f t="shared" si="225"/>
        <v>4656740000</v>
      </c>
      <c r="P2056">
        <f t="shared" si="226"/>
        <v>3725392000</v>
      </c>
      <c r="Q2056">
        <f t="shared" si="227"/>
        <v>931348000</v>
      </c>
      <c r="R2056" s="7">
        <f t="shared" si="228"/>
        <v>2098</v>
      </c>
      <c r="S2056" s="7">
        <f t="shared" si="229"/>
        <v>4</v>
      </c>
      <c r="T2056" s="7">
        <f t="shared" si="230"/>
        <v>2098</v>
      </c>
    </row>
    <row r="2057" spans="1:20" ht="14.25" customHeight="1" x14ac:dyDescent="0.35">
      <c r="A2057" s="2" t="s">
        <v>157</v>
      </c>
      <c r="B2057" s="2" t="s">
        <v>29</v>
      </c>
      <c r="C2057" s="2" t="s">
        <v>38</v>
      </c>
      <c r="D2057" s="2" t="s">
        <v>26</v>
      </c>
      <c r="E2057" s="2" t="s">
        <v>22</v>
      </c>
      <c r="F2057" s="2" t="s">
        <v>31</v>
      </c>
      <c r="G2057" s="2" t="s">
        <v>24</v>
      </c>
      <c r="H2057" s="2">
        <v>60000</v>
      </c>
      <c r="I2057" s="2">
        <v>1</v>
      </c>
      <c r="J2057" s="2" t="s">
        <v>18</v>
      </c>
      <c r="K2057" s="2">
        <f t="shared" si="224"/>
        <v>48000</v>
      </c>
      <c r="L2057" s="9">
        <f>Table_1[[#This Row],[Unit Price]]*Table_1[[#This Row],[Quantity]]</f>
        <v>60000</v>
      </c>
      <c r="M2057" s="8">
        <f>Table_1[[#This Row],[Cost Price]]*Table_1[[#This Row],[Quantity]]</f>
        <v>48000</v>
      </c>
      <c r="N2057">
        <f>Table_1[[#This Row],[Revenue]]-Table_1[[#This Row],[COGS]]</f>
        <v>12000</v>
      </c>
      <c r="O2057" s="11">
        <f t="shared" si="225"/>
        <v>4656740000</v>
      </c>
      <c r="P2057">
        <f t="shared" si="226"/>
        <v>3725392000</v>
      </c>
      <c r="Q2057">
        <f t="shared" si="227"/>
        <v>931348000</v>
      </c>
      <c r="R2057" s="7">
        <f t="shared" si="228"/>
        <v>2098</v>
      </c>
      <c r="S2057" s="7">
        <f t="shared" si="229"/>
        <v>3</v>
      </c>
      <c r="T2057" s="7">
        <f t="shared" si="230"/>
        <v>2098</v>
      </c>
    </row>
    <row r="2058" spans="1:20" ht="14.25" customHeight="1" x14ac:dyDescent="0.35">
      <c r="A2058" s="2" t="s">
        <v>72</v>
      </c>
      <c r="B2058" s="2" t="s">
        <v>12</v>
      </c>
      <c r="C2058" s="2" t="s">
        <v>30</v>
      </c>
      <c r="D2058" s="2" t="s">
        <v>26</v>
      </c>
      <c r="E2058" s="2" t="s">
        <v>22</v>
      </c>
      <c r="F2058" s="2" t="s">
        <v>56</v>
      </c>
      <c r="G2058" s="2" t="s">
        <v>36</v>
      </c>
      <c r="H2058" s="2">
        <v>250000</v>
      </c>
      <c r="I2058" s="2">
        <v>5</v>
      </c>
      <c r="J2058" s="2" t="s">
        <v>43</v>
      </c>
      <c r="K2058" s="2">
        <f t="shared" si="224"/>
        <v>200000</v>
      </c>
      <c r="L2058" s="9">
        <f>Table_1[[#This Row],[Unit Price]]*Table_1[[#This Row],[Quantity]]</f>
        <v>1250000</v>
      </c>
      <c r="M2058" s="8">
        <f>Table_1[[#This Row],[Cost Price]]*Table_1[[#This Row],[Quantity]]</f>
        <v>1000000</v>
      </c>
      <c r="N2058">
        <f>Table_1[[#This Row],[Revenue]]-Table_1[[#This Row],[COGS]]</f>
        <v>250000</v>
      </c>
      <c r="O2058" s="11">
        <f t="shared" si="225"/>
        <v>4656740000</v>
      </c>
      <c r="P2058">
        <f t="shared" si="226"/>
        <v>3725392000</v>
      </c>
      <c r="Q2058">
        <f t="shared" si="227"/>
        <v>931348000</v>
      </c>
      <c r="R2058" s="7">
        <f t="shared" si="228"/>
        <v>2098</v>
      </c>
      <c r="S2058" s="7">
        <f t="shared" si="229"/>
        <v>3</v>
      </c>
      <c r="T2058" s="7">
        <f t="shared" si="230"/>
        <v>2098</v>
      </c>
    </row>
    <row r="2059" spans="1:20" ht="14.25" customHeight="1" x14ac:dyDescent="0.35">
      <c r="A2059" s="2" t="s">
        <v>28</v>
      </c>
      <c r="B2059" s="2" t="s">
        <v>12</v>
      </c>
      <c r="C2059" s="2" t="s">
        <v>13</v>
      </c>
      <c r="D2059" s="2" t="s">
        <v>26</v>
      </c>
      <c r="E2059" s="2" t="s">
        <v>22</v>
      </c>
      <c r="F2059" s="2" t="s">
        <v>23</v>
      </c>
      <c r="G2059" s="2" t="s">
        <v>24</v>
      </c>
      <c r="H2059" s="2">
        <v>30000</v>
      </c>
      <c r="I2059" s="2">
        <v>8</v>
      </c>
      <c r="J2059" s="2" t="s">
        <v>18</v>
      </c>
      <c r="K2059" s="2">
        <f t="shared" si="224"/>
        <v>24000</v>
      </c>
      <c r="L2059" s="9">
        <f>Table_1[[#This Row],[Unit Price]]*Table_1[[#This Row],[Quantity]]</f>
        <v>240000</v>
      </c>
      <c r="M2059" s="8">
        <f>Table_1[[#This Row],[Cost Price]]*Table_1[[#This Row],[Quantity]]</f>
        <v>192000</v>
      </c>
      <c r="N2059">
        <f>Table_1[[#This Row],[Revenue]]-Table_1[[#This Row],[COGS]]</f>
        <v>48000</v>
      </c>
      <c r="O2059" s="11">
        <f t="shared" si="225"/>
        <v>4656740000</v>
      </c>
      <c r="P2059">
        <f t="shared" si="226"/>
        <v>3725392000</v>
      </c>
      <c r="Q2059">
        <f t="shared" si="227"/>
        <v>931348000</v>
      </c>
      <c r="R2059" s="7">
        <f t="shared" si="228"/>
        <v>2098</v>
      </c>
      <c r="S2059" s="7">
        <f t="shared" si="229"/>
        <v>4</v>
      </c>
      <c r="T2059" s="7">
        <f t="shared" si="230"/>
        <v>2098</v>
      </c>
    </row>
    <row r="2060" spans="1:20" ht="14.25" customHeight="1" x14ac:dyDescent="0.35">
      <c r="A2060" s="2" t="s">
        <v>121</v>
      </c>
      <c r="B2060" s="2" t="s">
        <v>34</v>
      </c>
      <c r="C2060" s="2" t="s">
        <v>13</v>
      </c>
      <c r="D2060" s="2" t="s">
        <v>14</v>
      </c>
      <c r="E2060" s="2" t="s">
        <v>15</v>
      </c>
      <c r="F2060" s="2" t="s">
        <v>39</v>
      </c>
      <c r="G2060" s="2" t="s">
        <v>24</v>
      </c>
      <c r="H2060" s="2">
        <v>180000</v>
      </c>
      <c r="I2060" s="2">
        <v>6</v>
      </c>
      <c r="J2060" s="2" t="s">
        <v>18</v>
      </c>
      <c r="K2060" s="2">
        <f t="shared" si="224"/>
        <v>144000</v>
      </c>
      <c r="L2060" s="9">
        <f>Table_1[[#This Row],[Unit Price]]*Table_1[[#This Row],[Quantity]]</f>
        <v>1080000</v>
      </c>
      <c r="M2060" s="8">
        <f>Table_1[[#This Row],[Cost Price]]*Table_1[[#This Row],[Quantity]]</f>
        <v>864000</v>
      </c>
      <c r="N2060">
        <f>Table_1[[#This Row],[Revenue]]-Table_1[[#This Row],[COGS]]</f>
        <v>216000</v>
      </c>
      <c r="O2060" s="11">
        <f t="shared" si="225"/>
        <v>4656740000</v>
      </c>
      <c r="P2060">
        <f t="shared" si="226"/>
        <v>3725392000</v>
      </c>
      <c r="Q2060">
        <f t="shared" si="227"/>
        <v>931348000</v>
      </c>
      <c r="R2060" s="7">
        <f t="shared" si="228"/>
        <v>2098</v>
      </c>
      <c r="S2060" s="7">
        <f t="shared" si="229"/>
        <v>2</v>
      </c>
      <c r="T2060" s="7">
        <f t="shared" si="230"/>
        <v>2098</v>
      </c>
    </row>
    <row r="2061" spans="1:20" ht="14.25" customHeight="1" x14ac:dyDescent="0.35">
      <c r="A2061" s="2" t="s">
        <v>108</v>
      </c>
      <c r="B2061" s="2" t="s">
        <v>20</v>
      </c>
      <c r="C2061" s="2" t="s">
        <v>30</v>
      </c>
      <c r="D2061" s="2" t="s">
        <v>14</v>
      </c>
      <c r="E2061" s="2" t="s">
        <v>22</v>
      </c>
      <c r="F2061" s="2" t="s">
        <v>31</v>
      </c>
      <c r="G2061" s="2" t="s">
        <v>24</v>
      </c>
      <c r="H2061" s="2">
        <v>60000</v>
      </c>
      <c r="I2061" s="2">
        <v>1</v>
      </c>
      <c r="J2061" s="2" t="s">
        <v>32</v>
      </c>
      <c r="K2061" s="2">
        <f t="shared" si="224"/>
        <v>48000</v>
      </c>
      <c r="L2061" s="9">
        <f>Table_1[[#This Row],[Unit Price]]*Table_1[[#This Row],[Quantity]]</f>
        <v>60000</v>
      </c>
      <c r="M2061" s="8">
        <f>Table_1[[#This Row],[Cost Price]]*Table_1[[#This Row],[Quantity]]</f>
        <v>48000</v>
      </c>
      <c r="N2061">
        <f>Table_1[[#This Row],[Revenue]]-Table_1[[#This Row],[COGS]]</f>
        <v>12000</v>
      </c>
      <c r="O2061" s="11">
        <f t="shared" si="225"/>
        <v>4656740000</v>
      </c>
      <c r="P2061">
        <f t="shared" si="226"/>
        <v>3725392000</v>
      </c>
      <c r="Q2061">
        <f t="shared" si="227"/>
        <v>931348000</v>
      </c>
      <c r="R2061" s="7">
        <f t="shared" si="228"/>
        <v>2098</v>
      </c>
      <c r="S2061" s="7">
        <f t="shared" si="229"/>
        <v>4</v>
      </c>
      <c r="T2061" s="7">
        <f t="shared" si="230"/>
        <v>2098</v>
      </c>
    </row>
    <row r="2062" spans="1:20" ht="14.25" customHeight="1" x14ac:dyDescent="0.35">
      <c r="A2062" s="2" t="s">
        <v>33</v>
      </c>
      <c r="B2062" s="2" t="s">
        <v>20</v>
      </c>
      <c r="C2062" s="2" t="s">
        <v>30</v>
      </c>
      <c r="D2062" s="2" t="s">
        <v>14</v>
      </c>
      <c r="E2062" s="2" t="s">
        <v>15</v>
      </c>
      <c r="F2062" s="2" t="s">
        <v>47</v>
      </c>
      <c r="G2062" s="2" t="s">
        <v>36</v>
      </c>
      <c r="H2062" s="2">
        <v>150000</v>
      </c>
      <c r="I2062" s="2">
        <v>5</v>
      </c>
      <c r="J2062" s="2" t="s">
        <v>54</v>
      </c>
      <c r="K2062" s="2">
        <f t="shared" si="224"/>
        <v>120000</v>
      </c>
      <c r="L2062" s="9">
        <f>Table_1[[#This Row],[Unit Price]]*Table_1[[#This Row],[Quantity]]</f>
        <v>750000</v>
      </c>
      <c r="M2062" s="8">
        <f>Table_1[[#This Row],[Cost Price]]*Table_1[[#This Row],[Quantity]]</f>
        <v>600000</v>
      </c>
      <c r="N2062">
        <f>Table_1[[#This Row],[Revenue]]-Table_1[[#This Row],[COGS]]</f>
        <v>150000</v>
      </c>
      <c r="O2062" s="11">
        <f t="shared" si="225"/>
        <v>4656740000</v>
      </c>
      <c r="P2062">
        <f t="shared" si="226"/>
        <v>3725392000</v>
      </c>
      <c r="Q2062">
        <f t="shared" si="227"/>
        <v>931348000</v>
      </c>
      <c r="R2062" s="7">
        <f t="shared" si="228"/>
        <v>2098</v>
      </c>
      <c r="S2062" s="7">
        <f t="shared" si="229"/>
        <v>4</v>
      </c>
      <c r="T2062" s="7">
        <f t="shared" si="230"/>
        <v>2098</v>
      </c>
    </row>
    <row r="2063" spans="1:20" ht="14.25" customHeight="1" x14ac:dyDescent="0.35">
      <c r="A2063" s="2" t="s">
        <v>162</v>
      </c>
      <c r="B2063" s="2" t="s">
        <v>34</v>
      </c>
      <c r="C2063" s="2" t="s">
        <v>21</v>
      </c>
      <c r="D2063" s="2" t="s">
        <v>26</v>
      </c>
      <c r="E2063" s="2" t="s">
        <v>22</v>
      </c>
      <c r="F2063" s="2" t="s">
        <v>16</v>
      </c>
      <c r="G2063" s="2" t="s">
        <v>17</v>
      </c>
      <c r="H2063" s="2">
        <v>85000</v>
      </c>
      <c r="I2063" s="2">
        <v>1</v>
      </c>
      <c r="J2063" s="2" t="s">
        <v>54</v>
      </c>
      <c r="K2063" s="2">
        <f t="shared" si="224"/>
        <v>68000</v>
      </c>
      <c r="L2063" s="9">
        <f>Table_1[[#This Row],[Unit Price]]*Table_1[[#This Row],[Quantity]]</f>
        <v>85000</v>
      </c>
      <c r="M2063" s="8">
        <f>Table_1[[#This Row],[Cost Price]]*Table_1[[#This Row],[Quantity]]</f>
        <v>68000</v>
      </c>
      <c r="N2063">
        <f>Table_1[[#This Row],[Revenue]]-Table_1[[#This Row],[COGS]]</f>
        <v>17000</v>
      </c>
      <c r="O2063" s="11">
        <f t="shared" si="225"/>
        <v>4656740000</v>
      </c>
      <c r="P2063">
        <f t="shared" si="226"/>
        <v>3725392000</v>
      </c>
      <c r="Q2063">
        <f t="shared" si="227"/>
        <v>931348000</v>
      </c>
      <c r="R2063" s="7">
        <f t="shared" si="228"/>
        <v>2098</v>
      </c>
      <c r="S2063" s="7">
        <f t="shared" si="229"/>
        <v>3</v>
      </c>
      <c r="T2063" s="7">
        <f t="shared" si="230"/>
        <v>2098</v>
      </c>
    </row>
    <row r="2064" spans="1:20" ht="14.25" customHeight="1" x14ac:dyDescent="0.35">
      <c r="A2064" s="2" t="s">
        <v>48</v>
      </c>
      <c r="B2064" s="2" t="s">
        <v>29</v>
      </c>
      <c r="C2064" s="2" t="s">
        <v>21</v>
      </c>
      <c r="D2064" s="2" t="s">
        <v>26</v>
      </c>
      <c r="E2064" s="2" t="s">
        <v>22</v>
      </c>
      <c r="F2064" s="2" t="s">
        <v>47</v>
      </c>
      <c r="G2064" s="2" t="s">
        <v>36</v>
      </c>
      <c r="H2064" s="2">
        <v>150000</v>
      </c>
      <c r="I2064" s="2">
        <v>7</v>
      </c>
      <c r="J2064" s="2" t="s">
        <v>43</v>
      </c>
      <c r="K2064" s="2">
        <f t="shared" si="224"/>
        <v>120000</v>
      </c>
      <c r="L2064" s="9">
        <f>Table_1[[#This Row],[Unit Price]]*Table_1[[#This Row],[Quantity]]</f>
        <v>1050000</v>
      </c>
      <c r="M2064" s="8">
        <f>Table_1[[#This Row],[Cost Price]]*Table_1[[#This Row],[Quantity]]</f>
        <v>840000</v>
      </c>
      <c r="N2064">
        <f>Table_1[[#This Row],[Revenue]]-Table_1[[#This Row],[COGS]]</f>
        <v>210000</v>
      </c>
      <c r="O2064" s="11">
        <f t="shared" si="225"/>
        <v>4656740000</v>
      </c>
      <c r="P2064">
        <f t="shared" si="226"/>
        <v>3725392000</v>
      </c>
      <c r="Q2064">
        <f t="shared" si="227"/>
        <v>931348000</v>
      </c>
      <c r="R2064" s="7">
        <f t="shared" si="228"/>
        <v>2098</v>
      </c>
      <c r="S2064" s="7">
        <f t="shared" si="229"/>
        <v>1</v>
      </c>
      <c r="T2064" s="7">
        <f t="shared" si="230"/>
        <v>2098</v>
      </c>
    </row>
    <row r="2065" spans="1:20" ht="14.25" customHeight="1" x14ac:dyDescent="0.35">
      <c r="A2065" s="2" t="s">
        <v>83</v>
      </c>
      <c r="B2065" s="2" t="s">
        <v>34</v>
      </c>
      <c r="C2065" s="2" t="s">
        <v>30</v>
      </c>
      <c r="D2065" s="2" t="s">
        <v>26</v>
      </c>
      <c r="E2065" s="2" t="s">
        <v>22</v>
      </c>
      <c r="F2065" s="2" t="s">
        <v>39</v>
      </c>
      <c r="G2065" s="2" t="s">
        <v>24</v>
      </c>
      <c r="H2065" s="2">
        <v>180000</v>
      </c>
      <c r="I2065" s="2">
        <v>4</v>
      </c>
      <c r="J2065" s="2" t="s">
        <v>18</v>
      </c>
      <c r="K2065" s="2">
        <f t="shared" si="224"/>
        <v>144000</v>
      </c>
      <c r="L2065" s="9">
        <f>Table_1[[#This Row],[Unit Price]]*Table_1[[#This Row],[Quantity]]</f>
        <v>720000</v>
      </c>
      <c r="M2065" s="8">
        <f>Table_1[[#This Row],[Cost Price]]*Table_1[[#This Row],[Quantity]]</f>
        <v>576000</v>
      </c>
      <c r="N2065">
        <f>Table_1[[#This Row],[Revenue]]-Table_1[[#This Row],[COGS]]</f>
        <v>144000</v>
      </c>
      <c r="O2065" s="11">
        <f t="shared" si="225"/>
        <v>4656740000</v>
      </c>
      <c r="P2065">
        <f t="shared" si="226"/>
        <v>3725392000</v>
      </c>
      <c r="Q2065">
        <f t="shared" si="227"/>
        <v>931348000</v>
      </c>
      <c r="R2065" s="7">
        <f t="shared" si="228"/>
        <v>2098</v>
      </c>
      <c r="S2065" s="7">
        <f t="shared" si="229"/>
        <v>1</v>
      </c>
      <c r="T2065" s="7">
        <f t="shared" si="230"/>
        <v>2098</v>
      </c>
    </row>
    <row r="2066" spans="1:20" ht="14.25" customHeight="1" x14ac:dyDescent="0.35">
      <c r="A2066" s="2" t="s">
        <v>102</v>
      </c>
      <c r="B2066" s="2" t="s">
        <v>34</v>
      </c>
      <c r="C2066" s="2" t="s">
        <v>30</v>
      </c>
      <c r="D2066" s="2" t="s">
        <v>26</v>
      </c>
      <c r="E2066" s="2" t="s">
        <v>22</v>
      </c>
      <c r="F2066" s="2" t="s">
        <v>16</v>
      </c>
      <c r="G2066" s="2" t="s">
        <v>17</v>
      </c>
      <c r="H2066" s="2">
        <v>85000</v>
      </c>
      <c r="I2066" s="2">
        <v>8</v>
      </c>
      <c r="J2066" s="2" t="s">
        <v>18</v>
      </c>
      <c r="K2066" s="2">
        <f t="shared" si="224"/>
        <v>68000</v>
      </c>
      <c r="L2066" s="9">
        <f>Table_1[[#This Row],[Unit Price]]*Table_1[[#This Row],[Quantity]]</f>
        <v>680000</v>
      </c>
      <c r="M2066" s="8">
        <f>Table_1[[#This Row],[Cost Price]]*Table_1[[#This Row],[Quantity]]</f>
        <v>544000</v>
      </c>
      <c r="N2066">
        <f>Table_1[[#This Row],[Revenue]]-Table_1[[#This Row],[COGS]]</f>
        <v>136000</v>
      </c>
      <c r="O2066" s="11">
        <f t="shared" si="225"/>
        <v>4656740000</v>
      </c>
      <c r="P2066">
        <f t="shared" si="226"/>
        <v>3725392000</v>
      </c>
      <c r="Q2066">
        <f t="shared" si="227"/>
        <v>931348000</v>
      </c>
      <c r="R2066" s="7">
        <f t="shared" si="228"/>
        <v>2098</v>
      </c>
      <c r="S2066" s="7">
        <f t="shared" si="229"/>
        <v>1</v>
      </c>
      <c r="T2066" s="7">
        <f t="shared" si="230"/>
        <v>2098</v>
      </c>
    </row>
    <row r="2067" spans="1:20" ht="14.25" customHeight="1" x14ac:dyDescent="0.35">
      <c r="A2067" s="2" t="s">
        <v>149</v>
      </c>
      <c r="B2067" s="2" t="s">
        <v>34</v>
      </c>
      <c r="C2067" s="2" t="s">
        <v>38</v>
      </c>
      <c r="D2067" s="2" t="s">
        <v>26</v>
      </c>
      <c r="E2067" s="2" t="s">
        <v>22</v>
      </c>
      <c r="F2067" s="2" t="s">
        <v>41</v>
      </c>
      <c r="G2067" s="2" t="s">
        <v>17</v>
      </c>
      <c r="H2067" s="2">
        <v>320000</v>
      </c>
      <c r="I2067" s="2">
        <v>4</v>
      </c>
      <c r="J2067" s="2" t="s">
        <v>27</v>
      </c>
      <c r="K2067" s="2">
        <f t="shared" si="224"/>
        <v>256000</v>
      </c>
      <c r="L2067" s="9">
        <f>Table_1[[#This Row],[Unit Price]]*Table_1[[#This Row],[Quantity]]</f>
        <v>1280000</v>
      </c>
      <c r="M2067" s="8">
        <f>Table_1[[#This Row],[Cost Price]]*Table_1[[#This Row],[Quantity]]</f>
        <v>1024000</v>
      </c>
      <c r="N2067">
        <f>Table_1[[#This Row],[Revenue]]-Table_1[[#This Row],[COGS]]</f>
        <v>256000</v>
      </c>
      <c r="O2067" s="11">
        <f t="shared" si="225"/>
        <v>4656740000</v>
      </c>
      <c r="P2067">
        <f t="shared" si="226"/>
        <v>3725392000</v>
      </c>
      <c r="Q2067">
        <f t="shared" si="227"/>
        <v>931348000</v>
      </c>
      <c r="R2067" s="7">
        <f t="shared" si="228"/>
        <v>2098</v>
      </c>
      <c r="S2067" s="7">
        <f t="shared" si="229"/>
        <v>3</v>
      </c>
      <c r="T2067" s="7">
        <f t="shared" si="230"/>
        <v>2098</v>
      </c>
    </row>
    <row r="2068" spans="1:20" ht="14.25" customHeight="1" x14ac:dyDescent="0.35">
      <c r="A2068" s="2" t="s">
        <v>66</v>
      </c>
      <c r="B2068" s="2" t="s">
        <v>12</v>
      </c>
      <c r="C2068" s="2" t="s">
        <v>30</v>
      </c>
      <c r="D2068" s="2" t="s">
        <v>14</v>
      </c>
      <c r="E2068" s="2" t="s">
        <v>22</v>
      </c>
      <c r="F2068" s="2" t="s">
        <v>56</v>
      </c>
      <c r="G2068" s="2" t="s">
        <v>36</v>
      </c>
      <c r="H2068" s="2">
        <v>250000</v>
      </c>
      <c r="I2068" s="2">
        <v>6</v>
      </c>
      <c r="J2068" s="2" t="s">
        <v>43</v>
      </c>
      <c r="K2068" s="2">
        <f t="shared" si="224"/>
        <v>200000</v>
      </c>
      <c r="L2068" s="9">
        <f>Table_1[[#This Row],[Unit Price]]*Table_1[[#This Row],[Quantity]]</f>
        <v>1500000</v>
      </c>
      <c r="M2068" s="8">
        <f>Table_1[[#This Row],[Cost Price]]*Table_1[[#This Row],[Quantity]]</f>
        <v>1200000</v>
      </c>
      <c r="N2068">
        <f>Table_1[[#This Row],[Revenue]]-Table_1[[#This Row],[COGS]]</f>
        <v>300000</v>
      </c>
      <c r="O2068" s="11">
        <f t="shared" si="225"/>
        <v>4656740000</v>
      </c>
      <c r="P2068">
        <f t="shared" si="226"/>
        <v>3725392000</v>
      </c>
      <c r="Q2068">
        <f t="shared" si="227"/>
        <v>931348000</v>
      </c>
      <c r="R2068" s="7">
        <f t="shared" si="228"/>
        <v>2098</v>
      </c>
      <c r="S2068" s="7">
        <f t="shared" si="229"/>
        <v>3</v>
      </c>
      <c r="T2068" s="7">
        <f t="shared" si="230"/>
        <v>2098</v>
      </c>
    </row>
    <row r="2069" spans="1:20" ht="14.25" customHeight="1" x14ac:dyDescent="0.35">
      <c r="A2069" s="2" t="s">
        <v>107</v>
      </c>
      <c r="B2069" s="2" t="s">
        <v>12</v>
      </c>
      <c r="C2069" s="2" t="s">
        <v>30</v>
      </c>
      <c r="D2069" s="2" t="s">
        <v>14</v>
      </c>
      <c r="E2069" s="2" t="s">
        <v>22</v>
      </c>
      <c r="F2069" s="2" t="s">
        <v>58</v>
      </c>
      <c r="G2069" s="2" t="s">
        <v>24</v>
      </c>
      <c r="H2069" s="2">
        <v>220000</v>
      </c>
      <c r="I2069" s="2">
        <v>5</v>
      </c>
      <c r="J2069" s="2" t="s">
        <v>32</v>
      </c>
      <c r="K2069" s="2">
        <f t="shared" si="224"/>
        <v>176000</v>
      </c>
      <c r="L2069" s="9">
        <f>Table_1[[#This Row],[Unit Price]]*Table_1[[#This Row],[Quantity]]</f>
        <v>1100000</v>
      </c>
      <c r="M2069" s="8">
        <f>Table_1[[#This Row],[Cost Price]]*Table_1[[#This Row],[Quantity]]</f>
        <v>880000</v>
      </c>
      <c r="N2069">
        <f>Table_1[[#This Row],[Revenue]]-Table_1[[#This Row],[COGS]]</f>
        <v>220000</v>
      </c>
      <c r="O2069" s="11">
        <f t="shared" si="225"/>
        <v>4656740000</v>
      </c>
      <c r="P2069">
        <f t="shared" si="226"/>
        <v>3725392000</v>
      </c>
      <c r="Q2069">
        <f t="shared" si="227"/>
        <v>931348000</v>
      </c>
      <c r="R2069" s="7">
        <f t="shared" si="228"/>
        <v>2098</v>
      </c>
      <c r="S2069" s="7">
        <f t="shared" si="229"/>
        <v>3</v>
      </c>
      <c r="T2069" s="7">
        <f t="shared" si="230"/>
        <v>2098</v>
      </c>
    </row>
    <row r="2070" spans="1:20" ht="14.25" customHeight="1" x14ac:dyDescent="0.35">
      <c r="A2070" s="2" t="s">
        <v>75</v>
      </c>
      <c r="B2070" s="2" t="s">
        <v>29</v>
      </c>
      <c r="C2070" s="2" t="s">
        <v>21</v>
      </c>
      <c r="D2070" s="2" t="s">
        <v>26</v>
      </c>
      <c r="E2070" s="2" t="s">
        <v>22</v>
      </c>
      <c r="F2070" s="2" t="s">
        <v>35</v>
      </c>
      <c r="G2070" s="2" t="s">
        <v>36</v>
      </c>
      <c r="H2070" s="2">
        <v>300000</v>
      </c>
      <c r="I2070" s="2">
        <v>8</v>
      </c>
      <c r="J2070" s="2" t="s">
        <v>50</v>
      </c>
      <c r="K2070" s="2">
        <f t="shared" si="224"/>
        <v>240000</v>
      </c>
      <c r="L2070" s="9">
        <f>Table_1[[#This Row],[Unit Price]]*Table_1[[#This Row],[Quantity]]</f>
        <v>2400000</v>
      </c>
      <c r="M2070" s="8">
        <f>Table_1[[#This Row],[Cost Price]]*Table_1[[#This Row],[Quantity]]</f>
        <v>1920000</v>
      </c>
      <c r="N2070">
        <f>Table_1[[#This Row],[Revenue]]-Table_1[[#This Row],[COGS]]</f>
        <v>480000</v>
      </c>
      <c r="O2070" s="11">
        <f t="shared" si="225"/>
        <v>4656740000</v>
      </c>
      <c r="P2070">
        <f t="shared" si="226"/>
        <v>3725392000</v>
      </c>
      <c r="Q2070">
        <f t="shared" si="227"/>
        <v>931348000</v>
      </c>
      <c r="R2070" s="7">
        <f t="shared" si="228"/>
        <v>2098</v>
      </c>
      <c r="S2070" s="7">
        <f t="shared" si="229"/>
        <v>2</v>
      </c>
      <c r="T2070" s="7">
        <f t="shared" si="230"/>
        <v>2098</v>
      </c>
    </row>
    <row r="2071" spans="1:20" ht="14.25" customHeight="1" x14ac:dyDescent="0.35">
      <c r="A2071" s="2" t="s">
        <v>90</v>
      </c>
      <c r="B2071" s="2" t="s">
        <v>29</v>
      </c>
      <c r="C2071" s="2" t="s">
        <v>38</v>
      </c>
      <c r="D2071" s="2" t="s">
        <v>14</v>
      </c>
      <c r="E2071" s="2" t="s">
        <v>22</v>
      </c>
      <c r="F2071" s="2" t="s">
        <v>31</v>
      </c>
      <c r="G2071" s="2" t="s">
        <v>24</v>
      </c>
      <c r="H2071" s="2">
        <v>60000</v>
      </c>
      <c r="I2071" s="2">
        <v>10</v>
      </c>
      <c r="J2071" s="2" t="s">
        <v>32</v>
      </c>
      <c r="K2071" s="2">
        <f t="shared" si="224"/>
        <v>48000</v>
      </c>
      <c r="L2071" s="9">
        <f>Table_1[[#This Row],[Unit Price]]*Table_1[[#This Row],[Quantity]]</f>
        <v>600000</v>
      </c>
      <c r="M2071" s="8">
        <f>Table_1[[#This Row],[Cost Price]]*Table_1[[#This Row],[Quantity]]</f>
        <v>480000</v>
      </c>
      <c r="N2071">
        <f>Table_1[[#This Row],[Revenue]]-Table_1[[#This Row],[COGS]]</f>
        <v>120000</v>
      </c>
      <c r="O2071" s="11">
        <f t="shared" si="225"/>
        <v>4656740000</v>
      </c>
      <c r="P2071">
        <f t="shared" si="226"/>
        <v>3725392000</v>
      </c>
      <c r="Q2071">
        <f t="shared" si="227"/>
        <v>931348000</v>
      </c>
      <c r="R2071" s="7">
        <f t="shared" si="228"/>
        <v>2098</v>
      </c>
      <c r="S2071" s="7">
        <f t="shared" si="229"/>
        <v>3</v>
      </c>
      <c r="T2071" s="7">
        <f t="shared" si="230"/>
        <v>2098</v>
      </c>
    </row>
    <row r="2072" spans="1:20" ht="14.25" customHeight="1" x14ac:dyDescent="0.35">
      <c r="A2072" s="2" t="s">
        <v>85</v>
      </c>
      <c r="B2072" s="2" t="s">
        <v>29</v>
      </c>
      <c r="C2072" s="2" t="s">
        <v>21</v>
      </c>
      <c r="D2072" s="2" t="s">
        <v>14</v>
      </c>
      <c r="E2072" s="2" t="s">
        <v>22</v>
      </c>
      <c r="F2072" s="2" t="s">
        <v>39</v>
      </c>
      <c r="G2072" s="2" t="s">
        <v>24</v>
      </c>
      <c r="H2072" s="2">
        <v>180000</v>
      </c>
      <c r="I2072" s="2">
        <v>6</v>
      </c>
      <c r="J2072" s="2" t="s">
        <v>54</v>
      </c>
      <c r="K2072" s="2">
        <f t="shared" si="224"/>
        <v>144000</v>
      </c>
      <c r="L2072" s="9">
        <f>Table_1[[#This Row],[Unit Price]]*Table_1[[#This Row],[Quantity]]</f>
        <v>1080000</v>
      </c>
      <c r="M2072" s="8">
        <f>Table_1[[#This Row],[Cost Price]]*Table_1[[#This Row],[Quantity]]</f>
        <v>864000</v>
      </c>
      <c r="N2072">
        <f>Table_1[[#This Row],[Revenue]]-Table_1[[#This Row],[COGS]]</f>
        <v>216000</v>
      </c>
      <c r="O2072" s="11">
        <f t="shared" si="225"/>
        <v>4656740000</v>
      </c>
      <c r="P2072">
        <f t="shared" si="226"/>
        <v>3725392000</v>
      </c>
      <c r="Q2072">
        <f t="shared" si="227"/>
        <v>931348000</v>
      </c>
      <c r="R2072" s="7">
        <f t="shared" si="228"/>
        <v>2098</v>
      </c>
      <c r="S2072" s="7">
        <f t="shared" si="229"/>
        <v>1</v>
      </c>
      <c r="T2072" s="7">
        <f t="shared" si="230"/>
        <v>2098</v>
      </c>
    </row>
    <row r="2073" spans="1:20" ht="14.25" customHeight="1" x14ac:dyDescent="0.35">
      <c r="A2073" s="2" t="s">
        <v>150</v>
      </c>
      <c r="B2073" s="2" t="s">
        <v>29</v>
      </c>
      <c r="C2073" s="2" t="s">
        <v>30</v>
      </c>
      <c r="D2073" s="2" t="s">
        <v>26</v>
      </c>
      <c r="E2073" s="2" t="s">
        <v>22</v>
      </c>
      <c r="F2073" s="2" t="s">
        <v>31</v>
      </c>
      <c r="G2073" s="2" t="s">
        <v>24</v>
      </c>
      <c r="H2073" s="2">
        <v>60000</v>
      </c>
      <c r="I2073" s="2">
        <v>3</v>
      </c>
      <c r="J2073" s="2" t="s">
        <v>50</v>
      </c>
      <c r="K2073" s="2">
        <f t="shared" si="224"/>
        <v>48000</v>
      </c>
      <c r="L2073" s="9">
        <f>Table_1[[#This Row],[Unit Price]]*Table_1[[#This Row],[Quantity]]</f>
        <v>180000</v>
      </c>
      <c r="M2073" s="8">
        <f>Table_1[[#This Row],[Cost Price]]*Table_1[[#This Row],[Quantity]]</f>
        <v>144000</v>
      </c>
      <c r="N2073">
        <f>Table_1[[#This Row],[Revenue]]-Table_1[[#This Row],[COGS]]</f>
        <v>36000</v>
      </c>
      <c r="O2073" s="11">
        <f t="shared" si="225"/>
        <v>4656740000</v>
      </c>
      <c r="P2073">
        <f t="shared" si="226"/>
        <v>3725392000</v>
      </c>
      <c r="Q2073">
        <f t="shared" si="227"/>
        <v>931348000</v>
      </c>
      <c r="R2073" s="7">
        <f t="shared" si="228"/>
        <v>2098</v>
      </c>
      <c r="S2073" s="7">
        <f t="shared" si="229"/>
        <v>4</v>
      </c>
      <c r="T2073" s="7">
        <f t="shared" si="230"/>
        <v>2098</v>
      </c>
    </row>
    <row r="2074" spans="1:20" ht="14.25" customHeight="1" x14ac:dyDescent="0.35">
      <c r="A2074" s="2" t="s">
        <v>118</v>
      </c>
      <c r="B2074" s="2" t="s">
        <v>29</v>
      </c>
      <c r="C2074" s="2" t="s">
        <v>30</v>
      </c>
      <c r="D2074" s="2" t="s">
        <v>14</v>
      </c>
      <c r="E2074" s="2" t="s">
        <v>22</v>
      </c>
      <c r="F2074" s="2" t="s">
        <v>23</v>
      </c>
      <c r="G2074" s="2" t="s">
        <v>24</v>
      </c>
      <c r="H2074" s="2">
        <v>30000</v>
      </c>
      <c r="I2074" s="2">
        <v>4</v>
      </c>
      <c r="J2074" s="2" t="s">
        <v>27</v>
      </c>
      <c r="K2074" s="2">
        <f t="shared" si="224"/>
        <v>24000</v>
      </c>
      <c r="L2074" s="9">
        <f>Table_1[[#This Row],[Unit Price]]*Table_1[[#This Row],[Quantity]]</f>
        <v>120000</v>
      </c>
      <c r="M2074" s="8">
        <f>Table_1[[#This Row],[Cost Price]]*Table_1[[#This Row],[Quantity]]</f>
        <v>96000</v>
      </c>
      <c r="N2074">
        <f>Table_1[[#This Row],[Revenue]]-Table_1[[#This Row],[COGS]]</f>
        <v>24000</v>
      </c>
      <c r="O2074" s="11">
        <f t="shared" si="225"/>
        <v>4656740000</v>
      </c>
      <c r="P2074">
        <f t="shared" si="226"/>
        <v>3725392000</v>
      </c>
      <c r="Q2074">
        <f t="shared" si="227"/>
        <v>931348000</v>
      </c>
      <c r="R2074" s="7">
        <f t="shared" si="228"/>
        <v>2098</v>
      </c>
      <c r="S2074" s="7">
        <f t="shared" si="229"/>
        <v>1</v>
      </c>
      <c r="T2074" s="7">
        <f t="shared" si="230"/>
        <v>2098</v>
      </c>
    </row>
    <row r="2075" spans="1:20" ht="14.25" customHeight="1" x14ac:dyDescent="0.35">
      <c r="A2075" s="2" t="s">
        <v>147</v>
      </c>
      <c r="B2075" s="2" t="s">
        <v>20</v>
      </c>
      <c r="C2075" s="2" t="s">
        <v>13</v>
      </c>
      <c r="D2075" s="2" t="s">
        <v>26</v>
      </c>
      <c r="E2075" s="2" t="s">
        <v>22</v>
      </c>
      <c r="F2075" s="2" t="s">
        <v>31</v>
      </c>
      <c r="G2075" s="2" t="s">
        <v>24</v>
      </c>
      <c r="H2075" s="2">
        <v>60000</v>
      </c>
      <c r="I2075" s="2">
        <v>4</v>
      </c>
      <c r="J2075" s="2" t="s">
        <v>50</v>
      </c>
      <c r="K2075" s="2">
        <f t="shared" si="224"/>
        <v>48000</v>
      </c>
      <c r="L2075" s="9">
        <f>Table_1[[#This Row],[Unit Price]]*Table_1[[#This Row],[Quantity]]</f>
        <v>240000</v>
      </c>
      <c r="M2075" s="8">
        <f>Table_1[[#This Row],[Cost Price]]*Table_1[[#This Row],[Quantity]]</f>
        <v>192000</v>
      </c>
      <c r="N2075">
        <f>Table_1[[#This Row],[Revenue]]-Table_1[[#This Row],[COGS]]</f>
        <v>48000</v>
      </c>
      <c r="O2075" s="11">
        <f t="shared" si="225"/>
        <v>4656740000</v>
      </c>
      <c r="P2075">
        <f t="shared" si="226"/>
        <v>3725392000</v>
      </c>
      <c r="Q2075">
        <f t="shared" si="227"/>
        <v>931348000</v>
      </c>
      <c r="R2075" s="7">
        <f t="shared" si="228"/>
        <v>2098</v>
      </c>
      <c r="S2075" s="7">
        <f t="shared" si="229"/>
        <v>4</v>
      </c>
      <c r="T2075" s="7">
        <f t="shared" si="230"/>
        <v>2098</v>
      </c>
    </row>
    <row r="2076" spans="1:20" ht="14.25" customHeight="1" x14ac:dyDescent="0.35">
      <c r="A2076" s="2" t="s">
        <v>126</v>
      </c>
      <c r="B2076" s="2" t="s">
        <v>12</v>
      </c>
      <c r="C2076" s="2" t="s">
        <v>30</v>
      </c>
      <c r="D2076" s="2" t="s">
        <v>26</v>
      </c>
      <c r="E2076" s="2" t="s">
        <v>22</v>
      </c>
      <c r="F2076" s="2" t="s">
        <v>39</v>
      </c>
      <c r="G2076" s="2" t="s">
        <v>24</v>
      </c>
      <c r="H2076" s="2">
        <v>180000</v>
      </c>
      <c r="I2076" s="2">
        <v>5</v>
      </c>
      <c r="J2076" s="2" t="s">
        <v>32</v>
      </c>
      <c r="K2076" s="2">
        <f t="shared" si="224"/>
        <v>144000</v>
      </c>
      <c r="L2076" s="9">
        <f>Table_1[[#This Row],[Unit Price]]*Table_1[[#This Row],[Quantity]]</f>
        <v>900000</v>
      </c>
      <c r="M2076" s="8">
        <f>Table_1[[#This Row],[Cost Price]]*Table_1[[#This Row],[Quantity]]</f>
        <v>720000</v>
      </c>
      <c r="N2076">
        <f>Table_1[[#This Row],[Revenue]]-Table_1[[#This Row],[COGS]]</f>
        <v>180000</v>
      </c>
      <c r="O2076" s="11">
        <f t="shared" si="225"/>
        <v>4656740000</v>
      </c>
      <c r="P2076">
        <f t="shared" si="226"/>
        <v>3725392000</v>
      </c>
      <c r="Q2076">
        <f t="shared" si="227"/>
        <v>931348000</v>
      </c>
      <c r="R2076" s="7">
        <f t="shared" si="228"/>
        <v>2098</v>
      </c>
      <c r="S2076" s="7">
        <f t="shared" si="229"/>
        <v>3</v>
      </c>
      <c r="T2076" s="7">
        <f t="shared" si="230"/>
        <v>2098</v>
      </c>
    </row>
    <row r="2077" spans="1:20" ht="14.25" customHeight="1" x14ac:dyDescent="0.35">
      <c r="A2077" s="2" t="s">
        <v>124</v>
      </c>
      <c r="B2077" s="2" t="s">
        <v>34</v>
      </c>
      <c r="C2077" s="2" t="s">
        <v>13</v>
      </c>
      <c r="D2077" s="2" t="s">
        <v>14</v>
      </c>
      <c r="E2077" s="2" t="s">
        <v>22</v>
      </c>
      <c r="F2077" s="2" t="s">
        <v>16</v>
      </c>
      <c r="G2077" s="2" t="s">
        <v>17</v>
      </c>
      <c r="H2077" s="2">
        <v>85000</v>
      </c>
      <c r="I2077" s="2">
        <v>9</v>
      </c>
      <c r="J2077" s="2" t="s">
        <v>27</v>
      </c>
      <c r="K2077" s="2">
        <f t="shared" si="224"/>
        <v>68000</v>
      </c>
      <c r="L2077" s="9">
        <f>Table_1[[#This Row],[Unit Price]]*Table_1[[#This Row],[Quantity]]</f>
        <v>765000</v>
      </c>
      <c r="M2077" s="8">
        <f>Table_1[[#This Row],[Cost Price]]*Table_1[[#This Row],[Quantity]]</f>
        <v>612000</v>
      </c>
      <c r="N2077">
        <f>Table_1[[#This Row],[Revenue]]-Table_1[[#This Row],[COGS]]</f>
        <v>153000</v>
      </c>
      <c r="O2077" s="11">
        <f t="shared" si="225"/>
        <v>4656740000</v>
      </c>
      <c r="P2077">
        <f t="shared" si="226"/>
        <v>3725392000</v>
      </c>
      <c r="Q2077">
        <f t="shared" si="227"/>
        <v>931348000</v>
      </c>
      <c r="R2077" s="7">
        <f t="shared" si="228"/>
        <v>2098</v>
      </c>
      <c r="S2077" s="7">
        <f t="shared" si="229"/>
        <v>1</v>
      </c>
      <c r="T2077" s="7">
        <f t="shared" si="230"/>
        <v>2098</v>
      </c>
    </row>
    <row r="2078" spans="1:20" ht="14.25" customHeight="1" x14ac:dyDescent="0.35">
      <c r="A2078" s="2" t="s">
        <v>66</v>
      </c>
      <c r="B2078" s="2" t="s">
        <v>12</v>
      </c>
      <c r="C2078" s="2" t="s">
        <v>38</v>
      </c>
      <c r="D2078" s="2" t="s">
        <v>14</v>
      </c>
      <c r="E2078" s="2" t="s">
        <v>22</v>
      </c>
      <c r="F2078" s="2" t="s">
        <v>16</v>
      </c>
      <c r="G2078" s="2" t="s">
        <v>17</v>
      </c>
      <c r="H2078" s="2">
        <v>85000</v>
      </c>
      <c r="I2078" s="2">
        <v>9</v>
      </c>
      <c r="J2078" s="2" t="s">
        <v>50</v>
      </c>
      <c r="K2078" s="2">
        <f t="shared" si="224"/>
        <v>68000</v>
      </c>
      <c r="L2078" s="9">
        <f>Table_1[[#This Row],[Unit Price]]*Table_1[[#This Row],[Quantity]]</f>
        <v>765000</v>
      </c>
      <c r="M2078" s="8">
        <f>Table_1[[#This Row],[Cost Price]]*Table_1[[#This Row],[Quantity]]</f>
        <v>612000</v>
      </c>
      <c r="N2078">
        <f>Table_1[[#This Row],[Revenue]]-Table_1[[#This Row],[COGS]]</f>
        <v>153000</v>
      </c>
      <c r="O2078" s="11">
        <f t="shared" si="225"/>
        <v>4656740000</v>
      </c>
      <c r="P2078">
        <f t="shared" si="226"/>
        <v>3725392000</v>
      </c>
      <c r="Q2078">
        <f t="shared" si="227"/>
        <v>931348000</v>
      </c>
      <c r="R2078" s="7">
        <f t="shared" si="228"/>
        <v>2098</v>
      </c>
      <c r="S2078" s="7">
        <f t="shared" si="229"/>
        <v>3</v>
      </c>
      <c r="T2078" s="7">
        <f t="shared" si="230"/>
        <v>2098</v>
      </c>
    </row>
    <row r="2079" spans="1:20" ht="14.25" customHeight="1" x14ac:dyDescent="0.35">
      <c r="A2079" s="2" t="s">
        <v>137</v>
      </c>
      <c r="B2079" s="2" t="s">
        <v>34</v>
      </c>
      <c r="C2079" s="2" t="s">
        <v>13</v>
      </c>
      <c r="D2079" s="2" t="s">
        <v>26</v>
      </c>
      <c r="E2079" s="2" t="s">
        <v>22</v>
      </c>
      <c r="F2079" s="2" t="s">
        <v>39</v>
      </c>
      <c r="G2079" s="2" t="s">
        <v>24</v>
      </c>
      <c r="H2079" s="2">
        <v>180000</v>
      </c>
      <c r="I2079" s="2">
        <v>8</v>
      </c>
      <c r="J2079" s="2" t="s">
        <v>54</v>
      </c>
      <c r="K2079" s="2">
        <f t="shared" si="224"/>
        <v>144000</v>
      </c>
      <c r="L2079" s="9">
        <f>Table_1[[#This Row],[Unit Price]]*Table_1[[#This Row],[Quantity]]</f>
        <v>1440000</v>
      </c>
      <c r="M2079" s="8">
        <f>Table_1[[#This Row],[Cost Price]]*Table_1[[#This Row],[Quantity]]</f>
        <v>1152000</v>
      </c>
      <c r="N2079">
        <f>Table_1[[#This Row],[Revenue]]-Table_1[[#This Row],[COGS]]</f>
        <v>288000</v>
      </c>
      <c r="O2079" s="11">
        <f t="shared" si="225"/>
        <v>4656740000</v>
      </c>
      <c r="P2079">
        <f t="shared" si="226"/>
        <v>3725392000</v>
      </c>
      <c r="Q2079">
        <f t="shared" si="227"/>
        <v>931348000</v>
      </c>
      <c r="R2079" s="7">
        <f t="shared" si="228"/>
        <v>2098</v>
      </c>
      <c r="S2079" s="7">
        <f t="shared" si="229"/>
        <v>1</v>
      </c>
      <c r="T2079" s="7">
        <f t="shared" si="230"/>
        <v>2098</v>
      </c>
    </row>
    <row r="2080" spans="1:20" ht="14.25" customHeight="1" x14ac:dyDescent="0.35">
      <c r="A2080" s="2" t="s">
        <v>130</v>
      </c>
      <c r="B2080" s="2" t="s">
        <v>34</v>
      </c>
      <c r="C2080" s="2" t="s">
        <v>21</v>
      </c>
      <c r="D2080" s="2" t="s">
        <v>26</v>
      </c>
      <c r="E2080" s="2" t="s">
        <v>22</v>
      </c>
      <c r="F2080" s="2" t="s">
        <v>47</v>
      </c>
      <c r="G2080" s="2" t="s">
        <v>36</v>
      </c>
      <c r="H2080" s="2">
        <v>150000</v>
      </c>
      <c r="I2080" s="2">
        <v>2</v>
      </c>
      <c r="J2080" s="2" t="s">
        <v>54</v>
      </c>
      <c r="K2080" s="2">
        <f t="shared" si="224"/>
        <v>120000</v>
      </c>
      <c r="L2080" s="9">
        <f>Table_1[[#This Row],[Unit Price]]*Table_1[[#This Row],[Quantity]]</f>
        <v>300000</v>
      </c>
      <c r="M2080" s="8">
        <f>Table_1[[#This Row],[Cost Price]]*Table_1[[#This Row],[Quantity]]</f>
        <v>240000</v>
      </c>
      <c r="N2080">
        <f>Table_1[[#This Row],[Revenue]]-Table_1[[#This Row],[COGS]]</f>
        <v>60000</v>
      </c>
      <c r="O2080" s="11">
        <f t="shared" si="225"/>
        <v>4656740000</v>
      </c>
      <c r="P2080">
        <f t="shared" si="226"/>
        <v>3725392000</v>
      </c>
      <c r="Q2080">
        <f t="shared" si="227"/>
        <v>931348000</v>
      </c>
      <c r="R2080" s="7">
        <f t="shared" si="228"/>
        <v>2098</v>
      </c>
      <c r="S2080" s="7">
        <f t="shared" si="229"/>
        <v>1</v>
      </c>
      <c r="T2080" s="7">
        <f t="shared" si="230"/>
        <v>2098</v>
      </c>
    </row>
    <row r="2081" spans="1:20" ht="14.25" customHeight="1" x14ac:dyDescent="0.35">
      <c r="A2081" s="2" t="s">
        <v>85</v>
      </c>
      <c r="B2081" s="2" t="s">
        <v>20</v>
      </c>
      <c r="C2081" s="2" t="s">
        <v>30</v>
      </c>
      <c r="D2081" s="2" t="s">
        <v>26</v>
      </c>
      <c r="E2081" s="2" t="s">
        <v>22</v>
      </c>
      <c r="F2081" s="2" t="s">
        <v>23</v>
      </c>
      <c r="G2081" s="2" t="s">
        <v>24</v>
      </c>
      <c r="H2081" s="2">
        <v>30000</v>
      </c>
      <c r="I2081" s="2">
        <v>3</v>
      </c>
      <c r="J2081" s="2" t="s">
        <v>18</v>
      </c>
      <c r="K2081" s="2">
        <f t="shared" si="224"/>
        <v>24000</v>
      </c>
      <c r="L2081" s="9">
        <f>Table_1[[#This Row],[Unit Price]]*Table_1[[#This Row],[Quantity]]</f>
        <v>90000</v>
      </c>
      <c r="M2081" s="8">
        <f>Table_1[[#This Row],[Cost Price]]*Table_1[[#This Row],[Quantity]]</f>
        <v>72000</v>
      </c>
      <c r="N2081">
        <f>Table_1[[#This Row],[Revenue]]-Table_1[[#This Row],[COGS]]</f>
        <v>18000</v>
      </c>
      <c r="O2081" s="11">
        <f t="shared" si="225"/>
        <v>4656740000</v>
      </c>
      <c r="P2081">
        <f t="shared" si="226"/>
        <v>3725392000</v>
      </c>
      <c r="Q2081">
        <f t="shared" si="227"/>
        <v>931348000</v>
      </c>
      <c r="R2081" s="7">
        <f t="shared" si="228"/>
        <v>2098</v>
      </c>
      <c r="S2081" s="7">
        <f t="shared" si="229"/>
        <v>1</v>
      </c>
      <c r="T2081" s="7">
        <f t="shared" si="230"/>
        <v>2098</v>
      </c>
    </row>
    <row r="2082" spans="1:20" ht="14.25" customHeight="1" x14ac:dyDescent="0.35">
      <c r="A2082" s="2" t="s">
        <v>66</v>
      </c>
      <c r="B2082" s="2" t="s">
        <v>34</v>
      </c>
      <c r="C2082" s="2" t="s">
        <v>13</v>
      </c>
      <c r="D2082" s="2" t="s">
        <v>26</v>
      </c>
      <c r="E2082" s="2" t="s">
        <v>22</v>
      </c>
      <c r="F2082" s="2" t="s">
        <v>23</v>
      </c>
      <c r="G2082" s="2" t="s">
        <v>24</v>
      </c>
      <c r="H2082" s="2">
        <v>30000</v>
      </c>
      <c r="I2082" s="2">
        <v>5</v>
      </c>
      <c r="J2082" s="2" t="s">
        <v>27</v>
      </c>
      <c r="K2082" s="2">
        <f t="shared" si="224"/>
        <v>24000</v>
      </c>
      <c r="L2082" s="9">
        <f>Table_1[[#This Row],[Unit Price]]*Table_1[[#This Row],[Quantity]]</f>
        <v>150000</v>
      </c>
      <c r="M2082" s="8">
        <f>Table_1[[#This Row],[Cost Price]]*Table_1[[#This Row],[Quantity]]</f>
        <v>120000</v>
      </c>
      <c r="N2082">
        <f>Table_1[[#This Row],[Revenue]]-Table_1[[#This Row],[COGS]]</f>
        <v>30000</v>
      </c>
      <c r="O2082" s="11">
        <f t="shared" si="225"/>
        <v>4656740000</v>
      </c>
      <c r="P2082">
        <f t="shared" si="226"/>
        <v>3725392000</v>
      </c>
      <c r="Q2082">
        <f t="shared" si="227"/>
        <v>931348000</v>
      </c>
      <c r="R2082" s="7">
        <f t="shared" si="228"/>
        <v>2098</v>
      </c>
      <c r="S2082" s="7">
        <f t="shared" si="229"/>
        <v>3</v>
      </c>
      <c r="T2082" s="7">
        <f t="shared" si="230"/>
        <v>2098</v>
      </c>
    </row>
    <row r="2083" spans="1:20" ht="14.25" customHeight="1" x14ac:dyDescent="0.35">
      <c r="A2083" s="2" t="s">
        <v>28</v>
      </c>
      <c r="B2083" s="2" t="s">
        <v>20</v>
      </c>
      <c r="C2083" s="2" t="s">
        <v>21</v>
      </c>
      <c r="D2083" s="2" t="s">
        <v>26</v>
      </c>
      <c r="E2083" s="2" t="s">
        <v>22</v>
      </c>
      <c r="F2083" s="2" t="s">
        <v>23</v>
      </c>
      <c r="G2083" s="2" t="s">
        <v>24</v>
      </c>
      <c r="H2083" s="2">
        <v>30000</v>
      </c>
      <c r="I2083" s="2">
        <v>7</v>
      </c>
      <c r="J2083" s="2" t="s">
        <v>54</v>
      </c>
      <c r="K2083" s="2">
        <f t="shared" si="224"/>
        <v>24000</v>
      </c>
      <c r="L2083" s="9">
        <f>Table_1[[#This Row],[Unit Price]]*Table_1[[#This Row],[Quantity]]</f>
        <v>210000</v>
      </c>
      <c r="M2083" s="8">
        <f>Table_1[[#This Row],[Cost Price]]*Table_1[[#This Row],[Quantity]]</f>
        <v>168000</v>
      </c>
      <c r="N2083">
        <f>Table_1[[#This Row],[Revenue]]-Table_1[[#This Row],[COGS]]</f>
        <v>42000</v>
      </c>
      <c r="O2083" s="11">
        <f t="shared" si="225"/>
        <v>4656740000</v>
      </c>
      <c r="P2083">
        <f t="shared" si="226"/>
        <v>3725392000</v>
      </c>
      <c r="Q2083">
        <f t="shared" si="227"/>
        <v>931348000</v>
      </c>
      <c r="R2083" s="7">
        <f t="shared" si="228"/>
        <v>2098</v>
      </c>
      <c r="S2083" s="7">
        <f t="shared" si="229"/>
        <v>4</v>
      </c>
      <c r="T2083" s="7">
        <f t="shared" si="230"/>
        <v>2098</v>
      </c>
    </row>
    <row r="2084" spans="1:20" ht="14.25" customHeight="1" x14ac:dyDescent="0.35">
      <c r="A2084" s="2" t="s">
        <v>147</v>
      </c>
      <c r="B2084" s="2" t="s">
        <v>20</v>
      </c>
      <c r="C2084" s="2" t="s">
        <v>13</v>
      </c>
      <c r="D2084" s="2" t="s">
        <v>14</v>
      </c>
      <c r="E2084" s="2" t="s">
        <v>22</v>
      </c>
      <c r="F2084" s="2" t="s">
        <v>39</v>
      </c>
      <c r="G2084" s="2" t="s">
        <v>24</v>
      </c>
      <c r="H2084" s="2">
        <v>180000</v>
      </c>
      <c r="I2084" s="2">
        <v>4</v>
      </c>
      <c r="J2084" s="2" t="s">
        <v>18</v>
      </c>
      <c r="K2084" s="2">
        <f t="shared" si="224"/>
        <v>144000</v>
      </c>
      <c r="L2084" s="9">
        <f>Table_1[[#This Row],[Unit Price]]*Table_1[[#This Row],[Quantity]]</f>
        <v>720000</v>
      </c>
      <c r="M2084" s="8">
        <f>Table_1[[#This Row],[Cost Price]]*Table_1[[#This Row],[Quantity]]</f>
        <v>576000</v>
      </c>
      <c r="N2084">
        <f>Table_1[[#This Row],[Revenue]]-Table_1[[#This Row],[COGS]]</f>
        <v>144000</v>
      </c>
      <c r="O2084" s="11">
        <f t="shared" si="225"/>
        <v>4656740000</v>
      </c>
      <c r="P2084">
        <f t="shared" si="226"/>
        <v>3725392000</v>
      </c>
      <c r="Q2084">
        <f t="shared" si="227"/>
        <v>931348000</v>
      </c>
      <c r="R2084" s="7">
        <f t="shared" si="228"/>
        <v>2098</v>
      </c>
      <c r="S2084" s="7">
        <f t="shared" si="229"/>
        <v>4</v>
      </c>
      <c r="T2084" s="7">
        <f t="shared" si="230"/>
        <v>2098</v>
      </c>
    </row>
    <row r="2085" spans="1:20" ht="14.25" customHeight="1" x14ac:dyDescent="0.35">
      <c r="A2085" s="2" t="s">
        <v>129</v>
      </c>
      <c r="B2085" s="2" t="s">
        <v>20</v>
      </c>
      <c r="C2085" s="2" t="s">
        <v>13</v>
      </c>
      <c r="D2085" s="2" t="s">
        <v>26</v>
      </c>
      <c r="E2085" s="2" t="s">
        <v>22</v>
      </c>
      <c r="F2085" s="2" t="s">
        <v>39</v>
      </c>
      <c r="G2085" s="2" t="s">
        <v>24</v>
      </c>
      <c r="H2085" s="2">
        <v>180000</v>
      </c>
      <c r="I2085" s="2">
        <v>1</v>
      </c>
      <c r="J2085" s="2" t="s">
        <v>43</v>
      </c>
      <c r="K2085" s="2">
        <f t="shared" si="224"/>
        <v>144000</v>
      </c>
      <c r="L2085" s="9">
        <f>Table_1[[#This Row],[Unit Price]]*Table_1[[#This Row],[Quantity]]</f>
        <v>180000</v>
      </c>
      <c r="M2085" s="8">
        <f>Table_1[[#This Row],[Cost Price]]*Table_1[[#This Row],[Quantity]]</f>
        <v>144000</v>
      </c>
      <c r="N2085">
        <f>Table_1[[#This Row],[Revenue]]-Table_1[[#This Row],[COGS]]</f>
        <v>36000</v>
      </c>
      <c r="O2085" s="11">
        <f t="shared" si="225"/>
        <v>4656740000</v>
      </c>
      <c r="P2085">
        <f t="shared" si="226"/>
        <v>3725392000</v>
      </c>
      <c r="Q2085">
        <f t="shared" si="227"/>
        <v>931348000</v>
      </c>
      <c r="R2085" s="7">
        <f t="shared" si="228"/>
        <v>2098</v>
      </c>
      <c r="S2085" s="7">
        <f t="shared" si="229"/>
        <v>2</v>
      </c>
      <c r="T2085" s="7">
        <f t="shared" si="230"/>
        <v>2098</v>
      </c>
    </row>
    <row r="2086" spans="1:20" ht="14.25" customHeight="1" x14ac:dyDescent="0.35">
      <c r="A2086" s="2" t="s">
        <v>116</v>
      </c>
      <c r="B2086" s="2" t="s">
        <v>29</v>
      </c>
      <c r="C2086" s="2" t="s">
        <v>21</v>
      </c>
      <c r="D2086" s="2" t="s">
        <v>14</v>
      </c>
      <c r="E2086" s="2" t="s">
        <v>22</v>
      </c>
      <c r="F2086" s="2" t="s">
        <v>31</v>
      </c>
      <c r="G2086" s="2" t="s">
        <v>24</v>
      </c>
      <c r="H2086" s="2">
        <v>60000</v>
      </c>
      <c r="I2086" s="2">
        <v>10</v>
      </c>
      <c r="J2086" s="2" t="s">
        <v>50</v>
      </c>
      <c r="K2086" s="2">
        <f t="shared" si="224"/>
        <v>48000</v>
      </c>
      <c r="L2086" s="9">
        <f>Table_1[[#This Row],[Unit Price]]*Table_1[[#This Row],[Quantity]]</f>
        <v>600000</v>
      </c>
      <c r="M2086" s="8">
        <f>Table_1[[#This Row],[Cost Price]]*Table_1[[#This Row],[Quantity]]</f>
        <v>480000</v>
      </c>
      <c r="N2086">
        <f>Table_1[[#This Row],[Revenue]]-Table_1[[#This Row],[COGS]]</f>
        <v>120000</v>
      </c>
      <c r="O2086" s="11">
        <f t="shared" si="225"/>
        <v>4656740000</v>
      </c>
      <c r="P2086">
        <f t="shared" si="226"/>
        <v>3725392000</v>
      </c>
      <c r="Q2086">
        <f t="shared" si="227"/>
        <v>931348000</v>
      </c>
      <c r="R2086" s="7">
        <f t="shared" si="228"/>
        <v>2098</v>
      </c>
      <c r="S2086" s="7">
        <f t="shared" si="229"/>
        <v>3</v>
      </c>
      <c r="T2086" s="7">
        <f t="shared" si="230"/>
        <v>2098</v>
      </c>
    </row>
    <row r="2087" spans="1:20" ht="14.25" customHeight="1" x14ac:dyDescent="0.35">
      <c r="A2087" s="2" t="s">
        <v>60</v>
      </c>
      <c r="B2087" s="2" t="s">
        <v>34</v>
      </c>
      <c r="C2087" s="2" t="s">
        <v>21</v>
      </c>
      <c r="D2087" s="2" t="s">
        <v>14</v>
      </c>
      <c r="E2087" s="2" t="s">
        <v>22</v>
      </c>
      <c r="F2087" s="2" t="s">
        <v>56</v>
      </c>
      <c r="G2087" s="2" t="s">
        <v>36</v>
      </c>
      <c r="H2087" s="2">
        <v>250000</v>
      </c>
      <c r="I2087" s="2">
        <v>8</v>
      </c>
      <c r="J2087" s="2" t="s">
        <v>32</v>
      </c>
      <c r="K2087" s="2">
        <f t="shared" si="224"/>
        <v>200000</v>
      </c>
      <c r="L2087" s="9">
        <f>Table_1[[#This Row],[Unit Price]]*Table_1[[#This Row],[Quantity]]</f>
        <v>2000000</v>
      </c>
      <c r="M2087" s="8">
        <f>Table_1[[#This Row],[Cost Price]]*Table_1[[#This Row],[Quantity]]</f>
        <v>1600000</v>
      </c>
      <c r="N2087">
        <f>Table_1[[#This Row],[Revenue]]-Table_1[[#This Row],[COGS]]</f>
        <v>400000</v>
      </c>
      <c r="O2087" s="11">
        <f t="shared" si="225"/>
        <v>4656740000</v>
      </c>
      <c r="P2087">
        <f t="shared" si="226"/>
        <v>3725392000</v>
      </c>
      <c r="Q2087">
        <f t="shared" si="227"/>
        <v>931348000</v>
      </c>
      <c r="R2087" s="7">
        <f t="shared" si="228"/>
        <v>2098</v>
      </c>
      <c r="S2087" s="7">
        <f t="shared" si="229"/>
        <v>3</v>
      </c>
      <c r="T2087" s="7">
        <f t="shared" si="230"/>
        <v>2098</v>
      </c>
    </row>
    <row r="2088" spans="1:20" ht="14.25" customHeight="1" x14ac:dyDescent="0.35">
      <c r="A2088" s="2" t="s">
        <v>111</v>
      </c>
      <c r="B2088" s="2" t="s">
        <v>34</v>
      </c>
      <c r="C2088" s="2" t="s">
        <v>30</v>
      </c>
      <c r="D2088" s="2" t="s">
        <v>14</v>
      </c>
      <c r="E2088" s="2" t="s">
        <v>22</v>
      </c>
      <c r="F2088" s="2" t="s">
        <v>23</v>
      </c>
      <c r="G2088" s="2" t="s">
        <v>24</v>
      </c>
      <c r="H2088" s="2">
        <v>30000</v>
      </c>
      <c r="I2088" s="2">
        <v>8</v>
      </c>
      <c r="J2088" s="2" t="s">
        <v>50</v>
      </c>
      <c r="K2088" s="2">
        <f t="shared" si="224"/>
        <v>24000</v>
      </c>
      <c r="L2088" s="9">
        <f>Table_1[[#This Row],[Unit Price]]*Table_1[[#This Row],[Quantity]]</f>
        <v>240000</v>
      </c>
      <c r="M2088" s="8">
        <f>Table_1[[#This Row],[Cost Price]]*Table_1[[#This Row],[Quantity]]</f>
        <v>192000</v>
      </c>
      <c r="N2088">
        <f>Table_1[[#This Row],[Revenue]]-Table_1[[#This Row],[COGS]]</f>
        <v>48000</v>
      </c>
      <c r="O2088" s="11">
        <f t="shared" si="225"/>
        <v>4656740000</v>
      </c>
      <c r="P2088">
        <f t="shared" si="226"/>
        <v>3725392000</v>
      </c>
      <c r="Q2088">
        <f t="shared" si="227"/>
        <v>931348000</v>
      </c>
      <c r="R2088" s="7">
        <f t="shared" si="228"/>
        <v>2098</v>
      </c>
      <c r="S2088" s="7">
        <f t="shared" si="229"/>
        <v>1</v>
      </c>
      <c r="T2088" s="7">
        <f t="shared" si="230"/>
        <v>2098</v>
      </c>
    </row>
    <row r="2089" spans="1:20" ht="14.25" customHeight="1" x14ac:dyDescent="0.35">
      <c r="A2089" s="2" t="s">
        <v>45</v>
      </c>
      <c r="B2089" s="2" t="s">
        <v>34</v>
      </c>
      <c r="C2089" s="2" t="s">
        <v>13</v>
      </c>
      <c r="D2089" s="2" t="s">
        <v>26</v>
      </c>
      <c r="E2089" s="2" t="s">
        <v>15</v>
      </c>
      <c r="F2089" s="2" t="s">
        <v>39</v>
      </c>
      <c r="G2089" s="2" t="s">
        <v>24</v>
      </c>
      <c r="H2089" s="2">
        <v>180000</v>
      </c>
      <c r="I2089" s="2">
        <v>4</v>
      </c>
      <c r="J2089" s="2" t="s">
        <v>32</v>
      </c>
      <c r="K2089" s="2">
        <f t="shared" si="224"/>
        <v>144000</v>
      </c>
      <c r="L2089" s="9">
        <f>Table_1[[#This Row],[Unit Price]]*Table_1[[#This Row],[Quantity]]</f>
        <v>720000</v>
      </c>
      <c r="M2089" s="8">
        <f>Table_1[[#This Row],[Cost Price]]*Table_1[[#This Row],[Quantity]]</f>
        <v>576000</v>
      </c>
      <c r="N2089">
        <f>Table_1[[#This Row],[Revenue]]-Table_1[[#This Row],[COGS]]</f>
        <v>144000</v>
      </c>
      <c r="O2089" s="11">
        <f t="shared" si="225"/>
        <v>4656740000</v>
      </c>
      <c r="P2089">
        <f t="shared" si="226"/>
        <v>3725392000</v>
      </c>
      <c r="Q2089">
        <f t="shared" si="227"/>
        <v>931348000</v>
      </c>
      <c r="R2089" s="7">
        <f t="shared" si="228"/>
        <v>2098</v>
      </c>
      <c r="S2089" s="7">
        <f t="shared" si="229"/>
        <v>3</v>
      </c>
      <c r="T2089" s="7">
        <f t="shared" si="230"/>
        <v>2098</v>
      </c>
    </row>
    <row r="2090" spans="1:20" ht="14.25" customHeight="1" x14ac:dyDescent="0.35">
      <c r="A2090" s="2" t="s">
        <v>129</v>
      </c>
      <c r="B2090" s="2" t="s">
        <v>20</v>
      </c>
      <c r="C2090" s="2" t="s">
        <v>21</v>
      </c>
      <c r="D2090" s="2" t="s">
        <v>26</v>
      </c>
      <c r="E2090" s="2" t="s">
        <v>15</v>
      </c>
      <c r="F2090" s="2" t="s">
        <v>47</v>
      </c>
      <c r="G2090" s="2" t="s">
        <v>36</v>
      </c>
      <c r="H2090" s="2">
        <v>150000</v>
      </c>
      <c r="I2090" s="2">
        <v>1</v>
      </c>
      <c r="J2090" s="2" t="s">
        <v>32</v>
      </c>
      <c r="K2090" s="2">
        <f t="shared" si="224"/>
        <v>120000</v>
      </c>
      <c r="L2090" s="9">
        <f>Table_1[[#This Row],[Unit Price]]*Table_1[[#This Row],[Quantity]]</f>
        <v>150000</v>
      </c>
      <c r="M2090" s="8">
        <f>Table_1[[#This Row],[Cost Price]]*Table_1[[#This Row],[Quantity]]</f>
        <v>120000</v>
      </c>
      <c r="N2090">
        <f>Table_1[[#This Row],[Revenue]]-Table_1[[#This Row],[COGS]]</f>
        <v>30000</v>
      </c>
      <c r="O2090" s="11">
        <f t="shared" si="225"/>
        <v>4656740000</v>
      </c>
      <c r="P2090">
        <f t="shared" si="226"/>
        <v>3725392000</v>
      </c>
      <c r="Q2090">
        <f t="shared" si="227"/>
        <v>931348000</v>
      </c>
      <c r="R2090" s="7">
        <f t="shared" si="228"/>
        <v>2098</v>
      </c>
      <c r="S2090" s="7">
        <f t="shared" si="229"/>
        <v>2</v>
      </c>
      <c r="T2090" s="7">
        <f t="shared" si="230"/>
        <v>2098</v>
      </c>
    </row>
    <row r="2091" spans="1:20" ht="14.25" customHeight="1" x14ac:dyDescent="0.35">
      <c r="A2091" s="2" t="s">
        <v>153</v>
      </c>
      <c r="B2091" s="2" t="s">
        <v>34</v>
      </c>
      <c r="C2091" s="2" t="s">
        <v>38</v>
      </c>
      <c r="D2091" s="2" t="s">
        <v>14</v>
      </c>
      <c r="E2091" s="2" t="s">
        <v>22</v>
      </c>
      <c r="F2091" s="2" t="s">
        <v>35</v>
      </c>
      <c r="G2091" s="2" t="s">
        <v>36</v>
      </c>
      <c r="H2091" s="2">
        <v>300000</v>
      </c>
      <c r="I2091" s="2">
        <v>3</v>
      </c>
      <c r="J2091" s="2" t="s">
        <v>18</v>
      </c>
      <c r="K2091" s="2">
        <f t="shared" si="224"/>
        <v>240000</v>
      </c>
      <c r="L2091" s="9">
        <f>Table_1[[#This Row],[Unit Price]]*Table_1[[#This Row],[Quantity]]</f>
        <v>900000</v>
      </c>
      <c r="M2091" s="8">
        <f>Table_1[[#This Row],[Cost Price]]*Table_1[[#This Row],[Quantity]]</f>
        <v>720000</v>
      </c>
      <c r="N2091">
        <f>Table_1[[#This Row],[Revenue]]-Table_1[[#This Row],[COGS]]</f>
        <v>180000</v>
      </c>
      <c r="O2091" s="11">
        <f t="shared" si="225"/>
        <v>4656740000</v>
      </c>
      <c r="P2091">
        <f t="shared" si="226"/>
        <v>3725392000</v>
      </c>
      <c r="Q2091">
        <f t="shared" si="227"/>
        <v>931348000</v>
      </c>
      <c r="R2091" s="7">
        <f t="shared" si="228"/>
        <v>2098</v>
      </c>
      <c r="S2091" s="7">
        <f t="shared" si="229"/>
        <v>4</v>
      </c>
      <c r="T2091" s="7">
        <f t="shared" si="230"/>
        <v>2098</v>
      </c>
    </row>
    <row r="2092" spans="1:20" ht="14.25" customHeight="1" x14ac:dyDescent="0.35">
      <c r="A2092" s="2" t="s">
        <v>147</v>
      </c>
      <c r="B2092" s="2" t="s">
        <v>12</v>
      </c>
      <c r="C2092" s="2" t="s">
        <v>30</v>
      </c>
      <c r="D2092" s="2" t="s">
        <v>14</v>
      </c>
      <c r="E2092" s="2" t="s">
        <v>15</v>
      </c>
      <c r="F2092" s="2" t="s">
        <v>41</v>
      </c>
      <c r="G2092" s="2" t="s">
        <v>17</v>
      </c>
      <c r="H2092" s="2">
        <v>320000</v>
      </c>
      <c r="I2092" s="2">
        <v>5</v>
      </c>
      <c r="J2092" s="2" t="s">
        <v>18</v>
      </c>
      <c r="K2092" s="2">
        <f t="shared" si="224"/>
        <v>256000</v>
      </c>
      <c r="L2092" s="9">
        <f>Table_1[[#This Row],[Unit Price]]*Table_1[[#This Row],[Quantity]]</f>
        <v>1600000</v>
      </c>
      <c r="M2092" s="8">
        <f>Table_1[[#This Row],[Cost Price]]*Table_1[[#This Row],[Quantity]]</f>
        <v>1280000</v>
      </c>
      <c r="N2092">
        <f>Table_1[[#This Row],[Revenue]]-Table_1[[#This Row],[COGS]]</f>
        <v>320000</v>
      </c>
      <c r="O2092" s="11">
        <f t="shared" si="225"/>
        <v>4656740000</v>
      </c>
      <c r="P2092">
        <f t="shared" si="226"/>
        <v>3725392000</v>
      </c>
      <c r="Q2092">
        <f t="shared" si="227"/>
        <v>931348000</v>
      </c>
      <c r="R2092" s="7">
        <f t="shared" si="228"/>
        <v>2098</v>
      </c>
      <c r="S2092" s="7">
        <f t="shared" si="229"/>
        <v>4</v>
      </c>
      <c r="T2092" s="7">
        <f t="shared" si="230"/>
        <v>2098</v>
      </c>
    </row>
    <row r="2093" spans="1:20" ht="14.25" customHeight="1" x14ac:dyDescent="0.35">
      <c r="A2093" s="2" t="s">
        <v>133</v>
      </c>
      <c r="B2093" s="2" t="s">
        <v>12</v>
      </c>
      <c r="C2093" s="2" t="s">
        <v>38</v>
      </c>
      <c r="D2093" s="2" t="s">
        <v>26</v>
      </c>
      <c r="E2093" s="2" t="s">
        <v>15</v>
      </c>
      <c r="F2093" s="2" t="s">
        <v>35</v>
      </c>
      <c r="G2093" s="2" t="s">
        <v>36</v>
      </c>
      <c r="H2093" s="2">
        <v>300000</v>
      </c>
      <c r="I2093" s="2">
        <v>1</v>
      </c>
      <c r="J2093" s="2" t="s">
        <v>27</v>
      </c>
      <c r="K2093" s="2">
        <f t="shared" si="224"/>
        <v>240000</v>
      </c>
      <c r="L2093" s="9">
        <f>Table_1[[#This Row],[Unit Price]]*Table_1[[#This Row],[Quantity]]</f>
        <v>300000</v>
      </c>
      <c r="M2093" s="8">
        <f>Table_1[[#This Row],[Cost Price]]*Table_1[[#This Row],[Quantity]]</f>
        <v>240000</v>
      </c>
      <c r="N2093">
        <f>Table_1[[#This Row],[Revenue]]-Table_1[[#This Row],[COGS]]</f>
        <v>60000</v>
      </c>
      <c r="O2093" s="11">
        <f t="shared" si="225"/>
        <v>4656740000</v>
      </c>
      <c r="P2093">
        <f t="shared" si="226"/>
        <v>3725392000</v>
      </c>
      <c r="Q2093">
        <f t="shared" si="227"/>
        <v>931348000</v>
      </c>
      <c r="R2093" s="7">
        <f t="shared" si="228"/>
        <v>2098</v>
      </c>
      <c r="S2093" s="7">
        <f t="shared" si="229"/>
        <v>2</v>
      </c>
      <c r="T2093" s="7">
        <f t="shared" si="230"/>
        <v>2098</v>
      </c>
    </row>
    <row r="2094" spans="1:20" ht="14.25" customHeight="1" x14ac:dyDescent="0.35">
      <c r="A2094" s="2" t="s">
        <v>136</v>
      </c>
      <c r="B2094" s="2" t="s">
        <v>12</v>
      </c>
      <c r="C2094" s="2" t="s">
        <v>21</v>
      </c>
      <c r="D2094" s="2" t="s">
        <v>26</v>
      </c>
      <c r="E2094" s="2" t="s">
        <v>15</v>
      </c>
      <c r="F2094" s="2" t="s">
        <v>47</v>
      </c>
      <c r="G2094" s="2" t="s">
        <v>36</v>
      </c>
      <c r="H2094" s="2">
        <v>150000</v>
      </c>
      <c r="I2094" s="2">
        <v>4</v>
      </c>
      <c r="J2094" s="2" t="s">
        <v>32</v>
      </c>
      <c r="K2094" s="2">
        <f t="shared" si="224"/>
        <v>120000</v>
      </c>
      <c r="L2094" s="9">
        <f>Table_1[[#This Row],[Unit Price]]*Table_1[[#This Row],[Quantity]]</f>
        <v>600000</v>
      </c>
      <c r="M2094" s="8">
        <f>Table_1[[#This Row],[Cost Price]]*Table_1[[#This Row],[Quantity]]</f>
        <v>480000</v>
      </c>
      <c r="N2094">
        <f>Table_1[[#This Row],[Revenue]]-Table_1[[#This Row],[COGS]]</f>
        <v>120000</v>
      </c>
      <c r="O2094" s="11">
        <f t="shared" si="225"/>
        <v>4656740000</v>
      </c>
      <c r="P2094">
        <f t="shared" si="226"/>
        <v>3725392000</v>
      </c>
      <c r="Q2094">
        <f t="shared" si="227"/>
        <v>931348000</v>
      </c>
      <c r="R2094" s="7">
        <f t="shared" si="228"/>
        <v>2098</v>
      </c>
      <c r="S2094" s="7">
        <f t="shared" si="229"/>
        <v>2</v>
      </c>
      <c r="T2094" s="7">
        <f t="shared" si="230"/>
        <v>2098</v>
      </c>
    </row>
    <row r="2095" spans="1:20" ht="14.25" customHeight="1" x14ac:dyDescent="0.35">
      <c r="A2095" s="2" t="s">
        <v>106</v>
      </c>
      <c r="B2095" s="2" t="s">
        <v>29</v>
      </c>
      <c r="C2095" s="2" t="s">
        <v>13</v>
      </c>
      <c r="D2095" s="2" t="s">
        <v>26</v>
      </c>
      <c r="E2095" s="2" t="s">
        <v>15</v>
      </c>
      <c r="F2095" s="2" t="s">
        <v>56</v>
      </c>
      <c r="G2095" s="2" t="s">
        <v>36</v>
      </c>
      <c r="H2095" s="2">
        <v>250000</v>
      </c>
      <c r="I2095" s="2">
        <v>2</v>
      </c>
      <c r="J2095" s="2" t="s">
        <v>43</v>
      </c>
      <c r="K2095" s="2">
        <f t="shared" si="224"/>
        <v>200000</v>
      </c>
      <c r="L2095" s="9">
        <f>Table_1[[#This Row],[Unit Price]]*Table_1[[#This Row],[Quantity]]</f>
        <v>500000</v>
      </c>
      <c r="M2095" s="8">
        <f>Table_1[[#This Row],[Cost Price]]*Table_1[[#This Row],[Quantity]]</f>
        <v>400000</v>
      </c>
      <c r="N2095">
        <f>Table_1[[#This Row],[Revenue]]-Table_1[[#This Row],[COGS]]</f>
        <v>100000</v>
      </c>
      <c r="O2095" s="11">
        <f t="shared" si="225"/>
        <v>4656740000</v>
      </c>
      <c r="P2095">
        <f t="shared" si="226"/>
        <v>3725392000</v>
      </c>
      <c r="Q2095">
        <f t="shared" si="227"/>
        <v>931348000</v>
      </c>
      <c r="R2095" s="7">
        <f t="shared" si="228"/>
        <v>2098</v>
      </c>
      <c r="S2095" s="7">
        <f t="shared" si="229"/>
        <v>4</v>
      </c>
      <c r="T2095" s="7">
        <f t="shared" si="230"/>
        <v>2098</v>
      </c>
    </row>
    <row r="2096" spans="1:20" ht="14.25" customHeight="1" x14ac:dyDescent="0.35">
      <c r="A2096" s="2" t="s">
        <v>150</v>
      </c>
      <c r="B2096" s="2" t="s">
        <v>34</v>
      </c>
      <c r="C2096" s="2" t="s">
        <v>21</v>
      </c>
      <c r="D2096" s="2" t="s">
        <v>14</v>
      </c>
      <c r="E2096" s="2" t="s">
        <v>22</v>
      </c>
      <c r="F2096" s="2" t="s">
        <v>56</v>
      </c>
      <c r="G2096" s="2" t="s">
        <v>36</v>
      </c>
      <c r="H2096" s="2">
        <v>250000</v>
      </c>
      <c r="I2096" s="2">
        <v>10</v>
      </c>
      <c r="J2096" s="2" t="s">
        <v>50</v>
      </c>
      <c r="K2096" s="2">
        <f t="shared" si="224"/>
        <v>200000</v>
      </c>
      <c r="L2096" s="9">
        <f>Table_1[[#This Row],[Unit Price]]*Table_1[[#This Row],[Quantity]]</f>
        <v>2500000</v>
      </c>
      <c r="M2096" s="8">
        <f>Table_1[[#This Row],[Cost Price]]*Table_1[[#This Row],[Quantity]]</f>
        <v>2000000</v>
      </c>
      <c r="N2096">
        <f>Table_1[[#This Row],[Revenue]]-Table_1[[#This Row],[COGS]]</f>
        <v>500000</v>
      </c>
      <c r="O2096" s="11">
        <f t="shared" si="225"/>
        <v>4656740000</v>
      </c>
      <c r="P2096">
        <f t="shared" si="226"/>
        <v>3725392000</v>
      </c>
      <c r="Q2096">
        <f t="shared" si="227"/>
        <v>931348000</v>
      </c>
      <c r="R2096" s="7">
        <f t="shared" si="228"/>
        <v>2098</v>
      </c>
      <c r="S2096" s="7">
        <f t="shared" si="229"/>
        <v>4</v>
      </c>
      <c r="T2096" s="7">
        <f t="shared" si="230"/>
        <v>2098</v>
      </c>
    </row>
    <row r="2097" spans="1:20" ht="14.25" customHeight="1" x14ac:dyDescent="0.35">
      <c r="A2097" s="2" t="s">
        <v>101</v>
      </c>
      <c r="B2097" s="2" t="s">
        <v>29</v>
      </c>
      <c r="C2097" s="2" t="s">
        <v>38</v>
      </c>
      <c r="D2097" s="2" t="s">
        <v>26</v>
      </c>
      <c r="E2097" s="2" t="s">
        <v>22</v>
      </c>
      <c r="F2097" s="2" t="s">
        <v>47</v>
      </c>
      <c r="G2097" s="2" t="s">
        <v>36</v>
      </c>
      <c r="H2097" s="2">
        <v>150000</v>
      </c>
      <c r="I2097" s="2">
        <v>2</v>
      </c>
      <c r="J2097" s="2" t="s">
        <v>18</v>
      </c>
      <c r="K2097" s="2">
        <f t="shared" si="224"/>
        <v>120000</v>
      </c>
      <c r="L2097" s="9">
        <f>Table_1[[#This Row],[Unit Price]]*Table_1[[#This Row],[Quantity]]</f>
        <v>300000</v>
      </c>
      <c r="M2097" s="8">
        <f>Table_1[[#This Row],[Cost Price]]*Table_1[[#This Row],[Quantity]]</f>
        <v>240000</v>
      </c>
      <c r="N2097">
        <f>Table_1[[#This Row],[Revenue]]-Table_1[[#This Row],[COGS]]</f>
        <v>60000</v>
      </c>
      <c r="O2097" s="11">
        <f t="shared" si="225"/>
        <v>4656740000</v>
      </c>
      <c r="P2097">
        <f t="shared" si="226"/>
        <v>3725392000</v>
      </c>
      <c r="Q2097">
        <f t="shared" si="227"/>
        <v>931348000</v>
      </c>
      <c r="R2097" s="7">
        <f t="shared" si="228"/>
        <v>2098</v>
      </c>
      <c r="S2097" s="7">
        <f t="shared" si="229"/>
        <v>4</v>
      </c>
      <c r="T2097" s="7">
        <f t="shared" si="230"/>
        <v>2098</v>
      </c>
    </row>
    <row r="2098" spans="1:20" ht="14.25" customHeight="1" x14ac:dyDescent="0.35">
      <c r="A2098" s="2" t="s">
        <v>37</v>
      </c>
      <c r="B2098" s="2" t="s">
        <v>29</v>
      </c>
      <c r="C2098" s="2" t="s">
        <v>13</v>
      </c>
      <c r="D2098" s="2" t="s">
        <v>14</v>
      </c>
      <c r="E2098" s="2" t="s">
        <v>15</v>
      </c>
      <c r="F2098" s="2" t="s">
        <v>56</v>
      </c>
      <c r="G2098" s="2" t="s">
        <v>36</v>
      </c>
      <c r="H2098" s="2">
        <v>250000</v>
      </c>
      <c r="I2098" s="2">
        <v>9</v>
      </c>
      <c r="J2098" s="2" t="s">
        <v>43</v>
      </c>
      <c r="K2098" s="2">
        <f t="shared" si="224"/>
        <v>200000</v>
      </c>
      <c r="L2098" s="9">
        <f>Table_1[[#This Row],[Unit Price]]*Table_1[[#This Row],[Quantity]]</f>
        <v>2250000</v>
      </c>
      <c r="M2098" s="8">
        <f>Table_1[[#This Row],[Cost Price]]*Table_1[[#This Row],[Quantity]]</f>
        <v>1800000</v>
      </c>
      <c r="N2098">
        <f>Table_1[[#This Row],[Revenue]]-Table_1[[#This Row],[COGS]]</f>
        <v>450000</v>
      </c>
      <c r="O2098" s="11">
        <f t="shared" si="225"/>
        <v>4656740000</v>
      </c>
      <c r="P2098">
        <f t="shared" si="226"/>
        <v>3725392000</v>
      </c>
      <c r="Q2098">
        <f t="shared" si="227"/>
        <v>931348000</v>
      </c>
      <c r="R2098" s="7">
        <f t="shared" si="228"/>
        <v>2098</v>
      </c>
      <c r="S2098" s="7">
        <f t="shared" si="229"/>
        <v>3</v>
      </c>
      <c r="T2098" s="7">
        <f t="shared" si="230"/>
        <v>2098</v>
      </c>
    </row>
    <row r="2099" spans="1:20" ht="14.25" customHeight="1" x14ac:dyDescent="0.35">
      <c r="A2099" s="2" t="s">
        <v>92</v>
      </c>
      <c r="B2099" s="2" t="s">
        <v>29</v>
      </c>
      <c r="C2099" s="2" t="s">
        <v>13</v>
      </c>
      <c r="D2099" s="2" t="s">
        <v>14</v>
      </c>
      <c r="E2099" s="2" t="s">
        <v>15</v>
      </c>
      <c r="F2099" s="2" t="s">
        <v>41</v>
      </c>
      <c r="G2099" s="2" t="s">
        <v>17</v>
      </c>
      <c r="H2099" s="2">
        <v>320000</v>
      </c>
      <c r="I2099" s="2">
        <v>4</v>
      </c>
      <c r="J2099" s="2" t="s">
        <v>27</v>
      </c>
      <c r="K2099" s="2">
        <f t="shared" si="224"/>
        <v>256000</v>
      </c>
      <c r="L2099" s="9">
        <f>Table_1[[#This Row],[Unit Price]]*Table_1[[#This Row],[Quantity]]</f>
        <v>1280000</v>
      </c>
      <c r="M2099" s="8">
        <f>Table_1[[#This Row],[Cost Price]]*Table_1[[#This Row],[Quantity]]</f>
        <v>1024000</v>
      </c>
      <c r="N2099">
        <f>Table_1[[#This Row],[Revenue]]-Table_1[[#This Row],[COGS]]</f>
        <v>256000</v>
      </c>
      <c r="O2099" s="11">
        <f t="shared" si="225"/>
        <v>4656740000</v>
      </c>
      <c r="P2099">
        <f t="shared" si="226"/>
        <v>3725392000</v>
      </c>
      <c r="Q2099">
        <f t="shared" si="227"/>
        <v>931348000</v>
      </c>
      <c r="R2099" s="7">
        <f t="shared" si="228"/>
        <v>2098</v>
      </c>
      <c r="S2099" s="7">
        <f t="shared" si="229"/>
        <v>2</v>
      </c>
      <c r="T2099" s="7">
        <f t="shared" si="230"/>
        <v>2098</v>
      </c>
    </row>
    <row r="2100" spans="1:20" ht="15" customHeight="1" x14ac:dyDescent="0.35">
      <c r="D2100">
        <f>COUNT(Table_1[Customer Type])</f>
        <v>0</v>
      </c>
      <c r="L2100" s="10">
        <f>SUBTOTAL(109,Table_1[Revenue])</f>
        <v>2328370000</v>
      </c>
      <c r="M2100" s="10">
        <f>SUBTOTAL(109,Table_1[COGS])</f>
        <v>1862696000</v>
      </c>
      <c r="N2100" s="8">
        <f>SUBTOTAL(109,Table_1[PROFIT])</f>
        <v>465674000</v>
      </c>
      <c r="P2100" s="8">
        <f>SUBTOTAL(109,Table_1[Total COGS])</f>
        <v>7815872416000</v>
      </c>
    </row>
  </sheetData>
  <conditionalFormatting sqref="S2:S2099">
    <cfRule type="cellIs" dxfId="100" priority="1" operator="greaterThan">
      <formula>4</formula>
    </cfRule>
  </conditionalFormatting>
  <pageMargins left="0.75" right="0.75" top="1" bottom="1" header="0" footer="0"/>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W12" sqref="W1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topLeftCell="A24" workbookViewId="0">
      <selection activeCell="A29" sqref="A29"/>
    </sheetView>
  </sheetViews>
  <sheetFormatPr defaultColWidth="14.453125" defaultRowHeight="15" customHeight="1" x14ac:dyDescent="0.35"/>
  <cols>
    <col min="1" max="1" width="63.453125" customWidth="1"/>
    <col min="2" max="26" width="9" customWidth="1"/>
  </cols>
  <sheetData>
    <row r="1" spans="1:1" ht="14.25" customHeight="1" x14ac:dyDescent="0.35">
      <c r="A1" s="3" t="s">
        <v>163</v>
      </c>
    </row>
    <row r="2" spans="1:1" ht="14.25" customHeight="1" x14ac:dyDescent="0.35"/>
    <row r="3" spans="1:1" ht="14.25" customHeight="1" x14ac:dyDescent="0.35">
      <c r="A3" s="3" t="s">
        <v>164</v>
      </c>
    </row>
    <row r="4" spans="1:1" ht="14.25" customHeight="1" x14ac:dyDescent="0.35"/>
    <row r="5" spans="1:1" ht="14.25" customHeight="1" x14ac:dyDescent="0.35">
      <c r="A5" s="3" t="s">
        <v>165</v>
      </c>
    </row>
    <row r="6" spans="1:1" ht="14.25" customHeight="1" x14ac:dyDescent="0.35"/>
    <row r="7" spans="1:1" ht="14.25" customHeight="1" x14ac:dyDescent="0.35">
      <c r="A7" s="3" t="s">
        <v>166</v>
      </c>
    </row>
    <row r="8" spans="1:1" ht="14.25" customHeight="1" x14ac:dyDescent="0.35"/>
    <row r="9" spans="1:1" ht="14.25" customHeight="1" x14ac:dyDescent="0.35">
      <c r="A9" s="3" t="s">
        <v>167</v>
      </c>
    </row>
    <row r="10" spans="1:1" ht="14.25" customHeight="1" x14ac:dyDescent="0.35"/>
    <row r="11" spans="1:1" ht="14.25" customHeight="1" x14ac:dyDescent="0.35">
      <c r="A11" s="3" t="s">
        <v>168</v>
      </c>
    </row>
    <row r="12" spans="1:1" ht="14.25" customHeight="1" x14ac:dyDescent="0.35"/>
    <row r="13" spans="1:1" ht="14.25" customHeight="1" x14ac:dyDescent="0.35">
      <c r="A13" s="3" t="s">
        <v>169</v>
      </c>
    </row>
    <row r="14" spans="1:1" ht="14.25" customHeight="1" x14ac:dyDescent="0.35"/>
    <row r="15" spans="1:1" ht="14.25" customHeight="1" x14ac:dyDescent="0.35">
      <c r="A15" s="3" t="s">
        <v>170</v>
      </c>
    </row>
    <row r="16" spans="1:1" ht="14.25" customHeight="1" x14ac:dyDescent="0.35"/>
    <row r="17" spans="1:1" ht="14.25" customHeight="1" x14ac:dyDescent="0.35">
      <c r="A17" s="3" t="s">
        <v>171</v>
      </c>
    </row>
    <row r="18" spans="1:1" ht="14.25" customHeight="1" x14ac:dyDescent="0.35"/>
    <row r="19" spans="1:1" ht="14.25" customHeight="1" x14ac:dyDescent="0.35">
      <c r="A19" s="3" t="s">
        <v>172</v>
      </c>
    </row>
    <row r="20" spans="1:1" ht="14.25" customHeight="1" x14ac:dyDescent="0.35"/>
    <row r="21" spans="1:1" ht="14.25" customHeight="1" x14ac:dyDescent="0.35">
      <c r="A21" s="3" t="s">
        <v>173</v>
      </c>
    </row>
    <row r="22" spans="1:1" ht="14.25" customHeight="1" x14ac:dyDescent="0.35"/>
    <row r="23" spans="1:1" ht="14.25" customHeight="1" x14ac:dyDescent="0.35">
      <c r="A23" s="3" t="s">
        <v>174</v>
      </c>
    </row>
    <row r="24" spans="1:1" ht="14.25" customHeight="1" x14ac:dyDescent="0.35"/>
    <row r="25" spans="1:1" ht="14.25" customHeight="1" x14ac:dyDescent="0.35">
      <c r="A25" s="3" t="s">
        <v>175</v>
      </c>
    </row>
    <row r="26" spans="1:1" ht="14.25" customHeight="1" x14ac:dyDescent="0.35"/>
    <row r="27" spans="1:1" ht="14.25" customHeight="1" x14ac:dyDescent="0.35">
      <c r="A27" s="3" t="s">
        <v>176</v>
      </c>
    </row>
    <row r="28" spans="1:1" ht="14.25" customHeight="1" x14ac:dyDescent="0.35"/>
    <row r="29" spans="1:1" ht="14.25" customHeight="1" x14ac:dyDescent="0.35">
      <c r="A29" s="4" t="s">
        <v>177</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NN</vt:lpstr>
      <vt:lpstr>Sheet1</vt:lpstr>
      <vt:lpstr>pivot table</vt:lpstr>
      <vt:lpstr>Sales Data</vt:lpstr>
      <vt:lpstr>dashboard</vt:lpstr>
      <vt:lpstr>Instructions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2025-11-23T21:32:00Z</dcterms:created>
  <dcterms:modified xsi:type="dcterms:W3CDTF">2026-04-01T09:54:06Z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